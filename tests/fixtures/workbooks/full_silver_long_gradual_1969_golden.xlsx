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calcPr calcId="191029" fullCalcOnLoad="1" forceFullCalc="1" calcMode="auto"/>
  <sheets>
    <sheet name="Overview" sheetId="1" r:id="rId1"/>
    <sheet name="Parameters" sheetId="2" r:id="rId2"/>
    <sheet name="Daily Holdings" sheetId="3" r:id="rId3"/>
    <sheet name="Checks" sheetId="4" r:id="rId4"/>
  </sheets>
</workbook>
</file>

<file path=xl/styles.xml><?xml version="1.0" encoding="utf-8"?>
<styleSheet xmlns="http://schemas.openxmlformats.org/spreadsheetml/2006/main">
  <numFmts count="3">
    <numFmt numFmtId="164" formatCode="0.000000;[Red](0.000000);-"/>
    <numFmt numFmtId="165" formatCode="0.0000%;[Red](0.0000%);-"/>
    <numFmt numFmtId="166" formatCode="yyyy-mm-dd"/>
  </numFmts>
  <fonts count="5">
    <font>
      <sz val="10"/>
      <name val="Aptos"/>
    </font>
    <font>
      <b/>
      <color rgb="FFFFFFFF"/>
      <sz val="11"/>
      <name val="Aptos Display"/>
    </font>
    <font>
      <b/>
      <color rgb="FF172033"/>
      <sz val="10"/>
      <name val="Aptos"/>
    </font>
    <font>
      <color rgb="FF008000"/>
      <sz val="10"/>
      <name val="Aptos"/>
    </font>
    <font>
      <b/>
      <color rgb="FF166534"/>
      <sz val="10"/>
      <name val="Aptos"/>
    </font>
  </fonts>
  <fills count="6">
    <fill>
      <patternFill patternType="none"/>
    </fill>
    <fill>
      <patternFill patternType="gray125"/>
    </fill>
    <fill>
      <patternFill patternType="solid">
        <fgColor rgb="FF17203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9CA3A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164" fontId="3" fillId="0" borderId="0" xfId="0" applyNumberFormat="1" applyFont="1"/>
    <xf numFmtId="164" fontId="0" fillId="0" borderId="0" xfId="0" applyNumberFormat="1"/>
    <xf numFmtId="165" fontId="3" fillId="0" borderId="0" xfId="0" applyNumberFormat="1" applyFont="1"/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4" borderId="1" xfId="0" applyFont="1" applyFill="1" applyBorder="1"/>
    <xf numFmtId="0" fontId="1" fillId="2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F20"/>
  <sheetViews>
    <sheetView workbookViewId="0"/>
  </sheetViews>
  <sheetFormatPr defaultRowHeight="15"/>
  <cols>
    <col min="1" max="1" width="42" customWidth="1"/>
    <col min="2" max="2" width="105" customWidth="1"/>
    <col min="3" max="3" width="2" customWidth="1"/>
    <col min="4" max="4" width="18" customWidth="1"/>
    <col min="5" max="5" width="18" customWidth="1"/>
    <col min="6" max="6" width="18" customWidth="1"/>
  </cols>
  <sheetData>
    <row r="1" ht="28" customHeight="1">
      <c r="A1" s="1" t="inlineStr">
        <is>
          <t xml:space="preserve">Silver — detailed completed-backtest workbook</t>
        </is>
      </c>
      <c r="B1"/>
      <c r="C1"/>
      <c r="D1"/>
      <c r="E1"/>
      <c r="F1"/>
    </row>
    <row r="2"/>
    <row r="3">
      <c r="A3" s="11" t="inlineStr">
        <is>
          <t xml:space="preserve">Purpose</t>
        </is>
      </c>
      <c r="B3" s="10" t="inlineStr">
        <is>
          <t xml:space="preserve">Reconstruct the selected strategy path from the completed backtest holding ledger, with visible holding P&amp;L, book valuation, underlying-return decomposition, NAV reconciliation, and model checks.</t>
        </is>
      </c>
    </row>
    <row r="4">
      <c r="A4" s="11" t="inlineStr">
        <is>
          <t xml:space="preserve">Holding interval</t>
        </is>
      </c>
      <c r="B4" s="10" t="inlineStr">
        <is>
          <t xml:space="preserve">Each row applies the start-date close holdings through the end-date close. Exchange holidays naturally create multi-calendar-day intervals.</t>
        </is>
      </c>
    </row>
    <row r="5">
      <c r="A5" s="11" t="inlineStr">
        <is>
          <t xml:space="preserve">Template version</t>
        </is>
      </c>
      <c r="B5">
        <v>2</v>
      </c>
    </row>
    <row r="6">
      <c r="A6" s="11" t="inlineStr">
        <is>
          <t xml:space="preserve">Commodity scope</t>
        </is>
      </c>
      <c r="B6" t="inlineStr">
        <is>
          <t xml:space="preserve">Silver; this template version requires exactly one commodity sleeve.</t>
        </is>
      </c>
    </row>
    <row r="7">
      <c r="A7" s="11" t="inlineStr">
        <is>
          <t xml:space="preserve">Mode</t>
        </is>
      </c>
      <c r="B7" s="10" t="inlineStr">
        <is>
          <t xml:space="preserve">positive = long futures only; neutral = no futures; negative = short futures only; long_and_short = both.</t>
        </is>
      </c>
    </row>
    <row r="8">
      <c r="A8" s="11" t="inlineStr">
        <is>
          <t xml:space="preserve">Futures value</t>
        </is>
      </c>
      <c r="B8" s="10" t="inlineStr">
        <is>
          <t xml:space="preserve">Regular and inverse exchange-traded futures are both carried at zero after daily settlement. Their signed notional records contractual price exposure; economic P&amp;L settles into the attributed cash/margin holding.</t>
        </is>
      </c>
    </row>
    <row r="9">
      <c r="A9" s="11" t="inlineStr">
        <is>
          <t xml:space="preserve">Holding expense</t>
        </is>
      </c>
      <c r="B9" s="10" t="inlineStr">
        <is>
          <t xml:space="preserve">The direct or replicating holding expense is shown explicitly as annual rate × elapsed days / 365 × start value. An equal value of units is removed at the interval-end price, so the expense changes units rather than creating an internal cash transfer.</t>
        </is>
      </c>
    </row>
    <row r="10">
      <c r="A10" s="11" t="inlineStr">
        <is>
          <t xml:space="preserve">Book valuation</t>
        </is>
      </c>
      <c r="B10" s="10" t="inlineStr">
        <is>
          <t xml:space="preserve">Lease and keep values are independently reconstructed from attributed holdings and from opening value + accumulated P&amp;L + external/rebalancing transfers.</t>
        </is>
      </c>
    </row>
    <row r="11">
      <c r="A11" s="11" t="inlineStr">
        <is>
          <t xml:space="preserve">Returns</t>
        </is>
      </c>
      <c r="B11" s="10" t="inlineStr">
        <is>
          <t xml:space="preserve">Standalone book return uses that book's start value. Contribution uses total lease + keep start value. Total return is reconstructed as underlying price change compounded with the combined book return quoted in the underlying.</t>
        </is>
      </c>
    </row>
    <row r="12">
      <c r="A12" s="11" t="inlineStr">
        <is>
          <t xml:space="preserve">Prices</t>
        </is>
      </c>
      <c r="B12" s="10" t="inlineStr">
        <is>
          <t xml:space="preserve">A future's spot fields contain the actual commodity spot quote. Futures notional and quantity do not rescale that spot price. The normalized underlying index is shown separately.</t>
        </is>
      </c>
    </row>
    <row r="13"/>
    <row r="14">
      <c r="A14" s="2" t="inlineStr">
        <is>
          <t xml:space="preserve">Selected result summary</t>
        </is>
      </c>
    </row>
    <row r="15">
      <c r="A15" s="11" t="inlineStr">
        <is>
          <t xml:space="preserve">First holding date</t>
        </is>
      </c>
      <c r="B15" s="8">
        <v>25205</v>
      </c>
    </row>
    <row r="16">
      <c r="A16" s="11" t="inlineStr">
        <is>
          <t xml:space="preserve">Final interval end</t>
        </is>
      </c>
      <c r="B16" s="8">
        <v>25568</v>
      </c>
    </row>
    <row r="17">
      <c r="A17" s="11" t="inlineStr">
        <is>
          <t xml:space="preserve">Holding intervals</t>
        </is>
      </c>
      <c r="B17">
        <v>242</v>
      </c>
    </row>
    <row r="18">
      <c r="A18" s="11" t="inlineStr">
        <is>
          <t xml:space="preserve">Maximum simultaneous ledger holdings</t>
        </is>
      </c>
      <c r="B18">
        <v>10</v>
      </c>
    </row>
    <row r="19">
      <c r="A19" s="11" t="inlineStr">
        <is>
          <t xml:space="preserve">Ending NAV</t>
        </is>
      </c>
      <c r="B19" s="4">
        <v>2.0433694798508797</v>
      </c>
    </row>
    <row r="20">
      <c r="A20" s="11" t="inlineStr">
        <is>
          <t xml:space="preserve">Portfolio rebalancing</t>
        </is>
      </c>
      <c r="B20" t="inlineStr">
        <is>
          <t xml:space="preserve">daily</t>
        </is>
      </c>
    </row>
  </sheetData>
  <mergeCells count="10">
    <mergeCell ref="A1:F1"/>
    <mergeCell ref="B3:F3"/>
    <mergeCell ref="B4:F4"/>
    <mergeCell ref="B7:F7"/>
    <mergeCell ref="B8:F8"/>
    <mergeCell ref="B9:F9"/>
    <mergeCell ref="B10:F10"/>
    <mergeCell ref="B11:F11"/>
    <mergeCell ref="B12:F12"/>
    <mergeCell ref="A14:F14"/>
  </mergeCells>
  <pageMargins left="0.25" right="0.25" top="0.5" bottom="0.5" header="0.2" footer="0.2"/>
</worksheet>
</file>

<file path=xl/worksheets/sheet2.xml><?xml version="1.0" encoding="utf-8"?>
<worksheet xmlns="http://schemas.openxmlformats.org/spreadsheetml/2006/main">
  <dimension ref="A1:D167"/>
  <sheetViews>
    <sheetView workbookViewId="0">
      <pane xSplit="0" ySplit="3" topLeftCell="A4" activePane="bottomRight" state="frozen"/>
    </sheetView>
  </sheetViews>
  <sheetFormatPr defaultRowHeight="15"/>
  <cols>
    <col min="1" max="1" width="62" customWidth="1"/>
    <col min="2" max="2" width="32" customWidth="1"/>
    <col min="3" max="3" width="25" customWidth="1"/>
    <col min="4" max="4" width="58" customWidth="1"/>
  </cols>
  <sheetData>
    <row r="1" ht="28" customHeight="1">
      <c r="A1" s="1" t="inlineStr">
        <is>
          <t xml:space="preserve">Silver — completed-backtest parameters</t>
        </is>
      </c>
      <c r="B1"/>
      <c r="C1"/>
      <c r="D1"/>
    </row>
    <row r="2"/>
    <row r="3">
      <c r="A3" s="3" t="inlineStr">
        <is>
          <t xml:space="preserve">Parameter path</t>
        </is>
      </c>
      <c r="B3" s="3" t="inlineStr">
        <is>
          <t xml:space="preserve">Saved value</t>
        </is>
      </c>
      <c r="C3" s="3" t="inlineStr">
        <is>
          <t xml:space="preserve">Use</t>
        </is>
      </c>
      <c r="D3" s="3" t="inlineStr">
        <is>
          <t xml:space="preserve">Notes</t>
        </is>
      </c>
    </row>
    <row r="4">
      <c r="A4" t="inlineStr">
        <is>
          <t xml:space="preserve">weight_silver</t>
        </is>
      </c>
      <c r="B4" s="4" t="inlineStr">
        <is>
          <t xml:space="preserve">100</t>
        </is>
      </c>
      <c r="C4" t="inlineStr">
        <is>
          <t xml:space="preserve">Exact completed-run input</t>
        </is>
      </c>
      <c r="D4" t="inlineStr">
        <is>
          <t xml:space="preserve">Nested commodity parameters are expanded for auditability.</t>
        </is>
      </c>
    </row>
    <row r="5">
      <c r="A5" t="inlineStr">
        <is>
          <t xml:space="preserve">weight_gold</t>
        </is>
      </c>
      <c r="B5" s="4" t="inlineStr">
        <is>
          <t xml:space="preserve">0</t>
        </is>
      </c>
      <c r="C5" t="inlineStr">
        <is>
          <t xml:space="preserve">Exact completed-run input</t>
        </is>
      </c>
      <c r="D5" t="inlineStr">
        <is>
          <t xml:space="preserve">Nested commodity parameters are expanded for auditability.</t>
        </is>
      </c>
    </row>
    <row r="6">
      <c r="A6" t="inlineStr">
        <is>
          <t xml:space="preserve">weight_sp500</t>
        </is>
      </c>
      <c r="B6" s="4" t="inlineStr">
        <is>
          <t xml:space="preserve">0</t>
        </is>
      </c>
      <c r="C6" t="inlineStr">
        <is>
          <t xml:space="preserve">Exact completed-run input</t>
        </is>
      </c>
      <c r="D6" t="inlineStr">
        <is>
          <t xml:space="preserve">Nested commodity parameters are expanded for auditability.</t>
        </is>
      </c>
    </row>
    <row r="7">
      <c r="A7" t="inlineStr">
        <is>
          <t xml:space="preserve">weight_btc</t>
        </is>
      </c>
      <c r="B7" s="4" t="inlineStr">
        <is>
          <t xml:space="preserve">0</t>
        </is>
      </c>
      <c r="C7" t="inlineStr">
        <is>
          <t xml:space="preserve">Exact completed-run input</t>
        </is>
      </c>
      <c r="D7" t="inlineStr">
        <is>
          <t xml:space="preserve">Nested commodity parameters are expanded for auditability.</t>
        </is>
      </c>
    </row>
    <row r="8">
      <c r="A8" t="inlineStr">
        <is>
          <t xml:space="preserve">weight_treasury</t>
        </is>
      </c>
      <c r="B8" s="4" t="inlineStr">
        <is>
          <t xml:space="preserve">0</t>
        </is>
      </c>
      <c r="C8" t="inlineStr">
        <is>
          <t xml:space="preserve">Exact completed-run input</t>
        </is>
      </c>
      <c r="D8" t="inlineStr">
        <is>
          <t xml:space="preserve">Nested commodity parameters are expanded for auditability.</t>
        </is>
      </c>
    </row>
    <row r="9">
      <c r="A9" t="inlineStr">
        <is>
          <t xml:space="preserve">portfolio_rebalancing</t>
        </is>
      </c>
      <c r="B9" s="4" t="inlineStr">
        <is>
          <t xml:space="preserve">daily</t>
        </is>
      </c>
      <c r="C9" t="inlineStr">
        <is>
          <t xml:space="preserve">Exact completed-run input</t>
        </is>
      </c>
      <c r="D9" t="inlineStr">
        <is>
          <t xml:space="preserve">Nested commodity parameters are expanded for auditability.</t>
        </is>
      </c>
    </row>
    <row r="10">
      <c r="A10" t="inlineStr">
        <is>
          <t xml:space="preserve">reactivity</t>
        </is>
      </c>
      <c r="B10" s="4" t="inlineStr">
        <is>
          <t xml:space="preserve">same_day</t>
        </is>
      </c>
      <c r="C10" t="inlineStr">
        <is>
          <t xml:space="preserve">Exact completed-run input</t>
        </is>
      </c>
      <c r="D10" t="inlineStr">
        <is>
          <t xml:space="preserve">Nested commodity parameters are expanded for auditability.</t>
        </is>
      </c>
    </row>
    <row r="11">
      <c r="A11" t="inlineStr">
        <is>
          <t xml:space="preserve">min_days</t>
        </is>
      </c>
      <c r="B11" s="4" t="inlineStr">
        <is>
          <t xml:space="preserve">10</t>
        </is>
      </c>
      <c r="C11" t="inlineStr">
        <is>
          <t xml:space="preserve">Exact completed-run input</t>
        </is>
      </c>
      <c r="D11" t="inlineStr">
        <is>
          <t xml:space="preserve">Nested commodity parameters are expanded for auditability.</t>
        </is>
      </c>
    </row>
    <row r="12">
      <c r="A12" t="inlineStr">
        <is>
          <t xml:space="preserve">roll_only_if_better</t>
        </is>
      </c>
      <c r="B12" s="4" t="inlineStr">
        <is>
          <t xml:space="preserve">true</t>
        </is>
      </c>
      <c r="C12" t="inlineStr">
        <is>
          <t xml:space="preserve">Exact completed-run input</t>
        </is>
      </c>
      <c r="D12" t="inlineStr">
        <is>
          <t xml:space="preserve">Nested commodity parameters are expanded for auditability.</t>
        </is>
      </c>
    </row>
    <row r="13">
      <c r="A13" t="inlineStr">
        <is>
          <t xml:space="preserve">force_roll_at_min_days</t>
        </is>
      </c>
      <c r="B13" s="4" t="inlineStr">
        <is>
          <t xml:space="preserve">true</t>
        </is>
      </c>
      <c r="C13" t="inlineStr">
        <is>
          <t xml:space="preserve">Exact completed-run input</t>
        </is>
      </c>
      <c r="D13" t="inlineStr">
        <is>
          <t xml:space="preserve">Nested commodity parameters are expanded for auditability.</t>
        </is>
      </c>
    </row>
    <row r="14">
      <c r="A14" t="inlineStr">
        <is>
          <t xml:space="preserve">long_allocation_half_life_days</t>
        </is>
      </c>
      <c r="B14" s="4" t="inlineStr">
        <is>
          <t xml:space="preserve">0</t>
        </is>
      </c>
      <c r="C14" t="inlineStr">
        <is>
          <t xml:space="preserve">Exact completed-run input</t>
        </is>
      </c>
      <c r="D14" t="inlineStr">
        <is>
          <t xml:space="preserve">Nested commodity parameters are expanded for auditability.</t>
        </is>
      </c>
    </row>
    <row r="15">
      <c r="A15" t="inlineStr">
        <is>
          <t xml:space="preserve">short_allocation_half_life_days</t>
        </is>
      </c>
      <c r="B15" s="4" t="inlineStr">
        <is>
          <t xml:space="preserve">0</t>
        </is>
      </c>
      <c r="C15" t="inlineStr">
        <is>
          <t xml:space="preserve">Exact completed-run input</t>
        </is>
      </c>
      <c r="D15" t="inlineStr">
        <is>
          <t xml:space="preserve">Nested commodity parameters are expanded for auditability.</t>
        </is>
      </c>
    </row>
    <row r="16">
      <c r="A16" t="inlineStr">
        <is>
          <t xml:space="preserve">slv_expense</t>
        </is>
      </c>
      <c r="B16" s="4" t="inlineStr">
        <is>
          <t xml:space="preserve">0.25</t>
        </is>
      </c>
      <c r="C16" t="inlineStr">
        <is>
          <t xml:space="preserve">Exact completed-run input</t>
        </is>
      </c>
      <c r="D16" t="inlineStr">
        <is>
          <t xml:space="preserve">Nested commodity parameters are expanded for auditability.</t>
        </is>
      </c>
    </row>
    <row r="17">
      <c r="A17" t="inlineStr">
        <is>
          <t xml:space="preserve">futures_contract_type</t>
        </is>
      </c>
      <c r="B17" s="4" t="inlineStr">
        <is>
          <t xml:space="preserve">regular</t>
        </is>
      </c>
      <c r="C17" t="inlineStr">
        <is>
          <t xml:space="preserve">Exact completed-run input</t>
        </is>
      </c>
      <c r="D17" t="inlineStr">
        <is>
          <t xml:space="preserve">Nested commodity parameters are expanded for auditability.</t>
        </is>
      </c>
    </row>
    <row r="18">
      <c r="A18" t="inlineStr">
        <is>
          <t xml:space="preserve">inverse_payoff_conversion_fee</t>
        </is>
      </c>
      <c r="B18" s="4" t="inlineStr">
        <is>
          <t xml:space="preserve">0</t>
        </is>
      </c>
      <c r="C18" t="inlineStr">
        <is>
          <t xml:space="preserve">Exact completed-run input</t>
        </is>
      </c>
      <c r="D18" t="inlineStr">
        <is>
          <t xml:space="preserve">Nested commodity parameters are expanded for auditability.</t>
        </is>
      </c>
    </row>
    <row r="19">
      <c r="A19" t="inlineStr">
        <is>
          <t xml:space="preserve">inverse_min_conversion_btc</t>
        </is>
      </c>
      <c r="B19" s="4" t="inlineStr">
        <is>
          <t xml:space="preserve">0</t>
        </is>
      </c>
      <c r="C19" t="inlineStr">
        <is>
          <t xml:space="preserve">Exact completed-run input</t>
        </is>
      </c>
      <c r="D19" t="inlineStr">
        <is>
          <t xml:space="preserve">Nested commodity parameters are expanded for auditability.</t>
        </is>
      </c>
    </row>
    <row r="20">
      <c r="A20" t="inlineStr">
        <is>
          <t xml:space="preserve">enable_cash_long_futures_leg</t>
        </is>
      </c>
      <c r="B20" s="4" t="inlineStr">
        <is>
          <t xml:space="preserve">true</t>
        </is>
      </c>
      <c r="C20" t="inlineStr">
        <is>
          <t xml:space="preserve">Exact completed-run input</t>
        </is>
      </c>
      <c r="D20" t="inlineStr">
        <is>
          <t xml:space="preserve">Nested commodity parameters are expanded for auditability.</t>
        </is>
      </c>
    </row>
    <row r="21">
      <c r="A21" t="inlineStr">
        <is>
          <t xml:space="preserve">long_futures_entry_mode</t>
        </is>
      </c>
      <c r="B21" s="4" t="inlineStr">
        <is>
          <t xml:space="preserve">gradual</t>
        </is>
      </c>
      <c r="C21" t="inlineStr">
        <is>
          <t xml:space="preserve">Exact completed-run input</t>
        </is>
      </c>
      <c r="D21" t="inlineStr">
        <is>
          <t xml:space="preserve">Nested commodity parameters are expanded for auditability.</t>
        </is>
      </c>
    </row>
    <row r="22">
      <c r="A22" t="inlineStr">
        <is>
          <t xml:space="preserve">long_contract_selection</t>
        </is>
      </c>
      <c r="B22" s="4" t="inlineStr">
        <is>
          <t xml:space="preserve">weighted_lease_rate</t>
        </is>
      </c>
      <c r="C22" t="inlineStr">
        <is>
          <t xml:space="preserve">Exact completed-run input</t>
        </is>
      </c>
      <c r="D22" t="inlineStr">
        <is>
          <t xml:space="preserve">Nested commodity parameters are expanded for auditability.</t>
        </is>
      </c>
    </row>
    <row r="23">
      <c r="A23" t="inlineStr">
        <is>
          <t xml:space="preserve">long_line_maturity_1</t>
        </is>
      </c>
      <c r="B23" s="4" t="inlineStr">
        <is>
          <t xml:space="preserve">30</t>
        </is>
      </c>
      <c r="C23" t="inlineStr">
        <is>
          <t xml:space="preserve">Exact completed-run input</t>
        </is>
      </c>
      <c r="D23" t="inlineStr">
        <is>
          <t xml:space="preserve">Nested commodity parameters are expanded for auditability.</t>
        </is>
      </c>
    </row>
    <row r="24">
      <c r="A24" t="inlineStr">
        <is>
          <t xml:space="preserve">long_line_rate_1</t>
        </is>
      </c>
      <c r="B24" s="4" t="inlineStr">
        <is>
          <t xml:space="preserve">1</t>
        </is>
      </c>
      <c r="C24" t="inlineStr">
        <is>
          <t xml:space="preserve">Exact completed-run input</t>
        </is>
      </c>
      <c r="D24" t="inlineStr">
        <is>
          <t xml:space="preserve">Nested commodity parameters are expanded for auditability.</t>
        </is>
      </c>
    </row>
    <row r="25">
      <c r="A25" t="inlineStr">
        <is>
          <t xml:space="preserve">long_line_maturity_2</t>
        </is>
      </c>
      <c r="B25" s="4" t="inlineStr">
        <is>
          <t xml:space="preserve">365</t>
        </is>
      </c>
      <c r="C25" t="inlineStr">
        <is>
          <t xml:space="preserve">Exact completed-run input</t>
        </is>
      </c>
      <c r="D25" t="inlineStr">
        <is>
          <t xml:space="preserve">Nested commodity parameters are expanded for auditability.</t>
        </is>
      </c>
    </row>
    <row r="26">
      <c r="A26" t="inlineStr">
        <is>
          <t xml:space="preserve">long_line_rate_2</t>
        </is>
      </c>
      <c r="B26" s="4" t="inlineStr">
        <is>
          <t xml:space="preserve">2</t>
        </is>
      </c>
      <c r="C26" t="inlineStr">
        <is>
          <t xml:space="preserve">Exact completed-run input</t>
        </is>
      </c>
      <c r="D26" t="inlineStr">
        <is>
          <t xml:space="preserve">Nested commodity parameters are expanded for auditability.</t>
        </is>
      </c>
    </row>
    <row r="27">
      <c r="A27" t="inlineStr">
        <is>
          <t xml:space="preserve">long_relative_strength</t>
        </is>
      </c>
      <c r="B27" s="4" t="inlineStr">
        <is>
          <t xml:space="preserve">1</t>
        </is>
      </c>
      <c r="C27" t="inlineStr">
        <is>
          <t xml:space="preserve">Exact completed-run input</t>
        </is>
      </c>
      <c r="D27" t="inlineStr">
        <is>
          <t xml:space="preserve">Nested commodity parameters are expanded for auditability.</t>
        </is>
      </c>
    </row>
    <row r="28">
      <c r="A28" t="inlineStr">
        <is>
          <t xml:space="preserve">long_pure_maturity_strength</t>
        </is>
      </c>
      <c r="B28" s="4" t="inlineStr">
        <is>
          <t xml:space="preserve">0</t>
        </is>
      </c>
      <c r="C28" t="inlineStr">
        <is>
          <t xml:space="preserve">Exact completed-run input</t>
        </is>
      </c>
      <c r="D28" t="inlineStr">
        <is>
          <t xml:space="preserve">Nested commodity parameters are expanded for auditability.</t>
        </is>
      </c>
    </row>
    <row r="29">
      <c r="A29" t="inlineStr">
        <is>
          <t xml:space="preserve">long_pure_maturity_scale_days</t>
        </is>
      </c>
      <c r="B29" s="4" t="inlineStr">
        <is>
          <t xml:space="preserve">365</t>
        </is>
      </c>
      <c r="C29" t="inlineStr">
        <is>
          <t xml:space="preserve">Exact completed-run input</t>
        </is>
      </c>
      <c r="D29" t="inlineStr">
        <is>
          <t xml:space="preserve">Nested commodity parameters are expanded for auditability.</t>
        </is>
      </c>
    </row>
    <row r="30">
      <c r="A30" t="inlineStr">
        <is>
          <t xml:space="preserve">long_pure_maturity_clip</t>
        </is>
      </c>
      <c r="B30" s="4" t="inlineStr">
        <is>
          <t xml:space="preserve">3</t>
        </is>
      </c>
      <c r="C30" t="inlineStr">
        <is>
          <t xml:space="preserve">Exact completed-run input</t>
        </is>
      </c>
      <c r="D30" t="inlineStr">
        <is>
          <t xml:space="preserve">Nested commodity parameters are expanded for auditability.</t>
        </is>
      </c>
    </row>
    <row r="31">
      <c r="A31" t="inlineStr">
        <is>
          <t xml:space="preserve">long_score_rate_scale</t>
        </is>
      </c>
      <c r="B31" s="4" t="inlineStr">
        <is>
          <t xml:space="preserve">1</t>
        </is>
      </c>
      <c r="C31" t="inlineStr">
        <is>
          <t xml:space="preserve">Exact completed-run input</t>
        </is>
      </c>
      <c r="D31" t="inlineStr">
        <is>
          <t xml:space="preserve">Nested commodity parameters are expanded for auditability.</t>
        </is>
      </c>
    </row>
    <row r="32">
      <c r="A32" t="inlineStr">
        <is>
          <t xml:space="preserve">long_score_adjustment_clip</t>
        </is>
      </c>
      <c r="B32" s="4" t="inlineStr">
        <is>
          <t xml:space="preserve">3</t>
        </is>
      </c>
      <c r="C32" t="inlineStr">
        <is>
          <t xml:space="preserve">Exact completed-run input</t>
        </is>
      </c>
      <c r="D32" t="inlineStr">
        <is>
          <t xml:space="preserve">Nested commodity parameters are expanded for auditability.</t>
        </is>
      </c>
    </row>
    <row r="33">
      <c r="A33" t="inlineStr">
        <is>
          <t xml:space="preserve">positive_entry_rate</t>
        </is>
      </c>
      <c r="B33" s="4" t="inlineStr">
        <is>
          <t xml:space="preserve">0</t>
        </is>
      </c>
      <c r="C33" t="inlineStr">
        <is>
          <t xml:space="preserve">Exact completed-run input</t>
        </is>
      </c>
      <c r="D33" t="inlineStr">
        <is>
          <t xml:space="preserve">Nested commodity parameters are expanded for auditability.</t>
        </is>
      </c>
    </row>
    <row r="34">
      <c r="A34" t="inlineStr">
        <is>
          <t xml:space="preserve">positive_full_rate</t>
        </is>
      </c>
      <c r="B34" s="4" t="inlineStr">
        <is>
          <t xml:space="preserve">15</t>
        </is>
      </c>
      <c r="C34" t="inlineStr">
        <is>
          <t xml:space="preserve">Exact completed-run input</t>
        </is>
      </c>
      <c r="D34" t="inlineStr">
        <is>
          <t xml:space="preserve">Nested commodity parameters are expanded for auditability.</t>
        </is>
      </c>
    </row>
    <row r="35">
      <c r="A35" t="inlineStr">
        <is>
          <t xml:space="preserve">max_futures_treasury_fraction</t>
        </is>
      </c>
      <c r="B35" s="4" t="inlineStr">
        <is>
          <t xml:space="preserve">100</t>
        </is>
      </c>
      <c r="C35" t="inlineStr">
        <is>
          <t xml:space="preserve">Exact completed-run input</t>
        </is>
      </c>
      <c r="D35" t="inlineStr">
        <is>
          <t xml:space="preserve">Nested commodity parameters are expanded for auditability.</t>
        </is>
      </c>
    </row>
    <row r="36">
      <c r="A36" t="inlineStr">
        <is>
          <t xml:space="preserve">enable_short_book</t>
        </is>
      </c>
      <c r="B36" s="4" t="inlineStr">
        <is>
          <t xml:space="preserve">false</t>
        </is>
      </c>
      <c r="C36" t="inlineStr">
        <is>
          <t xml:space="preserve">Exact completed-run input</t>
        </is>
      </c>
      <c r="D36" t="inlineStr">
        <is>
          <t xml:space="preserve">Nested commodity parameters are expanded for auditability.</t>
        </is>
      </c>
    </row>
    <row r="37">
      <c r="A37" t="inlineStr">
        <is>
          <t xml:space="preserve">short_futures_entry_mode</t>
        </is>
      </c>
      <c r="B37" s="4" t="inlineStr">
        <is>
          <t xml:space="preserve">fixed</t>
        </is>
      </c>
      <c r="C37" t="inlineStr">
        <is>
          <t xml:space="preserve">Exact completed-run input</t>
        </is>
      </c>
      <c r="D37" t="inlineStr">
        <is>
          <t xml:space="preserve">Nested commodity parameters are expanded for auditability.</t>
        </is>
      </c>
    </row>
    <row r="38">
      <c r="A38" t="inlineStr">
        <is>
          <t xml:space="preserve">short_contract_selection</t>
        </is>
      </c>
      <c r="B38" s="4" t="inlineStr">
        <is>
          <t xml:space="preserve">weighted_lease_rate</t>
        </is>
      </c>
      <c r="C38" t="inlineStr">
        <is>
          <t xml:space="preserve">Exact completed-run input</t>
        </is>
      </c>
      <c r="D38" t="inlineStr">
        <is>
          <t xml:space="preserve">Nested commodity parameters are expanded for auditability.</t>
        </is>
      </c>
    </row>
    <row r="39">
      <c r="A39" t="inlineStr">
        <is>
          <t xml:space="preserve">short_line_maturity_1</t>
        </is>
      </c>
      <c r="B39" s="4" t="inlineStr">
        <is>
          <t xml:space="preserve">30</t>
        </is>
      </c>
      <c r="C39" t="inlineStr">
        <is>
          <t xml:space="preserve">Exact completed-run input</t>
        </is>
      </c>
      <c r="D39" t="inlineStr">
        <is>
          <t xml:space="preserve">Nested commodity parameters are expanded for auditability.</t>
        </is>
      </c>
    </row>
    <row r="40">
      <c r="A40" t="inlineStr">
        <is>
          <t xml:space="preserve">short_line_rate_1</t>
        </is>
      </c>
      <c r="B40" s="4" t="inlineStr">
        <is>
          <t xml:space="preserve">0.033</t>
        </is>
      </c>
      <c r="C40" t="inlineStr">
        <is>
          <t xml:space="preserve">Exact completed-run input</t>
        </is>
      </c>
      <c r="D40" t="inlineStr">
        <is>
          <t xml:space="preserve">Nested commodity parameters are expanded for auditability.</t>
        </is>
      </c>
    </row>
    <row r="41">
      <c r="A41" t="inlineStr">
        <is>
          <t xml:space="preserve">short_line_maturity_2</t>
        </is>
      </c>
      <c r="B41" s="4" t="inlineStr">
        <is>
          <t xml:space="preserve">365</t>
        </is>
      </c>
      <c r="C41" t="inlineStr">
        <is>
          <t xml:space="preserve">Exact completed-run input</t>
        </is>
      </c>
      <c r="D41" t="inlineStr">
        <is>
          <t xml:space="preserve">Nested commodity parameters are expanded for auditability.</t>
        </is>
      </c>
    </row>
    <row r="42">
      <c r="A42" t="inlineStr">
        <is>
          <t xml:space="preserve">short_line_rate_2</t>
        </is>
      </c>
      <c r="B42" s="4" t="inlineStr">
        <is>
          <t xml:space="preserve">0.4</t>
        </is>
      </c>
      <c r="C42" t="inlineStr">
        <is>
          <t xml:space="preserve">Exact completed-run input</t>
        </is>
      </c>
      <c r="D42" t="inlineStr">
        <is>
          <t xml:space="preserve">Nested commodity parameters are expanded for auditability.</t>
        </is>
      </c>
    </row>
    <row r="43">
      <c r="A43" t="inlineStr">
        <is>
          <t xml:space="preserve">short_relative_strength</t>
        </is>
      </c>
      <c r="B43" s="4" t="inlineStr">
        <is>
          <t xml:space="preserve">1</t>
        </is>
      </c>
      <c r="C43" t="inlineStr">
        <is>
          <t xml:space="preserve">Exact completed-run input</t>
        </is>
      </c>
      <c r="D43" t="inlineStr">
        <is>
          <t xml:space="preserve">Nested commodity parameters are expanded for auditability.</t>
        </is>
      </c>
    </row>
    <row r="44">
      <c r="A44" t="inlineStr">
        <is>
          <t xml:space="preserve">short_pure_maturity_strength</t>
        </is>
      </c>
      <c r="B44" s="4" t="inlineStr">
        <is>
          <t xml:space="preserve">0</t>
        </is>
      </c>
      <c r="C44" t="inlineStr">
        <is>
          <t xml:space="preserve">Exact completed-run input</t>
        </is>
      </c>
      <c r="D44" t="inlineStr">
        <is>
          <t xml:space="preserve">Nested commodity parameters are expanded for auditability.</t>
        </is>
      </c>
    </row>
    <row r="45">
      <c r="A45" t="inlineStr">
        <is>
          <t xml:space="preserve">short_pure_maturity_scale_days</t>
        </is>
      </c>
      <c r="B45" s="4" t="inlineStr">
        <is>
          <t xml:space="preserve">365</t>
        </is>
      </c>
      <c r="C45" t="inlineStr">
        <is>
          <t xml:space="preserve">Exact completed-run input</t>
        </is>
      </c>
      <c r="D45" t="inlineStr">
        <is>
          <t xml:space="preserve">Nested commodity parameters are expanded for auditability.</t>
        </is>
      </c>
    </row>
    <row r="46">
      <c r="A46" t="inlineStr">
        <is>
          <t xml:space="preserve">short_pure_maturity_clip</t>
        </is>
      </c>
      <c r="B46" s="4" t="inlineStr">
        <is>
          <t xml:space="preserve">3</t>
        </is>
      </c>
      <c r="C46" t="inlineStr">
        <is>
          <t xml:space="preserve">Exact completed-run input</t>
        </is>
      </c>
      <c r="D46" t="inlineStr">
        <is>
          <t xml:space="preserve">Nested commodity parameters are expanded for auditability.</t>
        </is>
      </c>
    </row>
    <row r="47">
      <c r="A47" t="inlineStr">
        <is>
          <t xml:space="preserve">short_score_rate_scale</t>
        </is>
      </c>
      <c r="B47" s="4" t="inlineStr">
        <is>
          <t xml:space="preserve">1</t>
        </is>
      </c>
      <c r="C47" t="inlineStr">
        <is>
          <t xml:space="preserve">Exact completed-run input</t>
        </is>
      </c>
      <c r="D47" t="inlineStr">
        <is>
          <t xml:space="preserve">Nested commodity parameters are expanded for auditability.</t>
        </is>
      </c>
    </row>
    <row r="48">
      <c r="A48" t="inlineStr">
        <is>
          <t xml:space="preserve">short_score_adjustment_clip</t>
        </is>
      </c>
      <c r="B48" s="4" t="inlineStr">
        <is>
          <t xml:space="preserve">3</t>
        </is>
      </c>
      <c r="C48" t="inlineStr">
        <is>
          <t xml:space="preserve">Exact completed-run input</t>
        </is>
      </c>
      <c r="D48" t="inlineStr">
        <is>
          <t xml:space="preserve">Nested commodity parameters are expanded for auditability.</t>
        </is>
      </c>
    </row>
    <row r="49">
      <c r="A49" t="inlineStr">
        <is>
          <t xml:space="preserve">negative_short_start_rate</t>
        </is>
      </c>
      <c r="B49" s="4" t="inlineStr">
        <is>
          <t xml:space="preserve">-0.5</t>
        </is>
      </c>
      <c r="C49" t="inlineStr">
        <is>
          <t xml:space="preserve">Exact completed-run input</t>
        </is>
      </c>
      <c r="D49" t="inlineStr">
        <is>
          <t xml:space="preserve">Nested commodity parameters are expanded for auditability.</t>
        </is>
      </c>
    </row>
    <row r="50">
      <c r="A50" t="inlineStr">
        <is>
          <t xml:space="preserve">negative_short_full_rate</t>
        </is>
      </c>
      <c r="B50" s="4" t="inlineStr">
        <is>
          <t xml:space="preserve">-15</t>
        </is>
      </c>
      <c r="C50" t="inlineStr">
        <is>
          <t xml:space="preserve">Exact completed-run input</t>
        </is>
      </c>
      <c r="D50" t="inlineStr">
        <is>
          <t xml:space="preserve">Nested commodity parameters are expanded for auditability.</t>
        </is>
      </c>
    </row>
    <row r="51">
      <c r="A51" t="inlineStr">
        <is>
          <t xml:space="preserve">max_short_fraction_of_long_leg</t>
        </is>
      </c>
      <c r="B51" s="4" t="inlineStr">
        <is>
          <t xml:space="preserve">50</t>
        </is>
      </c>
      <c r="C51" t="inlineStr">
        <is>
          <t xml:space="preserve">Exact completed-run input</t>
        </is>
      </c>
      <c r="D51" t="inlineStr">
        <is>
          <t xml:space="preserve">Nested commodity parameters are expanded for auditability.</t>
        </is>
      </c>
    </row>
    <row r="52">
      <c r="A52" t="inlineStr">
        <is>
          <t xml:space="preserve">treasury_asset</t>
        </is>
      </c>
      <c r="B52" s="4" t="inlineStr">
        <is>
          <t xml:space="preserve">matched_maturity</t>
        </is>
      </c>
      <c r="C52" t="inlineStr">
        <is>
          <t xml:space="preserve">Exact completed-run input</t>
        </is>
      </c>
      <c r="D52" t="inlineStr">
        <is>
          <t xml:space="preserve">Nested commodity parameters are expanded for auditability.</t>
        </is>
      </c>
    </row>
    <row r="53">
      <c r="A53" t="inlineStr">
        <is>
          <t xml:space="preserve">treasury_allocation_mode</t>
        </is>
      </c>
      <c r="B53" s="4" t="inlineStr">
        <is>
          <t xml:space="preserve">shortest_rolling</t>
        </is>
      </c>
      <c r="C53" t="inlineStr">
        <is>
          <t xml:space="preserve">Exact completed-run input</t>
        </is>
      </c>
      <c r="D53" t="inlineStr">
        <is>
          <t xml:space="preserve">Nested commodity parameters are expanded for auditability.</t>
        </is>
      </c>
    </row>
    <row r="54">
      <c r="A54" t="inlineStr">
        <is>
          <t xml:space="preserve">bond_mode</t>
        </is>
      </c>
      <c r="B54" s="4" t="inlineStr">
        <is>
          <t xml:space="preserve">accrual</t>
        </is>
      </c>
      <c r="C54" t="inlineStr">
        <is>
          <t xml:space="preserve">Exact completed-run input</t>
        </is>
      </c>
      <c r="D54" t="inlineStr">
        <is>
          <t xml:space="preserve">Nested commodity parameters are expanded for auditability.</t>
        </is>
      </c>
    </row>
    <row r="55">
      <c r="A55" t="inlineStr">
        <is>
          <t xml:space="preserve">commodity_parameters.silver.min_days</t>
        </is>
      </c>
      <c r="B55" s="4" t="inlineStr">
        <is>
          <t xml:space="preserve">10</t>
        </is>
      </c>
      <c r="C55" t="inlineStr">
        <is>
          <t xml:space="preserve">Exact completed-run input</t>
        </is>
      </c>
      <c r="D55" t="inlineStr">
        <is>
          <t xml:space="preserve">Nested commodity parameters are expanded for auditability.</t>
        </is>
      </c>
    </row>
    <row r="56">
      <c r="A56" t="inlineStr">
        <is>
          <t xml:space="preserve">commodity_parameters.silver.roll_only_if_better</t>
        </is>
      </c>
      <c r="B56" s="4" t="inlineStr">
        <is>
          <t xml:space="preserve">true</t>
        </is>
      </c>
      <c r="C56" t="inlineStr">
        <is>
          <t xml:space="preserve">Exact completed-run input</t>
        </is>
      </c>
      <c r="D56" t="inlineStr">
        <is>
          <t xml:space="preserve">Nested commodity parameters are expanded for auditability.</t>
        </is>
      </c>
    </row>
    <row r="57">
      <c r="A57" t="inlineStr">
        <is>
          <t xml:space="preserve">commodity_parameters.silver.force_roll_at_min_days</t>
        </is>
      </c>
      <c r="B57" s="4" t="inlineStr">
        <is>
          <t xml:space="preserve">true</t>
        </is>
      </c>
      <c r="C57" t="inlineStr">
        <is>
          <t xml:space="preserve">Exact completed-run input</t>
        </is>
      </c>
      <c r="D57" t="inlineStr">
        <is>
          <t xml:space="preserve">Nested commodity parameters are expanded for auditability.</t>
        </is>
      </c>
    </row>
    <row r="58">
      <c r="A58" t="inlineStr">
        <is>
          <t xml:space="preserve">commodity_parameters.silver.long_allocation_half_life_days</t>
        </is>
      </c>
      <c r="B58" s="4" t="inlineStr">
        <is>
          <t xml:space="preserve">0</t>
        </is>
      </c>
      <c r="C58" t="inlineStr">
        <is>
          <t xml:space="preserve">Exact completed-run input</t>
        </is>
      </c>
      <c r="D58" t="inlineStr">
        <is>
          <t xml:space="preserve">Nested commodity parameters are expanded for auditability.</t>
        </is>
      </c>
    </row>
    <row r="59">
      <c r="A59" t="inlineStr">
        <is>
          <t xml:space="preserve">commodity_parameters.silver.short_allocation_half_life_days</t>
        </is>
      </c>
      <c r="B59" s="4" t="inlineStr">
        <is>
          <t xml:space="preserve">0</t>
        </is>
      </c>
      <c r="C59" t="inlineStr">
        <is>
          <t xml:space="preserve">Exact completed-run input</t>
        </is>
      </c>
      <c r="D59" t="inlineStr">
        <is>
          <t xml:space="preserve">Nested commodity parameters are expanded for auditability.</t>
        </is>
      </c>
    </row>
    <row r="60">
      <c r="A60" t="inlineStr">
        <is>
          <t xml:space="preserve">commodity_parameters.silver.slv_expense</t>
        </is>
      </c>
      <c r="B60" s="4" t="inlineStr">
        <is>
          <t xml:space="preserve">0.25</t>
        </is>
      </c>
      <c r="C60" t="inlineStr">
        <is>
          <t xml:space="preserve">Exact completed-run input</t>
        </is>
      </c>
      <c r="D60" t="inlineStr">
        <is>
          <t xml:space="preserve">Nested commodity parameters are expanded for auditability.</t>
        </is>
      </c>
    </row>
    <row r="61">
      <c r="A61" t="inlineStr">
        <is>
          <t xml:space="preserve">commodity_parameters.silver.futures_contract_type</t>
        </is>
      </c>
      <c r="B61" s="4" t="inlineStr">
        <is>
          <t xml:space="preserve">regular</t>
        </is>
      </c>
      <c r="C61" t="inlineStr">
        <is>
          <t xml:space="preserve">Exact completed-run input</t>
        </is>
      </c>
      <c r="D61" t="inlineStr">
        <is>
          <t xml:space="preserve">Nested commodity parameters are expanded for auditability.</t>
        </is>
      </c>
    </row>
    <row r="62">
      <c r="A62" t="inlineStr">
        <is>
          <t xml:space="preserve">commodity_parameters.silver.inverse_payoff_conversion_fee</t>
        </is>
      </c>
      <c r="B62" s="4" t="inlineStr">
        <is>
          <t xml:space="preserve">0</t>
        </is>
      </c>
      <c r="C62" t="inlineStr">
        <is>
          <t xml:space="preserve">Exact completed-run input</t>
        </is>
      </c>
      <c r="D62" t="inlineStr">
        <is>
          <t xml:space="preserve">Nested commodity parameters are expanded for auditability.</t>
        </is>
      </c>
    </row>
    <row r="63">
      <c r="A63" t="inlineStr">
        <is>
          <t xml:space="preserve">commodity_parameters.silver.inverse_min_conversion_btc</t>
        </is>
      </c>
      <c r="B63" s="4" t="inlineStr">
        <is>
          <t xml:space="preserve">0</t>
        </is>
      </c>
      <c r="C63" t="inlineStr">
        <is>
          <t xml:space="preserve">Exact completed-run input</t>
        </is>
      </c>
      <c r="D63" t="inlineStr">
        <is>
          <t xml:space="preserve">Nested commodity parameters are expanded for auditability.</t>
        </is>
      </c>
    </row>
    <row r="64">
      <c r="A64" t="inlineStr">
        <is>
          <t xml:space="preserve">commodity_parameters.silver.enable_cash_long_futures_leg</t>
        </is>
      </c>
      <c r="B64" s="4" t="inlineStr">
        <is>
          <t xml:space="preserve">true</t>
        </is>
      </c>
      <c r="C64" t="inlineStr">
        <is>
          <t xml:space="preserve">Exact completed-run input</t>
        </is>
      </c>
      <c r="D64" t="inlineStr">
        <is>
          <t xml:space="preserve">Nested commodity parameters are expanded for auditability.</t>
        </is>
      </c>
    </row>
    <row r="65">
      <c r="A65" t="inlineStr">
        <is>
          <t xml:space="preserve">commodity_parameters.silver.long_futures_entry_mode</t>
        </is>
      </c>
      <c r="B65" s="4" t="inlineStr">
        <is>
          <t xml:space="preserve">gradual</t>
        </is>
      </c>
      <c r="C65" t="inlineStr">
        <is>
          <t xml:space="preserve">Exact completed-run input</t>
        </is>
      </c>
      <c r="D65" t="inlineStr">
        <is>
          <t xml:space="preserve">Nested commodity parameters are expanded for auditability.</t>
        </is>
      </c>
    </row>
    <row r="66">
      <c r="A66" t="inlineStr">
        <is>
          <t xml:space="preserve">commodity_parameters.silver.long_contract_selection</t>
        </is>
      </c>
      <c r="B66" s="4" t="inlineStr">
        <is>
          <t xml:space="preserve">weighted_lease_rate</t>
        </is>
      </c>
      <c r="C66" t="inlineStr">
        <is>
          <t xml:space="preserve">Exact completed-run input</t>
        </is>
      </c>
      <c r="D66" t="inlineStr">
        <is>
          <t xml:space="preserve">Nested commodity parameters are expanded for auditability.</t>
        </is>
      </c>
    </row>
    <row r="67">
      <c r="A67" t="inlineStr">
        <is>
          <t xml:space="preserve">commodity_parameters.silver.long_line_maturity_1</t>
        </is>
      </c>
      <c r="B67" s="4" t="inlineStr">
        <is>
          <t xml:space="preserve">30</t>
        </is>
      </c>
      <c r="C67" t="inlineStr">
        <is>
          <t xml:space="preserve">Exact completed-run input</t>
        </is>
      </c>
      <c r="D67" t="inlineStr">
        <is>
          <t xml:space="preserve">Nested commodity parameters are expanded for auditability.</t>
        </is>
      </c>
    </row>
    <row r="68">
      <c r="A68" t="inlineStr">
        <is>
          <t xml:space="preserve">commodity_parameters.silver.long_line_rate_1</t>
        </is>
      </c>
      <c r="B68" s="4" t="inlineStr">
        <is>
          <t xml:space="preserve">1</t>
        </is>
      </c>
      <c r="C68" t="inlineStr">
        <is>
          <t xml:space="preserve">Exact completed-run input</t>
        </is>
      </c>
      <c r="D68" t="inlineStr">
        <is>
          <t xml:space="preserve">Nested commodity parameters are expanded for auditability.</t>
        </is>
      </c>
    </row>
    <row r="69">
      <c r="A69" t="inlineStr">
        <is>
          <t xml:space="preserve">commodity_parameters.silver.long_line_maturity_2</t>
        </is>
      </c>
      <c r="B69" s="4" t="inlineStr">
        <is>
          <t xml:space="preserve">365</t>
        </is>
      </c>
      <c r="C69" t="inlineStr">
        <is>
          <t xml:space="preserve">Exact completed-run input</t>
        </is>
      </c>
      <c r="D69" t="inlineStr">
        <is>
          <t xml:space="preserve">Nested commodity parameters are expanded for auditability.</t>
        </is>
      </c>
    </row>
    <row r="70">
      <c r="A70" t="inlineStr">
        <is>
          <t xml:space="preserve">commodity_parameters.silver.long_line_rate_2</t>
        </is>
      </c>
      <c r="B70" s="4" t="inlineStr">
        <is>
          <t xml:space="preserve">2</t>
        </is>
      </c>
      <c r="C70" t="inlineStr">
        <is>
          <t xml:space="preserve">Exact completed-run input</t>
        </is>
      </c>
      <c r="D70" t="inlineStr">
        <is>
          <t xml:space="preserve">Nested commodity parameters are expanded for auditability.</t>
        </is>
      </c>
    </row>
    <row r="71">
      <c r="A71" t="inlineStr">
        <is>
          <t xml:space="preserve">commodity_parameters.silver.long_relative_strength</t>
        </is>
      </c>
      <c r="B71" s="4" t="inlineStr">
        <is>
          <t xml:space="preserve">1</t>
        </is>
      </c>
      <c r="C71" t="inlineStr">
        <is>
          <t xml:space="preserve">Exact completed-run input</t>
        </is>
      </c>
      <c r="D71" t="inlineStr">
        <is>
          <t xml:space="preserve">Nested commodity parameters are expanded for auditability.</t>
        </is>
      </c>
    </row>
    <row r="72">
      <c r="A72" t="inlineStr">
        <is>
          <t xml:space="preserve">commodity_parameters.silver.long_pure_maturity_strength</t>
        </is>
      </c>
      <c r="B72" s="4" t="inlineStr">
        <is>
          <t xml:space="preserve">0</t>
        </is>
      </c>
      <c r="C72" t="inlineStr">
        <is>
          <t xml:space="preserve">Exact completed-run input</t>
        </is>
      </c>
      <c r="D72" t="inlineStr">
        <is>
          <t xml:space="preserve">Nested commodity parameters are expanded for auditability.</t>
        </is>
      </c>
    </row>
    <row r="73">
      <c r="A73" t="inlineStr">
        <is>
          <t xml:space="preserve">commodity_parameters.silver.long_pure_maturity_scale_days</t>
        </is>
      </c>
      <c r="B73" s="4" t="inlineStr">
        <is>
          <t xml:space="preserve">365</t>
        </is>
      </c>
      <c r="C73" t="inlineStr">
        <is>
          <t xml:space="preserve">Exact completed-run input</t>
        </is>
      </c>
      <c r="D73" t="inlineStr">
        <is>
          <t xml:space="preserve">Nested commodity parameters are expanded for auditability.</t>
        </is>
      </c>
    </row>
    <row r="74">
      <c r="A74" t="inlineStr">
        <is>
          <t xml:space="preserve">commodity_parameters.silver.long_pure_maturity_clip</t>
        </is>
      </c>
      <c r="B74" s="4" t="inlineStr">
        <is>
          <t xml:space="preserve">3</t>
        </is>
      </c>
      <c r="C74" t="inlineStr">
        <is>
          <t xml:space="preserve">Exact completed-run input</t>
        </is>
      </c>
      <c r="D74" t="inlineStr">
        <is>
          <t xml:space="preserve">Nested commodity parameters are expanded for auditability.</t>
        </is>
      </c>
    </row>
    <row r="75">
      <c r="A75" t="inlineStr">
        <is>
          <t xml:space="preserve">commodity_parameters.silver.long_score_rate_scale</t>
        </is>
      </c>
      <c r="B75" s="4" t="inlineStr">
        <is>
          <t xml:space="preserve">1</t>
        </is>
      </c>
      <c r="C75" t="inlineStr">
        <is>
          <t xml:space="preserve">Exact completed-run input</t>
        </is>
      </c>
      <c r="D75" t="inlineStr">
        <is>
          <t xml:space="preserve">Nested commodity parameters are expanded for auditability.</t>
        </is>
      </c>
    </row>
    <row r="76">
      <c r="A76" t="inlineStr">
        <is>
          <t xml:space="preserve">commodity_parameters.silver.long_score_adjustment_clip</t>
        </is>
      </c>
      <c r="B76" s="4" t="inlineStr">
        <is>
          <t xml:space="preserve">3</t>
        </is>
      </c>
      <c r="C76" t="inlineStr">
        <is>
          <t xml:space="preserve">Exact completed-run input</t>
        </is>
      </c>
      <c r="D76" t="inlineStr">
        <is>
          <t xml:space="preserve">Nested commodity parameters are expanded for auditability.</t>
        </is>
      </c>
    </row>
    <row r="77">
      <c r="A77" t="inlineStr">
        <is>
          <t xml:space="preserve">commodity_parameters.silver.positive_entry_rate</t>
        </is>
      </c>
      <c r="B77" s="4" t="inlineStr">
        <is>
          <t xml:space="preserve">0</t>
        </is>
      </c>
      <c r="C77" t="inlineStr">
        <is>
          <t xml:space="preserve">Exact completed-run input</t>
        </is>
      </c>
      <c r="D77" t="inlineStr">
        <is>
          <t xml:space="preserve">Nested commodity parameters are expanded for auditability.</t>
        </is>
      </c>
    </row>
    <row r="78">
      <c r="A78" t="inlineStr">
        <is>
          <t xml:space="preserve">commodity_parameters.silver.positive_full_rate</t>
        </is>
      </c>
      <c r="B78" s="4" t="inlineStr">
        <is>
          <t xml:space="preserve">15</t>
        </is>
      </c>
      <c r="C78" t="inlineStr">
        <is>
          <t xml:space="preserve">Exact completed-run input</t>
        </is>
      </c>
      <c r="D78" t="inlineStr">
        <is>
          <t xml:space="preserve">Nested commodity parameters are expanded for auditability.</t>
        </is>
      </c>
    </row>
    <row r="79">
      <c r="A79" t="inlineStr">
        <is>
          <t xml:space="preserve">commodity_parameters.silver.max_futures_treasury_fraction</t>
        </is>
      </c>
      <c r="B79" s="4" t="inlineStr">
        <is>
          <t xml:space="preserve">100</t>
        </is>
      </c>
      <c r="C79" t="inlineStr">
        <is>
          <t xml:space="preserve">Exact completed-run input</t>
        </is>
      </c>
      <c r="D79" t="inlineStr">
        <is>
          <t xml:space="preserve">Nested commodity parameters are expanded for auditability.</t>
        </is>
      </c>
    </row>
    <row r="80">
      <c r="A80" t="inlineStr">
        <is>
          <t xml:space="preserve">commodity_parameters.silver.enable_short_book</t>
        </is>
      </c>
      <c r="B80" s="4" t="inlineStr">
        <is>
          <t xml:space="preserve">false</t>
        </is>
      </c>
      <c r="C80" t="inlineStr">
        <is>
          <t xml:space="preserve">Exact completed-run input</t>
        </is>
      </c>
      <c r="D80" t="inlineStr">
        <is>
          <t xml:space="preserve">Nested commodity parameters are expanded for auditability.</t>
        </is>
      </c>
    </row>
    <row r="81">
      <c r="A81" t="inlineStr">
        <is>
          <t xml:space="preserve">commodity_parameters.silver.short_futures_entry_mode</t>
        </is>
      </c>
      <c r="B81" s="4" t="inlineStr">
        <is>
          <t xml:space="preserve">fixed</t>
        </is>
      </c>
      <c r="C81" t="inlineStr">
        <is>
          <t xml:space="preserve">Exact completed-run input</t>
        </is>
      </c>
      <c r="D81" t="inlineStr">
        <is>
          <t xml:space="preserve">Nested commodity parameters are expanded for auditability.</t>
        </is>
      </c>
    </row>
    <row r="82">
      <c r="A82" t="inlineStr">
        <is>
          <t xml:space="preserve">commodity_parameters.silver.short_contract_selection</t>
        </is>
      </c>
      <c r="B82" s="4" t="inlineStr">
        <is>
          <t xml:space="preserve">weighted_lease_rate</t>
        </is>
      </c>
      <c r="C82" t="inlineStr">
        <is>
          <t xml:space="preserve">Exact completed-run input</t>
        </is>
      </c>
      <c r="D82" t="inlineStr">
        <is>
          <t xml:space="preserve">Nested commodity parameters are expanded for auditability.</t>
        </is>
      </c>
    </row>
    <row r="83">
      <c r="A83" t="inlineStr">
        <is>
          <t xml:space="preserve">commodity_parameters.silver.short_line_maturity_1</t>
        </is>
      </c>
      <c r="B83" s="4" t="inlineStr">
        <is>
          <t xml:space="preserve">30</t>
        </is>
      </c>
      <c r="C83" t="inlineStr">
        <is>
          <t xml:space="preserve">Exact completed-run input</t>
        </is>
      </c>
      <c r="D83" t="inlineStr">
        <is>
          <t xml:space="preserve">Nested commodity parameters are expanded for auditability.</t>
        </is>
      </c>
    </row>
    <row r="84">
      <c r="A84" t="inlineStr">
        <is>
          <t xml:space="preserve">commodity_parameters.silver.short_line_rate_1</t>
        </is>
      </c>
      <c r="B84" s="4" t="inlineStr">
        <is>
          <t xml:space="preserve">0.033</t>
        </is>
      </c>
      <c r="C84" t="inlineStr">
        <is>
          <t xml:space="preserve">Exact completed-run input</t>
        </is>
      </c>
      <c r="D84" t="inlineStr">
        <is>
          <t xml:space="preserve">Nested commodity parameters are expanded for auditability.</t>
        </is>
      </c>
    </row>
    <row r="85">
      <c r="A85" t="inlineStr">
        <is>
          <t xml:space="preserve">commodity_parameters.silver.short_line_maturity_2</t>
        </is>
      </c>
      <c r="B85" s="4" t="inlineStr">
        <is>
          <t xml:space="preserve">365</t>
        </is>
      </c>
      <c r="C85" t="inlineStr">
        <is>
          <t xml:space="preserve">Exact completed-run input</t>
        </is>
      </c>
      <c r="D85" t="inlineStr">
        <is>
          <t xml:space="preserve">Nested commodity parameters are expanded for auditability.</t>
        </is>
      </c>
    </row>
    <row r="86">
      <c r="A86" t="inlineStr">
        <is>
          <t xml:space="preserve">commodity_parameters.silver.short_line_rate_2</t>
        </is>
      </c>
      <c r="B86" s="4" t="inlineStr">
        <is>
          <t xml:space="preserve">0.4</t>
        </is>
      </c>
      <c r="C86" t="inlineStr">
        <is>
          <t xml:space="preserve">Exact completed-run input</t>
        </is>
      </c>
      <c r="D86" t="inlineStr">
        <is>
          <t xml:space="preserve">Nested commodity parameters are expanded for auditability.</t>
        </is>
      </c>
    </row>
    <row r="87">
      <c r="A87" t="inlineStr">
        <is>
          <t xml:space="preserve">commodity_parameters.silver.short_relative_strength</t>
        </is>
      </c>
      <c r="B87" s="4" t="inlineStr">
        <is>
          <t xml:space="preserve">1</t>
        </is>
      </c>
      <c r="C87" t="inlineStr">
        <is>
          <t xml:space="preserve">Exact completed-run input</t>
        </is>
      </c>
      <c r="D87" t="inlineStr">
        <is>
          <t xml:space="preserve">Nested commodity parameters are expanded for auditability.</t>
        </is>
      </c>
    </row>
    <row r="88">
      <c r="A88" t="inlineStr">
        <is>
          <t xml:space="preserve">commodity_parameters.silver.short_pure_maturity_strength</t>
        </is>
      </c>
      <c r="B88" s="4" t="inlineStr">
        <is>
          <t xml:space="preserve">0</t>
        </is>
      </c>
      <c r="C88" t="inlineStr">
        <is>
          <t xml:space="preserve">Exact completed-run input</t>
        </is>
      </c>
      <c r="D88" t="inlineStr">
        <is>
          <t xml:space="preserve">Nested commodity parameters are expanded for auditability.</t>
        </is>
      </c>
    </row>
    <row r="89">
      <c r="A89" t="inlineStr">
        <is>
          <t xml:space="preserve">commodity_parameters.silver.short_pure_maturity_scale_days</t>
        </is>
      </c>
      <c r="B89" s="4" t="inlineStr">
        <is>
          <t xml:space="preserve">365</t>
        </is>
      </c>
      <c r="C89" t="inlineStr">
        <is>
          <t xml:space="preserve">Exact completed-run input</t>
        </is>
      </c>
      <c r="D89" t="inlineStr">
        <is>
          <t xml:space="preserve">Nested commodity parameters are expanded for auditability.</t>
        </is>
      </c>
    </row>
    <row r="90">
      <c r="A90" t="inlineStr">
        <is>
          <t xml:space="preserve">commodity_parameters.silver.short_pure_maturity_clip</t>
        </is>
      </c>
      <c r="B90" s="4" t="inlineStr">
        <is>
          <t xml:space="preserve">3</t>
        </is>
      </c>
      <c r="C90" t="inlineStr">
        <is>
          <t xml:space="preserve">Exact completed-run input</t>
        </is>
      </c>
      <c r="D90" t="inlineStr">
        <is>
          <t xml:space="preserve">Nested commodity parameters are expanded for auditability.</t>
        </is>
      </c>
    </row>
    <row r="91">
      <c r="A91" t="inlineStr">
        <is>
          <t xml:space="preserve">commodity_parameters.silver.short_score_rate_scale</t>
        </is>
      </c>
      <c r="B91" s="4" t="inlineStr">
        <is>
          <t xml:space="preserve">1</t>
        </is>
      </c>
      <c r="C91" t="inlineStr">
        <is>
          <t xml:space="preserve">Exact completed-run input</t>
        </is>
      </c>
      <c r="D91" t="inlineStr">
        <is>
          <t xml:space="preserve">Nested commodity parameters are expanded for auditability.</t>
        </is>
      </c>
    </row>
    <row r="92">
      <c r="A92" t="inlineStr">
        <is>
          <t xml:space="preserve">commodity_parameters.silver.short_score_adjustment_clip</t>
        </is>
      </c>
      <c r="B92" s="4" t="inlineStr">
        <is>
          <t xml:space="preserve">3</t>
        </is>
      </c>
      <c r="C92" t="inlineStr">
        <is>
          <t xml:space="preserve">Exact completed-run input</t>
        </is>
      </c>
      <c r="D92" t="inlineStr">
        <is>
          <t xml:space="preserve">Nested commodity parameters are expanded for auditability.</t>
        </is>
      </c>
    </row>
    <row r="93">
      <c r="A93" t="inlineStr">
        <is>
          <t xml:space="preserve">commodity_parameters.silver.negative_short_start_rate</t>
        </is>
      </c>
      <c r="B93" s="4" t="inlineStr">
        <is>
          <t xml:space="preserve">-0.5</t>
        </is>
      </c>
      <c r="C93" t="inlineStr">
        <is>
          <t xml:space="preserve">Exact completed-run input</t>
        </is>
      </c>
      <c r="D93" t="inlineStr">
        <is>
          <t xml:space="preserve">Nested commodity parameters are expanded for auditability.</t>
        </is>
      </c>
    </row>
    <row r="94">
      <c r="A94" t="inlineStr">
        <is>
          <t xml:space="preserve">commodity_parameters.silver.negative_short_full_rate</t>
        </is>
      </c>
      <c r="B94" s="4" t="inlineStr">
        <is>
          <t xml:space="preserve">-15</t>
        </is>
      </c>
      <c r="C94" t="inlineStr">
        <is>
          <t xml:space="preserve">Exact completed-run input</t>
        </is>
      </c>
      <c r="D94" t="inlineStr">
        <is>
          <t xml:space="preserve">Nested commodity parameters are expanded for auditability.</t>
        </is>
      </c>
    </row>
    <row r="95">
      <c r="A95" t="inlineStr">
        <is>
          <t xml:space="preserve">commodity_parameters.silver.max_short_fraction_of_long_leg</t>
        </is>
      </c>
      <c r="B95" s="4" t="inlineStr">
        <is>
          <t xml:space="preserve">50</t>
        </is>
      </c>
      <c r="C95" t="inlineStr">
        <is>
          <t xml:space="preserve">Exact completed-run input</t>
        </is>
      </c>
      <c r="D95" t="inlineStr">
        <is>
          <t xml:space="preserve">Nested commodity parameters are expanded for auditability.</t>
        </is>
      </c>
    </row>
    <row r="96">
      <c r="A96" t="inlineStr">
        <is>
          <t xml:space="preserve">commodity_parameters.gold.min_days</t>
        </is>
      </c>
      <c r="B96" s="4" t="inlineStr">
        <is>
          <t xml:space="preserve">60</t>
        </is>
      </c>
      <c r="C96" t="inlineStr">
        <is>
          <t xml:space="preserve">Exact completed-run input</t>
        </is>
      </c>
      <c r="D96" t="inlineStr">
        <is>
          <t xml:space="preserve">Nested commodity parameters are expanded for auditability.</t>
        </is>
      </c>
    </row>
    <row r="97">
      <c r="A97" t="inlineStr">
        <is>
          <t xml:space="preserve">commodity_parameters.gold.roll_only_if_better</t>
        </is>
      </c>
      <c r="B97" s="4" t="inlineStr">
        <is>
          <t xml:space="preserve">true</t>
        </is>
      </c>
      <c r="C97" t="inlineStr">
        <is>
          <t xml:space="preserve">Exact completed-run input</t>
        </is>
      </c>
      <c r="D97" t="inlineStr">
        <is>
          <t xml:space="preserve">Nested commodity parameters are expanded for auditability.</t>
        </is>
      </c>
    </row>
    <row r="98">
      <c r="A98" t="inlineStr">
        <is>
          <t xml:space="preserve">commodity_parameters.gold.force_roll_at_min_days</t>
        </is>
      </c>
      <c r="B98" s="4" t="inlineStr">
        <is>
          <t xml:space="preserve">true</t>
        </is>
      </c>
      <c r="C98" t="inlineStr">
        <is>
          <t xml:space="preserve">Exact completed-run input</t>
        </is>
      </c>
      <c r="D98" t="inlineStr">
        <is>
          <t xml:space="preserve">Nested commodity parameters are expanded for auditability.</t>
        </is>
      </c>
    </row>
    <row r="99">
      <c r="A99" t="inlineStr">
        <is>
          <t xml:space="preserve">commodity_parameters.gold.long_allocation_half_life_days</t>
        </is>
      </c>
      <c r="B99" s="4" t="inlineStr">
        <is>
          <t xml:space="preserve">2</t>
        </is>
      </c>
      <c r="C99" t="inlineStr">
        <is>
          <t xml:space="preserve">Exact completed-run input</t>
        </is>
      </c>
      <c r="D99" t="inlineStr">
        <is>
          <t xml:space="preserve">Nested commodity parameters are expanded for auditability.</t>
        </is>
      </c>
    </row>
    <row r="100">
      <c r="A100" t="inlineStr">
        <is>
          <t xml:space="preserve">commodity_parameters.gold.short_allocation_half_life_days</t>
        </is>
      </c>
      <c r="B100" s="4" t="inlineStr">
        <is>
          <t xml:space="preserve">0</t>
        </is>
      </c>
      <c r="C100" t="inlineStr">
        <is>
          <t xml:space="preserve">Exact completed-run input</t>
        </is>
      </c>
      <c r="D100" t="inlineStr">
        <is>
          <t xml:space="preserve">Nested commodity parameters are expanded for auditability.</t>
        </is>
      </c>
    </row>
    <row r="101">
      <c r="A101" t="inlineStr">
        <is>
          <t xml:space="preserve">commodity_parameters.gold.enable_slv_leg</t>
        </is>
      </c>
      <c r="B101" s="4" t="inlineStr">
        <is>
          <t xml:space="preserve">true</t>
        </is>
      </c>
      <c r="C101" t="inlineStr">
        <is>
          <t xml:space="preserve">Exact completed-run input</t>
        </is>
      </c>
      <c r="D101" t="inlineStr">
        <is>
          <t xml:space="preserve">Nested commodity parameters are expanded for auditability.</t>
        </is>
      </c>
    </row>
    <row r="102">
      <c r="A102" t="inlineStr">
        <is>
          <t xml:space="preserve">commodity_parameters.gold.slv_expense</t>
        </is>
      </c>
      <c r="B102" s="4" t="inlineStr">
        <is>
          <t xml:space="preserve">0.2</t>
        </is>
      </c>
      <c r="C102" t="inlineStr">
        <is>
          <t xml:space="preserve">Exact completed-run input</t>
        </is>
      </c>
      <c r="D102" t="inlineStr">
        <is>
          <t xml:space="preserve">Nested commodity parameters are expanded for auditability.</t>
        </is>
      </c>
    </row>
    <row r="103">
      <c r="A103" t="inlineStr">
        <is>
          <t xml:space="preserve">commodity_parameters.gold.enable_cash_long_futures_leg</t>
        </is>
      </c>
      <c r="B103" s="4" t="inlineStr">
        <is>
          <t xml:space="preserve">true</t>
        </is>
      </c>
      <c r="C103" t="inlineStr">
        <is>
          <t xml:space="preserve">Exact completed-run input</t>
        </is>
      </c>
      <c r="D103" t="inlineStr">
        <is>
          <t xml:space="preserve">Nested commodity parameters are expanded for auditability.</t>
        </is>
      </c>
    </row>
    <row r="104">
      <c r="A104" t="inlineStr">
        <is>
          <t xml:space="preserve">commodity_parameters.gold.long_futures_entry_mode</t>
        </is>
      </c>
      <c r="B104" s="4" t="inlineStr">
        <is>
          <t xml:space="preserve">gradual</t>
        </is>
      </c>
      <c r="C104" t="inlineStr">
        <is>
          <t xml:space="preserve">Exact completed-run input</t>
        </is>
      </c>
      <c r="D104" t="inlineStr">
        <is>
          <t xml:space="preserve">Nested commodity parameters are expanded for auditability.</t>
        </is>
      </c>
    </row>
    <row r="105">
      <c r="A105" t="inlineStr">
        <is>
          <t xml:space="preserve">commodity_parameters.gold.long_contract_selection</t>
        </is>
      </c>
      <c r="B105" s="4" t="inlineStr">
        <is>
          <t xml:space="preserve">weighted_lease_rate</t>
        </is>
      </c>
      <c r="C105" t="inlineStr">
        <is>
          <t xml:space="preserve">Exact completed-run input</t>
        </is>
      </c>
      <c r="D105" t="inlineStr">
        <is>
          <t xml:space="preserve">Nested commodity parameters are expanded for auditability.</t>
        </is>
      </c>
    </row>
    <row r="106">
      <c r="A106" t="inlineStr">
        <is>
          <t xml:space="preserve">commodity_parameters.gold.long_line_maturity_1</t>
        </is>
      </c>
      <c r="B106" s="4" t="inlineStr">
        <is>
          <t xml:space="preserve">30</t>
        </is>
      </c>
      <c r="C106" t="inlineStr">
        <is>
          <t xml:space="preserve">Exact completed-run input</t>
        </is>
      </c>
      <c r="D106" t="inlineStr">
        <is>
          <t xml:space="preserve">Nested commodity parameters are expanded for auditability.</t>
        </is>
      </c>
    </row>
    <row r="107">
      <c r="A107" t="inlineStr">
        <is>
          <t xml:space="preserve">commodity_parameters.gold.long_line_rate_1</t>
        </is>
      </c>
      <c r="B107" s="4" t="inlineStr">
        <is>
          <t xml:space="preserve">0</t>
        </is>
      </c>
      <c r="C107" t="inlineStr">
        <is>
          <t xml:space="preserve">Exact completed-run input</t>
        </is>
      </c>
      <c r="D107" t="inlineStr">
        <is>
          <t xml:space="preserve">Nested commodity parameters are expanded for auditability.</t>
        </is>
      </c>
    </row>
    <row r="108">
      <c r="A108" t="inlineStr">
        <is>
          <t xml:space="preserve">commodity_parameters.gold.long_line_maturity_2</t>
        </is>
      </c>
      <c r="B108" s="4" t="inlineStr">
        <is>
          <t xml:space="preserve">350</t>
        </is>
      </c>
      <c r="C108" t="inlineStr">
        <is>
          <t xml:space="preserve">Exact completed-run input</t>
        </is>
      </c>
      <c r="D108" t="inlineStr">
        <is>
          <t xml:space="preserve">Nested commodity parameters are expanded for auditability.</t>
        </is>
      </c>
    </row>
    <row r="109">
      <c r="A109" t="inlineStr">
        <is>
          <t xml:space="preserve">commodity_parameters.gold.long_line_rate_2</t>
        </is>
      </c>
      <c r="B109" s="4" t="inlineStr">
        <is>
          <t xml:space="preserve">2</t>
        </is>
      </c>
      <c r="C109" t="inlineStr">
        <is>
          <t xml:space="preserve">Exact completed-run input</t>
        </is>
      </c>
      <c r="D109" t="inlineStr">
        <is>
          <t xml:space="preserve">Nested commodity parameters are expanded for auditability.</t>
        </is>
      </c>
    </row>
    <row r="110">
      <c r="A110" t="inlineStr">
        <is>
          <t xml:space="preserve">commodity_parameters.gold.long_relative_strength</t>
        </is>
      </c>
      <c r="B110" s="4" t="inlineStr">
        <is>
          <t xml:space="preserve">1</t>
        </is>
      </c>
      <c r="C110" t="inlineStr">
        <is>
          <t xml:space="preserve">Exact completed-run input</t>
        </is>
      </c>
      <c r="D110" t="inlineStr">
        <is>
          <t xml:space="preserve">Nested commodity parameters are expanded for auditability.</t>
        </is>
      </c>
    </row>
    <row r="111">
      <c r="A111" t="inlineStr">
        <is>
          <t xml:space="preserve">commodity_parameters.gold.long_pure_maturity_strength</t>
        </is>
      </c>
      <c r="B111" s="4" t="inlineStr">
        <is>
          <t xml:space="preserve">0.5</t>
        </is>
      </c>
      <c r="C111" t="inlineStr">
        <is>
          <t xml:space="preserve">Exact completed-run input</t>
        </is>
      </c>
      <c r="D111" t="inlineStr">
        <is>
          <t xml:space="preserve">Nested commodity parameters are expanded for auditability.</t>
        </is>
      </c>
    </row>
    <row r="112">
      <c r="A112" t="inlineStr">
        <is>
          <t xml:space="preserve">commodity_parameters.gold.pure_maturity_scale_days</t>
        </is>
      </c>
      <c r="B112" s="4" t="inlineStr">
        <is>
          <t xml:space="preserve">365</t>
        </is>
      </c>
      <c r="C112" t="inlineStr">
        <is>
          <t xml:space="preserve">Exact completed-run input</t>
        </is>
      </c>
      <c r="D112" t="inlineStr">
        <is>
          <t xml:space="preserve">Nested commodity parameters are expanded for auditability.</t>
        </is>
      </c>
    </row>
    <row r="113">
      <c r="A113" t="inlineStr">
        <is>
          <t xml:space="preserve">commodity_parameters.gold.pure_maturity_clip</t>
        </is>
      </c>
      <c r="B113" s="4" t="inlineStr">
        <is>
          <t xml:space="preserve">3</t>
        </is>
      </c>
      <c r="C113" t="inlineStr">
        <is>
          <t xml:space="preserve">Exact completed-run input</t>
        </is>
      </c>
      <c r="D113" t="inlineStr">
        <is>
          <t xml:space="preserve">Nested commodity parameters are expanded for auditability.</t>
        </is>
      </c>
    </row>
    <row r="114">
      <c r="A114" t="inlineStr">
        <is>
          <t xml:space="preserve">commodity_parameters.gold.long_score_rate_scale</t>
        </is>
      </c>
      <c r="B114" s="4" t="inlineStr">
        <is>
          <t xml:space="preserve">1</t>
        </is>
      </c>
      <c r="C114" t="inlineStr">
        <is>
          <t xml:space="preserve">Exact completed-run input</t>
        </is>
      </c>
      <c r="D114" t="inlineStr">
        <is>
          <t xml:space="preserve">Nested commodity parameters are expanded for auditability.</t>
        </is>
      </c>
    </row>
    <row r="115">
      <c r="A115" t="inlineStr">
        <is>
          <t xml:space="preserve">commodity_parameters.gold.long_score_adjustment_clip</t>
        </is>
      </c>
      <c r="B115" s="4" t="inlineStr">
        <is>
          <t xml:space="preserve">3</t>
        </is>
      </c>
      <c r="C115" t="inlineStr">
        <is>
          <t xml:space="preserve">Exact completed-run input</t>
        </is>
      </c>
      <c r="D115" t="inlineStr">
        <is>
          <t xml:space="preserve">Nested commodity parameters are expanded for auditability.</t>
        </is>
      </c>
    </row>
    <row r="116">
      <c r="A116" t="inlineStr">
        <is>
          <t xml:space="preserve">commodity_parameters.gold.positive_entry_rate</t>
        </is>
      </c>
      <c r="B116" s="4" t="inlineStr">
        <is>
          <t xml:space="preserve">1</t>
        </is>
      </c>
      <c r="C116" t="inlineStr">
        <is>
          <t xml:space="preserve">Exact completed-run input</t>
        </is>
      </c>
      <c r="D116" t="inlineStr">
        <is>
          <t xml:space="preserve">Nested commodity parameters are expanded for auditability.</t>
        </is>
      </c>
    </row>
    <row r="117">
      <c r="A117" t="inlineStr">
        <is>
          <t xml:space="preserve">commodity_parameters.gold.positive_full_rate</t>
        </is>
      </c>
      <c r="B117" s="4" t="inlineStr">
        <is>
          <t xml:space="preserve">5</t>
        </is>
      </c>
      <c r="C117" t="inlineStr">
        <is>
          <t xml:space="preserve">Exact completed-run input</t>
        </is>
      </c>
      <c r="D117" t="inlineStr">
        <is>
          <t xml:space="preserve">Nested commodity parameters are expanded for auditability.</t>
        </is>
      </c>
    </row>
    <row r="118">
      <c r="A118" t="inlineStr">
        <is>
          <t xml:space="preserve">commodity_parameters.gold.max_futures_treasury_fraction</t>
        </is>
      </c>
      <c r="B118" s="4" t="inlineStr">
        <is>
          <t xml:space="preserve">70</t>
        </is>
      </c>
      <c r="C118" t="inlineStr">
        <is>
          <t xml:space="preserve">Exact completed-run input</t>
        </is>
      </c>
      <c r="D118" t="inlineStr">
        <is>
          <t xml:space="preserve">Nested commodity parameters are expanded for auditability.</t>
        </is>
      </c>
    </row>
    <row r="119">
      <c r="A119" t="inlineStr">
        <is>
          <t xml:space="preserve">commodity_parameters.gold.enable_short_book</t>
        </is>
      </c>
      <c r="B119" s="4" t="inlineStr">
        <is>
          <t xml:space="preserve">true</t>
        </is>
      </c>
      <c r="C119" t="inlineStr">
        <is>
          <t xml:space="preserve">Exact completed-run input</t>
        </is>
      </c>
      <c r="D119" t="inlineStr">
        <is>
          <t xml:space="preserve">Nested commodity parameters are expanded for auditability.</t>
        </is>
      </c>
    </row>
    <row r="120">
      <c r="A120" t="inlineStr">
        <is>
          <t xml:space="preserve">commodity_parameters.gold.short_futures_entry_mode</t>
        </is>
      </c>
      <c r="B120" s="4" t="inlineStr">
        <is>
          <t xml:space="preserve">gradual</t>
        </is>
      </c>
      <c r="C120" t="inlineStr">
        <is>
          <t xml:space="preserve">Exact completed-run input</t>
        </is>
      </c>
      <c r="D120" t="inlineStr">
        <is>
          <t xml:space="preserve">Nested commodity parameters are expanded for auditability.</t>
        </is>
      </c>
    </row>
    <row r="121">
      <c r="A121" t="inlineStr">
        <is>
          <t xml:space="preserve">commodity_parameters.gold.short_contract_selection</t>
        </is>
      </c>
      <c r="B121" s="4" t="inlineStr">
        <is>
          <t xml:space="preserve">weighted_lease_rate</t>
        </is>
      </c>
      <c r="C121" t="inlineStr">
        <is>
          <t xml:space="preserve">Exact completed-run input</t>
        </is>
      </c>
      <c r="D121" t="inlineStr">
        <is>
          <t xml:space="preserve">Nested commodity parameters are expanded for auditability.</t>
        </is>
      </c>
    </row>
    <row r="122">
      <c r="A122" t="inlineStr">
        <is>
          <t xml:space="preserve">commodity_parameters.gold.short_line_maturity_1</t>
        </is>
      </c>
      <c r="B122" s="4" t="inlineStr">
        <is>
          <t xml:space="preserve">30</t>
        </is>
      </c>
      <c r="C122" t="inlineStr">
        <is>
          <t xml:space="preserve">Exact completed-run input</t>
        </is>
      </c>
      <c r="D122" t="inlineStr">
        <is>
          <t xml:space="preserve">Nested commodity parameters are expanded for auditability.</t>
        </is>
      </c>
    </row>
    <row r="123">
      <c r="A123" t="inlineStr">
        <is>
          <t xml:space="preserve">commodity_parameters.gold.short_line_rate_1</t>
        </is>
      </c>
      <c r="B123" s="4" t="inlineStr">
        <is>
          <t xml:space="preserve">0.075</t>
        </is>
      </c>
      <c r="C123" t="inlineStr">
        <is>
          <t xml:space="preserve">Exact completed-run input</t>
        </is>
      </c>
      <c r="D123" t="inlineStr">
        <is>
          <t xml:space="preserve">Nested commodity parameters are expanded for auditability.</t>
        </is>
      </c>
    </row>
    <row r="124">
      <c r="A124" t="inlineStr">
        <is>
          <t xml:space="preserve">commodity_parameters.gold.short_line_maturity_2</t>
        </is>
      </c>
      <c r="B124" s="4" t="inlineStr">
        <is>
          <t xml:space="preserve">365</t>
        </is>
      </c>
      <c r="C124" t="inlineStr">
        <is>
          <t xml:space="preserve">Exact completed-run input</t>
        </is>
      </c>
      <c r="D124" t="inlineStr">
        <is>
          <t xml:space="preserve">Nested commodity parameters are expanded for auditability.</t>
        </is>
      </c>
    </row>
    <row r="125">
      <c r="A125" t="inlineStr">
        <is>
          <t xml:space="preserve">commodity_parameters.gold.short_line_rate_2</t>
        </is>
      </c>
      <c r="B125" s="4" t="inlineStr">
        <is>
          <t xml:space="preserve">0.4</t>
        </is>
      </c>
      <c r="C125" t="inlineStr">
        <is>
          <t xml:space="preserve">Exact completed-run input</t>
        </is>
      </c>
      <c r="D125" t="inlineStr">
        <is>
          <t xml:space="preserve">Nested commodity parameters are expanded for auditability.</t>
        </is>
      </c>
    </row>
    <row r="126">
      <c r="A126" t="inlineStr">
        <is>
          <t xml:space="preserve">commodity_parameters.gold.short_relative_strength</t>
        </is>
      </c>
      <c r="B126" s="4" t="inlineStr">
        <is>
          <t xml:space="preserve">1</t>
        </is>
      </c>
      <c r="C126" t="inlineStr">
        <is>
          <t xml:space="preserve">Exact completed-run input</t>
        </is>
      </c>
      <c r="D126" t="inlineStr">
        <is>
          <t xml:space="preserve">Nested commodity parameters are expanded for auditability.</t>
        </is>
      </c>
    </row>
    <row r="127">
      <c r="A127" t="inlineStr">
        <is>
          <t xml:space="preserve">commodity_parameters.gold.short_pure_maturity_strength</t>
        </is>
      </c>
      <c r="B127" s="4" t="inlineStr">
        <is>
          <t xml:space="preserve">1</t>
        </is>
      </c>
      <c r="C127" t="inlineStr">
        <is>
          <t xml:space="preserve">Exact completed-run input</t>
        </is>
      </c>
      <c r="D127" t="inlineStr">
        <is>
          <t xml:space="preserve">Nested commodity parameters are expanded for auditability.</t>
        </is>
      </c>
    </row>
    <row r="128">
      <c r="A128" t="inlineStr">
        <is>
          <t xml:space="preserve">commodity_parameters.gold.short_score_rate_scale</t>
        </is>
      </c>
      <c r="B128" s="4" t="inlineStr">
        <is>
          <t xml:space="preserve">1</t>
        </is>
      </c>
      <c r="C128" t="inlineStr">
        <is>
          <t xml:space="preserve">Exact completed-run input</t>
        </is>
      </c>
      <c r="D128" t="inlineStr">
        <is>
          <t xml:space="preserve">Nested commodity parameters are expanded for auditability.</t>
        </is>
      </c>
    </row>
    <row r="129">
      <c r="A129" t="inlineStr">
        <is>
          <t xml:space="preserve">commodity_parameters.gold.short_score_adjustment_clip</t>
        </is>
      </c>
      <c r="B129" s="4" t="inlineStr">
        <is>
          <t xml:space="preserve">3</t>
        </is>
      </c>
      <c r="C129" t="inlineStr">
        <is>
          <t xml:space="preserve">Exact completed-run input</t>
        </is>
      </c>
      <c r="D129" t="inlineStr">
        <is>
          <t xml:space="preserve">Nested commodity parameters are expanded for auditability.</t>
        </is>
      </c>
    </row>
    <row r="130">
      <c r="A130" t="inlineStr">
        <is>
          <t xml:space="preserve">commodity_parameters.gold.negative_short_start_rate</t>
        </is>
      </c>
      <c r="B130" s="4" t="inlineStr">
        <is>
          <t xml:space="preserve">-0.5</t>
        </is>
      </c>
      <c r="C130" t="inlineStr">
        <is>
          <t xml:space="preserve">Exact completed-run input</t>
        </is>
      </c>
      <c r="D130" t="inlineStr">
        <is>
          <t xml:space="preserve">Nested commodity parameters are expanded for auditability.</t>
        </is>
      </c>
    </row>
    <row r="131">
      <c r="A131" t="inlineStr">
        <is>
          <t xml:space="preserve">commodity_parameters.gold.negative_short_full_rate</t>
        </is>
      </c>
      <c r="B131" s="4" t="inlineStr">
        <is>
          <t xml:space="preserve">-15</t>
        </is>
      </c>
      <c r="C131" t="inlineStr">
        <is>
          <t xml:space="preserve">Exact completed-run input</t>
        </is>
      </c>
      <c r="D131" t="inlineStr">
        <is>
          <t xml:space="preserve">Nested commodity parameters are expanded for auditability.</t>
        </is>
      </c>
    </row>
    <row r="132">
      <c r="A132" t="inlineStr">
        <is>
          <t xml:space="preserve">commodity_parameters.gold.max_short_fraction_of_long_leg</t>
        </is>
      </c>
      <c r="B132" s="4" t="inlineStr">
        <is>
          <t xml:space="preserve">50</t>
        </is>
      </c>
      <c r="C132" t="inlineStr">
        <is>
          <t xml:space="preserve">Exact completed-run input</t>
        </is>
      </c>
      <c r="D132" t="inlineStr">
        <is>
          <t xml:space="preserve">Nested commodity parameters are expanded for auditability.</t>
        </is>
      </c>
    </row>
    <row r="133">
      <c r="A133" t="inlineStr">
        <is>
          <t xml:space="preserve">commodity_parameters.sp500.min_days</t>
        </is>
      </c>
      <c r="B133" s="4" t="inlineStr">
        <is>
          <t xml:space="preserve">10</t>
        </is>
      </c>
      <c r="C133" t="inlineStr">
        <is>
          <t xml:space="preserve">Exact completed-run input</t>
        </is>
      </c>
      <c r="D133" t="inlineStr">
        <is>
          <t xml:space="preserve">Nested commodity parameters are expanded for auditability.</t>
        </is>
      </c>
    </row>
    <row r="134">
      <c r="A134" t="inlineStr">
        <is>
          <t xml:space="preserve">commodity_parameters.sp500.roll_only_if_better</t>
        </is>
      </c>
      <c r="B134" s="4" t="inlineStr">
        <is>
          <t xml:space="preserve">true</t>
        </is>
      </c>
      <c r="C134" t="inlineStr">
        <is>
          <t xml:space="preserve">Exact completed-run input</t>
        </is>
      </c>
      <c r="D134" t="inlineStr">
        <is>
          <t xml:space="preserve">Nested commodity parameters are expanded for auditability.</t>
        </is>
      </c>
    </row>
    <row r="135">
      <c r="A135" t="inlineStr">
        <is>
          <t xml:space="preserve">commodity_parameters.sp500.force_roll_at_min_days</t>
        </is>
      </c>
      <c r="B135" s="4" t="inlineStr">
        <is>
          <t xml:space="preserve">true</t>
        </is>
      </c>
      <c r="C135" t="inlineStr">
        <is>
          <t xml:space="preserve">Exact completed-run input</t>
        </is>
      </c>
      <c r="D135" t="inlineStr">
        <is>
          <t xml:space="preserve">Nested commodity parameters are expanded for auditability.</t>
        </is>
      </c>
    </row>
    <row r="136">
      <c r="A136" t="inlineStr">
        <is>
          <t xml:space="preserve">commodity_parameters.sp500.enable_slv_leg</t>
        </is>
      </c>
      <c r="B136" s="4" t="inlineStr">
        <is>
          <t xml:space="preserve">false</t>
        </is>
      </c>
      <c r="C136" t="inlineStr">
        <is>
          <t xml:space="preserve">Exact completed-run input</t>
        </is>
      </c>
      <c r="D136" t="inlineStr">
        <is>
          <t xml:space="preserve">Nested commodity parameters are expanded for auditability.</t>
        </is>
      </c>
    </row>
    <row r="137">
      <c r="A137" t="inlineStr">
        <is>
          <t xml:space="preserve">commodity_parameters.sp500.slv_expense</t>
        </is>
      </c>
      <c r="B137" s="4" t="inlineStr">
        <is>
          <t xml:space="preserve">0.5</t>
        </is>
      </c>
      <c r="C137" t="inlineStr">
        <is>
          <t xml:space="preserve">Exact completed-run input</t>
        </is>
      </c>
      <c r="D137" t="inlineStr">
        <is>
          <t xml:space="preserve">Nested commodity parameters are expanded for auditability.</t>
        </is>
      </c>
    </row>
    <row r="138">
      <c r="A138" t="inlineStr">
        <is>
          <t xml:space="preserve">commodity_parameters.sp500.enable_cash_long_futures_leg</t>
        </is>
      </c>
      <c r="B138" s="4" t="inlineStr">
        <is>
          <t xml:space="preserve">true</t>
        </is>
      </c>
      <c r="C138" t="inlineStr">
        <is>
          <t xml:space="preserve">Exact completed-run input</t>
        </is>
      </c>
      <c r="D138" t="inlineStr">
        <is>
          <t xml:space="preserve">Nested commodity parameters are expanded for auditability.</t>
        </is>
      </c>
    </row>
    <row r="139">
      <c r="A139" t="inlineStr">
        <is>
          <t xml:space="preserve">commodity_parameters.sp500.long_futures_entry_mode</t>
        </is>
      </c>
      <c r="B139" s="4" t="inlineStr">
        <is>
          <t xml:space="preserve">gradual</t>
        </is>
      </c>
      <c r="C139" t="inlineStr">
        <is>
          <t xml:space="preserve">Exact completed-run input</t>
        </is>
      </c>
      <c r="D139" t="inlineStr">
        <is>
          <t xml:space="preserve">Nested commodity parameters are expanded for auditability.</t>
        </is>
      </c>
    </row>
    <row r="140">
      <c r="A140" t="inlineStr">
        <is>
          <t xml:space="preserve">commodity_parameters.sp500.long_contract_selection</t>
        </is>
      </c>
      <c r="B140" s="4" t="inlineStr">
        <is>
          <t xml:space="preserve">shortest_maturity</t>
        </is>
      </c>
      <c r="C140" t="inlineStr">
        <is>
          <t xml:space="preserve">Exact completed-run input</t>
        </is>
      </c>
      <c r="D140" t="inlineStr">
        <is>
          <t xml:space="preserve">Nested commodity parameters are expanded for auditability.</t>
        </is>
      </c>
    </row>
    <row r="141">
      <c r="A141" t="inlineStr">
        <is>
          <t xml:space="preserve">commodity_parameters.sp500.long_line_maturity_1</t>
        </is>
      </c>
      <c r="B141" s="4" t="inlineStr">
        <is>
          <t xml:space="preserve">30</t>
        </is>
      </c>
      <c r="C141" t="inlineStr">
        <is>
          <t xml:space="preserve">Exact completed-run input</t>
        </is>
      </c>
      <c r="D141" t="inlineStr">
        <is>
          <t xml:space="preserve">Nested commodity parameters are expanded for auditability.</t>
        </is>
      </c>
    </row>
    <row r="142">
      <c r="A142" t="inlineStr">
        <is>
          <t xml:space="preserve">commodity_parameters.sp500.long_line_rate_1</t>
        </is>
      </c>
      <c r="B142" s="4" t="inlineStr">
        <is>
          <t xml:space="preserve">0.033</t>
        </is>
      </c>
      <c r="C142" t="inlineStr">
        <is>
          <t xml:space="preserve">Exact completed-run input</t>
        </is>
      </c>
      <c r="D142" t="inlineStr">
        <is>
          <t xml:space="preserve">Nested commodity parameters are expanded for auditability.</t>
        </is>
      </c>
    </row>
    <row r="143">
      <c r="A143" t="inlineStr">
        <is>
          <t xml:space="preserve">commodity_parameters.sp500.long_line_maturity_2</t>
        </is>
      </c>
      <c r="B143" s="4" t="inlineStr">
        <is>
          <t xml:space="preserve">365</t>
        </is>
      </c>
      <c r="C143" t="inlineStr">
        <is>
          <t xml:space="preserve">Exact completed-run input</t>
        </is>
      </c>
      <c r="D143" t="inlineStr">
        <is>
          <t xml:space="preserve">Nested commodity parameters are expanded for auditability.</t>
        </is>
      </c>
    </row>
    <row r="144">
      <c r="A144" t="inlineStr">
        <is>
          <t xml:space="preserve">commodity_parameters.sp500.long_line_rate_2</t>
        </is>
      </c>
      <c r="B144" s="4" t="inlineStr">
        <is>
          <t xml:space="preserve">0.4</t>
        </is>
      </c>
      <c r="C144" t="inlineStr">
        <is>
          <t xml:space="preserve">Exact completed-run input</t>
        </is>
      </c>
      <c r="D144" t="inlineStr">
        <is>
          <t xml:space="preserve">Nested commodity parameters are expanded for auditability.</t>
        </is>
      </c>
    </row>
    <row r="145">
      <c r="A145" t="inlineStr">
        <is>
          <t xml:space="preserve">commodity_parameters.sp500.long_relative_strength</t>
        </is>
      </c>
      <c r="B145" s="4" t="inlineStr">
        <is>
          <t xml:space="preserve">1</t>
        </is>
      </c>
      <c r="C145" t="inlineStr">
        <is>
          <t xml:space="preserve">Exact completed-run input</t>
        </is>
      </c>
      <c r="D145" t="inlineStr">
        <is>
          <t xml:space="preserve">Nested commodity parameters are expanded for auditability.</t>
        </is>
      </c>
    </row>
    <row r="146">
      <c r="A146" t="inlineStr">
        <is>
          <t xml:space="preserve">commodity_parameters.sp500.long_pure_maturity_strength</t>
        </is>
      </c>
      <c r="B146" s="4" t="inlineStr">
        <is>
          <t xml:space="preserve">0</t>
        </is>
      </c>
      <c r="C146" t="inlineStr">
        <is>
          <t xml:space="preserve">Exact completed-run input</t>
        </is>
      </c>
      <c r="D146" t="inlineStr">
        <is>
          <t xml:space="preserve">Nested commodity parameters are expanded for auditability.</t>
        </is>
      </c>
    </row>
    <row r="147">
      <c r="A147" t="inlineStr">
        <is>
          <t xml:space="preserve">commodity_parameters.sp500.pure_maturity_scale_days</t>
        </is>
      </c>
      <c r="B147" s="4" t="inlineStr">
        <is>
          <t xml:space="preserve">365</t>
        </is>
      </c>
      <c r="C147" t="inlineStr">
        <is>
          <t xml:space="preserve">Exact completed-run input</t>
        </is>
      </c>
      <c r="D147" t="inlineStr">
        <is>
          <t xml:space="preserve">Nested commodity parameters are expanded for auditability.</t>
        </is>
      </c>
    </row>
    <row r="148">
      <c r="A148" t="inlineStr">
        <is>
          <t xml:space="preserve">commodity_parameters.sp500.pure_maturity_clip</t>
        </is>
      </c>
      <c r="B148" s="4" t="inlineStr">
        <is>
          <t xml:space="preserve">3</t>
        </is>
      </c>
      <c r="C148" t="inlineStr">
        <is>
          <t xml:space="preserve">Exact completed-run input</t>
        </is>
      </c>
      <c r="D148" t="inlineStr">
        <is>
          <t xml:space="preserve">Nested commodity parameters are expanded for auditability.</t>
        </is>
      </c>
    </row>
    <row r="149">
      <c r="A149" t="inlineStr">
        <is>
          <t xml:space="preserve">commodity_parameters.sp500.long_score_rate_scale</t>
        </is>
      </c>
      <c r="B149" s="4" t="inlineStr">
        <is>
          <t xml:space="preserve">1</t>
        </is>
      </c>
      <c r="C149" t="inlineStr">
        <is>
          <t xml:space="preserve">Exact completed-run input</t>
        </is>
      </c>
      <c r="D149" t="inlineStr">
        <is>
          <t xml:space="preserve">Nested commodity parameters are expanded for auditability.</t>
        </is>
      </c>
    </row>
    <row r="150">
      <c r="A150" t="inlineStr">
        <is>
          <t xml:space="preserve">commodity_parameters.sp500.long_score_adjustment_clip</t>
        </is>
      </c>
      <c r="B150" s="4" t="inlineStr">
        <is>
          <t xml:space="preserve">3</t>
        </is>
      </c>
      <c r="C150" t="inlineStr">
        <is>
          <t xml:space="preserve">Exact completed-run input</t>
        </is>
      </c>
      <c r="D150" t="inlineStr">
        <is>
          <t xml:space="preserve">Nested commodity parameters are expanded for auditability.</t>
        </is>
      </c>
    </row>
    <row r="151">
      <c r="A151" t="inlineStr">
        <is>
          <t xml:space="preserve">commodity_parameters.sp500.positive_entry_rate</t>
        </is>
      </c>
      <c r="B151" s="4" t="inlineStr">
        <is>
          <t xml:space="preserve">0</t>
        </is>
      </c>
      <c r="C151" t="inlineStr">
        <is>
          <t xml:space="preserve">Exact completed-run input</t>
        </is>
      </c>
      <c r="D151" t="inlineStr">
        <is>
          <t xml:space="preserve">Nested commodity parameters are expanded for auditability.</t>
        </is>
      </c>
    </row>
    <row r="152">
      <c r="A152" t="inlineStr">
        <is>
          <t xml:space="preserve">commodity_parameters.sp500.positive_full_rate</t>
        </is>
      </c>
      <c r="B152" s="4" t="inlineStr">
        <is>
          <t xml:space="preserve">15</t>
        </is>
      </c>
      <c r="C152" t="inlineStr">
        <is>
          <t xml:space="preserve">Exact completed-run input</t>
        </is>
      </c>
      <c r="D152" t="inlineStr">
        <is>
          <t xml:space="preserve">Nested commodity parameters are expanded for auditability.</t>
        </is>
      </c>
    </row>
    <row r="153">
      <c r="A153" t="inlineStr">
        <is>
          <t xml:space="preserve">commodity_parameters.sp500.max_futures_treasury_fraction</t>
        </is>
      </c>
      <c r="B153" s="4" t="inlineStr">
        <is>
          <t xml:space="preserve">50</t>
        </is>
      </c>
      <c r="C153" t="inlineStr">
        <is>
          <t xml:space="preserve">Exact completed-run input</t>
        </is>
      </c>
      <c r="D153" t="inlineStr">
        <is>
          <t xml:space="preserve">Nested commodity parameters are expanded for auditability.</t>
        </is>
      </c>
    </row>
    <row r="154">
      <c r="A154" t="inlineStr">
        <is>
          <t xml:space="preserve">commodity_parameters.sp500.enable_short_book</t>
        </is>
      </c>
      <c r="B154" s="4" t="inlineStr">
        <is>
          <t xml:space="preserve">false</t>
        </is>
      </c>
      <c r="C154" t="inlineStr">
        <is>
          <t xml:space="preserve">Exact completed-run input</t>
        </is>
      </c>
      <c r="D154" t="inlineStr">
        <is>
          <t xml:space="preserve">Nested commodity parameters are expanded for auditability.</t>
        </is>
      </c>
    </row>
    <row r="155">
      <c r="A155" t="inlineStr">
        <is>
          <t xml:space="preserve">commodity_parameters.sp500.short_futures_entry_mode</t>
        </is>
      </c>
      <c r="B155" s="4" t="inlineStr">
        <is>
          <t xml:space="preserve">gradual</t>
        </is>
      </c>
      <c r="C155" t="inlineStr">
        <is>
          <t xml:space="preserve">Exact completed-run input</t>
        </is>
      </c>
      <c r="D155" t="inlineStr">
        <is>
          <t xml:space="preserve">Nested commodity parameters are expanded for auditability.</t>
        </is>
      </c>
    </row>
    <row r="156">
      <c r="A156" t="inlineStr">
        <is>
          <t xml:space="preserve">commodity_parameters.sp500.short_contract_selection</t>
        </is>
      </c>
      <c r="B156" s="4" t="inlineStr">
        <is>
          <t xml:space="preserve">weighted_lease_rate</t>
        </is>
      </c>
      <c r="C156" t="inlineStr">
        <is>
          <t xml:space="preserve">Exact completed-run input</t>
        </is>
      </c>
      <c r="D156" t="inlineStr">
        <is>
          <t xml:space="preserve">Nested commodity parameters are expanded for auditability.</t>
        </is>
      </c>
    </row>
    <row r="157">
      <c r="A157" t="inlineStr">
        <is>
          <t xml:space="preserve">commodity_parameters.sp500.short_line_maturity_1</t>
        </is>
      </c>
      <c r="B157" s="4" t="inlineStr">
        <is>
          <t xml:space="preserve">30</t>
        </is>
      </c>
      <c r="C157" t="inlineStr">
        <is>
          <t xml:space="preserve">Exact completed-run input</t>
        </is>
      </c>
      <c r="D157" t="inlineStr">
        <is>
          <t xml:space="preserve">Nested commodity parameters are expanded for auditability.</t>
        </is>
      </c>
    </row>
    <row r="158">
      <c r="A158" t="inlineStr">
        <is>
          <t xml:space="preserve">commodity_parameters.sp500.short_line_rate_1</t>
        </is>
      </c>
      <c r="B158" s="4" t="inlineStr">
        <is>
          <t xml:space="preserve">0.033</t>
        </is>
      </c>
      <c r="C158" t="inlineStr">
        <is>
          <t xml:space="preserve">Exact completed-run input</t>
        </is>
      </c>
      <c r="D158" t="inlineStr">
        <is>
          <t xml:space="preserve">Nested commodity parameters are expanded for auditability.</t>
        </is>
      </c>
    </row>
    <row r="159">
      <c r="A159" t="inlineStr">
        <is>
          <t xml:space="preserve">commodity_parameters.sp500.short_line_maturity_2</t>
        </is>
      </c>
      <c r="B159" s="4" t="inlineStr">
        <is>
          <t xml:space="preserve">365</t>
        </is>
      </c>
      <c r="C159" t="inlineStr">
        <is>
          <t xml:space="preserve">Exact completed-run input</t>
        </is>
      </c>
      <c r="D159" t="inlineStr">
        <is>
          <t xml:space="preserve">Nested commodity parameters are expanded for auditability.</t>
        </is>
      </c>
    </row>
    <row r="160">
      <c r="A160" t="inlineStr">
        <is>
          <t xml:space="preserve">commodity_parameters.sp500.short_line_rate_2</t>
        </is>
      </c>
      <c r="B160" s="4" t="inlineStr">
        <is>
          <t xml:space="preserve">0.4</t>
        </is>
      </c>
      <c r="C160" t="inlineStr">
        <is>
          <t xml:space="preserve">Exact completed-run input</t>
        </is>
      </c>
      <c r="D160" t="inlineStr">
        <is>
          <t xml:space="preserve">Nested commodity parameters are expanded for auditability.</t>
        </is>
      </c>
    </row>
    <row r="161">
      <c r="A161" t="inlineStr">
        <is>
          <t xml:space="preserve">commodity_parameters.sp500.short_relative_strength</t>
        </is>
      </c>
      <c r="B161" s="4" t="inlineStr">
        <is>
          <t xml:space="preserve">1</t>
        </is>
      </c>
      <c r="C161" t="inlineStr">
        <is>
          <t xml:space="preserve">Exact completed-run input</t>
        </is>
      </c>
      <c r="D161" t="inlineStr">
        <is>
          <t xml:space="preserve">Nested commodity parameters are expanded for auditability.</t>
        </is>
      </c>
    </row>
    <row r="162">
      <c r="A162" t="inlineStr">
        <is>
          <t xml:space="preserve">commodity_parameters.sp500.short_pure_maturity_strength</t>
        </is>
      </c>
      <c r="B162" s="4" t="inlineStr">
        <is>
          <t xml:space="preserve">0</t>
        </is>
      </c>
      <c r="C162" t="inlineStr">
        <is>
          <t xml:space="preserve">Exact completed-run input</t>
        </is>
      </c>
      <c r="D162" t="inlineStr">
        <is>
          <t xml:space="preserve">Nested commodity parameters are expanded for auditability.</t>
        </is>
      </c>
    </row>
    <row r="163">
      <c r="A163" t="inlineStr">
        <is>
          <t xml:space="preserve">commodity_parameters.sp500.short_score_rate_scale</t>
        </is>
      </c>
      <c r="B163" s="4" t="inlineStr">
        <is>
          <t xml:space="preserve">1</t>
        </is>
      </c>
      <c r="C163" t="inlineStr">
        <is>
          <t xml:space="preserve">Exact completed-run input</t>
        </is>
      </c>
      <c r="D163" t="inlineStr">
        <is>
          <t xml:space="preserve">Nested commodity parameters are expanded for auditability.</t>
        </is>
      </c>
    </row>
    <row r="164">
      <c r="A164" t="inlineStr">
        <is>
          <t xml:space="preserve">commodity_parameters.sp500.short_score_adjustment_clip</t>
        </is>
      </c>
      <c r="B164" s="4" t="inlineStr">
        <is>
          <t xml:space="preserve">3</t>
        </is>
      </c>
      <c r="C164" t="inlineStr">
        <is>
          <t xml:space="preserve">Exact completed-run input</t>
        </is>
      </c>
      <c r="D164" t="inlineStr">
        <is>
          <t xml:space="preserve">Nested commodity parameters are expanded for auditability.</t>
        </is>
      </c>
    </row>
    <row r="165">
      <c r="A165" t="inlineStr">
        <is>
          <t xml:space="preserve">commodity_parameters.sp500.negative_short_start_rate</t>
        </is>
      </c>
      <c r="B165" s="4" t="inlineStr">
        <is>
          <t xml:space="preserve">-0.5</t>
        </is>
      </c>
      <c r="C165" t="inlineStr">
        <is>
          <t xml:space="preserve">Exact completed-run input</t>
        </is>
      </c>
      <c r="D165" t="inlineStr">
        <is>
          <t xml:space="preserve">Nested commodity parameters are expanded for auditability.</t>
        </is>
      </c>
    </row>
    <row r="166">
      <c r="A166" t="inlineStr">
        <is>
          <t xml:space="preserve">commodity_parameters.sp500.negative_short_full_rate</t>
        </is>
      </c>
      <c r="B166" s="4" t="inlineStr">
        <is>
          <t xml:space="preserve">-15</t>
        </is>
      </c>
      <c r="C166" t="inlineStr">
        <is>
          <t xml:space="preserve">Exact completed-run input</t>
        </is>
      </c>
      <c r="D166" t="inlineStr">
        <is>
          <t xml:space="preserve">Nested commodity parameters are expanded for auditability.</t>
        </is>
      </c>
    </row>
    <row r="167">
      <c r="A167" t="inlineStr">
        <is>
          <t xml:space="preserve">commodity_parameters.sp500.max_short_fraction_of_long_leg</t>
        </is>
      </c>
      <c r="B167" s="4" t="inlineStr">
        <is>
          <t xml:space="preserve">50</t>
        </is>
      </c>
      <c r="C167" t="inlineStr">
        <is>
          <t xml:space="preserve">Exact completed-run input</t>
        </is>
      </c>
      <c r="D167" t="inlineStr">
        <is>
          <t xml:space="preserve">Nested commodity parameters are expanded for auditability.</t>
        </is>
      </c>
    </row>
  </sheetData>
  <autoFilter ref="A3:D167"/>
  <mergeCells count="1">
    <mergeCell ref="A1:D1"/>
  </mergeCells>
  <pageMargins left="0.25" right="0.25" top="0.5" bottom="0.5" header="0.2" footer="0.2"/>
</worksheet>
</file>

<file path=xl/worksheets/sheet3.xml><?xml version="1.0" encoding="utf-8"?>
<worksheet xmlns="http://schemas.openxmlformats.org/spreadsheetml/2006/main">
  <dimension ref="A1:MH244"/>
  <sheetViews>
    <sheetView workbookViewId="0">
      <pane xSplit="5" ySplit="2" topLeftCell="F3" activePane="bottomRight" state="frozen"/>
    </sheetView>
  </sheetViews>
  <sheetFormatPr defaultRowHeight="15"/>
  <cols>
    <col min="1" max="1" width="13" customWidth="1"/>
    <col min="2" max="2" width="13" customWidth="1"/>
    <col min="3" max="3" width="13" customWidth="1"/>
    <col min="4" max="4" width="13" customWidth="1"/>
    <col min="5" max="5" width="16" customWidth="1"/>
    <col min="6" max="6" width="15" customWidth="1"/>
    <col min="7" max="7" width="22" customWidth="1"/>
    <col min="8" max="8" width="23" customWidth="1"/>
    <col min="9" max="9" width="23" customWidth="1"/>
    <col min="10" max="10" width="17" customWidth="1"/>
    <col min="11" max="11" width="17" customWidth="1"/>
    <col min="12" max="12" width="17" customWidth="1"/>
    <col min="13" max="13" width="20" customWidth="1"/>
    <col min="14" max="14" width="20" customWidth="1"/>
    <col min="15" max="15" width="20" customWidth="1"/>
    <col min="16" max="16" width="20" customWidth="1"/>
    <col min="17" max="17" width="20" customWidth="1"/>
    <col min="18" max="18" width="25" customWidth="1"/>
    <col min="19" max="19" width="25" customWidth="1"/>
    <col min="20" max="20" width="25" customWidth="1"/>
    <col min="21" max="21" width="25" customWidth="1"/>
    <col min="22" max="22" width="27" customWidth="1"/>
    <col min="23" max="23" width="27" customWidth="1"/>
    <col min="24" max="24" width="27" customWidth="1"/>
    <col min="25" max="25" width="27" customWidth="1"/>
    <col min="26" max="26" width="27" customWidth="1"/>
    <col min="27" max="27" width="29" customWidth="1"/>
    <col min="28" max="28" width="32" customWidth="1"/>
    <col min="29" max="29" width="29" customWidth="1"/>
    <col min="30" max="30" width="32" customWidth="1"/>
    <col min="31" max="31" width="29" customWidth="1"/>
    <col min="32" max="32" width="27" customWidth="1"/>
    <col min="33" max="33" width="28" customWidth="1"/>
    <col min="34" max="34" width="22" customWidth="1"/>
    <col min="35" max="35" width="22" customWidth="1"/>
    <col min="36" max="36" width="24" customWidth="1"/>
    <col min="37" max="37" width="24" customWidth="1"/>
    <col min="38" max="38" width="30" customWidth="1"/>
    <col min="39" max="39" width="30" customWidth="1"/>
    <col min="40" max="40" width="20" customWidth="1"/>
    <col min="41" max="41" width="23" customWidth="1"/>
    <col min="42" max="42" width="31" customWidth="1"/>
    <col min="43" max="43" width="27" customWidth="1"/>
    <col min="44" max="44" width="33" customWidth="1"/>
    <col min="45" max="45" width="20" customWidth="1"/>
    <col min="46" max="46" width="23" customWidth="1"/>
    <col min="47" max="47" width="31" customWidth="1"/>
    <col min="48" max="48" width="27" customWidth="1"/>
    <col min="49" max="49" width="33" customWidth="1"/>
    <col min="50" max="50" width="27" customWidth="1"/>
    <col min="51" max="51" width="27" customWidth="1"/>
    <col min="52" max="52" width="31" customWidth="1"/>
    <col min="53" max="53" width="27" customWidth="1"/>
    <col min="54" max="54" width="27" customWidth="1"/>
    <col min="55" max="55" width="31" customWidth="1"/>
    <col min="56" max="56" width="29" customWidth="1"/>
    <col min="57" max="57" width="27" customWidth="1"/>
    <col min="58" max="58" width="31" customWidth="1"/>
    <col min="59" max="59" width="29" customWidth="1"/>
    <col min="60" max="60" width="22" customWidth="1"/>
    <col min="61" max="61" width="22" customWidth="1"/>
    <col min="62" max="62" width="25" customWidth="1"/>
    <col min="63" max="63" width="24" customWidth="1"/>
    <col min="64" max="64" width="24" customWidth="1"/>
    <col min="65" max="65" width="34" customWidth="1"/>
    <col min="66" max="66" width="20" customWidth="1"/>
    <col min="67" max="67" width="32" customWidth="1"/>
    <col min="68" max="68" width="15" customWidth="1"/>
    <col min="69" max="69" width="12" customWidth="1"/>
    <col min="70" max="70" width="11" customWidth="1"/>
    <col min="71" max="71" width="15" customWidth="1"/>
    <col min="72" max="72" width="17" customWidth="1"/>
    <col min="73" max="73" width="17" customWidth="1"/>
    <col min="74" max="74" width="20" customWidth="1"/>
    <col min="75" max="75" width="20" customWidth="1"/>
    <col min="76" max="76" width="18" customWidth="1"/>
    <col min="77" max="77" width="20" customWidth="1"/>
    <col min="78" max="78" width="19" customWidth="1"/>
    <col min="79" max="79" width="19" customWidth="1"/>
    <col min="80" max="80" width="18" customWidth="1"/>
    <col min="81" max="81" width="24" customWidth="1"/>
    <col min="82" max="82" width="20" customWidth="1"/>
    <col min="83" max="83" width="18" customWidth="1"/>
    <col min="84" max="84" width="22" customWidth="1"/>
    <col min="85" max="85" width="23" customWidth="1"/>
    <col min="86" max="86" width="20" customWidth="1"/>
    <col min="87" max="87" width="18" customWidth="1"/>
    <col min="88" max="88" width="20" customWidth="1"/>
    <col min="89" max="89" width="20" customWidth="1"/>
    <col min="90" max="90" width="16" customWidth="1"/>
    <col min="91" max="91" width="20" customWidth="1"/>
    <col min="92" max="92" width="17" customWidth="1"/>
    <col min="93" max="93" width="18" customWidth="1"/>
    <col min="94" max="94" width="20" customWidth="1"/>
    <col min="95" max="95" width="32" customWidth="1"/>
    <col min="96" max="96" width="15" customWidth="1"/>
    <col min="97" max="97" width="12" customWidth="1"/>
    <col min="98" max="98" width="11" customWidth="1"/>
    <col min="99" max="99" width="15" customWidth="1"/>
    <col min="100" max="100" width="17" customWidth="1"/>
    <col min="101" max="101" width="17" customWidth="1"/>
    <col min="102" max="102" width="20" customWidth="1"/>
    <col min="103" max="103" width="20" customWidth="1"/>
    <col min="104" max="104" width="18" customWidth="1"/>
    <col min="105" max="105" width="20" customWidth="1"/>
    <col min="106" max="106" width="19" customWidth="1"/>
    <col min="107" max="107" width="19" customWidth="1"/>
    <col min="108" max="108" width="18" customWidth="1"/>
    <col min="109" max="109" width="24" customWidth="1"/>
    <col min="110" max="110" width="20" customWidth="1"/>
    <col min="111" max="111" width="18" customWidth="1"/>
    <col min="112" max="112" width="22" customWidth="1"/>
    <col min="113" max="113" width="23" customWidth="1"/>
    <col min="114" max="114" width="20" customWidth="1"/>
    <col min="115" max="115" width="18" customWidth="1"/>
    <col min="116" max="116" width="20" customWidth="1"/>
    <col min="117" max="117" width="20" customWidth="1"/>
    <col min="118" max="118" width="16" customWidth="1"/>
    <col min="119" max="119" width="20" customWidth="1"/>
    <col min="120" max="120" width="17" customWidth="1"/>
    <col min="121" max="121" width="18" customWidth="1"/>
    <col min="122" max="122" width="20" customWidth="1"/>
    <col min="123" max="123" width="32" customWidth="1"/>
    <col min="124" max="124" width="15" customWidth="1"/>
    <col min="125" max="125" width="12" customWidth="1"/>
    <col min="126" max="126" width="11" customWidth="1"/>
    <col min="127" max="127" width="15" customWidth="1"/>
    <col min="128" max="128" width="17" customWidth="1"/>
    <col min="129" max="129" width="17" customWidth="1"/>
    <col min="130" max="130" width="20" customWidth="1"/>
    <col min="131" max="131" width="20" customWidth="1"/>
    <col min="132" max="132" width="18" customWidth="1"/>
    <col min="133" max="133" width="20" customWidth="1"/>
    <col min="134" max="134" width="19" customWidth="1"/>
    <col min="135" max="135" width="19" customWidth="1"/>
    <col min="136" max="136" width="18" customWidth="1"/>
    <col min="137" max="137" width="24" customWidth="1"/>
    <col min="138" max="138" width="20" customWidth="1"/>
    <col min="139" max="139" width="18" customWidth="1"/>
    <col min="140" max="140" width="22" customWidth="1"/>
    <col min="141" max="141" width="23" customWidth="1"/>
    <col min="142" max="142" width="20" customWidth="1"/>
    <col min="143" max="143" width="18" customWidth="1"/>
    <col min="144" max="144" width="20" customWidth="1"/>
    <col min="145" max="145" width="20" customWidth="1"/>
    <col min="146" max="146" width="16" customWidth="1"/>
    <col min="147" max="147" width="20" customWidth="1"/>
    <col min="148" max="148" width="17" customWidth="1"/>
    <col min="149" max="149" width="18" customWidth="1"/>
    <col min="150" max="150" width="20" customWidth="1"/>
    <col min="151" max="151" width="32" customWidth="1"/>
    <col min="152" max="152" width="15" customWidth="1"/>
    <col min="153" max="153" width="12" customWidth="1"/>
    <col min="154" max="154" width="11" customWidth="1"/>
    <col min="155" max="155" width="15" customWidth="1"/>
    <col min="156" max="156" width="17" customWidth="1"/>
    <col min="157" max="157" width="17" customWidth="1"/>
    <col min="158" max="158" width="20" customWidth="1"/>
    <col min="159" max="159" width="20" customWidth="1"/>
    <col min="160" max="160" width="18" customWidth="1"/>
    <col min="161" max="161" width="20" customWidth="1"/>
    <col min="162" max="162" width="19" customWidth="1"/>
    <col min="163" max="163" width="19" customWidth="1"/>
    <col min="164" max="164" width="18" customWidth="1"/>
    <col min="165" max="165" width="24" customWidth="1"/>
    <col min="166" max="166" width="20" customWidth="1"/>
    <col min="167" max="167" width="18" customWidth="1"/>
    <col min="168" max="168" width="22" customWidth="1"/>
    <col min="169" max="169" width="23" customWidth="1"/>
    <col min="170" max="170" width="20" customWidth="1"/>
    <col min="171" max="171" width="18" customWidth="1"/>
    <col min="172" max="172" width="20" customWidth="1"/>
    <col min="173" max="173" width="20" customWidth="1"/>
    <col min="174" max="174" width="16" customWidth="1"/>
    <col min="175" max="175" width="20" customWidth="1"/>
    <col min="176" max="176" width="17" customWidth="1"/>
    <col min="177" max="177" width="18" customWidth="1"/>
    <col min="178" max="178" width="20" customWidth="1"/>
    <col min="179" max="179" width="32" customWidth="1"/>
    <col min="180" max="180" width="15" customWidth="1"/>
    <col min="181" max="181" width="12" customWidth="1"/>
    <col min="182" max="182" width="11" customWidth="1"/>
    <col min="183" max="183" width="15" customWidth="1"/>
    <col min="184" max="184" width="17" customWidth="1"/>
    <col min="185" max="185" width="17" customWidth="1"/>
    <col min="186" max="186" width="20" customWidth="1"/>
    <col min="187" max="187" width="20" customWidth="1"/>
    <col min="188" max="188" width="18" customWidth="1"/>
    <col min="189" max="189" width="20" customWidth="1"/>
    <col min="190" max="190" width="19" customWidth="1"/>
    <col min="191" max="191" width="19" customWidth="1"/>
    <col min="192" max="192" width="18" customWidth="1"/>
    <col min="193" max="193" width="24" customWidth="1"/>
    <col min="194" max="194" width="20" customWidth="1"/>
    <col min="195" max="195" width="18" customWidth="1"/>
    <col min="196" max="196" width="22" customWidth="1"/>
    <col min="197" max="197" width="23" customWidth="1"/>
    <col min="198" max="198" width="20" customWidth="1"/>
    <col min="199" max="199" width="18" customWidth="1"/>
    <col min="200" max="200" width="20" customWidth="1"/>
    <col min="201" max="201" width="20" customWidth="1"/>
    <col min="202" max="202" width="16" customWidth="1"/>
    <col min="203" max="203" width="20" customWidth="1"/>
    <col min="204" max="204" width="17" customWidth="1"/>
    <col min="205" max="205" width="18" customWidth="1"/>
    <col min="206" max="206" width="20" customWidth="1"/>
    <col min="207" max="207" width="32" customWidth="1"/>
    <col min="208" max="208" width="15" customWidth="1"/>
    <col min="209" max="209" width="12" customWidth="1"/>
    <col min="210" max="210" width="11" customWidth="1"/>
    <col min="211" max="211" width="15" customWidth="1"/>
    <col min="212" max="212" width="17" customWidth="1"/>
    <col min="213" max="213" width="17" customWidth="1"/>
    <col min="214" max="214" width="20" customWidth="1"/>
    <col min="215" max="215" width="20" customWidth="1"/>
    <col min="216" max="216" width="18" customWidth="1"/>
    <col min="217" max="217" width="20" customWidth="1"/>
    <col min="218" max="218" width="19" customWidth="1"/>
    <col min="219" max="219" width="19" customWidth="1"/>
    <col min="220" max="220" width="18" customWidth="1"/>
    <col min="221" max="221" width="24" customWidth="1"/>
    <col min="222" max="222" width="20" customWidth="1"/>
    <col min="223" max="223" width="18" customWidth="1"/>
    <col min="224" max="224" width="22" customWidth="1"/>
    <col min="225" max="225" width="23" customWidth="1"/>
    <col min="226" max="226" width="20" customWidth="1"/>
    <col min="227" max="227" width="18" customWidth="1"/>
    <col min="228" max="228" width="20" customWidth="1"/>
    <col min="229" max="229" width="20" customWidth="1"/>
    <col min="230" max="230" width="16" customWidth="1"/>
    <col min="231" max="231" width="20" customWidth="1"/>
    <col min="232" max="232" width="17" customWidth="1"/>
    <col min="233" max="233" width="18" customWidth="1"/>
    <col min="234" max="234" width="20" customWidth="1"/>
    <col min="235" max="235" width="32" customWidth="1"/>
    <col min="236" max="236" width="15" customWidth="1"/>
    <col min="237" max="237" width="12" customWidth="1"/>
    <col min="238" max="238" width="11" customWidth="1"/>
    <col min="239" max="239" width="15" customWidth="1"/>
    <col min="240" max="240" width="17" customWidth="1"/>
    <col min="241" max="241" width="17" customWidth="1"/>
    <col min="242" max="242" width="20" customWidth="1"/>
    <col min="243" max="243" width="20" customWidth="1"/>
    <col min="244" max="244" width="18" customWidth="1"/>
    <col min="245" max="245" width="20" customWidth="1"/>
    <col min="246" max="246" width="19" customWidth="1"/>
    <col min="247" max="247" width="19" customWidth="1"/>
    <col min="248" max="248" width="18" customWidth="1"/>
    <col min="249" max="249" width="24" customWidth="1"/>
    <col min="250" max="250" width="20" customWidth="1"/>
    <col min="251" max="251" width="18" customWidth="1"/>
    <col min="252" max="252" width="22" customWidth="1"/>
    <col min="253" max="253" width="23" customWidth="1"/>
    <col min="254" max="254" width="20" customWidth="1"/>
    <col min="255" max="255" width="18" customWidth="1"/>
    <col min="256" max="256" width="20" customWidth="1"/>
    <col min="257" max="257" width="20" customWidth="1"/>
    <col min="258" max="258" width="16" customWidth="1"/>
    <col min="259" max="259" width="20" customWidth="1"/>
    <col min="260" max="260" width="17" customWidth="1"/>
    <col min="261" max="261" width="18" customWidth="1"/>
    <col min="262" max="262" width="20" customWidth="1"/>
    <col min="263" max="263" width="32" customWidth="1"/>
    <col min="264" max="264" width="15" customWidth="1"/>
    <col min="265" max="265" width="12" customWidth="1"/>
    <col min="266" max="266" width="11" customWidth="1"/>
    <col min="267" max="267" width="15" customWidth="1"/>
    <col min="268" max="268" width="17" customWidth="1"/>
    <col min="269" max="269" width="17" customWidth="1"/>
    <col min="270" max="270" width="20" customWidth="1"/>
    <col min="271" max="271" width="20" customWidth="1"/>
    <col min="272" max="272" width="18" customWidth="1"/>
    <col min="273" max="273" width="20" customWidth="1"/>
    <col min="274" max="274" width="19" customWidth="1"/>
    <col min="275" max="275" width="19" customWidth="1"/>
    <col min="276" max="276" width="18" customWidth="1"/>
    <col min="277" max="277" width="24" customWidth="1"/>
    <col min="278" max="278" width="20" customWidth="1"/>
    <col min="279" max="279" width="18" customWidth="1"/>
    <col min="280" max="280" width="22" customWidth="1"/>
    <col min="281" max="281" width="23" customWidth="1"/>
    <col min="282" max="282" width="20" customWidth="1"/>
    <col min="283" max="283" width="18" customWidth="1"/>
    <col min="284" max="284" width="20" customWidth="1"/>
    <col min="285" max="285" width="20" customWidth="1"/>
    <col min="286" max="286" width="16" customWidth="1"/>
    <col min="287" max="287" width="20" customWidth="1"/>
    <col min="288" max="288" width="17" customWidth="1"/>
    <col min="289" max="289" width="18" customWidth="1"/>
    <col min="290" max="290" width="20" customWidth="1"/>
    <col min="291" max="291" width="32" customWidth="1"/>
    <col min="292" max="292" width="15" customWidth="1"/>
    <col min="293" max="293" width="12" customWidth="1"/>
    <col min="294" max="294" width="11" customWidth="1"/>
    <col min="295" max="295" width="15" customWidth="1"/>
    <col min="296" max="296" width="17" customWidth="1"/>
    <col min="297" max="297" width="17" customWidth="1"/>
    <col min="298" max="298" width="20" customWidth="1"/>
    <col min="299" max="299" width="20" customWidth="1"/>
    <col min="300" max="300" width="18" customWidth="1"/>
    <col min="301" max="301" width="20" customWidth="1"/>
    <col min="302" max="302" width="19" customWidth="1"/>
    <col min="303" max="303" width="19" customWidth="1"/>
    <col min="304" max="304" width="18" customWidth="1"/>
    <col min="305" max="305" width="24" customWidth="1"/>
    <col min="306" max="306" width="20" customWidth="1"/>
    <col min="307" max="307" width="18" customWidth="1"/>
    <col min="308" max="308" width="22" customWidth="1"/>
    <col min="309" max="309" width="23" customWidth="1"/>
    <col min="310" max="310" width="20" customWidth="1"/>
    <col min="311" max="311" width="18" customWidth="1"/>
    <col min="312" max="312" width="20" customWidth="1"/>
    <col min="313" max="313" width="20" customWidth="1"/>
    <col min="314" max="314" width="16" customWidth="1"/>
    <col min="315" max="315" width="20" customWidth="1"/>
    <col min="316" max="316" width="17" customWidth="1"/>
    <col min="317" max="317" width="18" customWidth="1"/>
    <col min="318" max="318" width="20" customWidth="1"/>
    <col min="319" max="319" width="32" customWidth="1"/>
    <col min="320" max="320" width="15" customWidth="1"/>
    <col min="321" max="321" width="12" customWidth="1"/>
    <col min="322" max="322" width="11" customWidth="1"/>
    <col min="323" max="323" width="15" customWidth="1"/>
    <col min="324" max="324" width="17" customWidth="1"/>
    <col min="325" max="325" width="17" customWidth="1"/>
    <col min="326" max="326" width="20" customWidth="1"/>
    <col min="327" max="327" width="20" customWidth="1"/>
    <col min="328" max="328" width="18" customWidth="1"/>
    <col min="329" max="329" width="20" customWidth="1"/>
    <col min="330" max="330" width="19" customWidth="1"/>
    <col min="331" max="331" width="19" customWidth="1"/>
    <col min="332" max="332" width="18" customWidth="1"/>
    <col min="333" max="333" width="24" customWidth="1"/>
    <col min="334" max="334" width="20" customWidth="1"/>
    <col min="335" max="335" width="18" customWidth="1"/>
    <col min="336" max="336" width="22" customWidth="1"/>
    <col min="337" max="337" width="23" customWidth="1"/>
    <col min="338" max="338" width="20" customWidth="1"/>
    <col min="339" max="339" width="18" customWidth="1"/>
    <col min="340" max="340" width="20" customWidth="1"/>
    <col min="341" max="341" width="20" customWidth="1"/>
    <col min="342" max="342" width="16" customWidth="1"/>
    <col min="343" max="343" width="20" customWidth="1"/>
    <col min="344" max="344" width="17" customWidth="1"/>
    <col min="345" max="345" width="18" customWidth="1"/>
    <col min="346" max="346" width="20" customWidth="1"/>
  </cols>
  <sheetData>
    <row r="1" ht="23" customHeight="1">
      <c r="A1" s="2" t="inlineStr">
        <is>
          <t xml:space="preserve">Interval and NAV</t>
        </is>
      </c>
      <c r="B1"/>
      <c r="C1"/>
      <c r="D1"/>
      <c r="E1"/>
      <c r="F1"/>
      <c r="G1"/>
      <c r="H1"/>
      <c r="I1"/>
      <c r="J1"/>
      <c r="K1"/>
      <c r="L1"/>
      <c r="M1" s="2" t="inlineStr">
        <is>
          <t xml:space="preserve">Underlying and return reconstruction</t>
        </is>
      </c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 s="2" t="inlineStr">
        <is>
          <t xml:space="preserve">Book valuation and roll-forward</t>
        </is>
      </c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 s="2" t="inlineStr">
        <is>
          <t xml:space="preserve">Detailed return contributions</t>
        </is>
      </c>
      <c r="BE1"/>
      <c r="BF1"/>
      <c r="BG1"/>
      <c r="BH1"/>
      <c r="BI1"/>
      <c r="BJ1"/>
      <c r="BK1"/>
      <c r="BL1"/>
      <c r="BM1"/>
      <c r="BN1"/>
      <c r="BO1" s="2" t="inlineStr">
        <is>
          <t xml:space="preserve">Holding 1</t>
        </is>
      </c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 s="2" t="inlineStr">
        <is>
          <t xml:space="preserve">Holding 2</t>
        </is>
      </c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 s="2" t="inlineStr">
        <is>
          <t xml:space="preserve">Holding 3</t>
        </is>
      </c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 s="2" t="inlineStr">
        <is>
          <t xml:space="preserve">Holding 4</t>
        </is>
      </c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 s="2" t="inlineStr">
        <is>
          <t xml:space="preserve">Holding 5</t>
        </is>
      </c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 s="2" t="inlineStr">
        <is>
          <t xml:space="preserve">Holding 6</t>
        </is>
      </c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 s="2" t="inlineStr">
        <is>
          <t xml:space="preserve">Holding 7</t>
        </is>
      </c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 s="2" t="inlineStr">
        <is>
          <t xml:space="preserve">Holding 8</t>
        </is>
      </c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 s="2" t="inlineStr">
        <is>
          <t xml:space="preserve">Holding 9</t>
        </is>
      </c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 s="2" t="inlineStr">
        <is>
          <t xml:space="preserve">Holding 10</t>
        </is>
      </c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</row>
    <row r="2" ht="54" customHeight="1">
      <c r="A2" s="3" t="inlineStr">
        <is>
          <t xml:space="preserve">Start date</t>
        </is>
      </c>
      <c r="B2" s="3" t="inlineStr">
        <is>
          <t xml:space="preserve">End date</t>
        </is>
      </c>
      <c r="C2" s="3" t="inlineStr">
        <is>
          <t xml:space="preserve">Elapsed days</t>
        </is>
      </c>
      <c r="D2" s="3" t="inlineStr">
        <is>
          <t xml:space="preserve">Signal date</t>
        </is>
      </c>
      <c r="E2" s="3" t="inlineStr">
        <is>
          <t xml:space="preserve">Mode</t>
        </is>
      </c>
      <c r="F2" s="3" t="inlineStr">
        <is>
          <t xml:space="preserve">Start NAV</t>
        </is>
      </c>
      <c r="G2" s="3" t="inlineStr">
        <is>
          <t xml:space="preserve">Source total daily return</t>
        </is>
      </c>
      <c r="H2" s="3" t="inlineStr">
        <is>
          <t xml:space="preserve">Calculated holdings return</t>
        </is>
      </c>
      <c r="I2" s="3" t="inlineStr">
        <is>
          <t xml:space="preserve">Holdings return difference</t>
        </is>
      </c>
      <c r="J2" s="3" t="inlineStr">
        <is>
          <t xml:space="preserve">Formula end NAV</t>
        </is>
      </c>
      <c r="K2" s="3" t="inlineStr">
        <is>
          <t xml:space="preserve">Engine end NAV</t>
        </is>
      </c>
      <c r="L2" s="3" t="inlineStr">
        <is>
          <t xml:space="preserve">NAV difference</t>
        </is>
      </c>
      <c r="M2" s="3" t="inlineStr">
        <is>
          <t xml:space="preserve">Underlying start spot</t>
        </is>
      </c>
      <c r="N2" s="3" t="inlineStr">
        <is>
          <t xml:space="preserve">Underlying end spot</t>
        </is>
      </c>
      <c r="O2" s="3" t="inlineStr">
        <is>
          <t xml:space="preserve">Underlying index start</t>
        </is>
      </c>
      <c r="P2" s="3" t="inlineStr">
        <is>
          <t xml:space="preserve">Underlying index end</t>
        </is>
      </c>
      <c r="Q2" s="3" t="inlineStr">
        <is>
          <t xml:space="preserve">Underlying price change</t>
        </is>
      </c>
      <c r="R2" s="3" t="inlineStr">
        <is>
          <t xml:space="preserve">Lease book start — holdings sum</t>
        </is>
      </c>
      <c r="S2" s="3" t="inlineStr">
        <is>
          <t xml:space="preserve">Lease book end — holdings sum</t>
        </is>
      </c>
      <c r="T2" s="3" t="inlineStr">
        <is>
          <t xml:space="preserve">Keep book start — holdings sum</t>
        </is>
      </c>
      <c r="U2" s="3" t="inlineStr">
        <is>
          <t xml:space="preserve">Keep book end — holdings sum</t>
        </is>
      </c>
      <c r="V2" s="3" t="inlineStr">
        <is>
          <t xml:space="preserve">Lease book start in underlying</t>
        </is>
      </c>
      <c r="W2" s="3" t="inlineStr">
        <is>
          <t xml:space="preserve">Lease book end in underlying</t>
        </is>
      </c>
      <c r="X2" s="3" t="inlineStr">
        <is>
          <t xml:space="preserve">Keep book start in underlying</t>
        </is>
      </c>
      <c r="Y2" s="3" t="inlineStr">
        <is>
          <t xml:space="preserve">Keep book end in underlying</t>
        </is>
      </c>
      <c r="Z2" s="3" t="inlineStr">
        <is>
          <t xml:space="preserve">Total books start in underlying</t>
        </is>
      </c>
      <c r="AA2" s="3" t="inlineStr">
        <is>
          <t xml:space="preserve">Lease standalone return in underlying</t>
        </is>
      </c>
      <c r="AB2" s="3" t="inlineStr">
        <is>
          <t xml:space="preserve">Lease contribution to combined book return</t>
        </is>
      </c>
      <c r="AC2" s="3" t="inlineStr">
        <is>
          <t xml:space="preserve">Keep standalone return in underlying</t>
        </is>
      </c>
      <c r="AD2" s="3" t="inlineStr">
        <is>
          <t xml:space="preserve">Keep contribution to combined book return</t>
        </is>
      </c>
      <c r="AE2" s="3" t="inlineStr">
        <is>
          <t xml:space="preserve">Combined books return in underlying</t>
        </is>
      </c>
      <c r="AF2" s="3" t="inlineStr">
        <is>
          <t xml:space="preserve">Reconstructed total daily return</t>
        </is>
      </c>
      <c r="AG2" s="3" t="inlineStr">
        <is>
          <t xml:space="preserve">Underlying/book return difference</t>
        </is>
      </c>
      <c r="AH2" s="3" t="inlineStr">
        <is>
          <t xml:space="preserve">Lease book interval P&amp;L</t>
        </is>
      </c>
      <c r="AI2" s="3" t="inlineStr">
        <is>
          <t xml:space="preserve">Keep book interval P&amp;L</t>
        </is>
      </c>
      <c r="AJ2" s="3" t="inlineStr">
        <is>
          <t xml:space="preserve">Lease internal transfer check</t>
        </is>
      </c>
      <c r="AK2" s="3" t="inlineStr">
        <is>
          <t xml:space="preserve">Keep internal transfer check</t>
        </is>
      </c>
      <c r="AL2" s="3" t="inlineStr">
        <is>
          <t xml:space="preserve">Lease external/rebalancing transfer</t>
        </is>
      </c>
      <c r="AM2" s="3" t="inlineStr">
        <is>
          <t xml:space="preserve">Keep external/rebalancing transfer</t>
        </is>
      </c>
      <c r="AN2" s="3" t="inlineStr">
        <is>
          <t xml:space="preserve">Lease opening value</t>
        </is>
      </c>
      <c r="AO2" s="3" t="inlineStr">
        <is>
          <t xml:space="preserve">Lease accumulated P&amp;L</t>
        </is>
      </c>
      <c r="AP2" s="3" t="inlineStr">
        <is>
          <t xml:space="preserve">Lease accumulated external transfers</t>
        </is>
      </c>
      <c r="AQ2" s="3" t="inlineStr">
        <is>
          <t xml:space="preserve">Lease book end — roll-forward</t>
        </is>
      </c>
      <c r="AR2" s="3" t="inlineStr">
        <is>
          <t xml:space="preserve">Lease holdings vs roll-forward difference</t>
        </is>
      </c>
      <c r="AS2" s="3" t="inlineStr">
        <is>
          <t xml:space="preserve">Keep opening value</t>
        </is>
      </c>
      <c r="AT2" s="3" t="inlineStr">
        <is>
          <t xml:space="preserve">Keep accumulated P&amp;L</t>
        </is>
      </c>
      <c r="AU2" s="3" t="inlineStr">
        <is>
          <t xml:space="preserve">Keep accumulated external transfers</t>
        </is>
      </c>
      <c r="AV2" s="3" t="inlineStr">
        <is>
          <t xml:space="preserve">Keep book end — roll-forward</t>
        </is>
      </c>
      <c r="AW2" s="3" t="inlineStr">
        <is>
          <t xml:space="preserve">Keep holdings vs roll-forward difference</t>
        </is>
      </c>
      <c r="AX2" s="3" t="inlineStr">
        <is>
          <t xml:space="preserve">Lease book start — engine audit</t>
        </is>
      </c>
      <c r="AY2" s="3" t="inlineStr">
        <is>
          <t xml:space="preserve">Lease book end — engine audit</t>
        </is>
      </c>
      <c r="AZ2" s="3" t="inlineStr">
        <is>
          <t xml:space="preserve">Lease book engine audit difference</t>
        </is>
      </c>
      <c r="BA2" s="3" t="inlineStr">
        <is>
          <t xml:space="preserve">Keep book start — engine audit</t>
        </is>
      </c>
      <c r="BB2" s="3" t="inlineStr">
        <is>
          <t xml:space="preserve">Keep book end — engine audit</t>
        </is>
      </c>
      <c r="BC2" s="3" t="inlineStr">
        <is>
          <t xml:space="preserve">Keep book engine audit difference</t>
        </is>
      </c>
      <c r="BD2" s="3" t="inlineStr">
        <is>
          <t xml:space="preserve">Direct gross price contribution</t>
        </is>
      </c>
      <c r="BE2" s="3" t="inlineStr">
        <is>
          <t xml:space="preserve">Holding expense contribution</t>
        </is>
      </c>
      <c r="BF2" s="3" t="inlineStr">
        <is>
          <t xml:space="preserve">Direct/replicating net contribution</t>
        </is>
      </c>
      <c r="BG2" s="3" t="inlineStr">
        <is>
          <t xml:space="preserve">Direct decomposition difference</t>
        </is>
      </c>
      <c r="BH2" s="3" t="inlineStr">
        <is>
          <t xml:space="preserve">Treasury contribution</t>
        </is>
      </c>
      <c r="BI2" s="3" t="inlineStr">
        <is>
          <t xml:space="preserve">Futures contribution</t>
        </is>
      </c>
      <c r="BJ2" s="3" t="inlineStr">
        <is>
          <t xml:space="preserve">Cash/financing contribution</t>
        </is>
      </c>
      <c r="BK2" s="3" t="inlineStr">
        <is>
          <t xml:space="preserve">Detailed contribution sum</t>
        </is>
      </c>
      <c r="BL2" s="3" t="inlineStr">
        <is>
          <t xml:space="preserve">Detailed return difference</t>
        </is>
      </c>
      <c r="BM2" s="3" t="inlineStr">
        <is>
          <t xml:space="preserve">Maximum holding P&amp;L formula difference</t>
        </is>
      </c>
      <c r="BN2" s="3" t="inlineStr">
        <is>
          <t xml:space="preserve">Actual holding count</t>
        </is>
      </c>
      <c r="BO2" s="3" t="inlineStr">
        <is>
          <t xml:space="preserve">Name</t>
        </is>
      </c>
      <c r="BP2" s="3" t="inlineStr">
        <is>
          <t xml:space="preserve">Type</t>
        </is>
      </c>
      <c r="BQ2" s="3" t="inlineStr">
        <is>
          <t xml:space="preserve">Book</t>
        </is>
      </c>
      <c r="BR2" s="3" t="inlineStr">
        <is>
          <t xml:space="preserve">Side</t>
        </is>
      </c>
      <c r="BS2" s="3" t="inlineStr">
        <is>
          <t xml:space="preserve">Contract type</t>
        </is>
      </c>
      <c r="BT2" s="3" t="inlineStr">
        <is>
          <t xml:space="preserve">Start price</t>
        </is>
      </c>
      <c r="BU2" s="3" t="inlineStr">
        <is>
          <t xml:space="preserve">End price</t>
        </is>
      </c>
      <c r="BV2" s="3" t="inlineStr">
        <is>
          <t xml:space="preserve">Annual expense rate</t>
        </is>
      </c>
      <c r="BW2" s="3" t="inlineStr">
        <is>
          <t xml:space="preserve">Start quantity / units</t>
        </is>
      </c>
      <c r="BX2" s="3" t="inlineStr">
        <is>
          <t xml:space="preserve">Units expensed</t>
        </is>
      </c>
      <c r="BY2" s="3" t="inlineStr">
        <is>
          <t xml:space="preserve">End quantity / units</t>
        </is>
      </c>
      <c r="BZ2" s="3" t="inlineStr">
        <is>
          <t xml:space="preserve">Position (% NAV)</t>
        </is>
      </c>
      <c r="CA2" s="3" t="inlineStr">
        <is>
          <t xml:space="preserve">Value / notional</t>
        </is>
      </c>
      <c r="CB2" s="3" t="inlineStr">
        <is>
          <t xml:space="preserve">Start value</t>
        </is>
      </c>
      <c r="CC2" s="3" t="inlineStr">
        <is>
          <t xml:space="preserve">Gross P&amp;L before expense</t>
        </is>
      </c>
      <c r="CD2" s="3" t="inlineStr">
        <is>
          <t xml:space="preserve">Holding expense</t>
        </is>
      </c>
      <c r="CE2" s="3" t="inlineStr">
        <is>
          <t xml:space="preserve">Economic P&amp;L</t>
        </is>
      </c>
      <c r="CF2" s="3" t="inlineStr">
        <is>
          <t xml:space="preserve">Source economic P&amp;L</t>
        </is>
      </c>
      <c r="CG2" s="3" t="inlineStr">
        <is>
          <t xml:space="preserve">P&amp;L formula difference</t>
        </is>
      </c>
      <c r="CH2" s="3" t="inlineStr">
        <is>
          <t xml:space="preserve">Internal transfer</t>
        </is>
      </c>
      <c r="CI2" s="3" t="inlineStr">
        <is>
          <t xml:space="preserve">End value</t>
        </is>
      </c>
      <c r="CJ2" s="3" t="inlineStr">
        <is>
          <t xml:space="preserve">Spot price — start</t>
        </is>
      </c>
      <c r="CK2" s="3" t="inlineStr">
        <is>
          <t xml:space="preserve">Spot price — end</t>
        </is>
      </c>
      <c r="CL2" s="3" t="inlineStr">
        <is>
          <t xml:space="preserve">Premium</t>
        </is>
      </c>
      <c r="CM2" s="3" t="inlineStr">
        <is>
          <t xml:space="preserve">Matched USD rate</t>
        </is>
      </c>
      <c r="CN2" s="3" t="inlineStr">
        <is>
          <t xml:space="preserve">Lease rate</t>
        </is>
      </c>
      <c r="CO2" s="3" t="inlineStr">
        <is>
          <t xml:space="preserve">Maturity (days)</t>
        </is>
      </c>
      <c r="CP2" s="3" t="inlineStr">
        <is>
          <t xml:space="preserve">Return contribution</t>
        </is>
      </c>
      <c r="CQ2" s="3" t="inlineStr">
        <is>
          <t xml:space="preserve">Name</t>
        </is>
      </c>
      <c r="CR2" s="3" t="inlineStr">
        <is>
          <t xml:space="preserve">Type</t>
        </is>
      </c>
      <c r="CS2" s="3" t="inlineStr">
        <is>
          <t xml:space="preserve">Book</t>
        </is>
      </c>
      <c r="CT2" s="3" t="inlineStr">
        <is>
          <t xml:space="preserve">Side</t>
        </is>
      </c>
      <c r="CU2" s="3" t="inlineStr">
        <is>
          <t xml:space="preserve">Contract type</t>
        </is>
      </c>
      <c r="CV2" s="3" t="inlineStr">
        <is>
          <t xml:space="preserve">Start price</t>
        </is>
      </c>
      <c r="CW2" s="3" t="inlineStr">
        <is>
          <t xml:space="preserve">End price</t>
        </is>
      </c>
      <c r="CX2" s="3" t="inlineStr">
        <is>
          <t xml:space="preserve">Annual expense rate</t>
        </is>
      </c>
      <c r="CY2" s="3" t="inlineStr">
        <is>
          <t xml:space="preserve">Start quantity / units</t>
        </is>
      </c>
      <c r="CZ2" s="3" t="inlineStr">
        <is>
          <t xml:space="preserve">Units expensed</t>
        </is>
      </c>
      <c r="DA2" s="3" t="inlineStr">
        <is>
          <t xml:space="preserve">End quantity / units</t>
        </is>
      </c>
      <c r="DB2" s="3" t="inlineStr">
        <is>
          <t xml:space="preserve">Position (% NAV)</t>
        </is>
      </c>
      <c r="DC2" s="3" t="inlineStr">
        <is>
          <t xml:space="preserve">Value / notional</t>
        </is>
      </c>
      <c r="DD2" s="3" t="inlineStr">
        <is>
          <t xml:space="preserve">Start value</t>
        </is>
      </c>
      <c r="DE2" s="3" t="inlineStr">
        <is>
          <t xml:space="preserve">Gross P&amp;L before expense</t>
        </is>
      </c>
      <c r="DF2" s="3" t="inlineStr">
        <is>
          <t xml:space="preserve">Holding expense</t>
        </is>
      </c>
      <c r="DG2" s="3" t="inlineStr">
        <is>
          <t xml:space="preserve">Economic P&amp;L</t>
        </is>
      </c>
      <c r="DH2" s="3" t="inlineStr">
        <is>
          <t xml:space="preserve">Source economic P&amp;L</t>
        </is>
      </c>
      <c r="DI2" s="3" t="inlineStr">
        <is>
          <t xml:space="preserve">P&amp;L formula difference</t>
        </is>
      </c>
      <c r="DJ2" s="3" t="inlineStr">
        <is>
          <t xml:space="preserve">Internal transfer</t>
        </is>
      </c>
      <c r="DK2" s="3" t="inlineStr">
        <is>
          <t xml:space="preserve">End value</t>
        </is>
      </c>
      <c r="DL2" s="3" t="inlineStr">
        <is>
          <t xml:space="preserve">Spot price — start</t>
        </is>
      </c>
      <c r="DM2" s="3" t="inlineStr">
        <is>
          <t xml:space="preserve">Spot price — end</t>
        </is>
      </c>
      <c r="DN2" s="3" t="inlineStr">
        <is>
          <t xml:space="preserve">Premium</t>
        </is>
      </c>
      <c r="DO2" s="3" t="inlineStr">
        <is>
          <t xml:space="preserve">Matched USD rate</t>
        </is>
      </c>
      <c r="DP2" s="3" t="inlineStr">
        <is>
          <t xml:space="preserve">Lease rate</t>
        </is>
      </c>
      <c r="DQ2" s="3" t="inlineStr">
        <is>
          <t xml:space="preserve">Maturity (days)</t>
        </is>
      </c>
      <c r="DR2" s="3" t="inlineStr">
        <is>
          <t xml:space="preserve">Return contribution</t>
        </is>
      </c>
      <c r="DS2" s="3" t="inlineStr">
        <is>
          <t xml:space="preserve">Name</t>
        </is>
      </c>
      <c r="DT2" s="3" t="inlineStr">
        <is>
          <t xml:space="preserve">Type</t>
        </is>
      </c>
      <c r="DU2" s="3" t="inlineStr">
        <is>
          <t xml:space="preserve">Book</t>
        </is>
      </c>
      <c r="DV2" s="3" t="inlineStr">
        <is>
          <t xml:space="preserve">Side</t>
        </is>
      </c>
      <c r="DW2" s="3" t="inlineStr">
        <is>
          <t xml:space="preserve">Contract type</t>
        </is>
      </c>
      <c r="DX2" s="3" t="inlineStr">
        <is>
          <t xml:space="preserve">Start price</t>
        </is>
      </c>
      <c r="DY2" s="3" t="inlineStr">
        <is>
          <t xml:space="preserve">End price</t>
        </is>
      </c>
      <c r="DZ2" s="3" t="inlineStr">
        <is>
          <t xml:space="preserve">Annual expense rate</t>
        </is>
      </c>
      <c r="EA2" s="3" t="inlineStr">
        <is>
          <t xml:space="preserve">Start quantity / units</t>
        </is>
      </c>
      <c r="EB2" s="3" t="inlineStr">
        <is>
          <t xml:space="preserve">Units expensed</t>
        </is>
      </c>
      <c r="EC2" s="3" t="inlineStr">
        <is>
          <t xml:space="preserve">End quantity / units</t>
        </is>
      </c>
      <c r="ED2" s="3" t="inlineStr">
        <is>
          <t xml:space="preserve">Position (% NAV)</t>
        </is>
      </c>
      <c r="EE2" s="3" t="inlineStr">
        <is>
          <t xml:space="preserve">Value / notional</t>
        </is>
      </c>
      <c r="EF2" s="3" t="inlineStr">
        <is>
          <t xml:space="preserve">Start value</t>
        </is>
      </c>
      <c r="EG2" s="3" t="inlineStr">
        <is>
          <t xml:space="preserve">Gross P&amp;L before expense</t>
        </is>
      </c>
      <c r="EH2" s="3" t="inlineStr">
        <is>
          <t xml:space="preserve">Holding expense</t>
        </is>
      </c>
      <c r="EI2" s="3" t="inlineStr">
        <is>
          <t xml:space="preserve">Economic P&amp;L</t>
        </is>
      </c>
      <c r="EJ2" s="3" t="inlineStr">
        <is>
          <t xml:space="preserve">Source economic P&amp;L</t>
        </is>
      </c>
      <c r="EK2" s="3" t="inlineStr">
        <is>
          <t xml:space="preserve">P&amp;L formula difference</t>
        </is>
      </c>
      <c r="EL2" s="3" t="inlineStr">
        <is>
          <t xml:space="preserve">Internal transfer</t>
        </is>
      </c>
      <c r="EM2" s="3" t="inlineStr">
        <is>
          <t xml:space="preserve">End value</t>
        </is>
      </c>
      <c r="EN2" s="3" t="inlineStr">
        <is>
          <t xml:space="preserve">Spot price — start</t>
        </is>
      </c>
      <c r="EO2" s="3" t="inlineStr">
        <is>
          <t xml:space="preserve">Spot price — end</t>
        </is>
      </c>
      <c r="EP2" s="3" t="inlineStr">
        <is>
          <t xml:space="preserve">Premium</t>
        </is>
      </c>
      <c r="EQ2" s="3" t="inlineStr">
        <is>
          <t xml:space="preserve">Matched USD rate</t>
        </is>
      </c>
      <c r="ER2" s="3" t="inlineStr">
        <is>
          <t xml:space="preserve">Lease rate</t>
        </is>
      </c>
      <c r="ES2" s="3" t="inlineStr">
        <is>
          <t xml:space="preserve">Maturity (days)</t>
        </is>
      </c>
      <c r="ET2" s="3" t="inlineStr">
        <is>
          <t xml:space="preserve">Return contribution</t>
        </is>
      </c>
      <c r="EU2" s="3" t="inlineStr">
        <is>
          <t xml:space="preserve">Name</t>
        </is>
      </c>
      <c r="EV2" s="3" t="inlineStr">
        <is>
          <t xml:space="preserve">Type</t>
        </is>
      </c>
      <c r="EW2" s="3" t="inlineStr">
        <is>
          <t xml:space="preserve">Book</t>
        </is>
      </c>
      <c r="EX2" s="3" t="inlineStr">
        <is>
          <t xml:space="preserve">Side</t>
        </is>
      </c>
      <c r="EY2" s="3" t="inlineStr">
        <is>
          <t xml:space="preserve">Contract type</t>
        </is>
      </c>
      <c r="EZ2" s="3" t="inlineStr">
        <is>
          <t xml:space="preserve">Start price</t>
        </is>
      </c>
      <c r="FA2" s="3" t="inlineStr">
        <is>
          <t xml:space="preserve">End price</t>
        </is>
      </c>
      <c r="FB2" s="3" t="inlineStr">
        <is>
          <t xml:space="preserve">Annual expense rate</t>
        </is>
      </c>
      <c r="FC2" s="3" t="inlineStr">
        <is>
          <t xml:space="preserve">Start quantity / units</t>
        </is>
      </c>
      <c r="FD2" s="3" t="inlineStr">
        <is>
          <t xml:space="preserve">Units expensed</t>
        </is>
      </c>
      <c r="FE2" s="3" t="inlineStr">
        <is>
          <t xml:space="preserve">End quantity / units</t>
        </is>
      </c>
      <c r="FF2" s="3" t="inlineStr">
        <is>
          <t xml:space="preserve">Position (% NAV)</t>
        </is>
      </c>
      <c r="FG2" s="3" t="inlineStr">
        <is>
          <t xml:space="preserve">Value / notional</t>
        </is>
      </c>
      <c r="FH2" s="3" t="inlineStr">
        <is>
          <t xml:space="preserve">Start value</t>
        </is>
      </c>
      <c r="FI2" s="3" t="inlineStr">
        <is>
          <t xml:space="preserve">Gross P&amp;L before expense</t>
        </is>
      </c>
      <c r="FJ2" s="3" t="inlineStr">
        <is>
          <t xml:space="preserve">Holding expense</t>
        </is>
      </c>
      <c r="FK2" s="3" t="inlineStr">
        <is>
          <t xml:space="preserve">Economic P&amp;L</t>
        </is>
      </c>
      <c r="FL2" s="3" t="inlineStr">
        <is>
          <t xml:space="preserve">Source economic P&amp;L</t>
        </is>
      </c>
      <c r="FM2" s="3" t="inlineStr">
        <is>
          <t xml:space="preserve">P&amp;L formula difference</t>
        </is>
      </c>
      <c r="FN2" s="3" t="inlineStr">
        <is>
          <t xml:space="preserve">Internal transfer</t>
        </is>
      </c>
      <c r="FO2" s="3" t="inlineStr">
        <is>
          <t xml:space="preserve">End value</t>
        </is>
      </c>
      <c r="FP2" s="3" t="inlineStr">
        <is>
          <t xml:space="preserve">Spot price — start</t>
        </is>
      </c>
      <c r="FQ2" s="3" t="inlineStr">
        <is>
          <t xml:space="preserve">Spot price — end</t>
        </is>
      </c>
      <c r="FR2" s="3" t="inlineStr">
        <is>
          <t xml:space="preserve">Premium</t>
        </is>
      </c>
      <c r="FS2" s="3" t="inlineStr">
        <is>
          <t xml:space="preserve">Matched USD rate</t>
        </is>
      </c>
      <c r="FT2" s="3" t="inlineStr">
        <is>
          <t xml:space="preserve">Lease rate</t>
        </is>
      </c>
      <c r="FU2" s="3" t="inlineStr">
        <is>
          <t xml:space="preserve">Maturity (days)</t>
        </is>
      </c>
      <c r="FV2" s="3" t="inlineStr">
        <is>
          <t xml:space="preserve">Return contribution</t>
        </is>
      </c>
      <c r="FW2" s="3" t="inlineStr">
        <is>
          <t xml:space="preserve">Name</t>
        </is>
      </c>
      <c r="FX2" s="3" t="inlineStr">
        <is>
          <t xml:space="preserve">Type</t>
        </is>
      </c>
      <c r="FY2" s="3" t="inlineStr">
        <is>
          <t xml:space="preserve">Book</t>
        </is>
      </c>
      <c r="FZ2" s="3" t="inlineStr">
        <is>
          <t xml:space="preserve">Side</t>
        </is>
      </c>
      <c r="GA2" s="3" t="inlineStr">
        <is>
          <t xml:space="preserve">Contract type</t>
        </is>
      </c>
      <c r="GB2" s="3" t="inlineStr">
        <is>
          <t xml:space="preserve">Start price</t>
        </is>
      </c>
      <c r="GC2" s="3" t="inlineStr">
        <is>
          <t xml:space="preserve">End price</t>
        </is>
      </c>
      <c r="GD2" s="3" t="inlineStr">
        <is>
          <t xml:space="preserve">Annual expense rate</t>
        </is>
      </c>
      <c r="GE2" s="3" t="inlineStr">
        <is>
          <t xml:space="preserve">Start quantity / units</t>
        </is>
      </c>
      <c r="GF2" s="3" t="inlineStr">
        <is>
          <t xml:space="preserve">Units expensed</t>
        </is>
      </c>
      <c r="GG2" s="3" t="inlineStr">
        <is>
          <t xml:space="preserve">End quantity / units</t>
        </is>
      </c>
      <c r="GH2" s="3" t="inlineStr">
        <is>
          <t xml:space="preserve">Position (% NAV)</t>
        </is>
      </c>
      <c r="GI2" s="3" t="inlineStr">
        <is>
          <t xml:space="preserve">Value / notional</t>
        </is>
      </c>
      <c r="GJ2" s="3" t="inlineStr">
        <is>
          <t xml:space="preserve">Start value</t>
        </is>
      </c>
      <c r="GK2" s="3" t="inlineStr">
        <is>
          <t xml:space="preserve">Gross P&amp;L before expense</t>
        </is>
      </c>
      <c r="GL2" s="3" t="inlineStr">
        <is>
          <t xml:space="preserve">Holding expense</t>
        </is>
      </c>
      <c r="GM2" s="3" t="inlineStr">
        <is>
          <t xml:space="preserve">Economic P&amp;L</t>
        </is>
      </c>
      <c r="GN2" s="3" t="inlineStr">
        <is>
          <t xml:space="preserve">Source economic P&amp;L</t>
        </is>
      </c>
      <c r="GO2" s="3" t="inlineStr">
        <is>
          <t xml:space="preserve">P&amp;L formula difference</t>
        </is>
      </c>
      <c r="GP2" s="3" t="inlineStr">
        <is>
          <t xml:space="preserve">Internal transfer</t>
        </is>
      </c>
      <c r="GQ2" s="3" t="inlineStr">
        <is>
          <t xml:space="preserve">End value</t>
        </is>
      </c>
      <c r="GR2" s="3" t="inlineStr">
        <is>
          <t xml:space="preserve">Spot price — start</t>
        </is>
      </c>
      <c r="GS2" s="3" t="inlineStr">
        <is>
          <t xml:space="preserve">Spot price — end</t>
        </is>
      </c>
      <c r="GT2" s="3" t="inlineStr">
        <is>
          <t xml:space="preserve">Premium</t>
        </is>
      </c>
      <c r="GU2" s="3" t="inlineStr">
        <is>
          <t xml:space="preserve">Matched USD rate</t>
        </is>
      </c>
      <c r="GV2" s="3" t="inlineStr">
        <is>
          <t xml:space="preserve">Lease rate</t>
        </is>
      </c>
      <c r="GW2" s="3" t="inlineStr">
        <is>
          <t xml:space="preserve">Maturity (days)</t>
        </is>
      </c>
      <c r="GX2" s="3" t="inlineStr">
        <is>
          <t xml:space="preserve">Return contribution</t>
        </is>
      </c>
      <c r="GY2" s="3" t="inlineStr">
        <is>
          <t xml:space="preserve">Name</t>
        </is>
      </c>
      <c r="GZ2" s="3" t="inlineStr">
        <is>
          <t xml:space="preserve">Type</t>
        </is>
      </c>
      <c r="HA2" s="3" t="inlineStr">
        <is>
          <t xml:space="preserve">Book</t>
        </is>
      </c>
      <c r="HB2" s="3" t="inlineStr">
        <is>
          <t xml:space="preserve">Side</t>
        </is>
      </c>
      <c r="HC2" s="3" t="inlineStr">
        <is>
          <t xml:space="preserve">Contract type</t>
        </is>
      </c>
      <c r="HD2" s="3" t="inlineStr">
        <is>
          <t xml:space="preserve">Start price</t>
        </is>
      </c>
      <c r="HE2" s="3" t="inlineStr">
        <is>
          <t xml:space="preserve">End price</t>
        </is>
      </c>
      <c r="HF2" s="3" t="inlineStr">
        <is>
          <t xml:space="preserve">Annual expense rate</t>
        </is>
      </c>
      <c r="HG2" s="3" t="inlineStr">
        <is>
          <t xml:space="preserve">Start quantity / units</t>
        </is>
      </c>
      <c r="HH2" s="3" t="inlineStr">
        <is>
          <t xml:space="preserve">Units expensed</t>
        </is>
      </c>
      <c r="HI2" s="3" t="inlineStr">
        <is>
          <t xml:space="preserve">End quantity / units</t>
        </is>
      </c>
      <c r="HJ2" s="3" t="inlineStr">
        <is>
          <t xml:space="preserve">Position (% NAV)</t>
        </is>
      </c>
      <c r="HK2" s="3" t="inlineStr">
        <is>
          <t xml:space="preserve">Value / notional</t>
        </is>
      </c>
      <c r="HL2" s="3" t="inlineStr">
        <is>
          <t xml:space="preserve">Start value</t>
        </is>
      </c>
      <c r="HM2" s="3" t="inlineStr">
        <is>
          <t xml:space="preserve">Gross P&amp;L before expense</t>
        </is>
      </c>
      <c r="HN2" s="3" t="inlineStr">
        <is>
          <t xml:space="preserve">Holding expense</t>
        </is>
      </c>
      <c r="HO2" s="3" t="inlineStr">
        <is>
          <t xml:space="preserve">Economic P&amp;L</t>
        </is>
      </c>
      <c r="HP2" s="3" t="inlineStr">
        <is>
          <t xml:space="preserve">Source economic P&amp;L</t>
        </is>
      </c>
      <c r="HQ2" s="3" t="inlineStr">
        <is>
          <t xml:space="preserve">P&amp;L formula difference</t>
        </is>
      </c>
      <c r="HR2" s="3" t="inlineStr">
        <is>
          <t xml:space="preserve">Internal transfer</t>
        </is>
      </c>
      <c r="HS2" s="3" t="inlineStr">
        <is>
          <t xml:space="preserve">End value</t>
        </is>
      </c>
      <c r="HT2" s="3" t="inlineStr">
        <is>
          <t xml:space="preserve">Spot price — start</t>
        </is>
      </c>
      <c r="HU2" s="3" t="inlineStr">
        <is>
          <t xml:space="preserve">Spot price — end</t>
        </is>
      </c>
      <c r="HV2" s="3" t="inlineStr">
        <is>
          <t xml:space="preserve">Premium</t>
        </is>
      </c>
      <c r="HW2" s="3" t="inlineStr">
        <is>
          <t xml:space="preserve">Matched USD rate</t>
        </is>
      </c>
      <c r="HX2" s="3" t="inlineStr">
        <is>
          <t xml:space="preserve">Lease rate</t>
        </is>
      </c>
      <c r="HY2" s="3" t="inlineStr">
        <is>
          <t xml:space="preserve">Maturity (days)</t>
        </is>
      </c>
      <c r="HZ2" s="3" t="inlineStr">
        <is>
          <t xml:space="preserve">Return contribution</t>
        </is>
      </c>
      <c r="IA2" s="3" t="inlineStr">
        <is>
          <t xml:space="preserve">Name</t>
        </is>
      </c>
      <c r="IB2" s="3" t="inlineStr">
        <is>
          <t xml:space="preserve">Type</t>
        </is>
      </c>
      <c r="IC2" s="3" t="inlineStr">
        <is>
          <t xml:space="preserve">Book</t>
        </is>
      </c>
      <c r="ID2" s="3" t="inlineStr">
        <is>
          <t xml:space="preserve">Side</t>
        </is>
      </c>
      <c r="IE2" s="3" t="inlineStr">
        <is>
          <t xml:space="preserve">Contract type</t>
        </is>
      </c>
      <c r="IF2" s="3" t="inlineStr">
        <is>
          <t xml:space="preserve">Start price</t>
        </is>
      </c>
      <c r="IG2" s="3" t="inlineStr">
        <is>
          <t xml:space="preserve">End price</t>
        </is>
      </c>
      <c r="IH2" s="3" t="inlineStr">
        <is>
          <t xml:space="preserve">Annual expense rate</t>
        </is>
      </c>
      <c r="II2" s="3" t="inlineStr">
        <is>
          <t xml:space="preserve">Start quantity / units</t>
        </is>
      </c>
      <c r="IJ2" s="3" t="inlineStr">
        <is>
          <t xml:space="preserve">Units expensed</t>
        </is>
      </c>
      <c r="IK2" s="3" t="inlineStr">
        <is>
          <t xml:space="preserve">End quantity / units</t>
        </is>
      </c>
      <c r="IL2" s="3" t="inlineStr">
        <is>
          <t xml:space="preserve">Position (% NAV)</t>
        </is>
      </c>
      <c r="IM2" s="3" t="inlineStr">
        <is>
          <t xml:space="preserve">Value / notional</t>
        </is>
      </c>
      <c r="IN2" s="3" t="inlineStr">
        <is>
          <t xml:space="preserve">Start value</t>
        </is>
      </c>
      <c r="IO2" s="3" t="inlineStr">
        <is>
          <t xml:space="preserve">Gross P&amp;L before expense</t>
        </is>
      </c>
      <c r="IP2" s="3" t="inlineStr">
        <is>
          <t xml:space="preserve">Holding expense</t>
        </is>
      </c>
      <c r="IQ2" s="3" t="inlineStr">
        <is>
          <t xml:space="preserve">Economic P&amp;L</t>
        </is>
      </c>
      <c r="IR2" s="3" t="inlineStr">
        <is>
          <t xml:space="preserve">Source economic P&amp;L</t>
        </is>
      </c>
      <c r="IS2" s="3" t="inlineStr">
        <is>
          <t xml:space="preserve">P&amp;L formula difference</t>
        </is>
      </c>
      <c r="IT2" s="3" t="inlineStr">
        <is>
          <t xml:space="preserve">Internal transfer</t>
        </is>
      </c>
      <c r="IU2" s="3" t="inlineStr">
        <is>
          <t xml:space="preserve">End value</t>
        </is>
      </c>
      <c r="IV2" s="3" t="inlineStr">
        <is>
          <t xml:space="preserve">Spot price — start</t>
        </is>
      </c>
      <c r="IW2" s="3" t="inlineStr">
        <is>
          <t xml:space="preserve">Spot price — end</t>
        </is>
      </c>
      <c r="IX2" s="3" t="inlineStr">
        <is>
          <t xml:space="preserve">Premium</t>
        </is>
      </c>
      <c r="IY2" s="3" t="inlineStr">
        <is>
          <t xml:space="preserve">Matched USD rate</t>
        </is>
      </c>
      <c r="IZ2" s="3" t="inlineStr">
        <is>
          <t xml:space="preserve">Lease rate</t>
        </is>
      </c>
      <c r="JA2" s="3" t="inlineStr">
        <is>
          <t xml:space="preserve">Maturity (days)</t>
        </is>
      </c>
      <c r="JB2" s="3" t="inlineStr">
        <is>
          <t xml:space="preserve">Return contribution</t>
        </is>
      </c>
      <c r="JC2" s="3" t="inlineStr">
        <is>
          <t xml:space="preserve">Name</t>
        </is>
      </c>
      <c r="JD2" s="3" t="inlineStr">
        <is>
          <t xml:space="preserve">Type</t>
        </is>
      </c>
      <c r="JE2" s="3" t="inlineStr">
        <is>
          <t xml:space="preserve">Book</t>
        </is>
      </c>
      <c r="JF2" s="3" t="inlineStr">
        <is>
          <t xml:space="preserve">Side</t>
        </is>
      </c>
      <c r="JG2" s="3" t="inlineStr">
        <is>
          <t xml:space="preserve">Contract type</t>
        </is>
      </c>
      <c r="JH2" s="3" t="inlineStr">
        <is>
          <t xml:space="preserve">Start price</t>
        </is>
      </c>
      <c r="JI2" s="3" t="inlineStr">
        <is>
          <t xml:space="preserve">End price</t>
        </is>
      </c>
      <c r="JJ2" s="3" t="inlineStr">
        <is>
          <t xml:space="preserve">Annual expense rate</t>
        </is>
      </c>
      <c r="JK2" s="3" t="inlineStr">
        <is>
          <t xml:space="preserve">Start quantity / units</t>
        </is>
      </c>
      <c r="JL2" s="3" t="inlineStr">
        <is>
          <t xml:space="preserve">Units expensed</t>
        </is>
      </c>
      <c r="JM2" s="3" t="inlineStr">
        <is>
          <t xml:space="preserve">End quantity / units</t>
        </is>
      </c>
      <c r="JN2" s="3" t="inlineStr">
        <is>
          <t xml:space="preserve">Position (% NAV)</t>
        </is>
      </c>
      <c r="JO2" s="3" t="inlineStr">
        <is>
          <t xml:space="preserve">Value / notional</t>
        </is>
      </c>
      <c r="JP2" s="3" t="inlineStr">
        <is>
          <t xml:space="preserve">Start value</t>
        </is>
      </c>
      <c r="JQ2" s="3" t="inlineStr">
        <is>
          <t xml:space="preserve">Gross P&amp;L before expense</t>
        </is>
      </c>
      <c r="JR2" s="3" t="inlineStr">
        <is>
          <t xml:space="preserve">Holding expense</t>
        </is>
      </c>
      <c r="JS2" s="3" t="inlineStr">
        <is>
          <t xml:space="preserve">Economic P&amp;L</t>
        </is>
      </c>
      <c r="JT2" s="3" t="inlineStr">
        <is>
          <t xml:space="preserve">Source economic P&amp;L</t>
        </is>
      </c>
      <c r="JU2" s="3" t="inlineStr">
        <is>
          <t xml:space="preserve">P&amp;L formula difference</t>
        </is>
      </c>
      <c r="JV2" s="3" t="inlineStr">
        <is>
          <t xml:space="preserve">Internal transfer</t>
        </is>
      </c>
      <c r="JW2" s="3" t="inlineStr">
        <is>
          <t xml:space="preserve">End value</t>
        </is>
      </c>
      <c r="JX2" s="3" t="inlineStr">
        <is>
          <t xml:space="preserve">Spot price — start</t>
        </is>
      </c>
      <c r="JY2" s="3" t="inlineStr">
        <is>
          <t xml:space="preserve">Spot price — end</t>
        </is>
      </c>
      <c r="JZ2" s="3" t="inlineStr">
        <is>
          <t xml:space="preserve">Premium</t>
        </is>
      </c>
      <c r="KA2" s="3" t="inlineStr">
        <is>
          <t xml:space="preserve">Matched USD rate</t>
        </is>
      </c>
      <c r="KB2" s="3" t="inlineStr">
        <is>
          <t xml:space="preserve">Lease rate</t>
        </is>
      </c>
      <c r="KC2" s="3" t="inlineStr">
        <is>
          <t xml:space="preserve">Maturity (days)</t>
        </is>
      </c>
      <c r="KD2" s="3" t="inlineStr">
        <is>
          <t xml:space="preserve">Return contribution</t>
        </is>
      </c>
      <c r="KE2" s="3" t="inlineStr">
        <is>
          <t xml:space="preserve">Name</t>
        </is>
      </c>
      <c r="KF2" s="3" t="inlineStr">
        <is>
          <t xml:space="preserve">Type</t>
        </is>
      </c>
      <c r="KG2" s="3" t="inlineStr">
        <is>
          <t xml:space="preserve">Book</t>
        </is>
      </c>
      <c r="KH2" s="3" t="inlineStr">
        <is>
          <t xml:space="preserve">Side</t>
        </is>
      </c>
      <c r="KI2" s="3" t="inlineStr">
        <is>
          <t xml:space="preserve">Contract type</t>
        </is>
      </c>
      <c r="KJ2" s="3" t="inlineStr">
        <is>
          <t xml:space="preserve">Start price</t>
        </is>
      </c>
      <c r="KK2" s="3" t="inlineStr">
        <is>
          <t xml:space="preserve">End price</t>
        </is>
      </c>
      <c r="KL2" s="3" t="inlineStr">
        <is>
          <t xml:space="preserve">Annual expense rate</t>
        </is>
      </c>
      <c r="KM2" s="3" t="inlineStr">
        <is>
          <t xml:space="preserve">Start quantity / units</t>
        </is>
      </c>
      <c r="KN2" s="3" t="inlineStr">
        <is>
          <t xml:space="preserve">Units expensed</t>
        </is>
      </c>
      <c r="KO2" s="3" t="inlineStr">
        <is>
          <t xml:space="preserve">End quantity / units</t>
        </is>
      </c>
      <c r="KP2" s="3" t="inlineStr">
        <is>
          <t xml:space="preserve">Position (% NAV)</t>
        </is>
      </c>
      <c r="KQ2" s="3" t="inlineStr">
        <is>
          <t xml:space="preserve">Value / notional</t>
        </is>
      </c>
      <c r="KR2" s="3" t="inlineStr">
        <is>
          <t xml:space="preserve">Start value</t>
        </is>
      </c>
      <c r="KS2" s="3" t="inlineStr">
        <is>
          <t xml:space="preserve">Gross P&amp;L before expense</t>
        </is>
      </c>
      <c r="KT2" s="3" t="inlineStr">
        <is>
          <t xml:space="preserve">Holding expense</t>
        </is>
      </c>
      <c r="KU2" s="3" t="inlineStr">
        <is>
          <t xml:space="preserve">Economic P&amp;L</t>
        </is>
      </c>
      <c r="KV2" s="3" t="inlineStr">
        <is>
          <t xml:space="preserve">Source economic P&amp;L</t>
        </is>
      </c>
      <c r="KW2" s="3" t="inlineStr">
        <is>
          <t xml:space="preserve">P&amp;L formula difference</t>
        </is>
      </c>
      <c r="KX2" s="3" t="inlineStr">
        <is>
          <t xml:space="preserve">Internal transfer</t>
        </is>
      </c>
      <c r="KY2" s="3" t="inlineStr">
        <is>
          <t xml:space="preserve">End value</t>
        </is>
      </c>
      <c r="KZ2" s="3" t="inlineStr">
        <is>
          <t xml:space="preserve">Spot price — start</t>
        </is>
      </c>
      <c r="LA2" s="3" t="inlineStr">
        <is>
          <t xml:space="preserve">Spot price — end</t>
        </is>
      </c>
      <c r="LB2" s="3" t="inlineStr">
        <is>
          <t xml:space="preserve">Premium</t>
        </is>
      </c>
      <c r="LC2" s="3" t="inlineStr">
        <is>
          <t xml:space="preserve">Matched USD rate</t>
        </is>
      </c>
      <c r="LD2" s="3" t="inlineStr">
        <is>
          <t xml:space="preserve">Lease rate</t>
        </is>
      </c>
      <c r="LE2" s="3" t="inlineStr">
        <is>
          <t xml:space="preserve">Maturity (days)</t>
        </is>
      </c>
      <c r="LF2" s="3" t="inlineStr">
        <is>
          <t xml:space="preserve">Return contribution</t>
        </is>
      </c>
      <c r="LG2" s="3" t="inlineStr">
        <is>
          <t xml:space="preserve">Name</t>
        </is>
      </c>
      <c r="LH2" s="3" t="inlineStr">
        <is>
          <t xml:space="preserve">Type</t>
        </is>
      </c>
      <c r="LI2" s="3" t="inlineStr">
        <is>
          <t xml:space="preserve">Book</t>
        </is>
      </c>
      <c r="LJ2" s="3" t="inlineStr">
        <is>
          <t xml:space="preserve">Side</t>
        </is>
      </c>
      <c r="LK2" s="3" t="inlineStr">
        <is>
          <t xml:space="preserve">Contract type</t>
        </is>
      </c>
      <c r="LL2" s="3" t="inlineStr">
        <is>
          <t xml:space="preserve">Start price</t>
        </is>
      </c>
      <c r="LM2" s="3" t="inlineStr">
        <is>
          <t xml:space="preserve">End price</t>
        </is>
      </c>
      <c r="LN2" s="3" t="inlineStr">
        <is>
          <t xml:space="preserve">Annual expense rate</t>
        </is>
      </c>
      <c r="LO2" s="3" t="inlineStr">
        <is>
          <t xml:space="preserve">Start quantity / units</t>
        </is>
      </c>
      <c r="LP2" s="3" t="inlineStr">
        <is>
          <t xml:space="preserve">Units expensed</t>
        </is>
      </c>
      <c r="LQ2" s="3" t="inlineStr">
        <is>
          <t xml:space="preserve">End quantity / units</t>
        </is>
      </c>
      <c r="LR2" s="3" t="inlineStr">
        <is>
          <t xml:space="preserve">Position (% NAV)</t>
        </is>
      </c>
      <c r="LS2" s="3" t="inlineStr">
        <is>
          <t xml:space="preserve">Value / notional</t>
        </is>
      </c>
      <c r="LT2" s="3" t="inlineStr">
        <is>
          <t xml:space="preserve">Start value</t>
        </is>
      </c>
      <c r="LU2" s="3" t="inlineStr">
        <is>
          <t xml:space="preserve">Gross P&amp;L before expense</t>
        </is>
      </c>
      <c r="LV2" s="3" t="inlineStr">
        <is>
          <t xml:space="preserve">Holding expense</t>
        </is>
      </c>
      <c r="LW2" s="3" t="inlineStr">
        <is>
          <t xml:space="preserve">Economic P&amp;L</t>
        </is>
      </c>
      <c r="LX2" s="3" t="inlineStr">
        <is>
          <t xml:space="preserve">Source economic P&amp;L</t>
        </is>
      </c>
      <c r="LY2" s="3" t="inlineStr">
        <is>
          <t xml:space="preserve">P&amp;L formula difference</t>
        </is>
      </c>
      <c r="LZ2" s="3" t="inlineStr">
        <is>
          <t xml:space="preserve">Internal transfer</t>
        </is>
      </c>
      <c r="MA2" s="3" t="inlineStr">
        <is>
          <t xml:space="preserve">End value</t>
        </is>
      </c>
      <c r="MB2" s="3" t="inlineStr">
        <is>
          <t xml:space="preserve">Spot price — start</t>
        </is>
      </c>
      <c r="MC2" s="3" t="inlineStr">
        <is>
          <t xml:space="preserve">Spot price — end</t>
        </is>
      </c>
      <c r="MD2" s="3" t="inlineStr">
        <is>
          <t xml:space="preserve">Premium</t>
        </is>
      </c>
      <c r="ME2" s="3" t="inlineStr">
        <is>
          <t xml:space="preserve">Matched USD rate</t>
        </is>
      </c>
      <c r="MF2" s="3" t="inlineStr">
        <is>
          <t xml:space="preserve">Lease rate</t>
        </is>
      </c>
      <c r="MG2" s="3" t="inlineStr">
        <is>
          <t xml:space="preserve">Maturity (days)</t>
        </is>
      </c>
      <c r="MH2" s="3" t="inlineStr">
        <is>
          <t xml:space="preserve">Return contribution</t>
        </is>
      </c>
    </row>
    <row r="3">
      <c r="A3" s="8">
        <v>25205</v>
      </c>
      <c r="B3" s="8">
        <v>25206</v>
      </c>
      <c r="C3" s="9">
        <f>B3-A3</f>
        <v>1</v>
      </c>
      <c r="D3" s="8">
        <v>25205</v>
      </c>
      <c r="E3" t="inlineStr">
        <is>
          <t xml:space="preserve">positive</t>
        </is>
      </c>
      <c r="F3" s="4">
        <v>1</v>
      </c>
      <c r="G3" s="6">
        <v>0.00048216333609568326</v>
      </c>
      <c r="H3" s="7">
        <f>SUM(CP3,DR3,ET3,FV3,GX3,HZ3,JB3,KD3,LF3,MH3)</f>
        <v>0.00048216333609568326</v>
      </c>
      <c r="I3" s="7">
        <f>G3-H3</f>
        <v>0</v>
      </c>
      <c r="J3" s="5">
        <f>F3*(1+H3)</f>
        <v>1.0004821633360956</v>
      </c>
      <c r="K3" s="4">
        <v>1.0004821633360956</v>
      </c>
      <c r="L3" s="5">
        <f>K3-J3</f>
        <v>0</v>
      </c>
      <c r="M3" s="4">
        <v>1.958</v>
      </c>
      <c r="N3" s="4">
        <v>1.967</v>
      </c>
      <c r="O3" s="5">
        <f>M3/$M$3</f>
        <v>1</v>
      </c>
      <c r="P3" s="5">
        <f>N3/$M$3</f>
        <v>1.0045965270684372</v>
      </c>
      <c r="Q3" s="7">
        <f>IFERROR(N3/M3-1,0)</f>
        <v>0.004596527068437162</v>
      </c>
      <c r="R3" s="5">
        <f>SUM(IF(BQ3="lease",CB3,0),IF(CS3="lease",DD3,0),IF(DU3="lease",EF3,0),IF(EW3="lease",FH3,0),IF(FY3="lease",GJ3,0),IF(HA3="lease",HL3,0),IF(IC3="lease",IN3,0),IF(JE3="lease",JP3,0),IF(KG3="lease",KR3,0),IF(LI3="lease",LT3,0))</f>
        <v>1</v>
      </c>
      <c r="S3" s="5">
        <f>SUM(IF(BQ3="lease",CI3,0),IF(CS3="lease",DK3,0),IF(DU3="lease",EM3,0),IF(EW3="lease",FO3,0),IF(FY3="lease",GQ3,0),IF(HA3="lease",HS3,0),IF(IC3="lease",IU3,0),IF(JE3="lease",JW3,0),IF(KG3="lease",KY3,0),IF(LI3="lease",MA3,0))</f>
        <v>1.0004821633360959</v>
      </c>
      <c r="T3" s="5">
        <f>SUM(IF(BQ3="keep",CB3,0),IF(CS3="keep",DD3,0),IF(DU3="keep",EF3,0),IF(EW3="keep",FH3,0),IF(FY3="keep",GJ3,0),IF(HA3="keep",HL3,0),IF(IC3="keep",IN3,0),IF(JE3="keep",JP3,0),IF(KG3="keep",KR3,0),IF(LI3="keep",LT3,0))</f>
        <v>0</v>
      </c>
      <c r="U3" s="5">
        <f>SUM(IF(BQ3="keep",CI3,0),IF(CS3="keep",DK3,0),IF(DU3="keep",EM3,0),IF(EW3="keep",FO3,0),IF(FY3="keep",GQ3,0),IF(HA3="keep",HS3,0),IF(IC3="keep",IU3,0),IF(JE3="keep",JW3,0),IF(KG3="keep",KY3,0),IF(LI3="keep",MA3,0))</f>
        <v>0</v>
      </c>
      <c r="V3" s="5">
        <f>R3/O3</f>
        <v>1</v>
      </c>
      <c r="W3" s="5">
        <f>S3/P3</f>
        <v>0.9959044615211367</v>
      </c>
      <c r="X3" s="5">
        <f>T3/O3</f>
        <v>0</v>
      </c>
      <c r="Y3" s="5">
        <f>U3/P3</f>
        <v>0</v>
      </c>
      <c r="Z3" s="5">
        <f>V3+X3</f>
        <v>1</v>
      </c>
      <c r="AA3" s="7">
        <f>IFERROR(W3/V3-1,0)</f>
        <v>-0.0040955384788633475</v>
      </c>
      <c r="AB3" s="7">
        <f>IFERROR((W3-V3)/Z3,0)</f>
        <v>-0.0040955384788633475</v>
      </c>
      <c r="AC3" s="7">
        <f>IFERROR(Y3/X3-1,0)</f>
        <v>0</v>
      </c>
      <c r="AD3" s="7">
        <f>IFERROR((Y3-X3)/Z3,0)</f>
        <v>0</v>
      </c>
      <c r="AE3" s="7">
        <f>AB3+AD3</f>
        <v>-0.0040955384788633475</v>
      </c>
      <c r="AF3" s="7">
        <f>(1+Q3)*(1+AE3)-1</f>
        <v>0.00048216333609585327</v>
      </c>
      <c r="AG3" s="7">
        <f>G3-AF3</f>
        <v>-1.700029006457271e-16</v>
      </c>
      <c r="AH3" s="5">
        <f>SUM(IF(BQ3="lease",CE3,0),IF(CS3="lease",DG3,0),IF(DU3="lease",EI3,0),IF(EW3="lease",FK3,0),IF(FY3="lease",GM3,0),IF(HA3="lease",HO3,0),IF(IC3="lease",IQ3,0),IF(JE3="lease",JS3,0),IF(KG3="lease",KU3,0),IF(LI3="lease",LW3,0))</f>
        <v>0.00048216333609568326</v>
      </c>
      <c r="AI3" s="5">
        <f>SUM(IF(BQ3="keep",CE3,0),IF(CS3="keep",DG3,0),IF(DU3="keep",EI3,0),IF(EW3="keep",FK3,0),IF(FY3="keep",GM3,0),IF(HA3="keep",HO3,0),IF(IC3="keep",IQ3,0),IF(JE3="keep",JS3,0),IF(KG3="keep",KU3,0),IF(LI3="keep",LW3,0))</f>
        <v>0</v>
      </c>
      <c r="AJ3" s="5">
        <f>SUM(IF(BQ3="lease",CH3,0),IF(CS3="lease",DJ3,0),IF(DU3="lease",EL3,0),IF(EW3="lease",FN3,0),IF(FY3="lease",GP3,0),IF(HA3="lease",HR3,0),IF(IC3="lease",IT3,0),IF(JE3="lease",JV3,0),IF(KG3="lease",KX3,0),IF(LI3="lease",LZ3,0))</f>
        <v>0</v>
      </c>
      <c r="AK3" s="5">
        <f>SUM(IF(BQ3="keep",CH3,0),IF(CS3="keep",DJ3,0),IF(DU3="keep",EL3,0),IF(EW3="keep",FN3,0),IF(FY3="keep",GP3,0),IF(HA3="keep",HR3,0),IF(IC3="keep",IT3,0),IF(JE3="keep",JV3,0),IF(KG3="keep",KX3,0),IF(LI3="keep",LZ3,0))</f>
        <v>0</v>
      </c>
      <c r="AL3" s="5">
        <f>0</f>
        <v>0</v>
      </c>
      <c r="AM3" s="5">
        <f>0</f>
        <v>0</v>
      </c>
      <c r="AN3" s="5">
        <f>R3</f>
        <v>1</v>
      </c>
      <c r="AO3" s="5">
        <f>AH3</f>
        <v>0.00048216333609568326</v>
      </c>
      <c r="AP3" s="5">
        <f>AL3</f>
        <v>0</v>
      </c>
      <c r="AQ3" s="5">
        <f>AN3+AO3+AP3</f>
        <v>1.0004821633360956</v>
      </c>
      <c r="AR3" s="5">
        <f>S3-AQ3</f>
        <v>2.220446049250313e-16</v>
      </c>
      <c r="AS3" s="5">
        <f>T3</f>
        <v>0</v>
      </c>
      <c r="AT3" s="5">
        <f>AI3</f>
        <v>0</v>
      </c>
      <c r="AU3" s="5">
        <f>AM3</f>
        <v>0</v>
      </c>
      <c r="AV3" s="5">
        <f>AS3+AT3+AU3</f>
        <v>0</v>
      </c>
      <c r="AW3" s="5">
        <f>U3-AV3</f>
        <v>0</v>
      </c>
      <c r="AX3" s="4">
        <v>1</v>
      </c>
      <c r="AY3" s="4">
        <v>1.0004821633360956</v>
      </c>
      <c r="AZ3" s="5">
        <f>S3-AY3</f>
        <v>2.220446049250313e-16</v>
      </c>
      <c r="BA3" s="4">
        <v>0</v>
      </c>
      <c r="BB3" s="4">
        <v>0</v>
      </c>
      <c r="BC3" s="5">
        <f>U3-BB3</f>
        <v>0</v>
      </c>
      <c r="BD3" s="7">
        <f>SUM(IF(BP3="direct",CC3/F3,0),IF(CR3="direct",DE3/F3,0),IF(DT3="direct",EG3/F3,0),IF(EV3="direct",FI3/F3,0),IF(FX3="direct",GK3/F3,0),IF(GZ3="direct",HM3/F3,0),IF(IB3="direct",IO3/F3,0),IF(JD3="direct",JQ3/F3,0),IF(KF3="direct",KS3/F3,0),IF(LH3="direct",LU3/F3,0))</f>
        <v>0.0025034448883366066</v>
      </c>
      <c r="BE3" s="7">
        <f>-SUM(IF(BP3="direct",CD3/F3,0),IF(CR3="direct",DF3/F3,0),IF(DT3="direct",EH3/F3,0),IF(EV3="direct",FJ3/F3,0),IF(FX3="direct",GL3/F3,0),IF(GZ3="direct",HN3/F3,0),IF(IB3="direct",IP3/F3,0),IF(JD3="direct",JR3/F3,0),IF(KF3="direct",KT3/F3,0),IF(LH3="direct",LV3/F3,0))</f>
        <v>-0.0000037303996129094455</v>
      </c>
      <c r="BF3" s="7">
        <f>BD3+BE3</f>
        <v>0.002499714488723697</v>
      </c>
      <c r="BG3" s="7">
        <f>BF3-SUM(IF(BP3="direct",CP3,0),IF(CR3="direct",DR3,0),IF(DT3="direct",ET3,0),IF(EV3="direct",FV3,0),IF(FX3="direct",GX3,0),IF(GZ3="direct",HZ3,0),IF(IB3="direct",JB3,0),IF(JD3="direct",KD3,0),IF(KF3="direct",LF3,0),IF(LH3="direct",MH3,0))</f>
        <v>4.2934406030425976e-17</v>
      </c>
      <c r="BH3" s="7">
        <f>SUM(IF(BP3="treasury",CP3,0),IF(CR3="treasury",DR3,0),IF(DT3="treasury",ET3,0),IF(EV3="treasury",FV3,0),IF(FX3="treasury",GX3,0),IF(GZ3="treasury",HZ3,0),IF(IB3="treasury",JB3,0),IF(JD3="treasury",KD3,0),IF(KF3="treasury",LF3,0),IF(LH3="treasury",MH3,0))</f>
        <v>0.0000766005635891358</v>
      </c>
      <c r="BI3" s="7">
        <f>SUM(IF(BP3="future",CP3,0),IF(CR3="future",DR3,0),IF(DT3="future",ET3,0),IF(EV3="future",FV3,0),IF(FX3="future",GX3,0),IF(GZ3="future",HZ3,0),IF(IB3="future",JB3,0),IF(JD3="future",KD3,0),IF(KF3="future",LF3,0),IF(LH3="future",MH3,0))</f>
        <v>-0.0020941517162171067</v>
      </c>
      <c r="BJ3" s="7">
        <f>SUM(IF(BP3="cash",CP3,0),IF(CR3="cash",DR3,0),IF(DT3="cash",ET3,0),IF(EV3="cash",FV3,0),IF(FX3="cash",GX3,0),IF(GZ3="cash",HZ3,0),IF(IB3="cash",JB3,0),IF(JD3="cash",KD3,0),IF(KF3="cash",LF3,0),IF(LH3="cash",MH3,0))</f>
        <v>0</v>
      </c>
      <c r="BK3" s="7">
        <f>SUM(BF3,BH3,BI3,BJ3)</f>
        <v>0.00048216333609568326</v>
      </c>
      <c r="BL3" s="7">
        <f>G3-BK3</f>
        <v>0</v>
      </c>
      <c r="BM3" s="5">
        <f>MAX(ABS(CG3),ABS(DI3),ABS(EK3),ABS(FM3),ABS(GO3),ABS(HQ3),ABS(IS3),ABS(JU3),ABS(KW3),ABS(LY3))</f>
        <v>4.75287127363333e-17</v>
      </c>
      <c r="BN3" s="9">
        <f>COUNTA(BO3,CQ3,DS3,EU3,FW3,GY3,IA3,JC3,KE3,LG3)</f>
        <v>5</v>
      </c>
      <c r="BO3" t="inlineStr">
        <is>
          <t xml:space="preserve">Direct commodity holding</t>
        </is>
      </c>
      <c r="BP3" t="inlineStr">
        <is>
          <t xml:space="preserve">direct</t>
        </is>
      </c>
      <c r="BQ3" t="inlineStr">
        <is>
          <t xml:space="preserve">lease</t>
        </is>
      </c>
      <c r="BR3" t="inlineStr">
        <is>
          <t xml:space="preserve">long</t>
        </is>
      </c>
      <c r="BS3"/>
      <c r="BT3" s="4">
        <v>1.958</v>
      </c>
      <c r="BU3" s="4">
        <v>1.967</v>
      </c>
      <c r="BV3" s="6">
        <v>0.0025</v>
      </c>
      <c r="BW3" s="4">
        <v>0.2781605431485082</v>
      </c>
      <c r="BX3" s="5">
        <f>IF(BP3="direct",IFERROR(CD3/BU3,0),0)</f>
        <v>0.0000018964919231873133</v>
      </c>
      <c r="BY3" s="5">
        <f>IF(BP3="direct",BW3-BX3,IF(BP3="cash",CI3,BW3))</f>
        <v>0.278158646656585</v>
      </c>
      <c r="BZ3" s="6">
        <v>0.544638343484779</v>
      </c>
      <c r="CA3" s="4">
        <v>0.544638343484779</v>
      </c>
      <c r="CB3" s="4">
        <v>0.544638343484779</v>
      </c>
      <c r="CC3" s="5">
        <f>IF(BP3="direct",BW3*(BU3-BT3),CF3)</f>
        <v>0.0025034448883366066</v>
      </c>
      <c r="CD3" s="5">
        <f>IF(BP3="direct",CB3*BV3*C3/365,0)</f>
        <v>0.0000037303996129094455</v>
      </c>
      <c r="CE3" s="5">
        <f>CC3-CD3</f>
        <v>0.002499714488723654</v>
      </c>
      <c r="CF3" s="4">
        <v>0.002499714488723654</v>
      </c>
      <c r="CG3" s="5">
        <f>CF3-CE3</f>
        <v>-4.3058072840725103e-17</v>
      </c>
      <c r="CH3" s="4">
        <v>0</v>
      </c>
      <c r="CI3" s="4">
        <v>0.5471380579735028</v>
      </c>
      <c r="CJ3" s="4">
        <v>1.958</v>
      </c>
      <c r="CK3" s="4">
        <v>1.967</v>
      </c>
      <c r="CL3" s="6"/>
      <c r="CM3" s="6"/>
      <c r="CN3" s="6"/>
      <c r="CO3" s="9"/>
      <c r="CP3" s="7">
        <f>IFERROR(CE3/F3,0)</f>
        <v>0.002499714488723654</v>
      </c>
      <c r="CQ3" t="inlineStr">
        <is>
          <t xml:space="preserve">Treasury collateral</t>
        </is>
      </c>
      <c r="CR3" t="inlineStr">
        <is>
          <t xml:space="preserve">treasury</t>
        </is>
      </c>
      <c r="CS3" t="inlineStr">
        <is>
          <t xml:space="preserve">lease</t>
        </is>
      </c>
      <c r="CT3" t="inlineStr">
        <is>
          <t xml:space="preserve">long</t>
        </is>
      </c>
      <c r="CU3"/>
      <c r="CV3" s="4">
        <v>100</v>
      </c>
      <c r="CW3" s="4">
        <v>100.01682191780823</v>
      </c>
      <c r="CX3" s="6"/>
      <c r="CY3" s="4">
        <v>0.0045536165651522105</v>
      </c>
      <c r="CZ3" s="5">
        <f>IF(CR3="direct",IFERROR(DF3/CW3,0),0)</f>
        <v>0</v>
      </c>
      <c r="DA3" s="5">
        <f>IF(CR3="direct",CY3-CZ3,IF(CR3="cash",DK3,CY3))</f>
        <v>0.0045536165651522105</v>
      </c>
      <c r="DB3" s="6">
        <v>0.45536165651522104</v>
      </c>
      <c r="DC3" s="4">
        <v>0.45536165651522104</v>
      </c>
      <c r="DD3" s="4">
        <v>0.45536165651522104</v>
      </c>
      <c r="DE3" s="5">
        <f>IF(CR3="direct",CY3*(CW3-CV3),DH3)</f>
        <v>0.00007660056358918333</v>
      </c>
      <c r="DF3" s="5">
        <f>IF(CR3="direct",DD3*CX3*C3/365,0)</f>
        <v>0</v>
      </c>
      <c r="DG3" s="5">
        <f>DE3-DF3</f>
        <v>0.0000766005635891358</v>
      </c>
      <c r="DH3" s="4">
        <v>0.0000766005635891358</v>
      </c>
      <c r="DI3" s="5">
        <f>DH3-DG3</f>
        <v>-4.75287127363333e-17</v>
      </c>
      <c r="DJ3" s="4">
        <v>7.727650984390433e-17</v>
      </c>
      <c r="DK3" s="4">
        <v>0.45543825707881025</v>
      </c>
      <c r="DL3" s="4">
        <v>1.958</v>
      </c>
      <c r="DM3" s="4">
        <v>1.967</v>
      </c>
      <c r="DN3" s="6"/>
      <c r="DO3" s="6"/>
      <c r="DP3" s="6"/>
      <c r="DQ3" s="9">
        <v>27</v>
      </c>
      <c r="DR3" s="7">
        <f>IFERROR(DG3/F3,0)</f>
        <v>0.0000766005635891358</v>
      </c>
      <c r="DS3" t="inlineStr">
        <is>
          <t xml:space="preserve">SI69F</t>
        </is>
      </c>
      <c r="DT3" t="inlineStr">
        <is>
          <t xml:space="preserve">future</t>
        </is>
      </c>
      <c r="DU3" t="inlineStr">
        <is>
          <t xml:space="preserve">lease</t>
        </is>
      </c>
      <c r="DV3" t="inlineStr">
        <is>
          <t xml:space="preserve">long</t>
        </is>
      </c>
      <c r="DW3" t="inlineStr">
        <is>
          <t xml:space="preserve">regular</t>
        </is>
      </c>
      <c r="DX3" s="4">
        <v>1.9569999999999999</v>
      </c>
      <c r="DY3" s="4">
        <v>1.9480000000000002</v>
      </c>
      <c r="DZ3" s="6"/>
      <c r="EA3" s="4">
        <v>0.2326835240241293</v>
      </c>
      <c r="EB3" s="5">
        <f>IF(DT3="direct",IFERROR(EH3/DY3,0),0)</f>
        <v>0</v>
      </c>
      <c r="EC3" s="5">
        <f>IF(DT3="direct",EA3-EB3,IF(DT3="cash",EM3,EA3))</f>
        <v>0.2326835240241293</v>
      </c>
      <c r="ED3" s="6">
        <v>0.45536165651522104</v>
      </c>
      <c r="EE3" s="4">
        <v>0.45536165651522104</v>
      </c>
      <c r="EF3" s="4">
        <v>0</v>
      </c>
      <c r="EG3" s="5">
        <f>IF(DT3="direct",EA3*(DY3-DX3),EJ3)</f>
        <v>-0.0020941517162171067</v>
      </c>
      <c r="EH3" s="5">
        <f>IF(DT3="direct",EF3*DZ3*C3/365,0)</f>
        <v>0</v>
      </c>
      <c r="EI3" s="5">
        <f>EG3-EH3</f>
        <v>-0.0020941517162171067</v>
      </c>
      <c r="EJ3" s="4">
        <v>-0.0020941517162171067</v>
      </c>
      <c r="EK3" s="5">
        <f>EJ3-EI3</f>
        <v>0</v>
      </c>
      <c r="EL3" s="4">
        <v>0.0020941517162171067</v>
      </c>
      <c r="EM3" s="4">
        <v>0</v>
      </c>
      <c r="EN3" s="4">
        <v>1.958</v>
      </c>
      <c r="EO3" s="4">
        <v>1.967</v>
      </c>
      <c r="EP3" s="6">
        <v>-0.0005107252298264253</v>
      </c>
      <c r="EQ3" s="6">
        <v>0.0614</v>
      </c>
      <c r="ER3" s="6">
        <v>0.06830424847728316</v>
      </c>
      <c r="ES3" s="9">
        <v>27</v>
      </c>
      <c r="ET3" s="7">
        <f>IFERROR(EI3/F3,0)</f>
        <v>-0.0020941517162171067</v>
      </c>
      <c r="EU3" t="inlineStr">
        <is>
          <t xml:space="preserve">Lease cash / margin / financing</t>
        </is>
      </c>
      <c r="EV3" t="inlineStr">
        <is>
          <t xml:space="preserve">cash</t>
        </is>
      </c>
      <c r="EW3" t="inlineStr">
        <is>
          <t xml:space="preserve">lease</t>
        </is>
      </c>
      <c r="EX3" t="inlineStr">
        <is>
          <t xml:space="preserve">cash</t>
        </is>
      </c>
      <c r="EY3"/>
      <c r="EZ3" s="4">
        <v>1</v>
      </c>
      <c r="FA3" s="4">
        <v>1</v>
      </c>
      <c r="FB3" s="6"/>
      <c r="FC3" s="4">
        <v>0</v>
      </c>
      <c r="FD3" s="5">
        <f>IF(EV3="direct",IFERROR(FJ3/FA3,0),0)</f>
        <v>0</v>
      </c>
      <c r="FE3" s="5">
        <f>IF(EV3="direct",FC3-FD3,IF(EV3="cash",FO3,FC3))</f>
        <v>-0.002094151716217184</v>
      </c>
      <c r="FF3" s="6"/>
      <c r="FG3" s="4">
        <v>0</v>
      </c>
      <c r="FH3" s="4">
        <v>0</v>
      </c>
      <c r="FI3" s="5">
        <f>IF(EV3="direct",FC3*(FA3-EZ3),FL3)</f>
        <v>0</v>
      </c>
      <c r="FJ3" s="5">
        <f>IF(EV3="direct",FH3*FB3*C3/365,0)</f>
        <v>0</v>
      </c>
      <c r="FK3" s="5">
        <f>FI3-FJ3</f>
        <v>0</v>
      </c>
      <c r="FL3" s="4">
        <v>0</v>
      </c>
      <c r="FM3" s="5">
        <f>FL3-FK3</f>
        <v>0</v>
      </c>
      <c r="FN3" s="4">
        <v>-0.002094151716217184</v>
      </c>
      <c r="FO3" s="4">
        <v>-0.002094151716217184</v>
      </c>
      <c r="FP3" s="4">
        <v>1.958</v>
      </c>
      <c r="FQ3" s="4">
        <v>1.967</v>
      </c>
      <c r="FR3" s="6"/>
      <c r="FS3" s="6"/>
      <c r="FT3" s="6"/>
      <c r="FU3" s="9"/>
      <c r="FV3" s="7">
        <f>IFERROR(FK3/F3,0)</f>
        <v>0</v>
      </c>
      <c r="FW3" t="inlineStr">
        <is>
          <t xml:space="preserve">Keep cash / margin / financing</t>
        </is>
      </c>
      <c r="FX3" t="inlineStr">
        <is>
          <t xml:space="preserve">cash</t>
        </is>
      </c>
      <c r="FY3" t="inlineStr">
        <is>
          <t xml:space="preserve">keep</t>
        </is>
      </c>
      <c r="FZ3" t="inlineStr">
        <is>
          <t xml:space="preserve">cash</t>
        </is>
      </c>
      <c r="GA3"/>
      <c r="GB3" s="4">
        <v>1</v>
      </c>
      <c r="GC3" s="4">
        <v>1</v>
      </c>
      <c r="GD3" s="6"/>
      <c r="GE3" s="4">
        <v>0</v>
      </c>
      <c r="GF3" s="5">
        <f>IF(FX3="direct",IFERROR(GL3/GC3,0),0)</f>
        <v>0</v>
      </c>
      <c r="GG3" s="5">
        <f>IF(FX3="direct",GE3-GF3,IF(FX3="cash",GQ3,GE3))</f>
        <v>0</v>
      </c>
      <c r="GH3" s="6"/>
      <c r="GI3" s="4">
        <v>0</v>
      </c>
      <c r="GJ3" s="4">
        <v>0</v>
      </c>
      <c r="GK3" s="5">
        <f>IF(FX3="direct",GE3*(GC3-GB3),GN3)</f>
        <v>0</v>
      </c>
      <c r="GL3" s="5">
        <f>IF(FX3="direct",GJ3*GD3*C3/365,0)</f>
        <v>0</v>
      </c>
      <c r="GM3" s="5">
        <f>GK3-GL3</f>
        <v>0</v>
      </c>
      <c r="GN3" s="4">
        <v>0</v>
      </c>
      <c r="GO3" s="5">
        <f>GN3-GM3</f>
        <v>0</v>
      </c>
      <c r="GP3" s="4">
        <v>0</v>
      </c>
      <c r="GQ3" s="4">
        <v>0</v>
      </c>
      <c r="GR3" s="4">
        <v>1.958</v>
      </c>
      <c r="GS3" s="4">
        <v>1.967</v>
      </c>
      <c r="GT3" s="6"/>
      <c r="GU3" s="6"/>
      <c r="GV3" s="6"/>
      <c r="GW3" s="9"/>
      <c r="GX3" s="7">
        <f>IFERROR(GM3/F3,0)</f>
        <v>0</v>
      </c>
      <c r="GY3"/>
      <c r="GZ3"/>
      <c r="HA3"/>
      <c r="HB3"/>
      <c r="HC3"/>
      <c r="HD3" s="4"/>
      <c r="HE3" s="4"/>
      <c r="HF3" s="6"/>
      <c r="HG3" s="4"/>
      <c r="HH3" s="5">
        <v>0</v>
      </c>
      <c r="HI3" s="5"/>
      <c r="HJ3" s="6"/>
      <c r="HK3" s="4"/>
      <c r="HL3" s="4"/>
      <c r="HM3" s="5">
        <v>0</v>
      </c>
      <c r="HN3" s="5">
        <v>0</v>
      </c>
      <c r="HO3" s="5"/>
      <c r="HP3" s="4"/>
      <c r="HQ3" s="5">
        <v>0</v>
      </c>
      <c r="HR3" s="4"/>
      <c r="HS3" s="4"/>
      <c r="HT3" s="4"/>
      <c r="HU3" s="4"/>
      <c r="HV3" s="6"/>
      <c r="HW3" s="6"/>
      <c r="HX3" s="6"/>
      <c r="HY3" s="9"/>
      <c r="HZ3"/>
      <c r="IA3"/>
      <c r="IB3"/>
      <c r="IC3"/>
      <c r="ID3"/>
      <c r="IE3"/>
      <c r="IF3" s="4"/>
      <c r="IG3" s="4"/>
      <c r="IH3" s="6"/>
      <c r="II3" s="4"/>
      <c r="IJ3" s="5">
        <v>0</v>
      </c>
      <c r="IK3" s="5"/>
      <c r="IL3" s="6"/>
      <c r="IM3" s="4"/>
      <c r="IN3" s="4"/>
      <c r="IO3" s="5">
        <v>0</v>
      </c>
      <c r="IP3" s="5">
        <v>0</v>
      </c>
      <c r="IQ3" s="5"/>
      <c r="IR3" s="4"/>
      <c r="IS3" s="5">
        <v>0</v>
      </c>
      <c r="IT3" s="4"/>
      <c r="IU3" s="4"/>
      <c r="IV3" s="4"/>
      <c r="IW3" s="4"/>
      <c r="IX3" s="6"/>
      <c r="IY3" s="6"/>
      <c r="IZ3" s="6"/>
      <c r="JA3" s="9"/>
      <c r="JB3"/>
      <c r="JC3"/>
      <c r="JD3"/>
      <c r="JE3"/>
      <c r="JF3"/>
      <c r="JG3"/>
      <c r="JH3" s="4"/>
      <c r="JI3" s="4"/>
      <c r="JJ3" s="6"/>
      <c r="JK3" s="4"/>
      <c r="JL3" s="5">
        <v>0</v>
      </c>
      <c r="JM3" s="5"/>
      <c r="JN3" s="6"/>
      <c r="JO3" s="4"/>
      <c r="JP3" s="4"/>
      <c r="JQ3" s="5">
        <v>0</v>
      </c>
      <c r="JR3" s="5">
        <v>0</v>
      </c>
      <c r="JS3" s="5"/>
      <c r="JT3" s="4"/>
      <c r="JU3" s="5">
        <v>0</v>
      </c>
      <c r="JV3" s="4"/>
      <c r="JW3" s="4"/>
      <c r="JX3" s="4"/>
      <c r="JY3" s="4"/>
      <c r="JZ3" s="6"/>
      <c r="KA3" s="6"/>
      <c r="KB3" s="6"/>
      <c r="KC3" s="9"/>
      <c r="KD3"/>
      <c r="KE3"/>
      <c r="KF3"/>
      <c r="KG3"/>
      <c r="KH3"/>
      <c r="KI3"/>
      <c r="KJ3" s="4"/>
      <c r="KK3" s="4"/>
      <c r="KL3" s="6"/>
      <c r="KM3" s="4"/>
      <c r="KN3" s="5">
        <v>0</v>
      </c>
      <c r="KO3" s="5"/>
      <c r="KP3" s="6"/>
      <c r="KQ3" s="4"/>
      <c r="KR3" s="4"/>
      <c r="KS3" s="5">
        <v>0</v>
      </c>
      <c r="KT3" s="5">
        <v>0</v>
      </c>
      <c r="KU3" s="5"/>
      <c r="KV3" s="4"/>
      <c r="KW3" s="5">
        <v>0</v>
      </c>
      <c r="KX3" s="4"/>
      <c r="KY3" s="4"/>
      <c r="KZ3" s="4"/>
      <c r="LA3" s="4"/>
      <c r="LB3" s="6"/>
      <c r="LC3" s="6"/>
      <c r="LD3" s="6"/>
      <c r="LE3" s="9"/>
      <c r="LF3"/>
      <c r="LG3"/>
      <c r="LH3"/>
      <c r="LI3"/>
      <c r="LJ3"/>
      <c r="LK3"/>
      <c r="LL3" s="4"/>
      <c r="LM3" s="4"/>
      <c r="LN3" s="6"/>
      <c r="LO3" s="4"/>
      <c r="LP3" s="5">
        <v>0</v>
      </c>
      <c r="LQ3" s="5"/>
      <c r="LR3" s="6"/>
      <c r="LS3" s="4"/>
      <c r="LT3" s="4"/>
      <c r="LU3" s="5">
        <v>0</v>
      </c>
      <c r="LV3" s="5">
        <v>0</v>
      </c>
      <c r="LW3" s="5"/>
      <c r="LX3" s="4"/>
      <c r="LY3" s="5">
        <v>0</v>
      </c>
      <c r="LZ3" s="4"/>
      <c r="MA3" s="4"/>
      <c r="MB3" s="4"/>
      <c r="MC3" s="4"/>
      <c r="MD3" s="6"/>
      <c r="ME3" s="6"/>
      <c r="MF3" s="6"/>
      <c r="MG3" s="9"/>
      <c r="MH3"/>
    </row>
    <row r="4">
      <c r="A4" s="8">
        <v>25206</v>
      </c>
      <c r="B4" s="8">
        <v>25209</v>
      </c>
      <c r="C4" s="9">
        <f>B4-A4</f>
        <v>3</v>
      </c>
      <c r="D4" s="8">
        <v>25206</v>
      </c>
      <c r="E4" t="inlineStr">
        <is>
          <t xml:space="preserve">positive</t>
        </is>
      </c>
      <c r="F4" s="4">
        <v>1.0004821633360956</v>
      </c>
      <c r="G4" s="6">
        <v>-0.0036029405642599675</v>
      </c>
      <c r="H4" s="7">
        <f>SUM(CP4,DR4,ET4,FV4,GX4,HZ4,JB4,KD4,LF4,MH4)</f>
        <v>-0.003602940564259968</v>
      </c>
      <c r="I4" s="7">
        <f>G4-H4</f>
        <v>4.336808689942018e-19</v>
      </c>
      <c r="J4" s="5">
        <f>F4*(1+H4)</f>
        <v>0.9968774855659935</v>
      </c>
      <c r="K4" s="4">
        <v>0.9968774855659935</v>
      </c>
      <c r="L4" s="5">
        <f>K4-J4</f>
        <v>0</v>
      </c>
      <c r="M4" s="4">
        <v>1.967</v>
      </c>
      <c r="N4" s="4">
        <v>1.972</v>
      </c>
      <c r="O4" s="5">
        <f>M4/$M$3</f>
        <v>1.0045965270684372</v>
      </c>
      <c r="P4" s="5">
        <f>N4/$M$3</f>
        <v>1.0071501532175688</v>
      </c>
      <c r="Q4" s="7">
        <f>IFERROR(N4/M4-1,0)</f>
        <v>0.002541942043721379</v>
      </c>
      <c r="R4" s="5">
        <f>SUM(IF(BQ4="lease",CB4,0),IF(CS4="lease",DD4,0),IF(DU4="lease",EF4,0),IF(EW4="lease",FH4,0),IF(FY4="lease",GJ4,0),IF(HA4="lease",HL4,0),IF(IC4="lease",IN4,0),IF(JE4="lease",JP4,0),IF(KG4="lease",KR4,0),IF(LI4="lease",LT4,0))</f>
        <v>1.0004821633360956</v>
      </c>
      <c r="S4" s="5">
        <f>SUM(IF(BQ4="lease",CI4,0),IF(CS4="lease",DK4,0),IF(DU4="lease",EM4,0),IF(EW4="lease",FO4,0),IF(FY4="lease",GQ4,0),IF(HA4="lease",HS4,0),IF(IC4="lease",IU4,0),IF(JE4="lease",JW4,0),IF(KG4="lease",KY4,0),IF(LI4="lease",MA4,0))</f>
        <v>0.9968774855659934</v>
      </c>
      <c r="T4" s="5">
        <f>SUM(IF(BQ4="keep",CB4,0),IF(CS4="keep",DD4,0),IF(DU4="keep",EF4,0),IF(EW4="keep",FH4,0),IF(FY4="keep",GJ4,0),IF(HA4="keep",HL4,0),IF(IC4="keep",IN4,0),IF(JE4="keep",JP4,0),IF(KG4="keep",KR4,0),IF(LI4="keep",LT4,0))</f>
        <v>0</v>
      </c>
      <c r="U4" s="5">
        <f>SUM(IF(BQ4="keep",CI4,0),IF(CS4="keep",DK4,0),IF(DU4="keep",EM4,0),IF(EW4="keep",FO4,0),IF(FY4="keep",GQ4,0),IF(HA4="keep",HS4,0),IF(IC4="keep",IU4,0),IF(JE4="keep",JW4,0),IF(KG4="keep",KY4,0),IF(LI4="keep",MA4,0))</f>
        <v>0</v>
      </c>
      <c r="V4" s="5">
        <f>R4/O4</f>
        <v>0.9959044615211364</v>
      </c>
      <c r="W4" s="5">
        <f>S4/P4</f>
        <v>0.9898002620376346</v>
      </c>
      <c r="X4" s="5">
        <f>T4/O4</f>
        <v>0</v>
      </c>
      <c r="Y4" s="5">
        <f>U4/P4</f>
        <v>0</v>
      </c>
      <c r="Z4" s="5">
        <f>V4+X4</f>
        <v>0.9959044615211364</v>
      </c>
      <c r="AA4" s="7">
        <f>IFERROR(W4/V4-1,0)</f>
        <v>-0.006129302276825177</v>
      </c>
      <c r="AB4" s="7">
        <f>IFERROR((W4-V4)/Z4,0)</f>
        <v>-0.00612930227682515</v>
      </c>
      <c r="AC4" s="7">
        <f>IFERROR(Y4/X4-1,0)</f>
        <v>0</v>
      </c>
      <c r="AD4" s="7">
        <f>IFERROR((Y4-X4)/Z4,0)</f>
        <v>0</v>
      </c>
      <c r="AE4" s="7">
        <f>AB4+AD4</f>
        <v>-0.00612930227682515</v>
      </c>
      <c r="AF4" s="7">
        <f>(1+Q4)*(1+AE4)-1</f>
        <v>-0.0036029405642599155</v>
      </c>
      <c r="AG4" s="7">
        <f>G4-AF4</f>
        <v>-5.204170427930421e-17</v>
      </c>
      <c r="AH4" s="5">
        <f>SUM(IF(BQ4="lease",CE4,0),IF(CS4="lease",DG4,0),IF(DU4="lease",EI4,0),IF(EW4="lease",FK4,0),IF(FY4="lease",GM4,0),IF(HA4="lease",HO4,0),IF(IC4="lease",IQ4,0),IF(JE4="lease",JS4,0),IF(KG4="lease",KU4,0),IF(LI4="lease",LW4,0))</f>
        <v>-0.0036046777701021857</v>
      </c>
      <c r="AI4" s="5">
        <f>SUM(IF(BQ4="keep",CE4,0),IF(CS4="keep",DG4,0),IF(DU4="keep",EI4,0),IF(EW4="keep",FK4,0),IF(FY4="keep",GM4,0),IF(HA4="keep",HO4,0),IF(IC4="keep",IQ4,0),IF(JE4="keep",JS4,0),IF(KG4="keep",KU4,0),IF(LI4="keep",LW4,0))</f>
        <v>0</v>
      </c>
      <c r="AJ4" s="5">
        <f>SUM(IF(BQ4="lease",CH4,0),IF(CS4="lease",DJ4,0),IF(DU4="lease",EL4,0),IF(EW4="lease",FN4,0),IF(FY4="lease",GP4,0),IF(HA4="lease",HR4,0),IF(IC4="lease",IT4,0),IF(JE4="lease",JV4,0),IF(KG4="lease",KX4,0),IF(LI4="lease",LZ4,0))</f>
        <v>0</v>
      </c>
      <c r="AK4" s="5">
        <f>SUM(IF(BQ4="keep",CH4,0),IF(CS4="keep",DJ4,0),IF(DU4="keep",EL4,0),IF(EW4="keep",FN4,0),IF(FY4="keep",GP4,0),IF(HA4="keep",HR4,0),IF(IC4="keep",IT4,0),IF(JE4="keep",JV4,0),IF(KG4="keep",KX4,0),IF(LI4="keep",LZ4,0))</f>
        <v>0</v>
      </c>
      <c r="AL4" s="5">
        <f>R4-S3</f>
        <v>-2.220446049250313e-16</v>
      </c>
      <c r="AM4" s="5">
        <f>T4-U3</f>
        <v>0</v>
      </c>
      <c r="AN4" s="5">
        <f>AN3</f>
        <v>1</v>
      </c>
      <c r="AO4" s="5">
        <f>AO3+AH4</f>
        <v>-0.0031225144340065025</v>
      </c>
      <c r="AP4" s="5">
        <f>AP3+AL4</f>
        <v>-2.220446049250313e-16</v>
      </c>
      <c r="AQ4" s="5">
        <f>AN4+AO4+AP4</f>
        <v>0.9968774855659933</v>
      </c>
      <c r="AR4" s="5">
        <f>S4-AQ4</f>
        <v>1.1102230246251565e-16</v>
      </c>
      <c r="AS4" s="5">
        <f>AS3</f>
        <v>0</v>
      </c>
      <c r="AT4" s="5">
        <f>AT3+AI4</f>
        <v>0</v>
      </c>
      <c r="AU4" s="5">
        <f>AU3+AM4</f>
        <v>0</v>
      </c>
      <c r="AV4" s="5">
        <f>AS4+AT4+AU4</f>
        <v>0</v>
      </c>
      <c r="AW4" s="5">
        <f>U4-AV4</f>
        <v>0</v>
      </c>
      <c r="AX4" s="4">
        <v>1.0004821633360956</v>
      </c>
      <c r="AY4" s="4">
        <v>0.9968774855659934</v>
      </c>
      <c r="AZ4" s="5">
        <f>S4-AY4</f>
        <v>0</v>
      </c>
      <c r="BA4" s="4">
        <v>0</v>
      </c>
      <c r="BB4" s="4">
        <v>0</v>
      </c>
      <c r="BC4" s="5">
        <f>U4-BB4</f>
        <v>0</v>
      </c>
      <c r="BD4" s="7">
        <f>SUM(IF(BP4="direct",CC4/F4,0),IF(CR4="direct",DE4/F4,0),IF(DT4="direct",EG4/F4,0),IF(EV4="direct",FI4/F4,0),IF(FX4="direct",GK4/F4,0),IF(GZ4="direct",HM4/F4,0),IF(IB4="direct",IO4/F4,0),IF(JD4="direct",JQ4/F4,0),IF(KF4="direct",KS4/F4,0),IF(LH4="direct",LU4/F4,0))</f>
        <v>0</v>
      </c>
      <c r="BE4" s="7">
        <f>-SUM(IF(BP4="direct",CD4/F4,0),IF(CR4="direct",DF4/F4,0),IF(DT4="direct",EH4/F4,0),IF(EV4="direct",FJ4/F4,0),IF(FX4="direct",GL4/F4,0),IF(GZ4="direct",HN4/F4,0),IF(IB4="direct",IP4/F4,0),IF(JD4="direct",JR4/F4,0),IF(KF4="direct",KT4/F4,0),IF(LH4="direct",LV4/F4,0))</f>
        <v>0</v>
      </c>
      <c r="BF4" s="7">
        <f>BD4+BE4</f>
        <v>0</v>
      </c>
      <c r="BG4" s="7">
        <f>BF4-SUM(IF(BP4="direct",CP4,0),IF(CR4="direct",DR4,0),IF(DT4="direct",ET4,0),IF(EV4="direct",FV4,0),IF(FX4="direct",GX4,0),IF(GZ4="direct",HZ4,0),IF(IB4="direct",JB4,0),IF(JD4="direct",KD4,0),IF(KF4="direct",LF4,0),IF(LH4="direct",MH4,0))</f>
        <v>0</v>
      </c>
      <c r="BH4" s="7">
        <f>SUM(IF(BP4="treasury",CP4,0),IF(CR4="treasury",DR4,0),IF(DT4="treasury",ET4,0),IF(EV4="treasury",FV4,0),IF(FX4="treasury",GX4,0),IF(GZ4="treasury",HZ4,0),IF(IB4="treasury",JB4,0),IF(JD4="treasury",KD4,0),IF(KF4="treasury",LF4,0),IF(LH4="treasury",MH4,0))</f>
        <v>0.0005038356164383562</v>
      </c>
      <c r="BI4" s="7">
        <f>SUM(IF(BP4="future",CP4,0),IF(CR4="future",DR4,0),IF(DT4="future",ET4,0),IF(EV4="future",FV4,0),IF(FX4="future",GX4,0),IF(GZ4="future",HZ4,0),IF(IB4="future",JB4,0),IF(JD4="future",KD4,0),IF(KF4="future",LF4,0),IF(LH4="future",MH4,0))</f>
        <v>-0.004106776180698324</v>
      </c>
      <c r="BJ4" s="7">
        <f>SUM(IF(BP4="cash",CP4,0),IF(CR4="cash",DR4,0),IF(DT4="cash",ET4,0),IF(EV4="cash",FV4,0),IF(FX4="cash",GX4,0),IF(GZ4="cash",HZ4,0),IF(IB4="cash",JB4,0),IF(JD4="cash",KD4,0),IF(KF4="cash",LF4,0),IF(LH4="cash",MH4,0))</f>
        <v>0</v>
      </c>
      <c r="BK4" s="7">
        <f>SUM(BF4,BH4,BI4,BJ4)</f>
        <v>-0.0036029405642599675</v>
      </c>
      <c r="BL4" s="7">
        <f>G4-BK4</f>
        <v>0</v>
      </c>
      <c r="BM4" s="5">
        <f>MAX(ABS(CG4),ABS(DI4),ABS(EK4),ABS(FM4),ABS(GO4),ABS(HQ4),ABS(IS4),ABS(JU4),ABS(KW4),ABS(LY4))</f>
        <v>1.3834419720915037e-16</v>
      </c>
      <c r="BN4" s="9">
        <f>COUNTA(BO4,CQ4,DS4,EU4,FW4,GY4,IA4,JC4,KE4,LG4)</f>
        <v>4</v>
      </c>
      <c r="BO4" t="inlineStr">
        <is>
          <t xml:space="preserve">Treasury collateral</t>
        </is>
      </c>
      <c r="BP4" t="inlineStr">
        <is>
          <t xml:space="preserve">treasury</t>
        </is>
      </c>
      <c r="BQ4" t="inlineStr">
        <is>
          <t xml:space="preserve">lease</t>
        </is>
      </c>
      <c r="BR4" t="inlineStr">
        <is>
          <t xml:space="preserve">long</t>
        </is>
      </c>
      <c r="BS4"/>
      <c r="BT4" s="4">
        <v>100.01682191780823</v>
      </c>
      <c r="BU4" s="4">
        <v>100.06721395493341</v>
      </c>
      <c r="BV4" s="6"/>
      <c r="BW4" s="4">
        <v>0.010003138913554675</v>
      </c>
      <c r="BX4" s="5">
        <f>IF(BP4="direct",IFERROR(CD4/BU4,0),0)</f>
        <v>0</v>
      </c>
      <c r="BY4" s="5">
        <f>IF(BP4="direct",BW4-BX4,IF(BP4="cash",CI4,BW4))</f>
        <v>0.010003138913554675</v>
      </c>
      <c r="BZ4" s="6">
        <v>1</v>
      </c>
      <c r="CA4" s="4">
        <v>1.0004821633360956</v>
      </c>
      <c r="CB4" s="4">
        <v>1.0004821633360956</v>
      </c>
      <c r="CC4" s="5">
        <f>IF(BP4="direct",BW4*(BU4-BT4),CF4)</f>
        <v>0.0005040785475001603</v>
      </c>
      <c r="CD4" s="5">
        <f>IF(BP4="direct",CB4*BV4*C4/365,0)</f>
        <v>0</v>
      </c>
      <c r="CE4" s="5">
        <f>CC4-CD4</f>
        <v>0.0005040785475000219</v>
      </c>
      <c r="CF4" s="4">
        <v>0.0005040785475000219</v>
      </c>
      <c r="CG4" s="5">
        <f>CF4-CE4</f>
        <v>-1.3834419720915037e-16</v>
      </c>
      <c r="CH4" s="4">
        <v>9.77950359581925e-17</v>
      </c>
      <c r="CI4" s="4">
        <v>1.0009862418835958</v>
      </c>
      <c r="CJ4" s="4">
        <v>1.967</v>
      </c>
      <c r="CK4" s="4">
        <v>1.972</v>
      </c>
      <c r="CL4" s="6"/>
      <c r="CM4" s="6"/>
      <c r="CN4" s="6"/>
      <c r="CO4" s="9">
        <v>26</v>
      </c>
      <c r="CP4" s="7">
        <f>IFERROR(CE4/F4,0)</f>
        <v>0.0005038356164383562</v>
      </c>
      <c r="CQ4" t="inlineStr">
        <is>
          <t xml:space="preserve">SI69F</t>
        </is>
      </c>
      <c r="CR4" t="inlineStr">
        <is>
          <t xml:space="preserve">future</t>
        </is>
      </c>
      <c r="CS4" t="inlineStr">
        <is>
          <t xml:space="preserve">lease</t>
        </is>
      </c>
      <c r="CT4" t="inlineStr">
        <is>
          <t xml:space="preserve">long</t>
        </is>
      </c>
      <c r="CU4" t="inlineStr">
        <is>
          <t xml:space="preserve">regular</t>
        </is>
      </c>
      <c r="CV4" s="4">
        <v>1.9480000000000002</v>
      </c>
      <c r="CW4" s="4">
        <v>1.94</v>
      </c>
      <c r="CX4" s="6"/>
      <c r="CY4" s="4">
        <v>0.5135945397002544</v>
      </c>
      <c r="CZ4" s="5">
        <f>IF(CR4="direct",IFERROR(DF4/CW4,0),0)</f>
        <v>0</v>
      </c>
      <c r="DA4" s="5">
        <f>IF(CR4="direct",CY4-CZ4,IF(CR4="cash",DK4,CY4))</f>
        <v>0.5135945397002544</v>
      </c>
      <c r="DB4" s="6">
        <v>1</v>
      </c>
      <c r="DC4" s="4">
        <v>1.0004821633360956</v>
      </c>
      <c r="DD4" s="4">
        <v>0</v>
      </c>
      <c r="DE4" s="5">
        <f>IF(CR4="direct",CY4*(CW4-CV4),DH4)</f>
        <v>-0.004108756317602207</v>
      </c>
      <c r="DF4" s="5">
        <f>IF(CR4="direct",DD4*CX4*C4/365,0)</f>
        <v>0</v>
      </c>
      <c r="DG4" s="5">
        <f>DE4-DF4</f>
        <v>-0.004108756317602207</v>
      </c>
      <c r="DH4" s="4">
        <v>-0.004108756317602207</v>
      </c>
      <c r="DI4" s="5">
        <f>DH4-DG4</f>
        <v>0</v>
      </c>
      <c r="DJ4" s="4">
        <v>0.004108756317602207</v>
      </c>
      <c r="DK4" s="4">
        <v>0</v>
      </c>
      <c r="DL4" s="4">
        <v>1.967</v>
      </c>
      <c r="DM4" s="4">
        <v>1.972</v>
      </c>
      <c r="DN4" s="6">
        <v>-0.009659379766141285</v>
      </c>
      <c r="DO4" s="6">
        <v>0.0613</v>
      </c>
      <c r="DP4" s="6">
        <v>0.19690283133236805</v>
      </c>
      <c r="DQ4" s="9">
        <v>26</v>
      </c>
      <c r="DR4" s="7">
        <f>IFERROR(DG4/F4,0)</f>
        <v>-0.004106776180698324</v>
      </c>
      <c r="DS4" t="inlineStr">
        <is>
          <t xml:space="preserve">Lease cash / margin / financing</t>
        </is>
      </c>
      <c r="DT4" t="inlineStr">
        <is>
          <t xml:space="preserve">cash</t>
        </is>
      </c>
      <c r="DU4" t="inlineStr">
        <is>
          <t xml:space="preserve">lease</t>
        </is>
      </c>
      <c r="DV4" t="inlineStr">
        <is>
          <t xml:space="preserve">cash</t>
        </is>
      </c>
      <c r="DW4"/>
      <c r="DX4" s="4">
        <v>1</v>
      </c>
      <c r="DY4" s="4">
        <v>1</v>
      </c>
      <c r="DZ4" s="6"/>
      <c r="EA4" s="4">
        <v>0</v>
      </c>
      <c r="EB4" s="5">
        <f>IF(DT4="direct",IFERROR(EH4/DY4,0),0)</f>
        <v>0</v>
      </c>
      <c r="EC4" s="5">
        <f>IF(DT4="direct",EA4-EB4,IF(DT4="cash",EM4,EA4))</f>
        <v>-0.004108756317602305</v>
      </c>
      <c r="ED4" s="6"/>
      <c r="EE4" s="4">
        <v>0</v>
      </c>
      <c r="EF4" s="4">
        <v>0</v>
      </c>
      <c r="EG4" s="5">
        <f>IF(DT4="direct",EA4*(DY4-DX4),EJ4)</f>
        <v>0</v>
      </c>
      <c r="EH4" s="5">
        <f>IF(DT4="direct",EF4*DZ4*C4/365,0)</f>
        <v>0</v>
      </c>
      <c r="EI4" s="5">
        <f>EG4-EH4</f>
        <v>0</v>
      </c>
      <c r="EJ4" s="4">
        <v>0</v>
      </c>
      <c r="EK4" s="5">
        <f>EJ4-EI4</f>
        <v>0</v>
      </c>
      <c r="EL4" s="4">
        <v>-0.004108756317602305</v>
      </c>
      <c r="EM4" s="4">
        <v>-0.004108756317602305</v>
      </c>
      <c r="EN4" s="4">
        <v>1.967</v>
      </c>
      <c r="EO4" s="4">
        <v>1.972</v>
      </c>
      <c r="EP4" s="6"/>
      <c r="EQ4" s="6"/>
      <c r="ER4" s="6"/>
      <c r="ES4" s="9"/>
      <c r="ET4" s="7">
        <f>IFERROR(EI4/F4,0)</f>
        <v>0</v>
      </c>
      <c r="EU4" t="inlineStr">
        <is>
          <t xml:space="preserve">Keep cash / margin / financing</t>
        </is>
      </c>
      <c r="EV4" t="inlineStr">
        <is>
          <t xml:space="preserve">cash</t>
        </is>
      </c>
      <c r="EW4" t="inlineStr">
        <is>
          <t xml:space="preserve">keep</t>
        </is>
      </c>
      <c r="EX4" t="inlineStr">
        <is>
          <t xml:space="preserve">cash</t>
        </is>
      </c>
      <c r="EY4"/>
      <c r="EZ4" s="4">
        <v>1</v>
      </c>
      <c r="FA4" s="4">
        <v>1</v>
      </c>
      <c r="FB4" s="6"/>
      <c r="FC4" s="4">
        <v>0</v>
      </c>
      <c r="FD4" s="5">
        <f>IF(EV4="direct",IFERROR(FJ4/FA4,0),0)</f>
        <v>0</v>
      </c>
      <c r="FE4" s="5">
        <f>IF(EV4="direct",FC4-FD4,IF(EV4="cash",FO4,FC4))</f>
        <v>0</v>
      </c>
      <c r="FF4" s="6"/>
      <c r="FG4" s="4">
        <v>0</v>
      </c>
      <c r="FH4" s="4">
        <v>0</v>
      </c>
      <c r="FI4" s="5">
        <f>IF(EV4="direct",FC4*(FA4-EZ4),FL4)</f>
        <v>0</v>
      </c>
      <c r="FJ4" s="5">
        <f>IF(EV4="direct",FH4*FB4*C4/365,0)</f>
        <v>0</v>
      </c>
      <c r="FK4" s="5">
        <f>FI4-FJ4</f>
        <v>0</v>
      </c>
      <c r="FL4" s="4">
        <v>0</v>
      </c>
      <c r="FM4" s="5">
        <f>FL4-FK4</f>
        <v>0</v>
      </c>
      <c r="FN4" s="4">
        <v>0</v>
      </c>
      <c r="FO4" s="4">
        <v>0</v>
      </c>
      <c r="FP4" s="4">
        <v>1.967</v>
      </c>
      <c r="FQ4" s="4">
        <v>1.972</v>
      </c>
      <c r="FR4" s="6"/>
      <c r="FS4" s="6"/>
      <c r="FT4" s="6"/>
      <c r="FU4" s="9"/>
      <c r="FV4" s="7">
        <f>IFERROR(FK4/F4,0)</f>
        <v>0</v>
      </c>
      <c r="FW4"/>
      <c r="FX4"/>
      <c r="FY4"/>
      <c r="FZ4"/>
      <c r="GA4"/>
      <c r="GB4" s="4"/>
      <c r="GC4" s="4"/>
      <c r="GD4" s="6"/>
      <c r="GE4" s="4"/>
      <c r="GF4" s="5">
        <v>0</v>
      </c>
      <c r="GG4" s="5"/>
      <c r="GH4" s="6"/>
      <c r="GI4" s="4"/>
      <c r="GJ4" s="4"/>
      <c r="GK4" s="5">
        <v>0</v>
      </c>
      <c r="GL4" s="5">
        <v>0</v>
      </c>
      <c r="GM4" s="5"/>
      <c r="GN4" s="4"/>
      <c r="GO4" s="5">
        <v>0</v>
      </c>
      <c r="GP4" s="4"/>
      <c r="GQ4" s="4"/>
      <c r="GR4" s="4"/>
      <c r="GS4" s="4"/>
      <c r="GT4" s="6"/>
      <c r="GU4" s="6"/>
      <c r="GV4" s="6"/>
      <c r="GW4" s="9"/>
      <c r="GX4"/>
      <c r="GY4"/>
      <c r="GZ4"/>
      <c r="HA4"/>
      <c r="HB4"/>
      <c r="HC4"/>
      <c r="HD4" s="4"/>
      <c r="HE4" s="4"/>
      <c r="HF4" s="6"/>
      <c r="HG4" s="4"/>
      <c r="HH4" s="5">
        <v>0</v>
      </c>
      <c r="HI4" s="5"/>
      <c r="HJ4" s="6"/>
      <c r="HK4" s="4"/>
      <c r="HL4" s="4"/>
      <c r="HM4" s="5">
        <v>0</v>
      </c>
      <c r="HN4" s="5">
        <v>0</v>
      </c>
      <c r="HO4" s="5"/>
      <c r="HP4" s="4"/>
      <c r="HQ4" s="5">
        <v>0</v>
      </c>
      <c r="HR4" s="4"/>
      <c r="HS4" s="4"/>
      <c r="HT4" s="4"/>
      <c r="HU4" s="4"/>
      <c r="HV4" s="6"/>
      <c r="HW4" s="6"/>
      <c r="HX4" s="6"/>
      <c r="HY4" s="9"/>
      <c r="HZ4"/>
      <c r="IA4"/>
      <c r="IB4"/>
      <c r="IC4"/>
      <c r="ID4"/>
      <c r="IE4"/>
      <c r="IF4" s="4"/>
      <c r="IG4" s="4"/>
      <c r="IH4" s="6"/>
      <c r="II4" s="4"/>
      <c r="IJ4" s="5">
        <v>0</v>
      </c>
      <c r="IK4" s="5"/>
      <c r="IL4" s="6"/>
      <c r="IM4" s="4"/>
      <c r="IN4" s="4"/>
      <c r="IO4" s="5">
        <v>0</v>
      </c>
      <c r="IP4" s="5">
        <v>0</v>
      </c>
      <c r="IQ4" s="5"/>
      <c r="IR4" s="4"/>
      <c r="IS4" s="5">
        <v>0</v>
      </c>
      <c r="IT4" s="4"/>
      <c r="IU4" s="4"/>
      <c r="IV4" s="4"/>
      <c r="IW4" s="4"/>
      <c r="IX4" s="6"/>
      <c r="IY4" s="6"/>
      <c r="IZ4" s="6"/>
      <c r="JA4" s="9"/>
      <c r="JB4"/>
      <c r="JC4"/>
      <c r="JD4"/>
      <c r="JE4"/>
      <c r="JF4"/>
      <c r="JG4"/>
      <c r="JH4" s="4"/>
      <c r="JI4" s="4"/>
      <c r="JJ4" s="6"/>
      <c r="JK4" s="4"/>
      <c r="JL4" s="5">
        <v>0</v>
      </c>
      <c r="JM4" s="5"/>
      <c r="JN4" s="6"/>
      <c r="JO4" s="4"/>
      <c r="JP4" s="4"/>
      <c r="JQ4" s="5">
        <v>0</v>
      </c>
      <c r="JR4" s="5">
        <v>0</v>
      </c>
      <c r="JS4" s="5"/>
      <c r="JT4" s="4"/>
      <c r="JU4" s="5">
        <v>0</v>
      </c>
      <c r="JV4" s="4"/>
      <c r="JW4" s="4"/>
      <c r="JX4" s="4"/>
      <c r="JY4" s="4"/>
      <c r="JZ4" s="6"/>
      <c r="KA4" s="6"/>
      <c r="KB4" s="6"/>
      <c r="KC4" s="9"/>
      <c r="KD4"/>
      <c r="KE4"/>
      <c r="KF4"/>
      <c r="KG4"/>
      <c r="KH4"/>
      <c r="KI4"/>
      <c r="KJ4" s="4"/>
      <c r="KK4" s="4"/>
      <c r="KL4" s="6"/>
      <c r="KM4" s="4"/>
      <c r="KN4" s="5">
        <v>0</v>
      </c>
      <c r="KO4" s="5"/>
      <c r="KP4" s="6"/>
      <c r="KQ4" s="4"/>
      <c r="KR4" s="4"/>
      <c r="KS4" s="5">
        <v>0</v>
      </c>
      <c r="KT4" s="5">
        <v>0</v>
      </c>
      <c r="KU4" s="5"/>
      <c r="KV4" s="4"/>
      <c r="KW4" s="5">
        <v>0</v>
      </c>
      <c r="KX4" s="4"/>
      <c r="KY4" s="4"/>
      <c r="KZ4" s="4"/>
      <c r="LA4" s="4"/>
      <c r="LB4" s="6"/>
      <c r="LC4" s="6"/>
      <c r="LD4" s="6"/>
      <c r="LE4" s="9"/>
      <c r="LF4"/>
      <c r="LG4"/>
      <c r="LH4"/>
      <c r="LI4"/>
      <c r="LJ4"/>
      <c r="LK4"/>
      <c r="LL4" s="4"/>
      <c r="LM4" s="4"/>
      <c r="LN4" s="6"/>
      <c r="LO4" s="4"/>
      <c r="LP4" s="5">
        <v>0</v>
      </c>
      <c r="LQ4" s="5"/>
      <c r="LR4" s="6"/>
      <c r="LS4" s="4"/>
      <c r="LT4" s="4"/>
      <c r="LU4" s="5">
        <v>0</v>
      </c>
      <c r="LV4" s="5">
        <v>0</v>
      </c>
      <c r="LW4" s="5"/>
      <c r="LX4" s="4"/>
      <c r="LY4" s="5">
        <v>0</v>
      </c>
      <c r="LZ4" s="4"/>
      <c r="MA4" s="4"/>
      <c r="MB4" s="4"/>
      <c r="MC4" s="4"/>
      <c r="MD4" s="6"/>
      <c r="ME4" s="6"/>
      <c r="MF4" s="6"/>
      <c r="MG4" s="9"/>
      <c r="MH4"/>
    </row>
    <row r="5">
      <c r="A5" s="8">
        <v>25209</v>
      </c>
      <c r="B5" s="8">
        <v>25210</v>
      </c>
      <c r="C5" s="9">
        <f>B5-A5</f>
        <v>1</v>
      </c>
      <c r="D5" s="8">
        <v>25209</v>
      </c>
      <c r="E5" t="inlineStr">
        <is>
          <t xml:space="preserve">positive</t>
        </is>
      </c>
      <c r="F5" s="4">
        <v>0.9968774855659935</v>
      </c>
      <c r="G5" s="6">
        <v>0.005323954243750865</v>
      </c>
      <c r="H5" s="7">
        <f>SUM(CP5,DR5,ET5,FV5,GX5,HZ5,JB5,KD5,LF5,MH5)</f>
        <v>0.005323954243750865</v>
      </c>
      <c r="I5" s="7">
        <f>G5-H5</f>
        <v>0</v>
      </c>
      <c r="J5" s="5">
        <f>F5*(1+H5)</f>
        <v>1.0021848156857722</v>
      </c>
      <c r="K5" s="4">
        <v>1.0021848156857722</v>
      </c>
      <c r="L5" s="5">
        <f>K5-J5</f>
        <v>0</v>
      </c>
      <c r="M5" s="4">
        <v>1.972</v>
      </c>
      <c r="N5" s="4">
        <v>1.977</v>
      </c>
      <c r="O5" s="5">
        <f>M5/$M$3</f>
        <v>1.0071501532175688</v>
      </c>
      <c r="P5" s="5">
        <f>N5/$M$3</f>
        <v>1.0097037793667007</v>
      </c>
      <c r="Q5" s="7">
        <f>IFERROR(N5/M5-1,0)</f>
        <v>0.002535496957403627</v>
      </c>
      <c r="R5" s="5">
        <f>SUM(IF(BQ5="lease",CB5,0),IF(CS5="lease",DD5,0),IF(DU5="lease",EF5,0),IF(EW5="lease",FH5,0),IF(FY5="lease",GJ5,0),IF(HA5="lease",HL5,0),IF(IC5="lease",IN5,0),IF(JE5="lease",JP5,0),IF(KG5="lease",KR5,0),IF(LI5="lease",LT5,0))</f>
        <v>0.9968774855659934</v>
      </c>
      <c r="S5" s="5">
        <f>SUM(IF(BQ5="lease",CI5,0),IF(CS5="lease",DK5,0),IF(DU5="lease",EM5,0),IF(EW5="lease",FO5,0),IF(FY5="lease",GQ5,0),IF(HA5="lease",HS5,0),IF(IC5="lease",IU5,0),IF(JE5="lease",JW5,0),IF(KG5="lease",KY5,0),IF(LI5="lease",MA5,0))</f>
        <v>1.0021848156857722</v>
      </c>
      <c r="T5" s="5">
        <f>SUM(IF(BQ5="keep",CB5,0),IF(CS5="keep",DD5,0),IF(DU5="keep",EF5,0),IF(EW5="keep",FH5,0),IF(FY5="keep",GJ5,0),IF(HA5="keep",HL5,0),IF(IC5="keep",IN5,0),IF(JE5="keep",JP5,0),IF(KG5="keep",KR5,0),IF(LI5="keep",LT5,0))</f>
        <v>0</v>
      </c>
      <c r="U5" s="5">
        <f>SUM(IF(BQ5="keep",CI5,0),IF(CS5="keep",DK5,0),IF(DU5="keep",EM5,0),IF(EW5="keep",FO5,0),IF(FY5="keep",GQ5,0),IF(HA5="keep",HS5,0),IF(IC5="keep",IU5,0),IF(JE5="keep",JW5,0),IF(KG5="keep",KY5,0),IF(LI5="keep",MA5,0))</f>
        <v>0</v>
      </c>
      <c r="V5" s="5">
        <f>R5/O5</f>
        <v>0.9898002620376346</v>
      </c>
      <c r="W5" s="5">
        <f>S5/P5</f>
        <v>0.9925532974773607</v>
      </c>
      <c r="X5" s="5">
        <f>T5/O5</f>
        <v>0</v>
      </c>
      <c r="Y5" s="5">
        <f>U5/P5</f>
        <v>0</v>
      </c>
      <c r="Z5" s="5">
        <f>V5+X5</f>
        <v>0.9898002620376346</v>
      </c>
      <c r="AA5" s="7">
        <f>IFERROR(W5/V5-1,0)</f>
        <v>0.002781405042324936</v>
      </c>
      <c r="AB5" s="7">
        <f>IFERROR((W5-V5)/Z5,0)</f>
        <v>0.0027814050423249645</v>
      </c>
      <c r="AC5" s="7">
        <f>IFERROR(Y5/X5-1,0)</f>
        <v>0</v>
      </c>
      <c r="AD5" s="7">
        <f>IFERROR((Y5-X5)/Z5,0)</f>
        <v>0</v>
      </c>
      <c r="AE5" s="7">
        <f>AB5+AD5</f>
        <v>0.0027814050423249645</v>
      </c>
      <c r="AF5" s="7">
        <f>(1+Q5)*(1+AE5)-1</f>
        <v>0.00532395424375065</v>
      </c>
      <c r="AG5" s="7">
        <f>G5-AF5</f>
        <v>2.1423834928313568e-16</v>
      </c>
      <c r="AH5" s="5">
        <f>SUM(IF(BQ5="lease",CE5,0),IF(CS5="lease",DG5,0),IF(DU5="lease",EI5,0),IF(EW5="lease",FK5,0),IF(FY5="lease",GM5,0),IF(HA5="lease",HO5,0),IF(IC5="lease",IQ5,0),IF(JE5="lease",JS5,0),IF(KG5="lease",KU5,0),IF(LI5="lease",LW5,0))</f>
        <v>0.005307330119778762</v>
      </c>
      <c r="AI5" s="5">
        <f>SUM(IF(BQ5="keep",CE5,0),IF(CS5="keep",DG5,0),IF(DU5="keep",EI5,0),IF(EW5="keep",FK5,0),IF(FY5="keep",GM5,0),IF(HA5="keep",HO5,0),IF(IC5="keep",IQ5,0),IF(JE5="keep",JS5,0),IF(KG5="keep",KU5,0),IF(LI5="keep",LW5,0))</f>
        <v>0</v>
      </c>
      <c r="AJ5" s="5">
        <f>SUM(IF(BQ5="lease",CH5,0),IF(CS5="lease",DJ5,0),IF(DU5="lease",EL5,0),IF(EW5="lease",FN5,0),IF(FY5="lease",GP5,0),IF(HA5="lease",HR5,0),IF(IC5="lease",IT5,0),IF(JE5="lease",JV5,0),IF(KG5="lease",KX5,0),IF(LI5="lease",LZ5,0))</f>
        <v>0</v>
      </c>
      <c r="AK5" s="5">
        <f>SUM(IF(BQ5="keep",CH5,0),IF(CS5="keep",DJ5,0),IF(DU5="keep",EL5,0),IF(EW5="keep",FN5,0),IF(FY5="keep",GP5,0),IF(HA5="keep",HR5,0),IF(IC5="keep",IT5,0),IF(JE5="keep",JV5,0),IF(KG5="keep",KX5,0),IF(LI5="keep",LZ5,0))</f>
        <v>0</v>
      </c>
      <c r="AL5" s="5">
        <f>R5-S4</f>
        <v>0</v>
      </c>
      <c r="AM5" s="5">
        <f>T5-U4</f>
        <v>0</v>
      </c>
      <c r="AN5" s="5">
        <f>AN4</f>
        <v>1</v>
      </c>
      <c r="AO5" s="5">
        <f>AO4+AH5</f>
        <v>0.00218481568577226</v>
      </c>
      <c r="AP5" s="5">
        <f>AP4+AL5</f>
        <v>-2.220446049250313e-16</v>
      </c>
      <c r="AQ5" s="5">
        <f>AN5+AO5+AP5</f>
        <v>1.002184815685772</v>
      </c>
      <c r="AR5" s="5">
        <f>S5-AQ5</f>
        <v>2.220446049250313e-16</v>
      </c>
      <c r="AS5" s="5">
        <f>AS4</f>
        <v>0</v>
      </c>
      <c r="AT5" s="5">
        <f>AT4+AI5</f>
        <v>0</v>
      </c>
      <c r="AU5" s="5">
        <f>AU4+AM5</f>
        <v>0</v>
      </c>
      <c r="AV5" s="5">
        <f>AS5+AT5+AU5</f>
        <v>0</v>
      </c>
      <c r="AW5" s="5">
        <f>U5-AV5</f>
        <v>0</v>
      </c>
      <c r="AX5" s="4">
        <v>0.9968774855659934</v>
      </c>
      <c r="AY5" s="4">
        <v>1.0021848156857722</v>
      </c>
      <c r="AZ5" s="5">
        <f>S5-AY5</f>
        <v>0</v>
      </c>
      <c r="BA5" s="4">
        <v>0</v>
      </c>
      <c r="BB5" s="4">
        <v>0</v>
      </c>
      <c r="BC5" s="5">
        <f>U5-BB5</f>
        <v>0</v>
      </c>
      <c r="BD5" s="7">
        <f>SUM(IF(BP5="direct",CC5/F5,0),IF(CR5="direct",DE5/F5,0),IF(DT5="direct",EG5/F5,0),IF(EV5="direct",FI5/F5,0),IF(FX5="direct",GK5/F5,0),IF(GZ5="direct",HM5/F5,0),IF(IB5="direct",IO5/F5,0),IF(JD5="direct",JQ5/F5,0),IF(KF5="direct",KS5/F5,0),IF(LH5="direct",LU5/F5,0))</f>
        <v>0</v>
      </c>
      <c r="BE5" s="7">
        <f>-SUM(IF(BP5="direct",CD5/F5,0),IF(CR5="direct",DF5/F5,0),IF(DT5="direct",EH5/F5,0),IF(EV5="direct",FJ5/F5,0),IF(FX5="direct",GL5/F5,0),IF(GZ5="direct",HN5/F5,0),IF(IB5="direct",IP5/F5,0),IF(JD5="direct",JR5/F5,0),IF(KF5="direct",KT5/F5,0),IF(LH5="direct",LV5/F5,0))</f>
        <v>0</v>
      </c>
      <c r="BF5" s="7">
        <f>BD5+BE5</f>
        <v>0</v>
      </c>
      <c r="BG5" s="7">
        <f>BF5-SUM(IF(BP5="direct",CP5,0),IF(CR5="direct",DR5,0),IF(DT5="direct",ET5,0),IF(EV5="direct",FV5,0),IF(FX5="direct",GX5,0),IF(GZ5="direct",HZ5,0),IF(IB5="direct",JB5,0),IF(JD5="direct",KD5,0),IF(KF5="direct",LF5,0),IF(LH5="direct",MH5,0))</f>
        <v>0</v>
      </c>
      <c r="BH5" s="7">
        <f>SUM(IF(BP5="treasury",CP5,0),IF(CR5="treasury",DR5,0),IF(DT5="treasury",ET5,0),IF(EV5="treasury",FV5,0),IF(FX5="treasury",GX5,0),IF(GZ5="treasury",HZ5,0),IF(IB5="treasury",JB5,0),IF(JD5="treasury",KD5,0),IF(KF5="treasury",LF5,0),IF(LH5="treasury",MH5,0))</f>
        <v>0.00016931506849315067</v>
      </c>
      <c r="BI5" s="7">
        <f>SUM(IF(BP5="future",CP5,0),IF(CR5="future",DR5,0),IF(DT5="future",ET5,0),IF(EV5="future",FV5,0),IF(FX5="future",GX5,0),IF(GZ5="future",HZ5,0),IF(IB5="future",JB5,0),IF(JD5="future",KD5,0),IF(KF5="future",LF5,0),IF(LH5="future",MH5,0))</f>
        <v>0.005154639175257714</v>
      </c>
      <c r="BJ5" s="7">
        <f>SUM(IF(BP5="cash",CP5,0),IF(CR5="cash",DR5,0),IF(DT5="cash",ET5,0),IF(EV5="cash",FV5,0),IF(FX5="cash",GX5,0),IF(GZ5="cash",HZ5,0),IF(IB5="cash",JB5,0),IF(JD5="cash",KD5,0),IF(KF5="cash",LF5,0),IF(LH5="cash",MH5,0))</f>
        <v>0</v>
      </c>
      <c r="BK5" s="7">
        <f>SUM(BF5,BH5,BI5,BJ5)</f>
        <v>0.005323954243750865</v>
      </c>
      <c r="BL5" s="7">
        <f>G5-BK5</f>
        <v>0</v>
      </c>
      <c r="BM5" s="5">
        <f>MAX(ABS(CG5),ABS(DI5),ABS(EK5),ABS(FM5),ABS(GO5),ABS(HQ5),ABS(IS5),ABS(JU5),ABS(KW5),ABS(LY5))</f>
        <v>8.131516293641283e-18</v>
      </c>
      <c r="BN5" s="9">
        <f>COUNTA(BO5,CQ5,DS5,EU5,FW5,GY5,IA5,JC5,KE5,LG5)</f>
        <v>4</v>
      </c>
      <c r="BO5" t="inlineStr">
        <is>
          <t xml:space="preserve">Treasury collateral</t>
        </is>
      </c>
      <c r="BP5" t="inlineStr">
        <is>
          <t xml:space="preserve">treasury</t>
        </is>
      </c>
      <c r="BQ5" t="inlineStr">
        <is>
          <t xml:space="preserve">lease</t>
        </is>
      </c>
      <c r="BR5" t="inlineStr">
        <is>
          <t xml:space="preserve">long</t>
        </is>
      </c>
      <c r="BS5"/>
      <c r="BT5" s="4">
        <v>100.06721395493341</v>
      </c>
      <c r="BU5" s="4">
        <v>100.0841568421181</v>
      </c>
      <c r="BV5" s="6"/>
      <c r="BW5" s="4">
        <v>0.009962078948405124</v>
      </c>
      <c r="BX5" s="5">
        <f>IF(BP5="direct",IFERROR(CD5/BU5,0),0)</f>
        <v>0</v>
      </c>
      <c r="BY5" s="5">
        <f>IF(BP5="direct",BW5-BX5,IF(BP5="cash",CI5,BW5))</f>
        <v>0.009962078948405124</v>
      </c>
      <c r="BZ5" s="6">
        <v>1</v>
      </c>
      <c r="CA5" s="4">
        <v>0.9968774855659935</v>
      </c>
      <c r="CB5" s="4">
        <v>0.9968774855659935</v>
      </c>
      <c r="CC5" s="5">
        <f>IF(BP5="direct",BW5*(BU5-BT5),CF5)</f>
        <v>0.0001687863797478779</v>
      </c>
      <c r="CD5" s="5">
        <f>IF(BP5="direct",CB5*BV5*C5/365,0)</f>
        <v>0</v>
      </c>
      <c r="CE5" s="5">
        <f>CC5-CD5</f>
        <v>0.00016878637974788603</v>
      </c>
      <c r="CF5" s="4">
        <v>0.00016878637974788603</v>
      </c>
      <c r="CG5" s="5">
        <f>CF5-CE5</f>
        <v>8.131516293641283e-18</v>
      </c>
      <c r="CH5" s="4">
        <v>4.56178064073276e-17</v>
      </c>
      <c r="CI5" s="4">
        <v>0.9970462719457415</v>
      </c>
      <c r="CJ5" s="4">
        <v>1.972</v>
      </c>
      <c r="CK5" s="4">
        <v>1.977</v>
      </c>
      <c r="CL5" s="6"/>
      <c r="CM5" s="6"/>
      <c r="CN5" s="6"/>
      <c r="CO5" s="9">
        <v>23</v>
      </c>
      <c r="CP5" s="7">
        <f>IFERROR(CE5/F5,0)</f>
        <v>0.00016931506849315067</v>
      </c>
      <c r="CQ5" t="inlineStr">
        <is>
          <t xml:space="preserve">SI69F</t>
        </is>
      </c>
      <c r="CR5" t="inlineStr">
        <is>
          <t xml:space="preserve">future</t>
        </is>
      </c>
      <c r="CS5" t="inlineStr">
        <is>
          <t xml:space="preserve">lease</t>
        </is>
      </c>
      <c r="CT5" t="inlineStr">
        <is>
          <t xml:space="preserve">long</t>
        </is>
      </c>
      <c r="CU5" t="inlineStr">
        <is>
          <t xml:space="preserve">regular</t>
        </is>
      </c>
      <c r="CV5" s="4">
        <v>1.94</v>
      </c>
      <c r="CW5" s="4">
        <v>1.95</v>
      </c>
      <c r="CX5" s="6"/>
      <c r="CY5" s="4">
        <v>0.5138543740030894</v>
      </c>
      <c r="CZ5" s="5">
        <f>IF(CR5="direct",IFERROR(DF5/CW5,0),0)</f>
        <v>0</v>
      </c>
      <c r="DA5" s="5">
        <f>IF(CR5="direct",CY5-CZ5,IF(CR5="cash",DK5,CY5))</f>
        <v>0.5138543740030894</v>
      </c>
      <c r="DB5" s="6">
        <v>1</v>
      </c>
      <c r="DC5" s="4">
        <v>0.9968774855659935</v>
      </c>
      <c r="DD5" s="4">
        <v>0</v>
      </c>
      <c r="DE5" s="5">
        <f>IF(CR5="direct",CY5*(CW5-CV5),DH5)</f>
        <v>0.005138543740030877</v>
      </c>
      <c r="DF5" s="5">
        <f>IF(CR5="direct",DD5*CX5*C5/365,0)</f>
        <v>0</v>
      </c>
      <c r="DG5" s="5">
        <f>DE5-DF5</f>
        <v>0.005138543740030877</v>
      </c>
      <c r="DH5" s="4">
        <v>0.005138543740030877</v>
      </c>
      <c r="DI5" s="5">
        <f>DH5-DG5</f>
        <v>0</v>
      </c>
      <c r="DJ5" s="4">
        <v>-0.005138543740030877</v>
      </c>
      <c r="DK5" s="4">
        <v>0</v>
      </c>
      <c r="DL5" s="4">
        <v>1.972</v>
      </c>
      <c r="DM5" s="4">
        <v>1.977</v>
      </c>
      <c r="DN5" s="6">
        <v>-0.016227180527383367</v>
      </c>
      <c r="DO5" s="6">
        <v>0.061799999999999994</v>
      </c>
      <c r="DP5" s="6">
        <v>0.3193182996736925</v>
      </c>
      <c r="DQ5" s="9">
        <v>23</v>
      </c>
      <c r="DR5" s="7">
        <f>IFERROR(DG5/F5,0)</f>
        <v>0.005154639175257714</v>
      </c>
      <c r="DS5" t="inlineStr">
        <is>
          <t xml:space="preserve">Lease cash / margin / financing</t>
        </is>
      </c>
      <c r="DT5" t="inlineStr">
        <is>
          <t xml:space="preserve">cash</t>
        </is>
      </c>
      <c r="DU5" t="inlineStr">
        <is>
          <t xml:space="preserve">lease</t>
        </is>
      </c>
      <c r="DV5" t="inlineStr">
        <is>
          <t xml:space="preserve">cash</t>
        </is>
      </c>
      <c r="DW5"/>
      <c r="DX5" s="4">
        <v>1</v>
      </c>
      <c r="DY5" s="4">
        <v>1</v>
      </c>
      <c r="DZ5" s="6"/>
      <c r="EA5" s="4">
        <v>-1.1102230246251565e-16</v>
      </c>
      <c r="EB5" s="5">
        <f>IF(DT5="direct",IFERROR(EH5/DY5,0),0)</f>
        <v>0</v>
      </c>
      <c r="EC5" s="5">
        <f>IF(DT5="direct",EA5-EB5,IF(DT5="cash",EM5,EA5))</f>
        <v>0.00513854374003072</v>
      </c>
      <c r="ED5" s="6"/>
      <c r="EE5" s="4">
        <v>-1.1102230246251565e-16</v>
      </c>
      <c r="EF5" s="4">
        <v>-1.1102230246251565e-16</v>
      </c>
      <c r="EG5" s="5">
        <f>IF(DT5="direct",EA5*(DY5-DX5),EJ5)</f>
        <v>0</v>
      </c>
      <c r="EH5" s="5">
        <f>IF(DT5="direct",EF5*DZ5*C5/365,0)</f>
        <v>0</v>
      </c>
      <c r="EI5" s="5">
        <f>EG5-EH5</f>
        <v>0</v>
      </c>
      <c r="EJ5" s="4">
        <v>0</v>
      </c>
      <c r="EK5" s="5">
        <f>EJ5-EI5</f>
        <v>0</v>
      </c>
      <c r="EL5" s="4">
        <v>0.005138543740030831</v>
      </c>
      <c r="EM5" s="4">
        <v>0.00513854374003072</v>
      </c>
      <c r="EN5" s="4">
        <v>1.972</v>
      </c>
      <c r="EO5" s="4">
        <v>1.977</v>
      </c>
      <c r="EP5" s="6"/>
      <c r="EQ5" s="6"/>
      <c r="ER5" s="6"/>
      <c r="ES5" s="9"/>
      <c r="ET5" s="7">
        <f>IFERROR(EI5/F5,0)</f>
        <v>0</v>
      </c>
      <c r="EU5" t="inlineStr">
        <is>
          <t xml:space="preserve">Keep cash / margin / financing</t>
        </is>
      </c>
      <c r="EV5" t="inlineStr">
        <is>
          <t xml:space="preserve">cash</t>
        </is>
      </c>
      <c r="EW5" t="inlineStr">
        <is>
          <t xml:space="preserve">keep</t>
        </is>
      </c>
      <c r="EX5" t="inlineStr">
        <is>
          <t xml:space="preserve">cash</t>
        </is>
      </c>
      <c r="EY5"/>
      <c r="EZ5" s="4">
        <v>1</v>
      </c>
      <c r="FA5" s="4">
        <v>1</v>
      </c>
      <c r="FB5" s="6"/>
      <c r="FC5" s="4">
        <v>0</v>
      </c>
      <c r="FD5" s="5">
        <f>IF(EV5="direct",IFERROR(FJ5/FA5,0),0)</f>
        <v>0</v>
      </c>
      <c r="FE5" s="5">
        <f>IF(EV5="direct",FC5-FD5,IF(EV5="cash",FO5,FC5))</f>
        <v>0</v>
      </c>
      <c r="FF5" s="6"/>
      <c r="FG5" s="4">
        <v>0</v>
      </c>
      <c r="FH5" s="4">
        <v>0</v>
      </c>
      <c r="FI5" s="5">
        <f>IF(EV5="direct",FC5*(FA5-EZ5),FL5)</f>
        <v>0</v>
      </c>
      <c r="FJ5" s="5">
        <f>IF(EV5="direct",FH5*FB5*C5/365,0)</f>
        <v>0</v>
      </c>
      <c r="FK5" s="5">
        <f>FI5-FJ5</f>
        <v>0</v>
      </c>
      <c r="FL5" s="4">
        <v>0</v>
      </c>
      <c r="FM5" s="5">
        <f>FL5-FK5</f>
        <v>0</v>
      </c>
      <c r="FN5" s="4">
        <v>0</v>
      </c>
      <c r="FO5" s="4">
        <v>0</v>
      </c>
      <c r="FP5" s="4">
        <v>1.972</v>
      </c>
      <c r="FQ5" s="4">
        <v>1.977</v>
      </c>
      <c r="FR5" s="6"/>
      <c r="FS5" s="6"/>
      <c r="FT5" s="6"/>
      <c r="FU5" s="9"/>
      <c r="FV5" s="7">
        <f>IFERROR(FK5/F5,0)</f>
        <v>0</v>
      </c>
      <c r="FW5"/>
      <c r="FX5"/>
      <c r="FY5"/>
      <c r="FZ5"/>
      <c r="GA5"/>
      <c r="GB5" s="4"/>
      <c r="GC5" s="4"/>
      <c r="GD5" s="6"/>
      <c r="GE5" s="4"/>
      <c r="GF5" s="5">
        <v>0</v>
      </c>
      <c r="GG5" s="5"/>
      <c r="GH5" s="6"/>
      <c r="GI5" s="4"/>
      <c r="GJ5" s="4"/>
      <c r="GK5" s="5">
        <v>0</v>
      </c>
      <c r="GL5" s="5">
        <v>0</v>
      </c>
      <c r="GM5" s="5"/>
      <c r="GN5" s="4"/>
      <c r="GO5" s="5">
        <v>0</v>
      </c>
      <c r="GP5" s="4"/>
      <c r="GQ5" s="4"/>
      <c r="GR5" s="4"/>
      <c r="GS5" s="4"/>
      <c r="GT5" s="6"/>
      <c r="GU5" s="6"/>
      <c r="GV5" s="6"/>
      <c r="GW5" s="9"/>
      <c r="GX5"/>
      <c r="GY5"/>
      <c r="GZ5"/>
      <c r="HA5"/>
      <c r="HB5"/>
      <c r="HC5"/>
      <c r="HD5" s="4"/>
      <c r="HE5" s="4"/>
      <c r="HF5" s="6"/>
      <c r="HG5" s="4"/>
      <c r="HH5" s="5">
        <v>0</v>
      </c>
      <c r="HI5" s="5"/>
      <c r="HJ5" s="6"/>
      <c r="HK5" s="4"/>
      <c r="HL5" s="4"/>
      <c r="HM5" s="5">
        <v>0</v>
      </c>
      <c r="HN5" s="5">
        <v>0</v>
      </c>
      <c r="HO5" s="5"/>
      <c r="HP5" s="4"/>
      <c r="HQ5" s="5">
        <v>0</v>
      </c>
      <c r="HR5" s="4"/>
      <c r="HS5" s="4"/>
      <c r="HT5" s="4"/>
      <c r="HU5" s="4"/>
      <c r="HV5" s="6"/>
      <c r="HW5" s="6"/>
      <c r="HX5" s="6"/>
      <c r="HY5" s="9"/>
      <c r="HZ5"/>
      <c r="IA5"/>
      <c r="IB5"/>
      <c r="IC5"/>
      <c r="ID5"/>
      <c r="IE5"/>
      <c r="IF5" s="4"/>
      <c r="IG5" s="4"/>
      <c r="IH5" s="6"/>
      <c r="II5" s="4"/>
      <c r="IJ5" s="5">
        <v>0</v>
      </c>
      <c r="IK5" s="5"/>
      <c r="IL5" s="6"/>
      <c r="IM5" s="4"/>
      <c r="IN5" s="4"/>
      <c r="IO5" s="5">
        <v>0</v>
      </c>
      <c r="IP5" s="5">
        <v>0</v>
      </c>
      <c r="IQ5" s="5"/>
      <c r="IR5" s="4"/>
      <c r="IS5" s="5">
        <v>0</v>
      </c>
      <c r="IT5" s="4"/>
      <c r="IU5" s="4"/>
      <c r="IV5" s="4"/>
      <c r="IW5" s="4"/>
      <c r="IX5" s="6"/>
      <c r="IY5" s="6"/>
      <c r="IZ5" s="6"/>
      <c r="JA5" s="9"/>
      <c r="JB5"/>
      <c r="JC5"/>
      <c r="JD5"/>
      <c r="JE5"/>
      <c r="JF5"/>
      <c r="JG5"/>
      <c r="JH5" s="4"/>
      <c r="JI5" s="4"/>
      <c r="JJ5" s="6"/>
      <c r="JK5" s="4"/>
      <c r="JL5" s="5">
        <v>0</v>
      </c>
      <c r="JM5" s="5"/>
      <c r="JN5" s="6"/>
      <c r="JO5" s="4"/>
      <c r="JP5" s="4"/>
      <c r="JQ5" s="5">
        <v>0</v>
      </c>
      <c r="JR5" s="5">
        <v>0</v>
      </c>
      <c r="JS5" s="5"/>
      <c r="JT5" s="4"/>
      <c r="JU5" s="5">
        <v>0</v>
      </c>
      <c r="JV5" s="4"/>
      <c r="JW5" s="4"/>
      <c r="JX5" s="4"/>
      <c r="JY5" s="4"/>
      <c r="JZ5" s="6"/>
      <c r="KA5" s="6"/>
      <c r="KB5" s="6"/>
      <c r="KC5" s="9"/>
      <c r="KD5"/>
      <c r="KE5"/>
      <c r="KF5"/>
      <c r="KG5"/>
      <c r="KH5"/>
      <c r="KI5"/>
      <c r="KJ5" s="4"/>
      <c r="KK5" s="4"/>
      <c r="KL5" s="6"/>
      <c r="KM5" s="4"/>
      <c r="KN5" s="5">
        <v>0</v>
      </c>
      <c r="KO5" s="5"/>
      <c r="KP5" s="6"/>
      <c r="KQ5" s="4"/>
      <c r="KR5" s="4"/>
      <c r="KS5" s="5">
        <v>0</v>
      </c>
      <c r="KT5" s="5">
        <v>0</v>
      </c>
      <c r="KU5" s="5"/>
      <c r="KV5" s="4"/>
      <c r="KW5" s="5">
        <v>0</v>
      </c>
      <c r="KX5" s="4"/>
      <c r="KY5" s="4"/>
      <c r="KZ5" s="4"/>
      <c r="LA5" s="4"/>
      <c r="LB5" s="6"/>
      <c r="LC5" s="6"/>
      <c r="LD5" s="6"/>
      <c r="LE5" s="9"/>
      <c r="LF5"/>
      <c r="LG5"/>
      <c r="LH5"/>
      <c r="LI5"/>
      <c r="LJ5"/>
      <c r="LK5"/>
      <c r="LL5" s="4"/>
      <c r="LM5" s="4"/>
      <c r="LN5" s="6"/>
      <c r="LO5" s="4"/>
      <c r="LP5" s="5">
        <v>0</v>
      </c>
      <c r="LQ5" s="5"/>
      <c r="LR5" s="6"/>
      <c r="LS5" s="4"/>
      <c r="LT5" s="4"/>
      <c r="LU5" s="5">
        <v>0</v>
      </c>
      <c r="LV5" s="5">
        <v>0</v>
      </c>
      <c r="LW5" s="5"/>
      <c r="LX5" s="4"/>
      <c r="LY5" s="5">
        <v>0</v>
      </c>
      <c r="LZ5" s="4"/>
      <c r="MA5" s="4"/>
      <c r="MB5" s="4"/>
      <c r="MC5" s="4"/>
      <c r="MD5" s="6"/>
      <c r="ME5" s="6"/>
      <c r="MF5" s="6"/>
      <c r="MG5" s="9"/>
      <c r="MH5"/>
    </row>
    <row r="6">
      <c r="A6" s="8">
        <v>25210</v>
      </c>
      <c r="B6" s="8">
        <v>25211</v>
      </c>
      <c r="C6" s="9">
        <f>B6-A6</f>
        <v>1</v>
      </c>
      <c r="D6" s="8">
        <v>25210</v>
      </c>
      <c r="E6" t="inlineStr">
        <is>
          <t xml:space="preserve">positive</t>
        </is>
      </c>
      <c r="F6" s="4">
        <v>1.0021848156857722</v>
      </c>
      <c r="G6" s="6">
        <v>0.018119950825430435</v>
      </c>
      <c r="H6" s="7">
        <f>SUM(CP6,DR6,ET6,FV6,GX6,HZ6,JB6,KD6,LF6,MH6)</f>
        <v>0.018119950825430435</v>
      </c>
      <c r="I6" s="7">
        <f>G6-H6</f>
        <v>0</v>
      </c>
      <c r="J6" s="5">
        <f>F6*(1+H6)</f>
        <v>1.0203443552639915</v>
      </c>
      <c r="K6" s="4">
        <v>1.0203443552639915</v>
      </c>
      <c r="L6" s="5">
        <f>K6-J6</f>
        <v>0</v>
      </c>
      <c r="M6" s="4">
        <v>1.977</v>
      </c>
      <c r="N6" s="4">
        <v>2.017</v>
      </c>
      <c r="O6" s="5">
        <f>M6/$M$3</f>
        <v>1.0097037793667007</v>
      </c>
      <c r="P6" s="5">
        <f>N6/$M$3</f>
        <v>1.0301327885597549</v>
      </c>
      <c r="Q6" s="7">
        <f>IFERROR(N6/M6-1,0)</f>
        <v>0.020232675771370667</v>
      </c>
      <c r="R6" s="5">
        <f>SUM(IF(BQ6="lease",CB6,0),IF(CS6="lease",DD6,0),IF(DU6="lease",EF6,0),IF(EW6="lease",FH6,0),IF(FY6="lease",GJ6,0),IF(HA6="lease",HL6,0),IF(IC6="lease",IN6,0),IF(JE6="lease",JP6,0),IF(KG6="lease",KR6,0),IF(LI6="lease",LT6,0))</f>
        <v>1.0021848156857722</v>
      </c>
      <c r="S6" s="5">
        <f>SUM(IF(BQ6="lease",CI6,0),IF(CS6="lease",DK6,0),IF(DU6="lease",EM6,0),IF(EW6="lease",FO6,0),IF(FY6="lease",GQ6,0),IF(HA6="lease",HS6,0),IF(IC6="lease",IU6,0),IF(JE6="lease",JW6,0),IF(KG6="lease",KY6,0),IF(LI6="lease",MA6,0))</f>
        <v>1.0203443552639915</v>
      </c>
      <c r="T6" s="5">
        <f>SUM(IF(BQ6="keep",CB6,0),IF(CS6="keep",DD6,0),IF(DU6="keep",EF6,0),IF(EW6="keep",FH6,0),IF(FY6="keep",GJ6,0),IF(HA6="keep",HL6,0),IF(IC6="keep",IN6,0),IF(JE6="keep",JP6,0),IF(KG6="keep",KR6,0),IF(LI6="keep",LT6,0))</f>
        <v>0</v>
      </c>
      <c r="U6" s="5">
        <f>SUM(IF(BQ6="keep",CI6,0),IF(CS6="keep",DK6,0),IF(DU6="keep",EM6,0),IF(EW6="keep",FO6,0),IF(FY6="keep",GQ6,0),IF(HA6="keep",HS6,0),IF(IC6="keep",IU6,0),IF(JE6="keep",JW6,0),IF(KG6="keep",KY6,0),IF(LI6="keep",MA6,0))</f>
        <v>0</v>
      </c>
      <c r="V6" s="5">
        <f>R6/O6</f>
        <v>0.9925532974773607</v>
      </c>
      <c r="W6" s="5">
        <f>S6/P6</f>
        <v>0.9904978917237953</v>
      </c>
      <c r="X6" s="5">
        <f>T6/O6</f>
        <v>0</v>
      </c>
      <c r="Y6" s="5">
        <f>U6/P6</f>
        <v>0</v>
      </c>
      <c r="Z6" s="5">
        <f>V6+X6</f>
        <v>0.9925532974773607</v>
      </c>
      <c r="AA6" s="7">
        <f>IFERROR(W6/V6-1,0)</f>
        <v>-0.002070826583105645</v>
      </c>
      <c r="AB6" s="7">
        <f>IFERROR((W6-V6)/Z6,0)</f>
        <v>-0.002070826583105693</v>
      </c>
      <c r="AC6" s="7">
        <f>IFERROR(Y6/X6-1,0)</f>
        <v>0</v>
      </c>
      <c r="AD6" s="7">
        <f>IFERROR((Y6-X6)/Z6,0)</f>
        <v>0</v>
      </c>
      <c r="AE6" s="7">
        <f>AB6+AD6</f>
        <v>-0.002070826583105693</v>
      </c>
      <c r="AF6" s="7">
        <f>(1+Q6)*(1+AE6)-1</f>
        <v>0.018119950825430386</v>
      </c>
      <c r="AG6" s="7">
        <f>G6-AF6</f>
        <v>4.85722573273506e-17</v>
      </c>
      <c r="AH6" s="5">
        <f>SUM(IF(BQ6="lease",CE6,0),IF(CS6="lease",DG6,0),IF(DU6="lease",EI6,0),IF(EW6="lease",FK6,0),IF(FY6="lease",GM6,0),IF(HA6="lease",HO6,0),IF(IC6="lease",IQ6,0),IF(JE6="lease",JS6,0),IF(KG6="lease",KU6,0),IF(LI6="lease",LW6,0))</f>
        <v>0.018159539578219256</v>
      </c>
      <c r="AI6" s="5">
        <f>SUM(IF(BQ6="keep",CE6,0),IF(CS6="keep",DG6,0),IF(DU6="keep",EI6,0),IF(EW6="keep",FK6,0),IF(FY6="keep",GM6,0),IF(HA6="keep",HO6,0),IF(IC6="keep",IQ6,0),IF(JE6="keep",JS6,0),IF(KG6="keep",KU6,0),IF(LI6="keep",LW6,0))</f>
        <v>0</v>
      </c>
      <c r="AJ6" s="5">
        <f>SUM(IF(BQ6="lease",CH6,0),IF(CS6="lease",DJ6,0),IF(DU6="lease",EL6,0),IF(EW6="lease",FN6,0),IF(FY6="lease",GP6,0),IF(HA6="lease",HR6,0),IF(IC6="lease",IT6,0),IF(JE6="lease",JV6,0),IF(KG6="lease",KX6,0),IF(LI6="lease",LZ6,0))</f>
        <v>0</v>
      </c>
      <c r="AK6" s="5">
        <f>SUM(IF(BQ6="keep",CH6,0),IF(CS6="keep",DJ6,0),IF(DU6="keep",EL6,0),IF(EW6="keep",FN6,0),IF(FY6="keep",GP6,0),IF(HA6="keep",HR6,0),IF(IC6="keep",IT6,0),IF(JE6="keep",JV6,0),IF(KG6="keep",KX6,0),IF(LI6="keep",LZ6,0))</f>
        <v>0</v>
      </c>
      <c r="AL6" s="5">
        <f>R6-S5</f>
        <v>0</v>
      </c>
      <c r="AM6" s="5">
        <f>T6-U5</f>
        <v>0</v>
      </c>
      <c r="AN6" s="5">
        <f>AN5</f>
        <v>1</v>
      </c>
      <c r="AO6" s="5">
        <f>AO5+AH6</f>
        <v>0.020344355263991518</v>
      </c>
      <c r="AP6" s="5">
        <f>AP5+AL6</f>
        <v>-2.220446049250313e-16</v>
      </c>
      <c r="AQ6" s="5">
        <f>AN6+AO6+AP6</f>
        <v>1.0203443552639913</v>
      </c>
      <c r="AR6" s="5">
        <f>S6-AQ6</f>
        <v>2.220446049250313e-16</v>
      </c>
      <c r="AS6" s="5">
        <f>AS5</f>
        <v>0</v>
      </c>
      <c r="AT6" s="5">
        <f>AT5+AI6</f>
        <v>0</v>
      </c>
      <c r="AU6" s="5">
        <f>AU5+AM6</f>
        <v>0</v>
      </c>
      <c r="AV6" s="5">
        <f>AS6+AT6+AU6</f>
        <v>0</v>
      </c>
      <c r="AW6" s="5">
        <f>U6-AV6</f>
        <v>0</v>
      </c>
      <c r="AX6" s="4">
        <v>1.0021848156857722</v>
      </c>
      <c r="AY6" s="4">
        <v>1.0203443552639915</v>
      </c>
      <c r="AZ6" s="5">
        <f>S6-AY6</f>
        <v>0</v>
      </c>
      <c r="BA6" s="4">
        <v>0</v>
      </c>
      <c r="BB6" s="4">
        <v>0</v>
      </c>
      <c r="BC6" s="5">
        <f>U6-BB6</f>
        <v>0</v>
      </c>
      <c r="BD6" s="7">
        <f>SUM(IF(BP6="direct",CC6/F6,0),IF(CR6="direct",DE6/F6,0),IF(DT6="direct",EG6/F6,0),IF(EV6="direct",FI6/F6,0),IF(FX6="direct",GK6/F6,0),IF(GZ6="direct",HM6/F6,0),IF(IB6="direct",IO6/F6,0),IF(JD6="direct",JQ6/F6,0),IF(KF6="direct",KS6/F6,0),IF(LH6="direct",LU6/F6,0))</f>
        <v>0</v>
      </c>
      <c r="BE6" s="7">
        <f>-SUM(IF(BP6="direct",CD6/F6,0),IF(CR6="direct",DF6/F6,0),IF(DT6="direct",EH6/F6,0),IF(EV6="direct",FJ6/F6,0),IF(FX6="direct",GL6/F6,0),IF(GZ6="direct",HN6/F6,0),IF(IB6="direct",IP6/F6,0),IF(JD6="direct",JR6/F6,0),IF(KF6="direct",KT6/F6,0),IF(LH6="direct",LV6/F6,0))</f>
        <v>0</v>
      </c>
      <c r="BF6" s="7">
        <f>BD6+BE6</f>
        <v>0</v>
      </c>
      <c r="BG6" s="7">
        <f>BF6-SUM(IF(BP6="direct",CP6,0),IF(CR6="direct",DR6,0),IF(DT6="direct",ET6,0),IF(EV6="direct",FV6,0),IF(FX6="direct",GX6,0),IF(GZ6="direct",HZ6,0),IF(IB6="direct",JB6,0),IF(JD6="direct",KD6,0),IF(KF6="direct",LF6,0),IF(LH6="direct",MH6,0))</f>
        <v>0</v>
      </c>
      <c r="BH6" s="7">
        <f>SUM(IF(BP6="treasury",CP6,0),IF(CR6="treasury",DR6,0),IF(DT6="treasury",ET6,0),IF(EV6="treasury",FV6,0),IF(FX6="treasury",GX6,0),IF(GZ6="treasury",HZ6,0),IF(IB6="treasury",JB6,0),IF(JD6="treasury",KD6,0),IF(KF6="treasury",LF6,0),IF(LH6="treasury",MH6,0))</f>
        <v>0.00017123287671232877</v>
      </c>
      <c r="BI6" s="7">
        <f>SUM(IF(BP6="future",CP6,0),IF(CR6="future",DR6,0),IF(DT6="future",ET6,0),IF(EV6="future",FV6,0),IF(FX6="future",GX6,0),IF(GZ6="future",HZ6,0),IF(IB6="future",JB6,0),IF(JD6="future",KD6,0),IF(KF6="future",LF6,0),IF(LH6="future",MH6,0))</f>
        <v>0.017948717948718107</v>
      </c>
      <c r="BJ6" s="7">
        <f>SUM(IF(BP6="cash",CP6,0),IF(CR6="cash",DR6,0),IF(DT6="cash",ET6,0),IF(EV6="cash",FV6,0),IF(FX6="cash",GX6,0),IF(GZ6="cash",HZ6,0),IF(IB6="cash",JB6,0),IF(JD6="cash",KD6,0),IF(KF6="cash",LF6,0),IF(LH6="cash",MH6,0))</f>
        <v>0</v>
      </c>
      <c r="BK6" s="7">
        <f>SUM(BF6,BH6,BI6,BJ6)</f>
        <v>0.018119950825430435</v>
      </c>
      <c r="BL6" s="7">
        <f>G6-BK6</f>
        <v>0</v>
      </c>
      <c r="BM6" s="5">
        <f>MAX(ABS(CG6),ABS(DI6),ABS(EK6),ABS(FM6),ABS(GO6),ABS(HQ6),ABS(IS6),ABS(JU6),ABS(KW6),ABS(LY6))</f>
        <v>4.2148359455373985e-17</v>
      </c>
      <c r="BN6" s="9">
        <f>COUNTA(BO6,CQ6,DS6,EU6,FW6,GY6,IA6,JC6,KE6,LG6)</f>
        <v>4</v>
      </c>
      <c r="BO6" t="inlineStr">
        <is>
          <t xml:space="preserve">Treasury collateral</t>
        </is>
      </c>
      <c r="BP6" t="inlineStr">
        <is>
          <t xml:space="preserve">treasury</t>
        </is>
      </c>
      <c r="BQ6" t="inlineStr">
        <is>
          <t xml:space="preserve">lease</t>
        </is>
      </c>
      <c r="BR6" t="inlineStr">
        <is>
          <t xml:space="preserve">long</t>
        </is>
      </c>
      <c r="BS6"/>
      <c r="BT6" s="4">
        <v>100.0841568421181</v>
      </c>
      <c r="BU6" s="4">
        <v>100.1012945402075</v>
      </c>
      <c r="BV6" s="6"/>
      <c r="BW6" s="4">
        <v>0.010013421177806495</v>
      </c>
      <c r="BX6" s="5">
        <f>IF(BP6="direct",IFERROR(CD6/BU6,0),0)</f>
        <v>0</v>
      </c>
      <c r="BY6" s="5">
        <f>IF(BP6="direct",BW6-BX6,IF(BP6="cash",CI6,BW6))</f>
        <v>0.010013421177806495</v>
      </c>
      <c r="BZ6" s="6">
        <v>1</v>
      </c>
      <c r="CA6" s="4">
        <v>1.0021848156857722</v>
      </c>
      <c r="CB6" s="4">
        <v>1.0021848156857722</v>
      </c>
      <c r="CC6" s="5">
        <f>IF(BP6="direct",BW6*(BU6-BT6),CF6)</f>
        <v>0.00017160698898724763</v>
      </c>
      <c r="CD6" s="5">
        <f>IF(BP6="direct",CB6*BV6*C6/365,0)</f>
        <v>0</v>
      </c>
      <c r="CE6" s="5">
        <f>CC6-CD6</f>
        <v>0.00017160698898728978</v>
      </c>
      <c r="CF6" s="4">
        <v>0.00017160698898728978</v>
      </c>
      <c r="CG6" s="5">
        <f>CF6-CE6</f>
        <v>4.2148359455373985e-17</v>
      </c>
      <c r="CH6" s="4">
        <v>-7.35089072945172e-17</v>
      </c>
      <c r="CI6" s="4">
        <v>1.0023564226747594</v>
      </c>
      <c r="CJ6" s="4">
        <v>1.977</v>
      </c>
      <c r="CK6" s="4">
        <v>2.017</v>
      </c>
      <c r="CL6" s="6"/>
      <c r="CM6" s="6"/>
      <c r="CN6" s="6"/>
      <c r="CO6" s="9">
        <v>22</v>
      </c>
      <c r="CP6" s="7">
        <f>IFERROR(CE6/F6,0)</f>
        <v>0.00017123287671232877</v>
      </c>
      <c r="CQ6" t="inlineStr">
        <is>
          <t xml:space="preserve">SI69F</t>
        </is>
      </c>
      <c r="CR6" t="inlineStr">
        <is>
          <t xml:space="preserve">future</t>
        </is>
      </c>
      <c r="CS6" t="inlineStr">
        <is>
          <t xml:space="preserve">lease</t>
        </is>
      </c>
      <c r="CT6" t="inlineStr">
        <is>
          <t xml:space="preserve">long</t>
        </is>
      </c>
      <c r="CU6" t="inlineStr">
        <is>
          <t xml:space="preserve">regular</t>
        </is>
      </c>
      <c r="CV6" s="4">
        <v>1.95</v>
      </c>
      <c r="CW6" s="4">
        <v>1.985</v>
      </c>
      <c r="CX6" s="6"/>
      <c r="CY6" s="4">
        <v>0.5139409311209089</v>
      </c>
      <c r="CZ6" s="5">
        <f>IF(CR6="direct",IFERROR(DF6/CW6,0),0)</f>
        <v>0</v>
      </c>
      <c r="DA6" s="5">
        <f>IF(CR6="direct",CY6-CZ6,IF(CR6="cash",DK6,CY6))</f>
        <v>0.5139409311209089</v>
      </c>
      <c r="DB6" s="6">
        <v>1</v>
      </c>
      <c r="DC6" s="4">
        <v>1.0021848156857722</v>
      </c>
      <c r="DD6" s="4">
        <v>0</v>
      </c>
      <c r="DE6" s="5">
        <f>IF(CR6="direct",CY6*(CW6-CV6),DH6)</f>
        <v>0.017987932589231967</v>
      </c>
      <c r="DF6" s="5">
        <f>IF(CR6="direct",DD6*CX6*C6/365,0)</f>
        <v>0</v>
      </c>
      <c r="DG6" s="5">
        <f>DE6-DF6</f>
        <v>0.017987932589231967</v>
      </c>
      <c r="DH6" s="4">
        <v>0.017987932589231967</v>
      </c>
      <c r="DI6" s="5">
        <f>DH6-DG6</f>
        <v>0</v>
      </c>
      <c r="DJ6" s="4">
        <v>-0.017987932589231967</v>
      </c>
      <c r="DK6" s="4">
        <v>0</v>
      </c>
      <c r="DL6" s="4">
        <v>1.977</v>
      </c>
      <c r="DM6" s="4">
        <v>2.017</v>
      </c>
      <c r="DN6" s="6">
        <v>-0.013657056145675361</v>
      </c>
      <c r="DO6" s="6">
        <v>0.0625</v>
      </c>
      <c r="DP6" s="6">
        <v>0.2890829769623412</v>
      </c>
      <c r="DQ6" s="9">
        <v>22</v>
      </c>
      <c r="DR6" s="7">
        <f>IFERROR(DG6/F6,0)</f>
        <v>0.017948717948718107</v>
      </c>
      <c r="DS6" t="inlineStr">
        <is>
          <t xml:space="preserve">Lease cash / margin / financing</t>
        </is>
      </c>
      <c r="DT6" t="inlineStr">
        <is>
          <t xml:space="preserve">cash</t>
        </is>
      </c>
      <c r="DU6" t="inlineStr">
        <is>
          <t xml:space="preserve">lease</t>
        </is>
      </c>
      <c r="DV6" t="inlineStr">
        <is>
          <t xml:space="preserve">cash</t>
        </is>
      </c>
      <c r="DW6"/>
      <c r="DX6" s="4">
        <v>1</v>
      </c>
      <c r="DY6" s="4">
        <v>1</v>
      </c>
      <c r="DZ6" s="6"/>
      <c r="EA6" s="4">
        <v>0</v>
      </c>
      <c r="EB6" s="5">
        <f>IF(DT6="direct",IFERROR(EH6/DY6,0),0)</f>
        <v>0</v>
      </c>
      <c r="EC6" s="5">
        <f>IF(DT6="direct",EA6-EB6,IF(DT6="cash",EM6,EA6))</f>
        <v>0.01798793258923204</v>
      </c>
      <c r="ED6" s="6"/>
      <c r="EE6" s="4">
        <v>0</v>
      </c>
      <c r="EF6" s="4">
        <v>0</v>
      </c>
      <c r="EG6" s="5">
        <f>IF(DT6="direct",EA6*(DY6-DX6),EJ6)</f>
        <v>0</v>
      </c>
      <c r="EH6" s="5">
        <f>IF(DT6="direct",EF6*DZ6*C6/365,0)</f>
        <v>0</v>
      </c>
      <c r="EI6" s="5">
        <f>EG6-EH6</f>
        <v>0</v>
      </c>
      <c r="EJ6" s="4">
        <v>0</v>
      </c>
      <c r="EK6" s="5">
        <f>EJ6-EI6</f>
        <v>0</v>
      </c>
      <c r="EL6" s="4">
        <v>0.01798793258923204</v>
      </c>
      <c r="EM6" s="4">
        <v>0.01798793258923204</v>
      </c>
      <c r="EN6" s="4">
        <v>1.977</v>
      </c>
      <c r="EO6" s="4">
        <v>2.017</v>
      </c>
      <c r="EP6" s="6"/>
      <c r="EQ6" s="6"/>
      <c r="ER6" s="6"/>
      <c r="ES6" s="9"/>
      <c r="ET6" s="7">
        <f>IFERROR(EI6/F6,0)</f>
        <v>0</v>
      </c>
      <c r="EU6" t="inlineStr">
        <is>
          <t xml:space="preserve">Keep cash / margin / financing</t>
        </is>
      </c>
      <c r="EV6" t="inlineStr">
        <is>
          <t xml:space="preserve">cash</t>
        </is>
      </c>
      <c r="EW6" t="inlineStr">
        <is>
          <t xml:space="preserve">keep</t>
        </is>
      </c>
      <c r="EX6" t="inlineStr">
        <is>
          <t xml:space="preserve">cash</t>
        </is>
      </c>
      <c r="EY6"/>
      <c r="EZ6" s="4">
        <v>1</v>
      </c>
      <c r="FA6" s="4">
        <v>1</v>
      </c>
      <c r="FB6" s="6"/>
      <c r="FC6" s="4">
        <v>0</v>
      </c>
      <c r="FD6" s="5">
        <f>IF(EV6="direct",IFERROR(FJ6/FA6,0),0)</f>
        <v>0</v>
      </c>
      <c r="FE6" s="5">
        <f>IF(EV6="direct",FC6-FD6,IF(EV6="cash",FO6,FC6))</f>
        <v>0</v>
      </c>
      <c r="FF6" s="6"/>
      <c r="FG6" s="4">
        <v>0</v>
      </c>
      <c r="FH6" s="4">
        <v>0</v>
      </c>
      <c r="FI6" s="5">
        <f>IF(EV6="direct",FC6*(FA6-EZ6),FL6)</f>
        <v>0</v>
      </c>
      <c r="FJ6" s="5">
        <f>IF(EV6="direct",FH6*FB6*C6/365,0)</f>
        <v>0</v>
      </c>
      <c r="FK6" s="5">
        <f>FI6-FJ6</f>
        <v>0</v>
      </c>
      <c r="FL6" s="4">
        <v>0</v>
      </c>
      <c r="FM6" s="5">
        <f>FL6-FK6</f>
        <v>0</v>
      </c>
      <c r="FN6" s="4">
        <v>0</v>
      </c>
      <c r="FO6" s="4">
        <v>0</v>
      </c>
      <c r="FP6" s="4">
        <v>1.977</v>
      </c>
      <c r="FQ6" s="4">
        <v>2.017</v>
      </c>
      <c r="FR6" s="6"/>
      <c r="FS6" s="6"/>
      <c r="FT6" s="6"/>
      <c r="FU6" s="9"/>
      <c r="FV6" s="7">
        <f>IFERROR(FK6/F6,0)</f>
        <v>0</v>
      </c>
      <c r="FW6"/>
      <c r="FX6"/>
      <c r="FY6"/>
      <c r="FZ6"/>
      <c r="GA6"/>
      <c r="GB6" s="4"/>
      <c r="GC6" s="4"/>
      <c r="GD6" s="6"/>
      <c r="GE6" s="4"/>
      <c r="GF6" s="5">
        <v>0</v>
      </c>
      <c r="GG6" s="5"/>
      <c r="GH6" s="6"/>
      <c r="GI6" s="4"/>
      <c r="GJ6" s="4"/>
      <c r="GK6" s="5">
        <v>0</v>
      </c>
      <c r="GL6" s="5">
        <v>0</v>
      </c>
      <c r="GM6" s="5"/>
      <c r="GN6" s="4"/>
      <c r="GO6" s="5">
        <v>0</v>
      </c>
      <c r="GP6" s="4"/>
      <c r="GQ6" s="4"/>
      <c r="GR6" s="4"/>
      <c r="GS6" s="4"/>
      <c r="GT6" s="6"/>
      <c r="GU6" s="6"/>
      <c r="GV6" s="6"/>
      <c r="GW6" s="9"/>
      <c r="GX6"/>
      <c r="GY6"/>
      <c r="GZ6"/>
      <c r="HA6"/>
      <c r="HB6"/>
      <c r="HC6"/>
      <c r="HD6" s="4"/>
      <c r="HE6" s="4"/>
      <c r="HF6" s="6"/>
      <c r="HG6" s="4"/>
      <c r="HH6" s="5">
        <v>0</v>
      </c>
      <c r="HI6" s="5"/>
      <c r="HJ6" s="6"/>
      <c r="HK6" s="4"/>
      <c r="HL6" s="4"/>
      <c r="HM6" s="5">
        <v>0</v>
      </c>
      <c r="HN6" s="5">
        <v>0</v>
      </c>
      <c r="HO6" s="5"/>
      <c r="HP6" s="4"/>
      <c r="HQ6" s="5">
        <v>0</v>
      </c>
      <c r="HR6" s="4"/>
      <c r="HS6" s="4"/>
      <c r="HT6" s="4"/>
      <c r="HU6" s="4"/>
      <c r="HV6" s="6"/>
      <c r="HW6" s="6"/>
      <c r="HX6" s="6"/>
      <c r="HY6" s="9"/>
      <c r="HZ6"/>
      <c r="IA6"/>
      <c r="IB6"/>
      <c r="IC6"/>
      <c r="ID6"/>
      <c r="IE6"/>
      <c r="IF6" s="4"/>
      <c r="IG6" s="4"/>
      <c r="IH6" s="6"/>
      <c r="II6" s="4"/>
      <c r="IJ6" s="5">
        <v>0</v>
      </c>
      <c r="IK6" s="5"/>
      <c r="IL6" s="6"/>
      <c r="IM6" s="4"/>
      <c r="IN6" s="4"/>
      <c r="IO6" s="5">
        <v>0</v>
      </c>
      <c r="IP6" s="5">
        <v>0</v>
      </c>
      <c r="IQ6" s="5"/>
      <c r="IR6" s="4"/>
      <c r="IS6" s="5">
        <v>0</v>
      </c>
      <c r="IT6" s="4"/>
      <c r="IU6" s="4"/>
      <c r="IV6" s="4"/>
      <c r="IW6" s="4"/>
      <c r="IX6" s="6"/>
      <c r="IY6" s="6"/>
      <c r="IZ6" s="6"/>
      <c r="JA6" s="9"/>
      <c r="JB6"/>
      <c r="JC6"/>
      <c r="JD6"/>
      <c r="JE6"/>
      <c r="JF6"/>
      <c r="JG6"/>
      <c r="JH6" s="4"/>
      <c r="JI6" s="4"/>
      <c r="JJ6" s="6"/>
      <c r="JK6" s="4"/>
      <c r="JL6" s="5">
        <v>0</v>
      </c>
      <c r="JM6" s="5"/>
      <c r="JN6" s="6"/>
      <c r="JO6" s="4"/>
      <c r="JP6" s="4"/>
      <c r="JQ6" s="5">
        <v>0</v>
      </c>
      <c r="JR6" s="5">
        <v>0</v>
      </c>
      <c r="JS6" s="5"/>
      <c r="JT6" s="4"/>
      <c r="JU6" s="5">
        <v>0</v>
      </c>
      <c r="JV6" s="4"/>
      <c r="JW6" s="4"/>
      <c r="JX6" s="4"/>
      <c r="JY6" s="4"/>
      <c r="JZ6" s="6"/>
      <c r="KA6" s="6"/>
      <c r="KB6" s="6"/>
      <c r="KC6" s="9"/>
      <c r="KD6"/>
      <c r="KE6"/>
      <c r="KF6"/>
      <c r="KG6"/>
      <c r="KH6"/>
      <c r="KI6"/>
      <c r="KJ6" s="4"/>
      <c r="KK6" s="4"/>
      <c r="KL6" s="6"/>
      <c r="KM6" s="4"/>
      <c r="KN6" s="5">
        <v>0</v>
      </c>
      <c r="KO6" s="5"/>
      <c r="KP6" s="6"/>
      <c r="KQ6" s="4"/>
      <c r="KR6" s="4"/>
      <c r="KS6" s="5">
        <v>0</v>
      </c>
      <c r="KT6" s="5">
        <v>0</v>
      </c>
      <c r="KU6" s="5"/>
      <c r="KV6" s="4"/>
      <c r="KW6" s="5">
        <v>0</v>
      </c>
      <c r="KX6" s="4"/>
      <c r="KY6" s="4"/>
      <c r="KZ6" s="4"/>
      <c r="LA6" s="4"/>
      <c r="LB6" s="6"/>
      <c r="LC6" s="6"/>
      <c r="LD6" s="6"/>
      <c r="LE6" s="9"/>
      <c r="LF6"/>
      <c r="LG6"/>
      <c r="LH6"/>
      <c r="LI6"/>
      <c r="LJ6"/>
      <c r="LK6"/>
      <c r="LL6" s="4"/>
      <c r="LM6" s="4"/>
      <c r="LN6" s="6"/>
      <c r="LO6" s="4"/>
      <c r="LP6" s="5">
        <v>0</v>
      </c>
      <c r="LQ6" s="5"/>
      <c r="LR6" s="6"/>
      <c r="LS6" s="4"/>
      <c r="LT6" s="4"/>
      <c r="LU6" s="5">
        <v>0</v>
      </c>
      <c r="LV6" s="5">
        <v>0</v>
      </c>
      <c r="LW6" s="5"/>
      <c r="LX6" s="4"/>
      <c r="LY6" s="5">
        <v>0</v>
      </c>
      <c r="LZ6" s="4"/>
      <c r="MA6" s="4"/>
      <c r="MB6" s="4"/>
      <c r="MC6" s="4"/>
      <c r="MD6" s="6"/>
      <c r="ME6" s="6"/>
      <c r="MF6" s="6"/>
      <c r="MG6" s="9"/>
      <c r="MH6"/>
    </row>
    <row r="7">
      <c r="A7" s="8">
        <v>25211</v>
      </c>
      <c r="B7" s="8">
        <v>25212</v>
      </c>
      <c r="C7" s="9">
        <f>B7-A7</f>
        <v>1</v>
      </c>
      <c r="D7" s="8">
        <v>25211</v>
      </c>
      <c r="E7" t="inlineStr">
        <is>
          <t xml:space="preserve">positive</t>
        </is>
      </c>
      <c r="F7" s="4">
        <v>1.0203443552639915</v>
      </c>
      <c r="G7" s="6">
        <v>0.021328279217417995</v>
      </c>
      <c r="H7" s="7">
        <f>SUM(CP7,DR7,ET7,FV7,GX7,HZ7,JB7,KD7,LF7,MH7)</f>
        <v>0.021328279217417995</v>
      </c>
      <c r="I7" s="7">
        <f>G7-H7</f>
        <v>0</v>
      </c>
      <c r="J7" s="5">
        <f>F7*(1+H7)</f>
        <v>1.0421065445709783</v>
      </c>
      <c r="K7" s="4">
        <v>1.0421065445709783</v>
      </c>
      <c r="L7" s="5">
        <f>K7-J7</f>
        <v>0</v>
      </c>
      <c r="M7" s="4">
        <v>2.017</v>
      </c>
      <c r="N7" s="4">
        <v>2.007</v>
      </c>
      <c r="O7" s="5">
        <f>M7/$M$3</f>
        <v>1.0301327885597549</v>
      </c>
      <c r="P7" s="5">
        <f>N7/$M$3</f>
        <v>1.0250255362614913</v>
      </c>
      <c r="Q7" s="7">
        <f>IFERROR(N7/M7-1,0)</f>
        <v>-0.004957858205255183</v>
      </c>
      <c r="R7" s="5">
        <f>SUM(IF(BQ7="lease",CB7,0),IF(CS7="lease",DD7,0),IF(DU7="lease",EF7,0),IF(EW7="lease",FH7,0),IF(FY7="lease",GJ7,0),IF(HA7="lease",HL7,0),IF(IC7="lease",IN7,0),IF(JE7="lease",JP7,0),IF(KG7="lease",KR7,0),IF(LI7="lease",LT7,0))</f>
        <v>1.0203443552639915</v>
      </c>
      <c r="S7" s="5">
        <f>SUM(IF(BQ7="lease",CI7,0),IF(CS7="lease",DK7,0),IF(DU7="lease",EM7,0),IF(EW7="lease",FO7,0),IF(FY7="lease",GQ7,0),IF(HA7="lease",HS7,0),IF(IC7="lease",IU7,0),IF(JE7="lease",JW7,0),IF(KG7="lease",KY7,0),IF(LI7="lease",MA7,0))</f>
        <v>1.0421065445709783</v>
      </c>
      <c r="T7" s="5">
        <f>SUM(IF(BQ7="keep",CB7,0),IF(CS7="keep",DD7,0),IF(DU7="keep",EF7,0),IF(EW7="keep",FH7,0),IF(FY7="keep",GJ7,0),IF(HA7="keep",HL7,0),IF(IC7="keep",IN7,0),IF(JE7="keep",JP7,0),IF(KG7="keep",KR7,0),IF(LI7="keep",LT7,0))</f>
        <v>0</v>
      </c>
      <c r="U7" s="5">
        <f>SUM(IF(BQ7="keep",CI7,0),IF(CS7="keep",DK7,0),IF(DU7="keep",EM7,0),IF(EW7="keep",FO7,0),IF(FY7="keep",GQ7,0),IF(HA7="keep",HS7,0),IF(IC7="keep",IU7,0),IF(JE7="keep",JW7,0),IF(KG7="keep",KY7,0),IF(LI7="keep",MA7,0))</f>
        <v>0</v>
      </c>
      <c r="V7" s="5">
        <f>R7/O7</f>
        <v>0.9904978917237953</v>
      </c>
      <c r="W7" s="5">
        <f>S7/P7</f>
        <v>1.0166639831938094</v>
      </c>
      <c r="X7" s="5">
        <f>T7/O7</f>
        <v>0</v>
      </c>
      <c r="Y7" s="5">
        <f>U7/P7</f>
        <v>0</v>
      </c>
      <c r="Z7" s="5">
        <f>V7+X7</f>
        <v>0.9904978917237953</v>
      </c>
      <c r="AA7" s="7">
        <f>IFERROR(W7/V7-1,0)</f>
        <v>0.026417109706792452</v>
      </c>
      <c r="AB7" s="7">
        <f>IFERROR((W7-V7)/Z7,0)</f>
        <v>0.026417109706792348</v>
      </c>
      <c r="AC7" s="7">
        <f>IFERROR(Y7/X7-1,0)</f>
        <v>0</v>
      </c>
      <c r="AD7" s="7">
        <f>IFERROR((Y7-X7)/Z7,0)</f>
        <v>0</v>
      </c>
      <c r="AE7" s="7">
        <f>AB7+AD7</f>
        <v>0.026417109706792348</v>
      </c>
      <c r="AF7" s="7">
        <f>(1+Q7)*(1+AE7)-1</f>
        <v>0.02132827921741831</v>
      </c>
      <c r="AG7" s="7">
        <f>G7-AF7</f>
        <v>-3.157196726277789e-16</v>
      </c>
      <c r="AH7" s="5">
        <f>SUM(IF(BQ7="lease",CE7,0),IF(CS7="lease",DG7,0),IF(DU7="lease",EI7,0),IF(EW7="lease",FK7,0),IF(FY7="lease",GM7,0),IF(HA7="lease",HO7,0),IF(IC7="lease",IQ7,0),IF(JE7="lease",JS7,0),IF(KG7="lease",KU7,0),IF(LI7="lease",LW7,0))</f>
        <v>0.021762189306986753</v>
      </c>
      <c r="AI7" s="5">
        <f>SUM(IF(BQ7="keep",CE7,0),IF(CS7="keep",DG7,0),IF(DU7="keep",EI7,0),IF(EW7="keep",FK7,0),IF(FY7="keep",GM7,0),IF(HA7="keep",HO7,0),IF(IC7="keep",IQ7,0),IF(JE7="keep",JS7,0),IF(KG7="keep",KU7,0),IF(LI7="keep",LW7,0))</f>
        <v>0</v>
      </c>
      <c r="AJ7" s="5">
        <f>SUM(IF(BQ7="lease",CH7,0),IF(CS7="lease",DJ7,0),IF(DU7="lease",EL7,0),IF(EW7="lease",FN7,0),IF(FY7="lease",GP7,0),IF(HA7="lease",HR7,0),IF(IC7="lease",IT7,0),IF(JE7="lease",JV7,0),IF(KG7="lease",KX7,0),IF(LI7="lease",LZ7,0))</f>
        <v>0</v>
      </c>
      <c r="AK7" s="5">
        <f>SUM(IF(BQ7="keep",CH7,0),IF(CS7="keep",DJ7,0),IF(DU7="keep",EL7,0),IF(EW7="keep",FN7,0),IF(FY7="keep",GP7,0),IF(HA7="keep",HR7,0),IF(IC7="keep",IT7,0),IF(JE7="keep",JV7,0),IF(KG7="keep",KX7,0),IF(LI7="keep",LZ7,0))</f>
        <v>0</v>
      </c>
      <c r="AL7" s="5">
        <f>R7-S6</f>
        <v>0</v>
      </c>
      <c r="AM7" s="5">
        <f>T7-U6</f>
        <v>0</v>
      </c>
      <c r="AN7" s="5">
        <f>AN6</f>
        <v>1</v>
      </c>
      <c r="AO7" s="5">
        <f>AO6+AH7</f>
        <v>0.042106544570978274</v>
      </c>
      <c r="AP7" s="5">
        <f>AP6+AL7</f>
        <v>-2.220446049250313e-16</v>
      </c>
      <c r="AQ7" s="5">
        <f>AN7+AO7+AP7</f>
        <v>1.042106544570978</v>
      </c>
      <c r="AR7" s="5">
        <f>S7-AQ7</f>
        <v>2.220446049250313e-16</v>
      </c>
      <c r="AS7" s="5">
        <f>AS6</f>
        <v>0</v>
      </c>
      <c r="AT7" s="5">
        <f>AT6+AI7</f>
        <v>0</v>
      </c>
      <c r="AU7" s="5">
        <f>AU6+AM7</f>
        <v>0</v>
      </c>
      <c r="AV7" s="5">
        <f>AS7+AT7+AU7</f>
        <v>0</v>
      </c>
      <c r="AW7" s="5">
        <f>U7-AV7</f>
        <v>0</v>
      </c>
      <c r="AX7" s="4">
        <v>1.0203443552639915</v>
      </c>
      <c r="AY7" s="4">
        <v>1.0421065445709783</v>
      </c>
      <c r="AZ7" s="5">
        <f>S7-AY7</f>
        <v>0</v>
      </c>
      <c r="BA7" s="4">
        <v>0</v>
      </c>
      <c r="BB7" s="4">
        <v>0</v>
      </c>
      <c r="BC7" s="5">
        <f>U7-BB7</f>
        <v>0</v>
      </c>
      <c r="BD7" s="7">
        <f>SUM(IF(BP7="direct",CC7/F7,0),IF(CR7="direct",DE7/F7,0),IF(DT7="direct",EG7/F7,0),IF(EV7="direct",FI7/F7,0),IF(FX7="direct",GK7/F7,0),IF(GZ7="direct",HM7/F7,0),IF(IB7="direct",IO7/F7,0),IF(JD7="direct",JQ7/F7,0),IF(KF7="direct",KS7/F7,0),IF(LH7="direct",LU7/F7,0))</f>
        <v>0</v>
      </c>
      <c r="BE7" s="7">
        <f>-SUM(IF(BP7="direct",CD7/F7,0),IF(CR7="direct",DF7/F7,0),IF(DT7="direct",EH7/F7,0),IF(EV7="direct",FJ7/F7,0),IF(FX7="direct",GL7/F7,0),IF(GZ7="direct",HN7/F7,0),IF(IB7="direct",IP7/F7,0),IF(JD7="direct",JR7/F7,0),IF(KF7="direct",KT7/F7,0),IF(LH7="direct",LV7/F7,0))</f>
        <v>0</v>
      </c>
      <c r="BF7" s="7">
        <f>BD7+BE7</f>
        <v>0</v>
      </c>
      <c r="BG7" s="7">
        <f>BF7-SUM(IF(BP7="direct",CP7,0),IF(CR7="direct",DR7,0),IF(DT7="direct",ET7,0),IF(EV7="direct",FV7,0),IF(FX7="direct",GX7,0),IF(GZ7="direct",HZ7,0),IF(IB7="direct",JB7,0),IF(JD7="direct",KD7,0),IF(KF7="direct",LF7,0),IF(LH7="direct",MH7,0))</f>
        <v>0</v>
      </c>
      <c r="BH7" s="7">
        <f>SUM(IF(BP7="treasury",CP7,0),IF(CR7="treasury",DR7,0),IF(DT7="treasury",ET7,0),IF(EV7="treasury",FV7,0),IF(FX7="treasury",GX7,0),IF(GZ7="treasury",HZ7,0),IF(IB7="treasury",JB7,0),IF(JD7="treasury",KD7,0),IF(KF7="treasury",LF7,0),IF(LH7="treasury",MH7,0))</f>
        <v>0.0001695890410958904</v>
      </c>
      <c r="BI7" s="7">
        <f>SUM(IF(BP7="future",CP7,0),IF(CR7="future",DR7,0),IF(DT7="future",ET7,0),IF(EV7="future",FV7,0),IF(FX7="future",GX7,0),IF(GZ7="future",HZ7,0),IF(IB7="future",JB7,0),IF(JD7="future",KD7,0),IF(KF7="future",LF7,0),IF(LH7="future",MH7,0))</f>
        <v>0.021158690176322104</v>
      </c>
      <c r="BJ7" s="7">
        <f>SUM(IF(BP7="cash",CP7,0),IF(CR7="cash",DR7,0),IF(DT7="cash",ET7,0),IF(EV7="cash",FV7,0),IF(FX7="cash",GX7,0),IF(GZ7="cash",HZ7,0),IF(IB7="cash",JB7,0),IF(JD7="cash",KD7,0),IF(KF7="cash",LF7,0),IF(LH7="cash",MH7,0))</f>
        <v>0</v>
      </c>
      <c r="BK7" s="7">
        <f>SUM(BF7,BH7,BI7,BJ7)</f>
        <v>0.021328279217417995</v>
      </c>
      <c r="BL7" s="7">
        <f>G7-BK7</f>
        <v>0</v>
      </c>
      <c r="BM7" s="5">
        <f>MAX(ABS(CG7),ABS(DI7),ABS(EK7),ABS(FM7),ABS(GO7),ABS(HQ7),ABS(IS7),ABS(JU7),ABS(KW7),ABS(LY7))</f>
        <v>9.654820345983417e-17</v>
      </c>
      <c r="BN7" s="9">
        <f>COUNTA(BO7,CQ7,DS7,EU7,FW7,GY7,IA7,JC7,KE7,LG7)</f>
        <v>4</v>
      </c>
      <c r="BO7" t="inlineStr">
        <is>
          <t xml:space="preserve">Treasury collateral</t>
        </is>
      </c>
      <c r="BP7" t="inlineStr">
        <is>
          <t xml:space="preserve">treasury</t>
        </is>
      </c>
      <c r="BQ7" t="inlineStr">
        <is>
          <t xml:space="preserve">lease</t>
        </is>
      </c>
      <c r="BR7" t="inlineStr">
        <is>
          <t xml:space="preserve">long</t>
        </is>
      </c>
      <c r="BS7"/>
      <c r="BT7" s="4">
        <v>100.1012945402075</v>
      </c>
      <c r="BU7" s="4">
        <v>100.11827062276105</v>
      </c>
      <c r="BV7" s="6"/>
      <c r="BW7" s="4">
        <v>0.010193118480142649</v>
      </c>
      <c r="BX7" s="5">
        <f>IF(BP7="direct",IFERROR(CD7/BU7,0),0)</f>
        <v>0</v>
      </c>
      <c r="BY7" s="5">
        <f>IF(BP7="direct",BW7-BX7,IF(BP7="cash",CI7,BW7))</f>
        <v>0.010193118480142649</v>
      </c>
      <c r="BZ7" s="6">
        <v>1</v>
      </c>
      <c r="CA7" s="4">
        <v>1.0203443552639915</v>
      </c>
      <c r="CB7" s="4">
        <v>1.0203443552639915</v>
      </c>
      <c r="CC7" s="5">
        <f>IF(BP7="direct",BW7*(BU7-BT7),CF7)</f>
        <v>0.0001730392207969214</v>
      </c>
      <c r="CD7" s="5">
        <f>IF(BP7="direct",CB7*BV7*C7/365,0)</f>
        <v>0</v>
      </c>
      <c r="CE7" s="5">
        <f>CC7-CD7</f>
        <v>0.00017303922079682486</v>
      </c>
      <c r="CF7" s="4">
        <v>0.00017303922079682486</v>
      </c>
      <c r="CG7" s="5">
        <f>CF7-CE7</f>
        <v>-9.654820345983417e-17</v>
      </c>
      <c r="CH7" s="4">
        <v>2.084107626060261e-16</v>
      </c>
      <c r="CI7" s="4">
        <v>1.0205173944847885</v>
      </c>
      <c r="CJ7" s="4">
        <v>2.017</v>
      </c>
      <c r="CK7" s="4">
        <v>2.007</v>
      </c>
      <c r="CL7" s="6"/>
      <c r="CM7" s="6"/>
      <c r="CN7" s="6"/>
      <c r="CO7" s="9">
        <v>21</v>
      </c>
      <c r="CP7" s="7">
        <f>IFERROR(CE7/F7,0)</f>
        <v>0.0001695890410958904</v>
      </c>
      <c r="CQ7" t="inlineStr">
        <is>
          <t xml:space="preserve">SI69F</t>
        </is>
      </c>
      <c r="CR7" t="inlineStr">
        <is>
          <t xml:space="preserve">future</t>
        </is>
      </c>
      <c r="CS7" t="inlineStr">
        <is>
          <t xml:space="preserve">lease</t>
        </is>
      </c>
      <c r="CT7" t="inlineStr">
        <is>
          <t xml:space="preserve">long</t>
        </is>
      </c>
      <c r="CU7" t="inlineStr">
        <is>
          <t xml:space="preserve">regular</t>
        </is>
      </c>
      <c r="CV7" s="4">
        <v>1.985</v>
      </c>
      <c r="CW7" s="4">
        <v>2.0269999999999997</v>
      </c>
      <c r="CX7" s="6"/>
      <c r="CY7" s="4">
        <v>0.5140273830045297</v>
      </c>
      <c r="CZ7" s="5">
        <f>IF(CR7="direct",IFERROR(DF7/CW7,0),0)</f>
        <v>0</v>
      </c>
      <c r="DA7" s="5">
        <f>IF(CR7="direct",CY7-CZ7,IF(CR7="cash",DK7,CY7))</f>
        <v>0.5140273830045297</v>
      </c>
      <c r="DB7" s="6">
        <v>1</v>
      </c>
      <c r="DC7" s="4">
        <v>1.0203443552639915</v>
      </c>
      <c r="DD7" s="4">
        <v>0</v>
      </c>
      <c r="DE7" s="5">
        <f>IF(CR7="direct",CY7*(CW7-CV7),DH7)</f>
        <v>0.021589150086189928</v>
      </c>
      <c r="DF7" s="5">
        <f>IF(CR7="direct",DD7*CX7*C7/365,0)</f>
        <v>0</v>
      </c>
      <c r="DG7" s="5">
        <f>DE7-DF7</f>
        <v>0.021589150086189928</v>
      </c>
      <c r="DH7" s="4">
        <v>0.021589150086189928</v>
      </c>
      <c r="DI7" s="5">
        <f>DH7-DG7</f>
        <v>0</v>
      </c>
      <c r="DJ7" s="4">
        <v>-0.021589150086189928</v>
      </c>
      <c r="DK7" s="4">
        <v>0</v>
      </c>
      <c r="DL7" s="4">
        <v>2.017</v>
      </c>
      <c r="DM7" s="4">
        <v>2.007</v>
      </c>
      <c r="DN7" s="6">
        <v>-0.01586514625681701</v>
      </c>
      <c r="DO7" s="6">
        <v>0.0619</v>
      </c>
      <c r="DP7" s="6">
        <v>0.33765135160658133</v>
      </c>
      <c r="DQ7" s="9">
        <v>21</v>
      </c>
      <c r="DR7" s="7">
        <f>IFERROR(DG7/F7,0)</f>
        <v>0.021158690176322104</v>
      </c>
      <c r="DS7" t="inlineStr">
        <is>
          <t xml:space="preserve">Lease cash / margin / financing</t>
        </is>
      </c>
      <c r="DT7" t="inlineStr">
        <is>
          <t xml:space="preserve">cash</t>
        </is>
      </c>
      <c r="DU7" t="inlineStr">
        <is>
          <t xml:space="preserve">lease</t>
        </is>
      </c>
      <c r="DV7" t="inlineStr">
        <is>
          <t xml:space="preserve">cash</t>
        </is>
      </c>
      <c r="DW7"/>
      <c r="DX7" s="4">
        <v>1</v>
      </c>
      <c r="DY7" s="4">
        <v>1</v>
      </c>
      <c r="DZ7" s="6"/>
      <c r="EA7" s="4">
        <v>0</v>
      </c>
      <c r="EB7" s="5">
        <f>IF(DT7="direct",IFERROR(EH7/DY7,0),0)</f>
        <v>0</v>
      </c>
      <c r="EC7" s="5">
        <f>IF(DT7="direct",EA7-EB7,IF(DT7="cash",EM7,EA7))</f>
        <v>0.02158915008618972</v>
      </c>
      <c r="ED7" s="6"/>
      <c r="EE7" s="4">
        <v>0</v>
      </c>
      <c r="EF7" s="4">
        <v>0</v>
      </c>
      <c r="EG7" s="5">
        <f>IF(DT7="direct",EA7*(DY7-DX7),EJ7)</f>
        <v>0</v>
      </c>
      <c r="EH7" s="5">
        <f>IF(DT7="direct",EF7*DZ7*C7/365,0)</f>
        <v>0</v>
      </c>
      <c r="EI7" s="5">
        <f>EG7-EH7</f>
        <v>0</v>
      </c>
      <c r="EJ7" s="4">
        <v>0</v>
      </c>
      <c r="EK7" s="5">
        <f>EJ7-EI7</f>
        <v>0</v>
      </c>
      <c r="EL7" s="4">
        <v>0.02158915008618972</v>
      </c>
      <c r="EM7" s="4">
        <v>0.02158915008618972</v>
      </c>
      <c r="EN7" s="4">
        <v>2.017</v>
      </c>
      <c r="EO7" s="4">
        <v>2.007</v>
      </c>
      <c r="EP7" s="6"/>
      <c r="EQ7" s="6"/>
      <c r="ER7" s="6"/>
      <c r="ES7" s="9"/>
      <c r="ET7" s="7">
        <f>IFERROR(EI7/F7,0)</f>
        <v>0</v>
      </c>
      <c r="EU7" t="inlineStr">
        <is>
          <t xml:space="preserve">Keep cash / margin / financing</t>
        </is>
      </c>
      <c r="EV7" t="inlineStr">
        <is>
          <t xml:space="preserve">cash</t>
        </is>
      </c>
      <c r="EW7" t="inlineStr">
        <is>
          <t xml:space="preserve">keep</t>
        </is>
      </c>
      <c r="EX7" t="inlineStr">
        <is>
          <t xml:space="preserve">cash</t>
        </is>
      </c>
      <c r="EY7"/>
      <c r="EZ7" s="4">
        <v>1</v>
      </c>
      <c r="FA7" s="4">
        <v>1</v>
      </c>
      <c r="FB7" s="6"/>
      <c r="FC7" s="4">
        <v>0</v>
      </c>
      <c r="FD7" s="5">
        <f>IF(EV7="direct",IFERROR(FJ7/FA7,0),0)</f>
        <v>0</v>
      </c>
      <c r="FE7" s="5">
        <f>IF(EV7="direct",FC7-FD7,IF(EV7="cash",FO7,FC7))</f>
        <v>0</v>
      </c>
      <c r="FF7" s="6"/>
      <c r="FG7" s="4">
        <v>0</v>
      </c>
      <c r="FH7" s="4">
        <v>0</v>
      </c>
      <c r="FI7" s="5">
        <f>IF(EV7="direct",FC7*(FA7-EZ7),FL7)</f>
        <v>0</v>
      </c>
      <c r="FJ7" s="5">
        <f>IF(EV7="direct",FH7*FB7*C7/365,0)</f>
        <v>0</v>
      </c>
      <c r="FK7" s="5">
        <f>FI7-FJ7</f>
        <v>0</v>
      </c>
      <c r="FL7" s="4">
        <v>0</v>
      </c>
      <c r="FM7" s="5">
        <f>FL7-FK7</f>
        <v>0</v>
      </c>
      <c r="FN7" s="4">
        <v>0</v>
      </c>
      <c r="FO7" s="4">
        <v>0</v>
      </c>
      <c r="FP7" s="4">
        <v>2.017</v>
      </c>
      <c r="FQ7" s="4">
        <v>2.007</v>
      </c>
      <c r="FR7" s="6"/>
      <c r="FS7" s="6"/>
      <c r="FT7" s="6"/>
      <c r="FU7" s="9"/>
      <c r="FV7" s="7">
        <f>IFERROR(FK7/F7,0)</f>
        <v>0</v>
      </c>
      <c r="FW7"/>
      <c r="FX7"/>
      <c r="FY7"/>
      <c r="FZ7"/>
      <c r="GA7"/>
      <c r="GB7" s="4"/>
      <c r="GC7" s="4"/>
      <c r="GD7" s="6"/>
      <c r="GE7" s="4"/>
      <c r="GF7" s="5">
        <v>0</v>
      </c>
      <c r="GG7" s="5"/>
      <c r="GH7" s="6"/>
      <c r="GI7" s="4"/>
      <c r="GJ7" s="4"/>
      <c r="GK7" s="5">
        <v>0</v>
      </c>
      <c r="GL7" s="5">
        <v>0</v>
      </c>
      <c r="GM7" s="5"/>
      <c r="GN7" s="4"/>
      <c r="GO7" s="5">
        <v>0</v>
      </c>
      <c r="GP7" s="4"/>
      <c r="GQ7" s="4"/>
      <c r="GR7" s="4"/>
      <c r="GS7" s="4"/>
      <c r="GT7" s="6"/>
      <c r="GU7" s="6"/>
      <c r="GV7" s="6"/>
      <c r="GW7" s="9"/>
      <c r="GX7"/>
      <c r="GY7"/>
      <c r="GZ7"/>
      <c r="HA7"/>
      <c r="HB7"/>
      <c r="HC7"/>
      <c r="HD7" s="4"/>
      <c r="HE7" s="4"/>
      <c r="HF7" s="6"/>
      <c r="HG7" s="4"/>
      <c r="HH7" s="5">
        <v>0</v>
      </c>
      <c r="HI7" s="5"/>
      <c r="HJ7" s="6"/>
      <c r="HK7" s="4"/>
      <c r="HL7" s="4"/>
      <c r="HM7" s="5">
        <v>0</v>
      </c>
      <c r="HN7" s="5">
        <v>0</v>
      </c>
      <c r="HO7" s="5"/>
      <c r="HP7" s="4"/>
      <c r="HQ7" s="5">
        <v>0</v>
      </c>
      <c r="HR7" s="4"/>
      <c r="HS7" s="4"/>
      <c r="HT7" s="4"/>
      <c r="HU7" s="4"/>
      <c r="HV7" s="6"/>
      <c r="HW7" s="6"/>
      <c r="HX7" s="6"/>
      <c r="HY7" s="9"/>
      <c r="HZ7"/>
      <c r="IA7"/>
      <c r="IB7"/>
      <c r="IC7"/>
      <c r="ID7"/>
      <c r="IE7"/>
      <c r="IF7" s="4"/>
      <c r="IG7" s="4"/>
      <c r="IH7" s="6"/>
      <c r="II7" s="4"/>
      <c r="IJ7" s="5">
        <v>0</v>
      </c>
      <c r="IK7" s="5"/>
      <c r="IL7" s="6"/>
      <c r="IM7" s="4"/>
      <c r="IN7" s="4"/>
      <c r="IO7" s="5">
        <v>0</v>
      </c>
      <c r="IP7" s="5">
        <v>0</v>
      </c>
      <c r="IQ7" s="5"/>
      <c r="IR7" s="4"/>
      <c r="IS7" s="5">
        <v>0</v>
      </c>
      <c r="IT7" s="4"/>
      <c r="IU7" s="4"/>
      <c r="IV7" s="4"/>
      <c r="IW7" s="4"/>
      <c r="IX7" s="6"/>
      <c r="IY7" s="6"/>
      <c r="IZ7" s="6"/>
      <c r="JA7" s="9"/>
      <c r="JB7"/>
      <c r="JC7"/>
      <c r="JD7"/>
      <c r="JE7"/>
      <c r="JF7"/>
      <c r="JG7"/>
      <c r="JH7" s="4"/>
      <c r="JI7" s="4"/>
      <c r="JJ7" s="6"/>
      <c r="JK7" s="4"/>
      <c r="JL7" s="5">
        <v>0</v>
      </c>
      <c r="JM7" s="5"/>
      <c r="JN7" s="6"/>
      <c r="JO7" s="4"/>
      <c r="JP7" s="4"/>
      <c r="JQ7" s="5">
        <v>0</v>
      </c>
      <c r="JR7" s="5">
        <v>0</v>
      </c>
      <c r="JS7" s="5"/>
      <c r="JT7" s="4"/>
      <c r="JU7" s="5">
        <v>0</v>
      </c>
      <c r="JV7" s="4"/>
      <c r="JW7" s="4"/>
      <c r="JX7" s="4"/>
      <c r="JY7" s="4"/>
      <c r="JZ7" s="6"/>
      <c r="KA7" s="6"/>
      <c r="KB7" s="6"/>
      <c r="KC7" s="9"/>
      <c r="KD7"/>
      <c r="KE7"/>
      <c r="KF7"/>
      <c r="KG7"/>
      <c r="KH7"/>
      <c r="KI7"/>
      <c r="KJ7" s="4"/>
      <c r="KK7" s="4"/>
      <c r="KL7" s="6"/>
      <c r="KM7" s="4"/>
      <c r="KN7" s="5">
        <v>0</v>
      </c>
      <c r="KO7" s="5"/>
      <c r="KP7" s="6"/>
      <c r="KQ7" s="4"/>
      <c r="KR7" s="4"/>
      <c r="KS7" s="5">
        <v>0</v>
      </c>
      <c r="KT7" s="5">
        <v>0</v>
      </c>
      <c r="KU7" s="5"/>
      <c r="KV7" s="4"/>
      <c r="KW7" s="5">
        <v>0</v>
      </c>
      <c r="KX7" s="4"/>
      <c r="KY7" s="4"/>
      <c r="KZ7" s="4"/>
      <c r="LA7" s="4"/>
      <c r="LB7" s="6"/>
      <c r="LC7" s="6"/>
      <c r="LD7" s="6"/>
      <c r="LE7" s="9"/>
      <c r="LF7"/>
      <c r="LG7"/>
      <c r="LH7"/>
      <c r="LI7"/>
      <c r="LJ7"/>
      <c r="LK7"/>
      <c r="LL7" s="4"/>
      <c r="LM7" s="4"/>
      <c r="LN7" s="6"/>
      <c r="LO7" s="4"/>
      <c r="LP7" s="5">
        <v>0</v>
      </c>
      <c r="LQ7" s="5"/>
      <c r="LR7" s="6"/>
      <c r="LS7" s="4"/>
      <c r="LT7" s="4"/>
      <c r="LU7" s="5">
        <v>0</v>
      </c>
      <c r="LV7" s="5">
        <v>0</v>
      </c>
      <c r="LW7" s="5"/>
      <c r="LX7" s="4"/>
      <c r="LY7" s="5">
        <v>0</v>
      </c>
      <c r="LZ7" s="4"/>
      <c r="MA7" s="4"/>
      <c r="MB7" s="4"/>
      <c r="MC7" s="4"/>
      <c r="MD7" s="6"/>
      <c r="ME7" s="6"/>
      <c r="MF7" s="6"/>
      <c r="MG7" s="9"/>
      <c r="MH7"/>
    </row>
    <row r="8">
      <c r="A8" s="8">
        <v>25212</v>
      </c>
      <c r="B8" s="8">
        <v>25213</v>
      </c>
      <c r="C8" s="9">
        <f>B8-A8</f>
        <v>1</v>
      </c>
      <c r="D8" s="8">
        <v>25212</v>
      </c>
      <c r="E8" t="inlineStr">
        <is>
          <t xml:space="preserve">neutral</t>
        </is>
      </c>
      <c r="F8" s="4">
        <v>1.0421065445709783</v>
      </c>
      <c r="G8" s="6">
        <v>0.017432114312235746</v>
      </c>
      <c r="H8" s="7">
        <f>SUM(CP8,DR8,ET8,FV8,GX8,HZ8,JB8,KD8,LF8,MH8)</f>
        <v>0.017432114312235746</v>
      </c>
      <c r="I8" s="7">
        <f>G8-H8</f>
        <v>0</v>
      </c>
      <c r="J8" s="5">
        <f>F8*(1+H8)</f>
        <v>1.0602726649814687</v>
      </c>
      <c r="K8" s="4">
        <v>1.0602726649814687</v>
      </c>
      <c r="L8" s="5">
        <f>K8-J8</f>
        <v>0</v>
      </c>
      <c r="M8" s="4">
        <v>2.007</v>
      </c>
      <c r="N8" s="4">
        <v>2.042</v>
      </c>
      <c r="O8" s="5">
        <f>M8/$M$3</f>
        <v>1.0250255362614913</v>
      </c>
      <c r="P8" s="5">
        <f>N8/$M$3</f>
        <v>1.0429009193054135</v>
      </c>
      <c r="Q8" s="7">
        <f>IFERROR(N8/M8-1,0)</f>
        <v>0.017438963627304238</v>
      </c>
      <c r="R8" s="5">
        <f>SUM(IF(BQ8="lease",CB8,0),IF(CS8="lease",DD8,0),IF(DU8="lease",EF8,0),IF(EW8="lease",FH8,0),IF(FY8="lease",GJ8,0),IF(HA8="lease",HL8,0),IF(IC8="lease",IN8,0),IF(JE8="lease",JP8,0),IF(KG8="lease",KR8,0),IF(LI8="lease",LT8,0))</f>
        <v>1.0421065445709783</v>
      </c>
      <c r="S8" s="5">
        <f>SUM(IF(BQ8="lease",CI8,0),IF(CS8="lease",DK8,0),IF(DU8="lease",EM8,0),IF(EW8="lease",FO8,0),IF(FY8="lease",GQ8,0),IF(HA8="lease",HS8,0),IF(IC8="lease",IU8,0),IF(JE8="lease",JW8,0),IF(KG8="lease",KY8,0),IF(LI8="lease",MA8,0))</f>
        <v>1.0602726649814687</v>
      </c>
      <c r="T8" s="5">
        <f>SUM(IF(BQ8="keep",CB8,0),IF(CS8="keep",DD8,0),IF(DU8="keep",EF8,0),IF(EW8="keep",FH8,0),IF(FY8="keep",GJ8,0),IF(HA8="keep",HL8,0),IF(IC8="keep",IN8,0),IF(JE8="keep",JP8,0),IF(KG8="keep",KR8,0),IF(LI8="keep",LT8,0))</f>
        <v>0</v>
      </c>
      <c r="U8" s="5">
        <f>SUM(IF(BQ8="keep",CI8,0),IF(CS8="keep",DK8,0),IF(DU8="keep",EM8,0),IF(EW8="keep",FO8,0),IF(FY8="keep",GQ8,0),IF(HA8="keep",HS8,0),IF(IC8="keep",IU8,0),IF(JE8="keep",JW8,0),IF(KG8="keep",KY8,0),IF(LI8="keep",MA8,0))</f>
        <v>0</v>
      </c>
      <c r="V8" s="5">
        <f>R8/O8</f>
        <v>1.0166639831938094</v>
      </c>
      <c r="W8" s="5">
        <f>S8/P8</f>
        <v>1.0166571390958452</v>
      </c>
      <c r="X8" s="5">
        <f>T8/O8</f>
        <v>0</v>
      </c>
      <c r="Y8" s="5">
        <f>U8/P8</f>
        <v>0</v>
      </c>
      <c r="Z8" s="5">
        <f>V8+X8</f>
        <v>1.0166639831938094</v>
      </c>
      <c r="AA8" s="7">
        <f>IFERROR(W8/V8-1,0)</f>
        <v>-0.000006731917405633503</v>
      </c>
      <c r="AB8" s="7">
        <f>IFERROR((W8-V8)/Z8,0)</f>
        <v>-0.000006731917405633066</v>
      </c>
      <c r="AC8" s="7">
        <f>IFERROR(Y8/X8-1,0)</f>
        <v>0</v>
      </c>
      <c r="AD8" s="7">
        <f>IFERROR((Y8-X8)/Z8,0)</f>
        <v>0</v>
      </c>
      <c r="AE8" s="7">
        <f>AB8+AD8</f>
        <v>-0.000006731917405633066</v>
      </c>
      <c r="AF8" s="7">
        <f>(1+Q8)*(1+AE8)-1</f>
        <v>0.01743211431223579</v>
      </c>
      <c r="AG8" s="7">
        <f>G8-AF8</f>
        <v>-4.5102810375396984e-17</v>
      </c>
      <c r="AH8" s="5">
        <f>SUM(IF(BQ8="lease",CE8,0),IF(CS8="lease",DG8,0),IF(DU8="lease",EI8,0),IF(EW8="lease",FK8,0),IF(FY8="lease",GM8,0),IF(HA8="lease",HO8,0),IF(IC8="lease",IQ8,0),IF(JE8="lease",JS8,0),IF(KG8="lease",KU8,0),IF(LI8="lease",LW8,0))</f>
        <v>0.01816612041049029</v>
      </c>
      <c r="AI8" s="5">
        <f>SUM(IF(BQ8="keep",CE8,0),IF(CS8="keep",DG8,0),IF(DU8="keep",EI8,0),IF(EW8="keep",FK8,0),IF(FY8="keep",GM8,0),IF(HA8="keep",HO8,0),IF(IC8="keep",IQ8,0),IF(JE8="keep",JS8,0),IF(KG8="keep",KU8,0),IF(LI8="keep",LW8,0))</f>
        <v>0</v>
      </c>
      <c r="AJ8" s="5">
        <f>SUM(IF(BQ8="lease",CH8,0),IF(CS8="lease",DJ8,0),IF(DU8="lease",EL8,0),IF(EW8="lease",FN8,0),IF(FY8="lease",GP8,0),IF(HA8="lease",HR8,0),IF(IC8="lease",IT8,0),IF(JE8="lease",JV8,0),IF(KG8="lease",KX8,0),IF(LI8="lease",LZ8,0))</f>
        <v>0</v>
      </c>
      <c r="AK8" s="5">
        <f>SUM(IF(BQ8="keep",CH8,0),IF(CS8="keep",DJ8,0),IF(DU8="keep",EL8,0),IF(EW8="keep",FN8,0),IF(FY8="keep",GP8,0),IF(HA8="keep",HR8,0),IF(IC8="keep",IT8,0),IF(JE8="keep",JV8,0),IF(KG8="keep",KX8,0),IF(LI8="keep",LZ8,0))</f>
        <v>0</v>
      </c>
      <c r="AL8" s="5">
        <f>R8-S7</f>
        <v>0</v>
      </c>
      <c r="AM8" s="5">
        <f>T8-U7</f>
        <v>0</v>
      </c>
      <c r="AN8" s="5">
        <f>AN7</f>
        <v>1</v>
      </c>
      <c r="AO8" s="5">
        <f>AO7+AH8</f>
        <v>0.06027266498146856</v>
      </c>
      <c r="AP8" s="5">
        <f>AP7+AL8</f>
        <v>-2.220446049250313e-16</v>
      </c>
      <c r="AQ8" s="5">
        <f>AN8+AO8+AP8</f>
        <v>1.0602726649814684</v>
      </c>
      <c r="AR8" s="5">
        <f>S8-AQ8</f>
        <v>2.220446049250313e-16</v>
      </c>
      <c r="AS8" s="5">
        <f>AS7</f>
        <v>0</v>
      </c>
      <c r="AT8" s="5">
        <f>AT7+AI8</f>
        <v>0</v>
      </c>
      <c r="AU8" s="5">
        <f>AU7+AM8</f>
        <v>0</v>
      </c>
      <c r="AV8" s="5">
        <f>AS8+AT8+AU8</f>
        <v>0</v>
      </c>
      <c r="AW8" s="5">
        <f>U8-AV8</f>
        <v>0</v>
      </c>
      <c r="AX8" s="4">
        <v>1.0421065445709783</v>
      </c>
      <c r="AY8" s="4">
        <v>1.0602726649814687</v>
      </c>
      <c r="AZ8" s="5">
        <f>S8-AY8</f>
        <v>0</v>
      </c>
      <c r="BA8" s="4">
        <v>0</v>
      </c>
      <c r="BB8" s="4">
        <v>0</v>
      </c>
      <c r="BC8" s="5">
        <f>U8-BB8</f>
        <v>0</v>
      </c>
      <c r="BD8" s="7">
        <f>SUM(IF(BP8="direct",CC8/F8,0),IF(CR8="direct",DE8/F8,0),IF(DT8="direct",EG8/F8,0),IF(EV8="direct",FI8/F8,0),IF(FX8="direct",GK8/F8,0),IF(GZ8="direct",HM8/F8,0),IF(IB8="direct",IO8/F8,0),IF(JD8="direct",JQ8/F8,0),IF(KF8="direct",KS8/F8,0),IF(LH8="direct",LU8/F8,0))</f>
        <v>0.017438963627304283</v>
      </c>
      <c r="BE8" s="7">
        <f>-SUM(IF(BP8="direct",CD8/F8,0),IF(CR8="direct",DF8/F8,0),IF(DT8="direct",EH8/F8,0),IF(EV8="direct",FJ8/F8,0),IF(FX8="direct",GL8/F8,0),IF(GZ8="direct",HN8/F8,0),IF(IB8="direct",IP8/F8,0),IF(JD8="direct",JR8/F8,0),IF(KF8="direct",KT8/F8,0),IF(LH8="direct",LV8/F8,0))</f>
        <v>-0.000006849315068493151</v>
      </c>
      <c r="BF8" s="7">
        <f>BD8+BE8</f>
        <v>0.01743211431223579</v>
      </c>
      <c r="BG8" s="7">
        <f>BF8-SUM(IF(BP8="direct",CP8,0),IF(CR8="direct",DR8,0),IF(DT8="direct",ET8,0),IF(EV8="direct",FV8,0),IF(FX8="direct",GX8,0),IF(GZ8="direct",HZ8,0),IF(IB8="direct",JB8,0),IF(JD8="direct",KD8,0),IF(KF8="direct",LF8,0),IF(LH8="direct",MH8,0))</f>
        <v>4.5102810375396984e-17</v>
      </c>
      <c r="BH8" s="7">
        <f>SUM(IF(BP8="treasury",CP8,0),IF(CR8="treasury",DR8,0),IF(DT8="treasury",ET8,0),IF(EV8="treasury",FV8,0),IF(FX8="treasury",GX8,0),IF(GZ8="treasury",HZ8,0),IF(IB8="treasury",JB8,0),IF(JD8="treasury",KD8,0),IF(KF8="treasury",LF8,0),IF(LH8="treasury",MH8,0))</f>
        <v>0</v>
      </c>
      <c r="BI8" s="7">
        <f>SUM(IF(BP8="future",CP8,0),IF(CR8="future",DR8,0),IF(DT8="future",ET8,0),IF(EV8="future",FV8,0),IF(FX8="future",GX8,0),IF(GZ8="future",HZ8,0),IF(IB8="future",JB8,0),IF(JD8="future",KD8,0),IF(KF8="future",LF8,0),IF(LH8="future",MH8,0))</f>
        <v>0</v>
      </c>
      <c r="BJ8" s="7">
        <f>SUM(IF(BP8="cash",CP8,0),IF(CR8="cash",DR8,0),IF(DT8="cash",ET8,0),IF(EV8="cash",FV8,0),IF(FX8="cash",GX8,0),IF(GZ8="cash",HZ8,0),IF(IB8="cash",JB8,0),IF(JD8="cash",KD8,0),IF(KF8="cash",LF8,0),IF(LH8="cash",MH8,0))</f>
        <v>0</v>
      </c>
      <c r="BK8" s="7">
        <f>SUM(BF8,BH8,BI8,BJ8)</f>
        <v>0.017432114312235746</v>
      </c>
      <c r="BL8" s="7">
        <f>G8-BK8</f>
        <v>0</v>
      </c>
      <c r="BM8" s="5">
        <f>MAX(ABS(CG8),ABS(DI8),ABS(EK8),ABS(FM8),ABS(GO8),ABS(HQ8),ABS(IS8),ABS(JU8),ABS(KW8),ABS(LY8))</f>
        <v>4.596678398159637e-17</v>
      </c>
      <c r="BN8" s="9">
        <f>COUNTA(BO8,CQ8,DS8,EU8,FW8,GY8,IA8,JC8,KE8,LG8)</f>
        <v>3</v>
      </c>
      <c r="BO8" t="inlineStr">
        <is>
          <t xml:space="preserve">Direct commodity holding</t>
        </is>
      </c>
      <c r="BP8" t="inlineStr">
        <is>
          <t xml:space="preserve">direct</t>
        </is>
      </c>
      <c r="BQ8" t="inlineStr">
        <is>
          <t xml:space="preserve">lease</t>
        </is>
      </c>
      <c r="BR8" t="inlineStr">
        <is>
          <t xml:space="preserve">long</t>
        </is>
      </c>
      <c r="BS8"/>
      <c r="BT8" s="4">
        <v>2.007</v>
      </c>
      <c r="BU8" s="4">
        <v>2.042</v>
      </c>
      <c r="BV8" s="6">
        <v>0.0025</v>
      </c>
      <c r="BW8" s="4">
        <v>0.5192359464728342</v>
      </c>
      <c r="BX8" s="5">
        <f>IF(BP8="direct",IFERROR(CD8/BU8,0),0)</f>
        <v>0.000003495453505732288</v>
      </c>
      <c r="BY8" s="5">
        <f>IF(BP8="direct",BW8-BX8,IF(BP8="cash",CI8,BW8))</f>
        <v>0.5192324510193285</v>
      </c>
      <c r="BZ8" s="6">
        <v>1</v>
      </c>
      <c r="CA8" s="4">
        <v>1.0421065445709783</v>
      </c>
      <c r="CB8" s="4">
        <v>1.0421065445709783</v>
      </c>
      <c r="CC8" s="5">
        <f>IF(BP8="direct",BW8*(BU8-BT8),CF8)</f>
        <v>0.01817325812654904</v>
      </c>
      <c r="CD8" s="5">
        <f>IF(BP8="direct",CB8*BV8*C8/365,0)</f>
        <v>0.000007137716058705331</v>
      </c>
      <c r="CE8" s="5">
        <f>CC8-CD8</f>
        <v>0.01816612041049029</v>
      </c>
      <c r="CF8" s="4">
        <v>0.01816612041049029</v>
      </c>
      <c r="CG8" s="5">
        <f>CF8-CE8</f>
        <v>-4.596678398159637e-17</v>
      </c>
      <c r="CH8" s="4">
        <v>0</v>
      </c>
      <c r="CI8" s="4">
        <v>1.0602726649814687</v>
      </c>
      <c r="CJ8" s="4">
        <v>2.007</v>
      </c>
      <c r="CK8" s="4">
        <v>2.042</v>
      </c>
      <c r="CL8" s="6"/>
      <c r="CM8" s="6"/>
      <c r="CN8" s="6"/>
      <c r="CO8" s="9"/>
      <c r="CP8" s="7">
        <f>IFERROR(CE8/F8,0)</f>
        <v>0.017432114312235746</v>
      </c>
      <c r="CQ8" t="inlineStr">
        <is>
          <t xml:space="preserve">Lease cash / margin / financing</t>
        </is>
      </c>
      <c r="CR8" t="inlineStr">
        <is>
          <t xml:space="preserve">cash</t>
        </is>
      </c>
      <c r="CS8" t="inlineStr">
        <is>
          <t xml:space="preserve">lease</t>
        </is>
      </c>
      <c r="CT8" t="inlineStr">
        <is>
          <t xml:space="preserve">cash</t>
        </is>
      </c>
      <c r="CU8"/>
      <c r="CV8" s="4">
        <v>1</v>
      </c>
      <c r="CW8" s="4">
        <v>1</v>
      </c>
      <c r="CX8" s="6"/>
      <c r="CY8" s="4">
        <v>0</v>
      </c>
      <c r="CZ8" s="5">
        <f>IF(CR8="direct",IFERROR(DF8/CW8,0),0)</f>
        <v>0</v>
      </c>
      <c r="DA8" s="5">
        <f>IF(CR8="direct",CY8-CZ8,IF(CR8="cash",DK8,CY8))</f>
        <v>0</v>
      </c>
      <c r="DB8" s="6"/>
      <c r="DC8" s="4">
        <v>0</v>
      </c>
      <c r="DD8" s="4">
        <v>0</v>
      </c>
      <c r="DE8" s="5">
        <f>IF(CR8="direct",CY8*(CW8-CV8),DH8)</f>
        <v>0</v>
      </c>
      <c r="DF8" s="5">
        <f>IF(CR8="direct",DD8*CX8*C8/365,0)</f>
        <v>0</v>
      </c>
      <c r="DG8" s="5">
        <f>DE8-DF8</f>
        <v>0</v>
      </c>
      <c r="DH8" s="4">
        <v>0</v>
      </c>
      <c r="DI8" s="5">
        <f>DH8-DG8</f>
        <v>0</v>
      </c>
      <c r="DJ8" s="4">
        <v>0</v>
      </c>
      <c r="DK8" s="4">
        <v>0</v>
      </c>
      <c r="DL8" s="4">
        <v>2.007</v>
      </c>
      <c r="DM8" s="4">
        <v>2.042</v>
      </c>
      <c r="DN8" s="6"/>
      <c r="DO8" s="6"/>
      <c r="DP8" s="6"/>
      <c r="DQ8" s="9"/>
      <c r="DR8" s="7">
        <f>IFERROR(DG8/F8,0)</f>
        <v>0</v>
      </c>
      <c r="DS8" t="inlineStr">
        <is>
          <t xml:space="preserve">Keep cash / margin / financing</t>
        </is>
      </c>
      <c r="DT8" t="inlineStr">
        <is>
          <t xml:space="preserve">cash</t>
        </is>
      </c>
      <c r="DU8" t="inlineStr">
        <is>
          <t xml:space="preserve">keep</t>
        </is>
      </c>
      <c r="DV8" t="inlineStr">
        <is>
          <t xml:space="preserve">cash</t>
        </is>
      </c>
      <c r="DW8"/>
      <c r="DX8" s="4">
        <v>1</v>
      </c>
      <c r="DY8" s="4">
        <v>1</v>
      </c>
      <c r="DZ8" s="6"/>
      <c r="EA8" s="4">
        <v>0</v>
      </c>
      <c r="EB8" s="5">
        <f>IF(DT8="direct",IFERROR(EH8/DY8,0),0)</f>
        <v>0</v>
      </c>
      <c r="EC8" s="5">
        <f>IF(DT8="direct",EA8-EB8,IF(DT8="cash",EM8,EA8))</f>
        <v>0</v>
      </c>
      <c r="ED8" s="6"/>
      <c r="EE8" s="4">
        <v>0</v>
      </c>
      <c r="EF8" s="4">
        <v>0</v>
      </c>
      <c r="EG8" s="5">
        <f>IF(DT8="direct",EA8*(DY8-DX8),EJ8)</f>
        <v>0</v>
      </c>
      <c r="EH8" s="5">
        <f>IF(DT8="direct",EF8*DZ8*C8/365,0)</f>
        <v>0</v>
      </c>
      <c r="EI8" s="5">
        <f>EG8-EH8</f>
        <v>0</v>
      </c>
      <c r="EJ8" s="4">
        <v>0</v>
      </c>
      <c r="EK8" s="5">
        <f>EJ8-EI8</f>
        <v>0</v>
      </c>
      <c r="EL8" s="4">
        <v>0</v>
      </c>
      <c r="EM8" s="4">
        <v>0</v>
      </c>
      <c r="EN8" s="4">
        <v>2.007</v>
      </c>
      <c r="EO8" s="4">
        <v>2.042</v>
      </c>
      <c r="EP8" s="6"/>
      <c r="EQ8" s="6"/>
      <c r="ER8" s="6"/>
      <c r="ES8" s="9"/>
      <c r="ET8" s="7">
        <f>IFERROR(EI8/F8,0)</f>
        <v>0</v>
      </c>
      <c r="EU8"/>
      <c r="EV8"/>
      <c r="EW8"/>
      <c r="EX8"/>
      <c r="EY8"/>
      <c r="EZ8" s="4"/>
      <c r="FA8" s="4"/>
      <c r="FB8" s="6"/>
      <c r="FC8" s="4"/>
      <c r="FD8" s="5">
        <v>0</v>
      </c>
      <c r="FE8" s="5"/>
      <c r="FF8" s="6"/>
      <c r="FG8" s="4"/>
      <c r="FH8" s="4"/>
      <c r="FI8" s="5">
        <v>0</v>
      </c>
      <c r="FJ8" s="5">
        <v>0</v>
      </c>
      <c r="FK8" s="5"/>
      <c r="FL8" s="4"/>
      <c r="FM8" s="5">
        <v>0</v>
      </c>
      <c r="FN8" s="4"/>
      <c r="FO8" s="4"/>
      <c r="FP8" s="4"/>
      <c r="FQ8" s="4"/>
      <c r="FR8" s="6"/>
      <c r="FS8" s="6"/>
      <c r="FT8" s="6"/>
      <c r="FU8" s="9"/>
      <c r="FV8"/>
      <c r="FW8"/>
      <c r="FX8"/>
      <c r="FY8"/>
      <c r="FZ8"/>
      <c r="GA8"/>
      <c r="GB8" s="4"/>
      <c r="GC8" s="4"/>
      <c r="GD8" s="6"/>
      <c r="GE8" s="4"/>
      <c r="GF8" s="5">
        <v>0</v>
      </c>
      <c r="GG8" s="5"/>
      <c r="GH8" s="6"/>
      <c r="GI8" s="4"/>
      <c r="GJ8" s="4"/>
      <c r="GK8" s="5">
        <v>0</v>
      </c>
      <c r="GL8" s="5">
        <v>0</v>
      </c>
      <c r="GM8" s="5"/>
      <c r="GN8" s="4"/>
      <c r="GO8" s="5">
        <v>0</v>
      </c>
      <c r="GP8" s="4"/>
      <c r="GQ8" s="4"/>
      <c r="GR8" s="4"/>
      <c r="GS8" s="4"/>
      <c r="GT8" s="6"/>
      <c r="GU8" s="6"/>
      <c r="GV8" s="6"/>
      <c r="GW8" s="9"/>
      <c r="GX8"/>
      <c r="GY8"/>
      <c r="GZ8"/>
      <c r="HA8"/>
      <c r="HB8"/>
      <c r="HC8"/>
      <c r="HD8" s="4"/>
      <c r="HE8" s="4"/>
      <c r="HF8" s="6"/>
      <c r="HG8" s="4"/>
      <c r="HH8" s="5">
        <v>0</v>
      </c>
      <c r="HI8" s="5"/>
      <c r="HJ8" s="6"/>
      <c r="HK8" s="4"/>
      <c r="HL8" s="4"/>
      <c r="HM8" s="5">
        <v>0</v>
      </c>
      <c r="HN8" s="5">
        <v>0</v>
      </c>
      <c r="HO8" s="5"/>
      <c r="HP8" s="4"/>
      <c r="HQ8" s="5">
        <v>0</v>
      </c>
      <c r="HR8" s="4"/>
      <c r="HS8" s="4"/>
      <c r="HT8" s="4"/>
      <c r="HU8" s="4"/>
      <c r="HV8" s="6"/>
      <c r="HW8" s="6"/>
      <c r="HX8" s="6"/>
      <c r="HY8" s="9"/>
      <c r="HZ8"/>
      <c r="IA8"/>
      <c r="IB8"/>
      <c r="IC8"/>
      <c r="ID8"/>
      <c r="IE8"/>
      <c r="IF8" s="4"/>
      <c r="IG8" s="4"/>
      <c r="IH8" s="6"/>
      <c r="II8" s="4"/>
      <c r="IJ8" s="5">
        <v>0</v>
      </c>
      <c r="IK8" s="5"/>
      <c r="IL8" s="6"/>
      <c r="IM8" s="4"/>
      <c r="IN8" s="4"/>
      <c r="IO8" s="5">
        <v>0</v>
      </c>
      <c r="IP8" s="5">
        <v>0</v>
      </c>
      <c r="IQ8" s="5"/>
      <c r="IR8" s="4"/>
      <c r="IS8" s="5">
        <v>0</v>
      </c>
      <c r="IT8" s="4"/>
      <c r="IU8" s="4"/>
      <c r="IV8" s="4"/>
      <c r="IW8" s="4"/>
      <c r="IX8" s="6"/>
      <c r="IY8" s="6"/>
      <c r="IZ8" s="6"/>
      <c r="JA8" s="9"/>
      <c r="JB8"/>
      <c r="JC8"/>
      <c r="JD8"/>
      <c r="JE8"/>
      <c r="JF8"/>
      <c r="JG8"/>
      <c r="JH8" s="4"/>
      <c r="JI8" s="4"/>
      <c r="JJ8" s="6"/>
      <c r="JK8" s="4"/>
      <c r="JL8" s="5">
        <v>0</v>
      </c>
      <c r="JM8" s="5"/>
      <c r="JN8" s="6"/>
      <c r="JO8" s="4"/>
      <c r="JP8" s="4"/>
      <c r="JQ8" s="5">
        <v>0</v>
      </c>
      <c r="JR8" s="5">
        <v>0</v>
      </c>
      <c r="JS8" s="5"/>
      <c r="JT8" s="4"/>
      <c r="JU8" s="5">
        <v>0</v>
      </c>
      <c r="JV8" s="4"/>
      <c r="JW8" s="4"/>
      <c r="JX8" s="4"/>
      <c r="JY8" s="4"/>
      <c r="JZ8" s="6"/>
      <c r="KA8" s="6"/>
      <c r="KB8" s="6"/>
      <c r="KC8" s="9"/>
      <c r="KD8"/>
      <c r="KE8"/>
      <c r="KF8"/>
      <c r="KG8"/>
      <c r="KH8"/>
      <c r="KI8"/>
      <c r="KJ8" s="4"/>
      <c r="KK8" s="4"/>
      <c r="KL8" s="6"/>
      <c r="KM8" s="4"/>
      <c r="KN8" s="5">
        <v>0</v>
      </c>
      <c r="KO8" s="5"/>
      <c r="KP8" s="6"/>
      <c r="KQ8" s="4"/>
      <c r="KR8" s="4"/>
      <c r="KS8" s="5">
        <v>0</v>
      </c>
      <c r="KT8" s="5">
        <v>0</v>
      </c>
      <c r="KU8" s="5"/>
      <c r="KV8" s="4"/>
      <c r="KW8" s="5">
        <v>0</v>
      </c>
      <c r="KX8" s="4"/>
      <c r="KY8" s="4"/>
      <c r="KZ8" s="4"/>
      <c r="LA8" s="4"/>
      <c r="LB8" s="6"/>
      <c r="LC8" s="6"/>
      <c r="LD8" s="6"/>
      <c r="LE8" s="9"/>
      <c r="LF8"/>
      <c r="LG8"/>
      <c r="LH8"/>
      <c r="LI8"/>
      <c r="LJ8"/>
      <c r="LK8"/>
      <c r="LL8" s="4"/>
      <c r="LM8" s="4"/>
      <c r="LN8" s="6"/>
      <c r="LO8" s="4"/>
      <c r="LP8" s="5">
        <v>0</v>
      </c>
      <c r="LQ8" s="5"/>
      <c r="LR8" s="6"/>
      <c r="LS8" s="4"/>
      <c r="LT8" s="4"/>
      <c r="LU8" s="5">
        <v>0</v>
      </c>
      <c r="LV8" s="5">
        <v>0</v>
      </c>
      <c r="LW8" s="5"/>
      <c r="LX8" s="4"/>
      <c r="LY8" s="5">
        <v>0</v>
      </c>
      <c r="LZ8" s="4"/>
      <c r="MA8" s="4"/>
      <c r="MB8" s="4"/>
      <c r="MC8" s="4"/>
      <c r="MD8" s="6"/>
      <c r="ME8" s="6"/>
      <c r="MF8" s="6"/>
      <c r="MG8" s="9"/>
      <c r="MH8"/>
    </row>
    <row r="9">
      <c r="A9" s="8">
        <v>25213</v>
      </c>
      <c r="B9" s="8">
        <v>25216</v>
      </c>
      <c r="C9" s="9">
        <f>B9-A9</f>
        <v>3</v>
      </c>
      <c r="D9" s="8">
        <v>25213</v>
      </c>
      <c r="E9" t="inlineStr">
        <is>
          <t xml:space="preserve">positive</t>
        </is>
      </c>
      <c r="F9" s="4">
        <v>1.0602726649814687</v>
      </c>
      <c r="G9" s="6">
        <v>-0.001997808219178029</v>
      </c>
      <c r="H9" s="7">
        <f>SUM(CP9,DR9,ET9,FV9,GX9,HZ9,JB9,KD9,LF9,MH9)</f>
        <v>-0.0019978082191780284</v>
      </c>
      <c r="I9" s="7">
        <f>G9-H9</f>
        <v>-4.336808689942018e-19</v>
      </c>
      <c r="J9" s="5">
        <f>F9*(1+H9)</f>
        <v>1.0581544435367989</v>
      </c>
      <c r="K9" s="4">
        <v>1.0581544435367989</v>
      </c>
      <c r="L9" s="5">
        <f>K9-J9</f>
        <v>0</v>
      </c>
      <c r="M9" s="4">
        <v>2.042</v>
      </c>
      <c r="N9" s="4">
        <v>2.016</v>
      </c>
      <c r="O9" s="5">
        <f>M9/$M$3</f>
        <v>1.0429009193054135</v>
      </c>
      <c r="P9" s="5">
        <f>N9/$M$3</f>
        <v>1.0296220633299284</v>
      </c>
      <c r="Q9" s="7">
        <f>IFERROR(N9/M9-1,0)</f>
        <v>-0.01273261508325163</v>
      </c>
      <c r="R9" s="5">
        <f>SUM(IF(BQ9="lease",CB9,0),IF(CS9="lease",DD9,0),IF(DU9="lease",EF9,0),IF(EW9="lease",FH9,0),IF(FY9="lease",GJ9,0),IF(HA9="lease",HL9,0),IF(IC9="lease",IN9,0),IF(JE9="lease",JP9,0),IF(KG9="lease",KR9,0),IF(LI9="lease",LT9,0))</f>
        <v>1.0602726649814687</v>
      </c>
      <c r="S9" s="5">
        <f>SUM(IF(BQ9="lease",CI9,0),IF(CS9="lease",DK9,0),IF(DU9="lease",EM9,0),IF(EW9="lease",FO9,0),IF(FY9="lease",GQ9,0),IF(HA9="lease",HS9,0),IF(IC9="lease",IU9,0),IF(JE9="lease",JW9,0),IF(KG9="lease",KY9,0),IF(LI9="lease",MA9,0))</f>
        <v>1.0581544435367989</v>
      </c>
      <c r="T9" s="5">
        <f>SUM(IF(BQ9="keep",CB9,0),IF(CS9="keep",DD9,0),IF(DU9="keep",EF9,0),IF(EW9="keep",FH9,0),IF(FY9="keep",GJ9,0),IF(HA9="keep",HL9,0),IF(IC9="keep",IN9,0),IF(JE9="keep",JP9,0),IF(KG9="keep",KR9,0),IF(LI9="keep",LT9,0))</f>
        <v>0</v>
      </c>
      <c r="U9" s="5">
        <f>SUM(IF(BQ9="keep",CI9,0),IF(CS9="keep",DK9,0),IF(DU9="keep",EM9,0),IF(EW9="keep",FO9,0),IF(FY9="keep",GQ9,0),IF(HA9="keep",HS9,0),IF(IC9="keep",IU9,0),IF(JE9="keep",JW9,0),IF(KG9="keep",KY9,0),IF(LI9="keep",MA9,0))</f>
        <v>0</v>
      </c>
      <c r="V9" s="5">
        <f>R9/O9</f>
        <v>1.0166571390958452</v>
      </c>
      <c r="W9" s="5">
        <f>S9/P9</f>
        <v>1.027711508157268</v>
      </c>
      <c r="X9" s="5">
        <f>T9/O9</f>
        <v>0</v>
      </c>
      <c r="Y9" s="5">
        <f>U9/P9</f>
        <v>0</v>
      </c>
      <c r="Z9" s="5">
        <f>V9+X9</f>
        <v>1.0166571390958452</v>
      </c>
      <c r="AA9" s="7">
        <f>IFERROR(W9/V9-1,0)</f>
        <v>0.010873251793868333</v>
      </c>
      <c r="AB9" s="7">
        <f>IFERROR((W9-V9)/Z9,0)</f>
        <v>0.010873251793868263</v>
      </c>
      <c r="AC9" s="7">
        <f>IFERROR(Y9/X9-1,0)</f>
        <v>0</v>
      </c>
      <c r="AD9" s="7">
        <f>IFERROR((Y9-X9)/Z9,0)</f>
        <v>0</v>
      </c>
      <c r="AE9" s="7">
        <f>AB9+AD9</f>
        <v>0.010873251793868263</v>
      </c>
      <c r="AF9" s="7">
        <f>(1+Q9)*(1+AE9)-1</f>
        <v>-0.0019978082191779434</v>
      </c>
      <c r="AG9" s="7">
        <f>G9-AF9</f>
        <v>-8.543513119185775e-17</v>
      </c>
      <c r="AH9" s="5">
        <f>SUM(IF(BQ9="lease",CE9,0),IF(CS9="lease",DG9,0),IF(DU9="lease",EI9,0),IF(EW9="lease",FK9,0),IF(FY9="lease",GM9,0),IF(HA9="lease",HO9,0),IF(IC9="lease",IQ9,0),IF(JE9="lease",JS9,0),IF(KG9="lease",KU9,0),IF(LI9="lease",LW9,0))</f>
        <v>-0.00211822144466977</v>
      </c>
      <c r="AI9" s="5">
        <f>SUM(IF(BQ9="keep",CE9,0),IF(CS9="keep",DG9,0),IF(DU9="keep",EI9,0),IF(EW9="keep",FK9,0),IF(FY9="keep",GM9,0),IF(HA9="keep",HO9,0),IF(IC9="keep",IQ9,0),IF(JE9="keep",JS9,0),IF(KG9="keep",KU9,0),IF(LI9="keep",LW9,0))</f>
        <v>0</v>
      </c>
      <c r="AJ9" s="5">
        <f>SUM(IF(BQ9="lease",CH9,0),IF(CS9="lease",DJ9,0),IF(DU9="lease",EL9,0),IF(EW9="lease",FN9,0),IF(FY9="lease",GP9,0),IF(HA9="lease",HR9,0),IF(IC9="lease",IT9,0),IF(JE9="lease",JV9,0),IF(KG9="lease",KX9,0),IF(LI9="lease",LZ9,0))</f>
        <v>0</v>
      </c>
      <c r="AK9" s="5">
        <f>SUM(IF(BQ9="keep",CH9,0),IF(CS9="keep",DJ9,0),IF(DU9="keep",EL9,0),IF(EW9="keep",FN9,0),IF(FY9="keep",GP9,0),IF(HA9="keep",HR9,0),IF(IC9="keep",IT9,0),IF(JE9="keep",JV9,0),IF(KG9="keep",KX9,0),IF(LI9="keep",LZ9,0))</f>
        <v>0</v>
      </c>
      <c r="AL9" s="5">
        <f>R9-S8</f>
        <v>0</v>
      </c>
      <c r="AM9" s="5">
        <f>T9-U8</f>
        <v>0</v>
      </c>
      <c r="AN9" s="5">
        <f>AN8</f>
        <v>1</v>
      </c>
      <c r="AO9" s="5">
        <f>AO8+AH9</f>
        <v>0.05815444353679879</v>
      </c>
      <c r="AP9" s="5">
        <f>AP8+AL9</f>
        <v>-2.220446049250313e-16</v>
      </c>
      <c r="AQ9" s="5">
        <f>AN9+AO9+AP9</f>
        <v>1.0581544435367987</v>
      </c>
      <c r="AR9" s="5">
        <f>S9-AQ9</f>
        <v>2.220446049250313e-16</v>
      </c>
      <c r="AS9" s="5">
        <f>AS8</f>
        <v>0</v>
      </c>
      <c r="AT9" s="5">
        <f>AT8+AI9</f>
        <v>0</v>
      </c>
      <c r="AU9" s="5">
        <f>AU8+AM9</f>
        <v>0</v>
      </c>
      <c r="AV9" s="5">
        <f>AS9+AT9+AU9</f>
        <v>0</v>
      </c>
      <c r="AW9" s="5">
        <f>U9-AV9</f>
        <v>0</v>
      </c>
      <c r="AX9" s="4">
        <v>1.0602726649814687</v>
      </c>
      <c r="AY9" s="4">
        <v>1.0581544435367989</v>
      </c>
      <c r="AZ9" s="5">
        <f>S9-AY9</f>
        <v>0</v>
      </c>
      <c r="BA9" s="4">
        <v>0</v>
      </c>
      <c r="BB9" s="4">
        <v>0</v>
      </c>
      <c r="BC9" s="5">
        <f>U9-BB9</f>
        <v>0</v>
      </c>
      <c r="BD9" s="7">
        <f>SUM(IF(BP9="direct",CC9/F9,0),IF(CR9="direct",DE9/F9,0),IF(DT9="direct",EG9/F9,0),IF(EV9="direct",FI9/F9,0),IF(FX9="direct",GK9/F9,0),IF(GZ9="direct",HM9/F9,0),IF(IB9="direct",IO9/F9,0),IF(JD9="direct",JQ9/F9,0),IF(KF9="direct",KS9/F9,0),IF(LH9="direct",LU9/F9,0))</f>
        <v>0</v>
      </c>
      <c r="BE9" s="7">
        <f>-SUM(IF(BP9="direct",CD9/F9,0),IF(CR9="direct",DF9/F9,0),IF(DT9="direct",EH9/F9,0),IF(EV9="direct",FJ9/F9,0),IF(FX9="direct",GL9/F9,0),IF(GZ9="direct",HN9/F9,0),IF(IB9="direct",IP9/F9,0),IF(JD9="direct",JR9/F9,0),IF(KF9="direct",KT9/F9,0),IF(LH9="direct",LV9/F9,0))</f>
        <v>0</v>
      </c>
      <c r="BF9" s="7">
        <f>BD9+BE9</f>
        <v>0</v>
      </c>
      <c r="BG9" s="7">
        <f>BF9-SUM(IF(BP9="direct",CP9,0),IF(CR9="direct",DR9,0),IF(DT9="direct",ET9,0),IF(EV9="direct",FV9,0),IF(FX9="direct",GX9,0),IF(GZ9="direct",HZ9,0),IF(IB9="direct",JB9,0),IF(JD9="direct",KD9,0),IF(KF9="direct",LF9,0),IF(LH9="direct",MH9,0))</f>
        <v>0</v>
      </c>
      <c r="BH9" s="7">
        <f>SUM(IF(BP9="treasury",CP9,0),IF(CR9="treasury",DR9,0),IF(DT9="treasury",ET9,0),IF(EV9="treasury",FV9,0),IF(FX9="treasury",GX9,0),IF(GZ9="treasury",HZ9,0),IF(IB9="treasury",JB9,0),IF(JD9="treasury",KD9,0),IF(KF9="treasury",LF9,0),IF(LH9="treasury",MH9,0))</f>
        <v>0.0005021917808219179</v>
      </c>
      <c r="BI9" s="7">
        <f>SUM(IF(BP9="future",CP9,0),IF(CR9="future",DR9,0),IF(DT9="future",ET9,0),IF(EV9="future",FV9,0),IF(FX9="future",GX9,0),IF(GZ9="future",HZ9,0),IF(IB9="future",JB9,0),IF(JD9="future",KD9,0),IF(KF9="future",LF9,0),IF(LH9="future",MH9,0))</f>
        <v>-0.0024999999999999463</v>
      </c>
      <c r="BJ9" s="7">
        <f>SUM(IF(BP9="cash",CP9,0),IF(CR9="cash",DR9,0),IF(DT9="cash",ET9,0),IF(EV9="cash",FV9,0),IF(FX9="cash",GX9,0),IF(GZ9="cash",HZ9,0),IF(IB9="cash",JB9,0),IF(JD9="cash",KD9,0),IF(KF9="cash",LF9,0),IF(LH9="cash",MH9,0))</f>
        <v>0</v>
      </c>
      <c r="BK9" s="7">
        <f>SUM(BF9,BH9,BI9,BJ9)</f>
        <v>-0.0019978082191780284</v>
      </c>
      <c r="BL9" s="7">
        <f>G9-BK9</f>
        <v>-4.336808689942018e-19</v>
      </c>
      <c r="BM9" s="5">
        <f>MAX(ABS(CG9),ABS(DI9),ABS(EK9),ABS(FM9),ABS(GO9),ABS(HQ9),ABS(IS9),ABS(JU9),ABS(KW9),ABS(LY9))</f>
        <v>2.992397996059992e-17</v>
      </c>
      <c r="BN9" s="9">
        <f>COUNTA(BO9,CQ9,DS9,EU9,FW9,GY9,IA9,JC9,KE9,LG9)</f>
        <v>4</v>
      </c>
      <c r="BO9" t="inlineStr">
        <is>
          <t xml:space="preserve">Treasury collateral</t>
        </is>
      </c>
      <c r="BP9" t="inlineStr">
        <is>
          <t xml:space="preserve">treasury</t>
        </is>
      </c>
      <c r="BQ9" t="inlineStr">
        <is>
          <t xml:space="preserve">lease</t>
        </is>
      </c>
      <c r="BR9" t="inlineStr">
        <is>
          <t xml:space="preserve">long</t>
        </is>
      </c>
      <c r="BS9"/>
      <c r="BT9" s="4">
        <v>100.1351398656194</v>
      </c>
      <c r="BU9" s="4">
        <v>100.18542690983136</v>
      </c>
      <c r="BV9" s="6"/>
      <c r="BW9" s="4">
        <v>0.0105884174766655</v>
      </c>
      <c r="BX9" s="5">
        <f>IF(BP9="direct",IFERROR(CD9/BU9,0),0)</f>
        <v>0</v>
      </c>
      <c r="BY9" s="5">
        <f>IF(BP9="direct",BW9-BX9,IF(BP9="cash",CI9,BW9))</f>
        <v>0.0105884174766655</v>
      </c>
      <c r="BZ9" s="6">
        <v>1</v>
      </c>
      <c r="CA9" s="4">
        <v>1.0602726649814687</v>
      </c>
      <c r="CB9" s="4">
        <v>1.0602726649814687</v>
      </c>
      <c r="CC9" s="5">
        <f>IF(BP9="direct",BW9*(BU9-BT9),CF9)</f>
        <v>0.0005324602177838744</v>
      </c>
      <c r="CD9" s="5">
        <f>IF(BP9="direct",CB9*BV9*C9/365,0)</f>
        <v>0</v>
      </c>
      <c r="CE9" s="5">
        <f>CC9-CD9</f>
        <v>0.0005324602177838445</v>
      </c>
      <c r="CF9" s="4">
        <v>0.0005324602177838445</v>
      </c>
      <c r="CG9" s="5">
        <f>CF9-CE9</f>
        <v>-2.992397996059992e-17</v>
      </c>
      <c r="CH9" s="4">
        <v>1.441988889405721e-17</v>
      </c>
      <c r="CI9" s="4">
        <v>1.0608051251992525</v>
      </c>
      <c r="CJ9" s="4">
        <v>2.042</v>
      </c>
      <c r="CK9" s="4">
        <v>2.016</v>
      </c>
      <c r="CL9" s="6"/>
      <c r="CM9" s="6"/>
      <c r="CN9" s="6"/>
      <c r="CO9" s="9">
        <v>19</v>
      </c>
      <c r="CP9" s="7">
        <f>IFERROR(CE9/F9,0)</f>
        <v>0.0005021917808219179</v>
      </c>
      <c r="CQ9" t="inlineStr">
        <is>
          <t xml:space="preserve">SI69F</t>
        </is>
      </c>
      <c r="CR9" t="inlineStr">
        <is>
          <t xml:space="preserve">future</t>
        </is>
      </c>
      <c r="CS9" t="inlineStr">
        <is>
          <t xml:space="preserve">lease</t>
        </is>
      </c>
      <c r="CT9" t="inlineStr">
        <is>
          <t xml:space="preserve">long</t>
        </is>
      </c>
      <c r="CU9" t="inlineStr">
        <is>
          <t xml:space="preserve">regular</t>
        </is>
      </c>
      <c r="CV9" s="4">
        <v>2</v>
      </c>
      <c r="CW9" s="4">
        <v>1.995</v>
      </c>
      <c r="CX9" s="6"/>
      <c r="CY9" s="4">
        <v>0.5301363324907342</v>
      </c>
      <c r="CZ9" s="5">
        <f>IF(CR9="direct",IFERROR(DF9/CW9,0),0)</f>
        <v>0</v>
      </c>
      <c r="DA9" s="5">
        <f>IF(CR9="direct",CY9-CZ9,IF(CR9="cash",DK9,CY9))</f>
        <v>0.5301363324907342</v>
      </c>
      <c r="DB9" s="6">
        <v>0.9999999999999999</v>
      </c>
      <c r="DC9" s="4">
        <v>1.0602726649814684</v>
      </c>
      <c r="DD9" s="4">
        <v>0</v>
      </c>
      <c r="DE9" s="5">
        <f>IF(CR9="direct",CY9*(CW9-CV9),DH9)</f>
        <v>-0.0026506816624536148</v>
      </c>
      <c r="DF9" s="5">
        <f>IF(CR9="direct",DD9*CX9*C9/365,0)</f>
        <v>0</v>
      </c>
      <c r="DG9" s="5">
        <f>DE9-DF9</f>
        <v>-0.0026506816624536148</v>
      </c>
      <c r="DH9" s="4">
        <v>-0.0026506816624536148</v>
      </c>
      <c r="DI9" s="5">
        <f>DH9-DG9</f>
        <v>0</v>
      </c>
      <c r="DJ9" s="4">
        <v>0.0026506816624536148</v>
      </c>
      <c r="DK9" s="4">
        <v>0</v>
      </c>
      <c r="DL9" s="4">
        <v>2.042</v>
      </c>
      <c r="DM9" s="4">
        <v>2.016</v>
      </c>
      <c r="DN9" s="6">
        <v>-0.020568070519098813</v>
      </c>
      <c r="DO9" s="6">
        <v>0.0611</v>
      </c>
      <c r="DP9" s="6">
        <v>0.45622345997216146</v>
      </c>
      <c r="DQ9" s="9">
        <v>19</v>
      </c>
      <c r="DR9" s="7">
        <f>IFERROR(DG9/F9,0)</f>
        <v>-0.0024999999999999463</v>
      </c>
      <c r="DS9" t="inlineStr">
        <is>
          <t xml:space="preserve">Lease cash / margin / financing</t>
        </is>
      </c>
      <c r="DT9" t="inlineStr">
        <is>
          <t xml:space="preserve">cash</t>
        </is>
      </c>
      <c r="DU9" t="inlineStr">
        <is>
          <t xml:space="preserve">lease</t>
        </is>
      </c>
      <c r="DV9" t="inlineStr">
        <is>
          <t xml:space="preserve">cash</t>
        </is>
      </c>
      <c r="DW9"/>
      <c r="DX9" s="4">
        <v>1</v>
      </c>
      <c r="DY9" s="4">
        <v>1</v>
      </c>
      <c r="DZ9" s="6"/>
      <c r="EA9" s="4">
        <v>0</v>
      </c>
      <c r="EB9" s="5">
        <f>IF(DT9="direct",IFERROR(EH9/DY9,0),0)</f>
        <v>0</v>
      </c>
      <c r="EC9" s="5">
        <f>IF(DT9="direct",EA9-EB9,IF(DT9="cash",EM9,EA9))</f>
        <v>-0.002650681662453629</v>
      </c>
      <c r="ED9" s="6"/>
      <c r="EE9" s="4">
        <v>0</v>
      </c>
      <c r="EF9" s="4">
        <v>0</v>
      </c>
      <c r="EG9" s="5">
        <f>IF(DT9="direct",EA9*(DY9-DX9),EJ9)</f>
        <v>0</v>
      </c>
      <c r="EH9" s="5">
        <f>IF(DT9="direct",EF9*DZ9*C9/365,0)</f>
        <v>0</v>
      </c>
      <c r="EI9" s="5">
        <f>EG9-EH9</f>
        <v>0</v>
      </c>
      <c r="EJ9" s="4">
        <v>0</v>
      </c>
      <c r="EK9" s="5">
        <f>EJ9-EI9</f>
        <v>0</v>
      </c>
      <c r="EL9" s="4">
        <v>-0.002650681662453629</v>
      </c>
      <c r="EM9" s="4">
        <v>-0.002650681662453629</v>
      </c>
      <c r="EN9" s="4">
        <v>2.042</v>
      </c>
      <c r="EO9" s="4">
        <v>2.016</v>
      </c>
      <c r="EP9" s="6"/>
      <c r="EQ9" s="6"/>
      <c r="ER9" s="6"/>
      <c r="ES9" s="9"/>
      <c r="ET9" s="7">
        <f>IFERROR(EI9/F9,0)</f>
        <v>0</v>
      </c>
      <c r="EU9" t="inlineStr">
        <is>
          <t xml:space="preserve">Keep cash / margin / financing</t>
        </is>
      </c>
      <c r="EV9" t="inlineStr">
        <is>
          <t xml:space="preserve">cash</t>
        </is>
      </c>
      <c r="EW9" t="inlineStr">
        <is>
          <t xml:space="preserve">keep</t>
        </is>
      </c>
      <c r="EX9" t="inlineStr">
        <is>
          <t xml:space="preserve">cash</t>
        </is>
      </c>
      <c r="EY9"/>
      <c r="EZ9" s="4">
        <v>1</v>
      </c>
      <c r="FA9" s="4">
        <v>1</v>
      </c>
      <c r="FB9" s="6"/>
      <c r="FC9" s="4">
        <v>0</v>
      </c>
      <c r="FD9" s="5">
        <f>IF(EV9="direct",IFERROR(FJ9/FA9,0),0)</f>
        <v>0</v>
      </c>
      <c r="FE9" s="5">
        <f>IF(EV9="direct",FC9-FD9,IF(EV9="cash",FO9,FC9))</f>
        <v>0</v>
      </c>
      <c r="FF9" s="6"/>
      <c r="FG9" s="4">
        <v>0</v>
      </c>
      <c r="FH9" s="4">
        <v>0</v>
      </c>
      <c r="FI9" s="5">
        <f>IF(EV9="direct",FC9*(FA9-EZ9),FL9)</f>
        <v>0</v>
      </c>
      <c r="FJ9" s="5">
        <f>IF(EV9="direct",FH9*FB9*C9/365,0)</f>
        <v>0</v>
      </c>
      <c r="FK9" s="5">
        <f>FI9-FJ9</f>
        <v>0</v>
      </c>
      <c r="FL9" s="4">
        <v>0</v>
      </c>
      <c r="FM9" s="5">
        <f>FL9-FK9</f>
        <v>0</v>
      </c>
      <c r="FN9" s="4">
        <v>0</v>
      </c>
      <c r="FO9" s="4">
        <v>0</v>
      </c>
      <c r="FP9" s="4">
        <v>2.042</v>
      </c>
      <c r="FQ9" s="4">
        <v>2.016</v>
      </c>
      <c r="FR9" s="6"/>
      <c r="FS9" s="6"/>
      <c r="FT9" s="6"/>
      <c r="FU9" s="9"/>
      <c r="FV9" s="7">
        <f>IFERROR(FK9/F9,0)</f>
        <v>0</v>
      </c>
      <c r="FW9"/>
      <c r="FX9"/>
      <c r="FY9"/>
      <c r="FZ9"/>
      <c r="GA9"/>
      <c r="GB9" s="4"/>
      <c r="GC9" s="4"/>
      <c r="GD9" s="6"/>
      <c r="GE9" s="4"/>
      <c r="GF9" s="5">
        <v>0</v>
      </c>
      <c r="GG9" s="5"/>
      <c r="GH9" s="6"/>
      <c r="GI9" s="4"/>
      <c r="GJ9" s="4"/>
      <c r="GK9" s="5">
        <v>0</v>
      </c>
      <c r="GL9" s="5">
        <v>0</v>
      </c>
      <c r="GM9" s="5"/>
      <c r="GN9" s="4"/>
      <c r="GO9" s="5">
        <v>0</v>
      </c>
      <c r="GP9" s="4"/>
      <c r="GQ9" s="4"/>
      <c r="GR9" s="4"/>
      <c r="GS9" s="4"/>
      <c r="GT9" s="6"/>
      <c r="GU9" s="6"/>
      <c r="GV9" s="6"/>
      <c r="GW9" s="9"/>
      <c r="GX9"/>
      <c r="GY9"/>
      <c r="GZ9"/>
      <c r="HA9"/>
      <c r="HB9"/>
      <c r="HC9"/>
      <c r="HD9" s="4"/>
      <c r="HE9" s="4"/>
      <c r="HF9" s="6"/>
      <c r="HG9" s="4"/>
      <c r="HH9" s="5">
        <v>0</v>
      </c>
      <c r="HI9" s="5"/>
      <c r="HJ9" s="6"/>
      <c r="HK9" s="4"/>
      <c r="HL9" s="4"/>
      <c r="HM9" s="5">
        <v>0</v>
      </c>
      <c r="HN9" s="5">
        <v>0</v>
      </c>
      <c r="HO9" s="5"/>
      <c r="HP9" s="4"/>
      <c r="HQ9" s="5">
        <v>0</v>
      </c>
      <c r="HR9" s="4"/>
      <c r="HS9" s="4"/>
      <c r="HT9" s="4"/>
      <c r="HU9" s="4"/>
      <c r="HV9" s="6"/>
      <c r="HW9" s="6"/>
      <c r="HX9" s="6"/>
      <c r="HY9" s="9"/>
      <c r="HZ9"/>
      <c r="IA9"/>
      <c r="IB9"/>
      <c r="IC9"/>
      <c r="ID9"/>
      <c r="IE9"/>
      <c r="IF9" s="4"/>
      <c r="IG9" s="4"/>
      <c r="IH9" s="6"/>
      <c r="II9" s="4"/>
      <c r="IJ9" s="5">
        <v>0</v>
      </c>
      <c r="IK9" s="5"/>
      <c r="IL9" s="6"/>
      <c r="IM9" s="4"/>
      <c r="IN9" s="4"/>
      <c r="IO9" s="5">
        <v>0</v>
      </c>
      <c r="IP9" s="5">
        <v>0</v>
      </c>
      <c r="IQ9" s="5"/>
      <c r="IR9" s="4"/>
      <c r="IS9" s="5">
        <v>0</v>
      </c>
      <c r="IT9" s="4"/>
      <c r="IU9" s="4"/>
      <c r="IV9" s="4"/>
      <c r="IW9" s="4"/>
      <c r="IX9" s="6"/>
      <c r="IY9" s="6"/>
      <c r="IZ9" s="6"/>
      <c r="JA9" s="9"/>
      <c r="JB9"/>
      <c r="JC9"/>
      <c r="JD9"/>
      <c r="JE9"/>
      <c r="JF9"/>
      <c r="JG9"/>
      <c r="JH9" s="4"/>
      <c r="JI9" s="4"/>
      <c r="JJ9" s="6"/>
      <c r="JK9" s="4"/>
      <c r="JL9" s="5">
        <v>0</v>
      </c>
      <c r="JM9" s="5"/>
      <c r="JN9" s="6"/>
      <c r="JO9" s="4"/>
      <c r="JP9" s="4"/>
      <c r="JQ9" s="5">
        <v>0</v>
      </c>
      <c r="JR9" s="5">
        <v>0</v>
      </c>
      <c r="JS9" s="5"/>
      <c r="JT9" s="4"/>
      <c r="JU9" s="5">
        <v>0</v>
      </c>
      <c r="JV9" s="4"/>
      <c r="JW9" s="4"/>
      <c r="JX9" s="4"/>
      <c r="JY9" s="4"/>
      <c r="JZ9" s="6"/>
      <c r="KA9" s="6"/>
      <c r="KB9" s="6"/>
      <c r="KC9" s="9"/>
      <c r="KD9"/>
      <c r="KE9"/>
      <c r="KF9"/>
      <c r="KG9"/>
      <c r="KH9"/>
      <c r="KI9"/>
      <c r="KJ9" s="4"/>
      <c r="KK9" s="4"/>
      <c r="KL9" s="6"/>
      <c r="KM9" s="4"/>
      <c r="KN9" s="5">
        <v>0</v>
      </c>
      <c r="KO9" s="5"/>
      <c r="KP9" s="6"/>
      <c r="KQ9" s="4"/>
      <c r="KR9" s="4"/>
      <c r="KS9" s="5">
        <v>0</v>
      </c>
      <c r="KT9" s="5">
        <v>0</v>
      </c>
      <c r="KU9" s="5"/>
      <c r="KV9" s="4"/>
      <c r="KW9" s="5">
        <v>0</v>
      </c>
      <c r="KX9" s="4"/>
      <c r="KY9" s="4"/>
      <c r="KZ9" s="4"/>
      <c r="LA9" s="4"/>
      <c r="LB9" s="6"/>
      <c r="LC9" s="6"/>
      <c r="LD9" s="6"/>
      <c r="LE9" s="9"/>
      <c r="LF9"/>
      <c r="LG9"/>
      <c r="LH9"/>
      <c r="LI9"/>
      <c r="LJ9"/>
      <c r="LK9"/>
      <c r="LL9" s="4"/>
      <c r="LM9" s="4"/>
      <c r="LN9" s="6"/>
      <c r="LO9" s="4"/>
      <c r="LP9" s="5">
        <v>0</v>
      </c>
      <c r="LQ9" s="5"/>
      <c r="LR9" s="6"/>
      <c r="LS9" s="4"/>
      <c r="LT9" s="4"/>
      <c r="LU9" s="5">
        <v>0</v>
      </c>
      <c r="LV9" s="5">
        <v>0</v>
      </c>
      <c r="LW9" s="5"/>
      <c r="LX9" s="4"/>
      <c r="LY9" s="5">
        <v>0</v>
      </c>
      <c r="LZ9" s="4"/>
      <c r="MA9" s="4"/>
      <c r="MB9" s="4"/>
      <c r="MC9" s="4"/>
      <c r="MD9" s="6"/>
      <c r="ME9" s="6"/>
      <c r="MF9" s="6"/>
      <c r="MG9" s="9"/>
      <c r="MH9"/>
    </row>
    <row r="10">
      <c r="A10" s="8">
        <v>25216</v>
      </c>
      <c r="B10" s="8">
        <v>25217</v>
      </c>
      <c r="C10" s="9">
        <f>B10-A10</f>
        <v>1</v>
      </c>
      <c r="D10" s="8">
        <v>25216</v>
      </c>
      <c r="E10" t="inlineStr">
        <is>
          <t xml:space="preserve">positive</t>
        </is>
      </c>
      <c r="F10" s="4">
        <v>1.0581544435367989</v>
      </c>
      <c r="G10" s="6">
        <v>0.008689248463624715</v>
      </c>
      <c r="H10" s="7">
        <f>SUM(CP10,DR10,ET10,FV10,GX10,HZ10,JB10,KD10,LF10,MH10)</f>
        <v>0.008689248463624713</v>
      </c>
      <c r="I10" s="7">
        <f>G10-H10</f>
        <v>1.734723475976807e-18</v>
      </c>
      <c r="J10" s="5">
        <f>F10*(1+H10)</f>
        <v>1.0673490104095786</v>
      </c>
      <c r="K10" s="4">
        <v>1.0673490104095786</v>
      </c>
      <c r="L10" s="5">
        <f>K10-J10</f>
        <v>0</v>
      </c>
      <c r="M10" s="4">
        <v>2.016</v>
      </c>
      <c r="N10" s="4">
        <v>2.027</v>
      </c>
      <c r="O10" s="5">
        <f>M10/$M$3</f>
        <v>1.0296220633299284</v>
      </c>
      <c r="P10" s="5">
        <f>N10/$M$3</f>
        <v>1.0352400408580185</v>
      </c>
      <c r="Q10" s="7">
        <f>IFERROR(N10/M10-1,0)</f>
        <v>0.005456349206349298</v>
      </c>
      <c r="R10" s="5">
        <f>SUM(IF(BQ10="lease",CB10,0),IF(CS10="lease",DD10,0),IF(DU10="lease",EF10,0),IF(EW10="lease",FH10,0),IF(FY10="lease",GJ10,0),IF(HA10="lease",HL10,0),IF(IC10="lease",IN10,0),IF(JE10="lease",JP10,0),IF(KG10="lease",KR10,0),IF(LI10="lease",LT10,0))</f>
        <v>1.0581544435367989</v>
      </c>
      <c r="S10" s="5">
        <f>SUM(IF(BQ10="lease",CI10,0),IF(CS10="lease",DK10,0),IF(DU10="lease",EM10,0),IF(EW10="lease",FO10,0),IF(FY10="lease",GQ10,0),IF(HA10="lease",HS10,0),IF(IC10="lease",IU10,0),IF(JE10="lease",JW10,0),IF(KG10="lease",KY10,0),IF(LI10="lease",MA10,0))</f>
        <v>1.0673490104095786</v>
      </c>
      <c r="T10" s="5">
        <f>SUM(IF(BQ10="keep",CB10,0),IF(CS10="keep",DD10,0),IF(DU10="keep",EF10,0),IF(EW10="keep",FH10,0),IF(FY10="keep",GJ10,0),IF(HA10="keep",HL10,0),IF(IC10="keep",IN10,0),IF(JE10="keep",JP10,0),IF(KG10="keep",KR10,0),IF(LI10="keep",LT10,0))</f>
        <v>0</v>
      </c>
      <c r="U10" s="5">
        <f>SUM(IF(BQ10="keep",CI10,0),IF(CS10="keep",DK10,0),IF(DU10="keep",EM10,0),IF(EW10="keep",FO10,0),IF(FY10="keep",GQ10,0),IF(HA10="keep",HS10,0),IF(IC10="keep",IU10,0),IF(JE10="keep",JW10,0),IF(KG10="keep",KY10,0),IF(LI10="keep",MA10,0))</f>
        <v>0</v>
      </c>
      <c r="V10" s="5">
        <f>R10/O10</f>
        <v>1.027711508157268</v>
      </c>
      <c r="W10" s="5">
        <f>S10/P10</f>
        <v>1.0310159656546398</v>
      </c>
      <c r="X10" s="5">
        <f>T10/O10</f>
        <v>0</v>
      </c>
      <c r="Y10" s="5">
        <f>U10/P10</f>
        <v>0</v>
      </c>
      <c r="Z10" s="5">
        <f>V10+X10</f>
        <v>1.027711508157268</v>
      </c>
      <c r="AA10" s="7">
        <f>IFERROR(W10/V10-1,0)</f>
        <v>0.0032153551567177807</v>
      </c>
      <c r="AB10" s="7">
        <f>IFERROR((W10-V10)/Z10,0)</f>
        <v>0.0032153551567178375</v>
      </c>
      <c r="AC10" s="7">
        <f>IFERROR(Y10/X10-1,0)</f>
        <v>0</v>
      </c>
      <c r="AD10" s="7">
        <f>IFERROR((Y10-X10)/Z10,0)</f>
        <v>0</v>
      </c>
      <c r="AE10" s="7">
        <f>AB10+AD10</f>
        <v>0.0032153551567178375</v>
      </c>
      <c r="AF10" s="7">
        <f>(1+Q10)*(1+AE10)-1</f>
        <v>0.00868924846362451</v>
      </c>
      <c r="AG10" s="7">
        <f>G10-AF10</f>
        <v>2.0469737016526324e-16</v>
      </c>
      <c r="AH10" s="5">
        <f>SUM(IF(BQ10="lease",CE10,0),IF(CS10="lease",DG10,0),IF(DU10="lease",EI10,0),IF(EW10="lease",FK10,0),IF(FY10="lease",GM10,0),IF(HA10="lease",HO10,0),IF(IC10="lease",IQ10,0),IF(JE10="lease",JS10,0),IF(KG10="lease",KU10,0),IF(LI10="lease",LW10,0))</f>
        <v>0.009194566872779792</v>
      </c>
      <c r="AI10" s="5">
        <f>SUM(IF(BQ10="keep",CE10,0),IF(CS10="keep",DG10,0),IF(DU10="keep",EI10,0),IF(EW10="keep",FK10,0),IF(FY10="keep",GM10,0),IF(HA10="keep",HO10,0),IF(IC10="keep",IQ10,0),IF(JE10="keep",JS10,0),IF(KG10="keep",KU10,0),IF(LI10="keep",LW10,0))</f>
        <v>0</v>
      </c>
      <c r="AJ10" s="5">
        <f>SUM(IF(BQ10="lease",CH10,0),IF(CS10="lease",DJ10,0),IF(DU10="lease",EL10,0),IF(EW10="lease",FN10,0),IF(FY10="lease",GP10,0),IF(HA10="lease",HR10,0),IF(IC10="lease",IT10,0),IF(JE10="lease",JV10,0),IF(KG10="lease",KX10,0),IF(LI10="lease",LZ10,0))</f>
        <v>0</v>
      </c>
      <c r="AK10" s="5">
        <f>SUM(IF(BQ10="keep",CH10,0),IF(CS10="keep",DJ10,0),IF(DU10="keep",EL10,0),IF(EW10="keep",FN10,0),IF(FY10="keep",GP10,0),IF(HA10="keep",HR10,0),IF(IC10="keep",IT10,0),IF(JE10="keep",JV10,0),IF(KG10="keep",KX10,0),IF(LI10="keep",LZ10,0))</f>
        <v>0</v>
      </c>
      <c r="AL10" s="5">
        <f>R10-S9</f>
        <v>0</v>
      </c>
      <c r="AM10" s="5">
        <f>T10-U9</f>
        <v>0</v>
      </c>
      <c r="AN10" s="5">
        <f>AN9</f>
        <v>1</v>
      </c>
      <c r="AO10" s="5">
        <f>AO9+AH10</f>
        <v>0.06734901040957858</v>
      </c>
      <c r="AP10" s="5">
        <f>AP9+AL10</f>
        <v>-2.220446049250313e-16</v>
      </c>
      <c r="AQ10" s="5">
        <f>AN10+AO10+AP10</f>
        <v>1.0673490104095784</v>
      </c>
      <c r="AR10" s="5">
        <f>S10-AQ10</f>
        <v>2.220446049250313e-16</v>
      </c>
      <c r="AS10" s="5">
        <f>AS9</f>
        <v>0</v>
      </c>
      <c r="AT10" s="5">
        <f>AT9+AI10</f>
        <v>0</v>
      </c>
      <c r="AU10" s="5">
        <f>AU9+AM10</f>
        <v>0</v>
      </c>
      <c r="AV10" s="5">
        <f>AS10+AT10+AU10</f>
        <v>0</v>
      </c>
      <c r="AW10" s="5">
        <f>U10-AV10</f>
        <v>0</v>
      </c>
      <c r="AX10" s="4">
        <v>1.0581544435367989</v>
      </c>
      <c r="AY10" s="4">
        <v>1.0673490104095786</v>
      </c>
      <c r="AZ10" s="5">
        <f>S10-AY10</f>
        <v>0</v>
      </c>
      <c r="BA10" s="4">
        <v>0</v>
      </c>
      <c r="BB10" s="4">
        <v>0</v>
      </c>
      <c r="BC10" s="5">
        <f>U10-BB10</f>
        <v>0</v>
      </c>
      <c r="BD10" s="7">
        <f>SUM(IF(BP10="direct",CC10/F10,0),IF(CR10="direct",DE10/F10,0),IF(DT10="direct",EG10/F10,0),IF(EV10="direct",FI10/F10,0),IF(FX10="direct",GK10/F10,0),IF(GZ10="direct",HM10/F10,0),IF(IB10="direct",IO10/F10,0),IF(JD10="direct",JQ10/F10,0),IF(KF10="direct",KS10/F10,0),IF(LH10="direct",LU10/F10,0))</f>
        <v>0</v>
      </c>
      <c r="BE10" s="7">
        <f>-SUM(IF(BP10="direct",CD10/F10,0),IF(CR10="direct",DF10/F10,0),IF(DT10="direct",EH10/F10,0),IF(EV10="direct",FJ10/F10,0),IF(FX10="direct",GL10/F10,0),IF(GZ10="direct",HN10/F10,0),IF(IB10="direct",IP10/F10,0),IF(JD10="direct",JR10/F10,0),IF(KF10="direct",KT10/F10,0),IF(LH10="direct",LV10/F10,0))</f>
        <v>0</v>
      </c>
      <c r="BF10" s="7">
        <f>BD10+BE10</f>
        <v>0</v>
      </c>
      <c r="BG10" s="7">
        <f>BF10-SUM(IF(BP10="direct",CP10,0),IF(CR10="direct",DR10,0),IF(DT10="direct",ET10,0),IF(EV10="direct",FV10,0),IF(FX10="direct",GX10,0),IF(GZ10="direct",HZ10,0),IF(IB10="direct",JB10,0),IF(JD10="direct",KD10,0),IF(KF10="direct",LF10,0),IF(LH10="direct",MH10,0))</f>
        <v>0</v>
      </c>
      <c r="BH10" s="7">
        <f>SUM(IF(BP10="treasury",CP10,0),IF(CR10="treasury",DR10,0),IF(DT10="treasury",ET10,0),IF(EV10="treasury",FV10,0),IF(FX10="treasury",GX10,0),IF(GZ10="treasury",HZ10,0),IF(IB10="treasury",JB10,0),IF(JD10="treasury",KD10,0),IF(KF10="treasury",LF10,0),IF(LH10="treasury",MH10,0))</f>
        <v>0.00016794520547945205</v>
      </c>
      <c r="BI10" s="7">
        <f>SUM(IF(BP10="future",CP10,0),IF(CR10="future",DR10,0),IF(DT10="future",ET10,0),IF(EV10="future",FV10,0),IF(FX10="future",GX10,0),IF(GZ10="future",HZ10,0),IF(IB10="future",JB10,0),IF(JD10="future",KD10,0),IF(KF10="future",LF10,0),IF(LH10="future",MH10,0))</f>
        <v>0.008521303258145261</v>
      </c>
      <c r="BJ10" s="7">
        <f>SUM(IF(BP10="cash",CP10,0),IF(CR10="cash",DR10,0),IF(DT10="cash",ET10,0),IF(EV10="cash",FV10,0),IF(FX10="cash",GX10,0),IF(GZ10="cash",HZ10,0),IF(IB10="cash",JB10,0),IF(JD10="cash",KD10,0),IF(KF10="cash",LF10,0),IF(LH10="cash",MH10,0))</f>
        <v>0</v>
      </c>
      <c r="BK10" s="7">
        <f>SUM(BF10,BH10,BI10,BJ10)</f>
        <v>0.008689248463624713</v>
      </c>
      <c r="BL10" s="7">
        <f>G10-BK10</f>
        <v>1.734723475976807e-18</v>
      </c>
      <c r="BM10" s="5">
        <f>MAX(ABS(CG10),ABS(DI10),ABS(EK10),ABS(FM10),ABS(GO10),ABS(HQ10),ABS(IS10),ABS(JU10),ABS(KW10),ABS(LY10))</f>
        <v>1.4826464708739273e-17</v>
      </c>
      <c r="BN10" s="9">
        <f>COUNTA(BO10,CQ10,DS10,EU10,FW10,GY10,IA10,JC10,KE10,LG10)</f>
        <v>4</v>
      </c>
      <c r="BO10" t="inlineStr">
        <is>
          <t xml:space="preserve">Treasury collateral</t>
        </is>
      </c>
      <c r="BP10" t="inlineStr">
        <is>
          <t xml:space="preserve">treasury</t>
        </is>
      </c>
      <c r="BQ10" t="inlineStr">
        <is>
          <t xml:space="preserve">lease</t>
        </is>
      </c>
      <c r="BR10" t="inlineStr">
        <is>
          <t xml:space="preserve">long</t>
        </is>
      </c>
      <c r="BS10"/>
      <c r="BT10" s="4">
        <v>100.18542690983136</v>
      </c>
      <c r="BU10" s="4">
        <v>100.20225257193978</v>
      </c>
      <c r="BV10" s="6"/>
      <c r="BW10" s="4">
        <v>0.010561959719841852</v>
      </c>
      <c r="BX10" s="5">
        <f>IF(BP10="direct",IFERROR(CD10/BU10,0),0)</f>
        <v>0</v>
      </c>
      <c r="BY10" s="5">
        <f>IF(BP10="direct",BW10-BX10,IF(BP10="cash",CI10,BW10))</f>
        <v>0.010561959719841852</v>
      </c>
      <c r="BZ10" s="6">
        <v>1</v>
      </c>
      <c r="CA10" s="4">
        <v>1.0581544435367989</v>
      </c>
      <c r="CB10" s="4">
        <v>1.0581544435367989</v>
      </c>
      <c r="CC10" s="5">
        <f>IF(BP10="direct",BW10*(BU10-BT10),CF10)</f>
        <v>0.0001777119654487681</v>
      </c>
      <c r="CD10" s="5">
        <f>IF(BP10="direct",CB10*BV10*C10/365,0)</f>
        <v>0</v>
      </c>
      <c r="CE10" s="5">
        <f>CC10-CD10</f>
        <v>0.00017771196544878292</v>
      </c>
      <c r="CF10" s="4">
        <v>0.00017771196544878292</v>
      </c>
      <c r="CG10" s="5">
        <f>CF10-CE10</f>
        <v>1.4826464708739273e-17</v>
      </c>
      <c r="CH10" s="4">
        <v>-9.264507563888635e-17</v>
      </c>
      <c r="CI10" s="4">
        <v>1.0583321555022476</v>
      </c>
      <c r="CJ10" s="4">
        <v>2.016</v>
      </c>
      <c r="CK10" s="4">
        <v>2.027</v>
      </c>
      <c r="CL10" s="6"/>
      <c r="CM10" s="6"/>
      <c r="CN10" s="6"/>
      <c r="CO10" s="9">
        <v>16</v>
      </c>
      <c r="CP10" s="7">
        <f>IFERROR(CE10/F10,0)</f>
        <v>0.00016794520547945205</v>
      </c>
      <c r="CQ10" t="inlineStr">
        <is>
          <t xml:space="preserve">SI69F</t>
        </is>
      </c>
      <c r="CR10" t="inlineStr">
        <is>
          <t xml:space="preserve">future</t>
        </is>
      </c>
      <c r="CS10" t="inlineStr">
        <is>
          <t xml:space="preserve">lease</t>
        </is>
      </c>
      <c r="CT10" t="inlineStr">
        <is>
          <t xml:space="preserve">long</t>
        </is>
      </c>
      <c r="CU10" t="inlineStr">
        <is>
          <t xml:space="preserve">regular</t>
        </is>
      </c>
      <c r="CV10" s="4">
        <v>1.995</v>
      </c>
      <c r="CW10" s="4">
        <v>2.012</v>
      </c>
      <c r="CX10" s="6"/>
      <c r="CY10" s="4">
        <v>0.5304032298430068</v>
      </c>
      <c r="CZ10" s="5">
        <f>IF(CR10="direct",IFERROR(DF10/CW10,0),0)</f>
        <v>0</v>
      </c>
      <c r="DA10" s="5">
        <f>IF(CR10="direct",CY10-CZ10,IF(CR10="cash",DK10,CY10))</f>
        <v>0.5304032298430068</v>
      </c>
      <c r="DB10" s="6">
        <v>0.9999999999999999</v>
      </c>
      <c r="DC10" s="4">
        <v>1.0581544435367987</v>
      </c>
      <c r="DD10" s="4">
        <v>0</v>
      </c>
      <c r="DE10" s="5">
        <f>IF(CR10="direct",CY10*(CW10-CV10),DH10)</f>
        <v>0.00901685490733101</v>
      </c>
      <c r="DF10" s="5">
        <f>IF(CR10="direct",DD10*CX10*C10/365,0)</f>
        <v>0</v>
      </c>
      <c r="DG10" s="5">
        <f>DE10-DF10</f>
        <v>0.00901685490733101</v>
      </c>
      <c r="DH10" s="4">
        <v>0.00901685490733101</v>
      </c>
      <c r="DI10" s="5">
        <f>DH10-DG10</f>
        <v>0</v>
      </c>
      <c r="DJ10" s="4">
        <v>-0.00901685490733101</v>
      </c>
      <c r="DK10" s="4">
        <v>0</v>
      </c>
      <c r="DL10" s="4">
        <v>2.016</v>
      </c>
      <c r="DM10" s="4">
        <v>2.027</v>
      </c>
      <c r="DN10" s="6">
        <v>-0.01041666666666663</v>
      </c>
      <c r="DO10" s="6">
        <v>0.0613</v>
      </c>
      <c r="DP10" s="6">
        <v>0.2989302083333325</v>
      </c>
      <c r="DQ10" s="9">
        <v>16</v>
      </c>
      <c r="DR10" s="7">
        <f>IFERROR(DG10/F10,0)</f>
        <v>0.008521303258145261</v>
      </c>
      <c r="DS10" t="inlineStr">
        <is>
          <t xml:space="preserve">Lease cash / margin / financing</t>
        </is>
      </c>
      <c r="DT10" t="inlineStr">
        <is>
          <t xml:space="preserve">cash</t>
        </is>
      </c>
      <c r="DU10" t="inlineStr">
        <is>
          <t xml:space="preserve">lease</t>
        </is>
      </c>
      <c r="DV10" t="inlineStr">
        <is>
          <t xml:space="preserve">cash</t>
        </is>
      </c>
      <c r="DW10"/>
      <c r="DX10" s="4">
        <v>1</v>
      </c>
      <c r="DY10" s="4">
        <v>1</v>
      </c>
      <c r="DZ10" s="6"/>
      <c r="EA10" s="4">
        <v>0</v>
      </c>
      <c r="EB10" s="5">
        <f>IF(DT10="direct",IFERROR(EH10/DY10,0),0)</f>
        <v>0</v>
      </c>
      <c r="EC10" s="5">
        <f>IF(DT10="direct",EA10-EB10,IF(DT10="cash",EM10,EA10))</f>
        <v>0.009016854907331102</v>
      </c>
      <c r="ED10" s="6"/>
      <c r="EE10" s="4">
        <v>0</v>
      </c>
      <c r="EF10" s="4">
        <v>0</v>
      </c>
      <c r="EG10" s="5">
        <f>IF(DT10="direct",EA10*(DY10-DX10),EJ10)</f>
        <v>0</v>
      </c>
      <c r="EH10" s="5">
        <f>IF(DT10="direct",EF10*DZ10*C10/365,0)</f>
        <v>0</v>
      </c>
      <c r="EI10" s="5">
        <f>EG10-EH10</f>
        <v>0</v>
      </c>
      <c r="EJ10" s="4">
        <v>0</v>
      </c>
      <c r="EK10" s="5">
        <f>EJ10-EI10</f>
        <v>0</v>
      </c>
      <c r="EL10" s="4">
        <v>0.009016854907331102</v>
      </c>
      <c r="EM10" s="4">
        <v>0.009016854907331102</v>
      </c>
      <c r="EN10" s="4">
        <v>2.016</v>
      </c>
      <c r="EO10" s="4">
        <v>2.027</v>
      </c>
      <c r="EP10" s="6"/>
      <c r="EQ10" s="6"/>
      <c r="ER10" s="6"/>
      <c r="ES10" s="9"/>
      <c r="ET10" s="7">
        <f>IFERROR(EI10/F10,0)</f>
        <v>0</v>
      </c>
      <c r="EU10" t="inlineStr">
        <is>
          <t xml:space="preserve">Keep cash / margin / financing</t>
        </is>
      </c>
      <c r="EV10" t="inlineStr">
        <is>
          <t xml:space="preserve">cash</t>
        </is>
      </c>
      <c r="EW10" t="inlineStr">
        <is>
          <t xml:space="preserve">keep</t>
        </is>
      </c>
      <c r="EX10" t="inlineStr">
        <is>
          <t xml:space="preserve">cash</t>
        </is>
      </c>
      <c r="EY10"/>
      <c r="EZ10" s="4">
        <v>1</v>
      </c>
      <c r="FA10" s="4">
        <v>1</v>
      </c>
      <c r="FB10" s="6"/>
      <c r="FC10" s="4">
        <v>0</v>
      </c>
      <c r="FD10" s="5">
        <f>IF(EV10="direct",IFERROR(FJ10/FA10,0),0)</f>
        <v>0</v>
      </c>
      <c r="FE10" s="5">
        <f>IF(EV10="direct",FC10-FD10,IF(EV10="cash",FO10,FC10))</f>
        <v>0</v>
      </c>
      <c r="FF10" s="6"/>
      <c r="FG10" s="4">
        <v>0</v>
      </c>
      <c r="FH10" s="4">
        <v>0</v>
      </c>
      <c r="FI10" s="5">
        <f>IF(EV10="direct",FC10*(FA10-EZ10),FL10)</f>
        <v>0</v>
      </c>
      <c r="FJ10" s="5">
        <f>IF(EV10="direct",FH10*FB10*C10/365,0)</f>
        <v>0</v>
      </c>
      <c r="FK10" s="5">
        <f>FI10-FJ10</f>
        <v>0</v>
      </c>
      <c r="FL10" s="4">
        <v>0</v>
      </c>
      <c r="FM10" s="5">
        <f>FL10-FK10</f>
        <v>0</v>
      </c>
      <c r="FN10" s="4">
        <v>0</v>
      </c>
      <c r="FO10" s="4">
        <v>0</v>
      </c>
      <c r="FP10" s="4">
        <v>2.016</v>
      </c>
      <c r="FQ10" s="4">
        <v>2.027</v>
      </c>
      <c r="FR10" s="6"/>
      <c r="FS10" s="6"/>
      <c r="FT10" s="6"/>
      <c r="FU10" s="9"/>
      <c r="FV10" s="7">
        <f>IFERROR(FK10/F10,0)</f>
        <v>0</v>
      </c>
      <c r="FW10"/>
      <c r="FX10"/>
      <c r="FY10"/>
      <c r="FZ10"/>
      <c r="GA10"/>
      <c r="GB10" s="4"/>
      <c r="GC10" s="4"/>
      <c r="GD10" s="6"/>
      <c r="GE10" s="4"/>
      <c r="GF10" s="5">
        <v>0</v>
      </c>
      <c r="GG10" s="5"/>
      <c r="GH10" s="6"/>
      <c r="GI10" s="4"/>
      <c r="GJ10" s="4"/>
      <c r="GK10" s="5">
        <v>0</v>
      </c>
      <c r="GL10" s="5">
        <v>0</v>
      </c>
      <c r="GM10" s="5"/>
      <c r="GN10" s="4"/>
      <c r="GO10" s="5">
        <v>0</v>
      </c>
      <c r="GP10" s="4"/>
      <c r="GQ10" s="4"/>
      <c r="GR10" s="4"/>
      <c r="GS10" s="4"/>
      <c r="GT10" s="6"/>
      <c r="GU10" s="6"/>
      <c r="GV10" s="6"/>
      <c r="GW10" s="9"/>
      <c r="GX10"/>
      <c r="GY10"/>
      <c r="GZ10"/>
      <c r="HA10"/>
      <c r="HB10"/>
      <c r="HC10"/>
      <c r="HD10" s="4"/>
      <c r="HE10" s="4"/>
      <c r="HF10" s="6"/>
      <c r="HG10" s="4"/>
      <c r="HH10" s="5">
        <v>0</v>
      </c>
      <c r="HI10" s="5"/>
      <c r="HJ10" s="6"/>
      <c r="HK10" s="4"/>
      <c r="HL10" s="4"/>
      <c r="HM10" s="5">
        <v>0</v>
      </c>
      <c r="HN10" s="5">
        <v>0</v>
      </c>
      <c r="HO10" s="5"/>
      <c r="HP10" s="4"/>
      <c r="HQ10" s="5">
        <v>0</v>
      </c>
      <c r="HR10" s="4"/>
      <c r="HS10" s="4"/>
      <c r="HT10" s="4"/>
      <c r="HU10" s="4"/>
      <c r="HV10" s="6"/>
      <c r="HW10" s="6"/>
      <c r="HX10" s="6"/>
      <c r="HY10" s="9"/>
      <c r="HZ10"/>
      <c r="IA10"/>
      <c r="IB10"/>
      <c r="IC10"/>
      <c r="ID10"/>
      <c r="IE10"/>
      <c r="IF10" s="4"/>
      <c r="IG10" s="4"/>
      <c r="IH10" s="6"/>
      <c r="II10" s="4"/>
      <c r="IJ10" s="5">
        <v>0</v>
      </c>
      <c r="IK10" s="5"/>
      <c r="IL10" s="6"/>
      <c r="IM10" s="4"/>
      <c r="IN10" s="4"/>
      <c r="IO10" s="5">
        <v>0</v>
      </c>
      <c r="IP10" s="5">
        <v>0</v>
      </c>
      <c r="IQ10" s="5"/>
      <c r="IR10" s="4"/>
      <c r="IS10" s="5">
        <v>0</v>
      </c>
      <c r="IT10" s="4"/>
      <c r="IU10" s="4"/>
      <c r="IV10" s="4"/>
      <c r="IW10" s="4"/>
      <c r="IX10" s="6"/>
      <c r="IY10" s="6"/>
      <c r="IZ10" s="6"/>
      <c r="JA10" s="9"/>
      <c r="JB10"/>
      <c r="JC10"/>
      <c r="JD10"/>
      <c r="JE10"/>
      <c r="JF10"/>
      <c r="JG10"/>
      <c r="JH10" s="4"/>
      <c r="JI10" s="4"/>
      <c r="JJ10" s="6"/>
      <c r="JK10" s="4"/>
      <c r="JL10" s="5">
        <v>0</v>
      </c>
      <c r="JM10" s="5"/>
      <c r="JN10" s="6"/>
      <c r="JO10" s="4"/>
      <c r="JP10" s="4"/>
      <c r="JQ10" s="5">
        <v>0</v>
      </c>
      <c r="JR10" s="5">
        <v>0</v>
      </c>
      <c r="JS10" s="5"/>
      <c r="JT10" s="4"/>
      <c r="JU10" s="5">
        <v>0</v>
      </c>
      <c r="JV10" s="4"/>
      <c r="JW10" s="4"/>
      <c r="JX10" s="4"/>
      <c r="JY10" s="4"/>
      <c r="JZ10" s="6"/>
      <c r="KA10" s="6"/>
      <c r="KB10" s="6"/>
      <c r="KC10" s="9"/>
      <c r="KD10"/>
      <c r="KE10"/>
      <c r="KF10"/>
      <c r="KG10"/>
      <c r="KH10"/>
      <c r="KI10"/>
      <c r="KJ10" s="4"/>
      <c r="KK10" s="4"/>
      <c r="KL10" s="6"/>
      <c r="KM10" s="4"/>
      <c r="KN10" s="5">
        <v>0</v>
      </c>
      <c r="KO10" s="5"/>
      <c r="KP10" s="6"/>
      <c r="KQ10" s="4"/>
      <c r="KR10" s="4"/>
      <c r="KS10" s="5">
        <v>0</v>
      </c>
      <c r="KT10" s="5">
        <v>0</v>
      </c>
      <c r="KU10" s="5"/>
      <c r="KV10" s="4"/>
      <c r="KW10" s="5">
        <v>0</v>
      </c>
      <c r="KX10" s="4"/>
      <c r="KY10" s="4"/>
      <c r="KZ10" s="4"/>
      <c r="LA10" s="4"/>
      <c r="LB10" s="6"/>
      <c r="LC10" s="6"/>
      <c r="LD10" s="6"/>
      <c r="LE10" s="9"/>
      <c r="LF10"/>
      <c r="LG10"/>
      <c r="LH10"/>
      <c r="LI10"/>
      <c r="LJ10"/>
      <c r="LK10"/>
      <c r="LL10" s="4"/>
      <c r="LM10" s="4"/>
      <c r="LN10" s="6"/>
      <c r="LO10" s="4"/>
      <c r="LP10" s="5">
        <v>0</v>
      </c>
      <c r="LQ10" s="5"/>
      <c r="LR10" s="6"/>
      <c r="LS10" s="4"/>
      <c r="LT10" s="4"/>
      <c r="LU10" s="5">
        <v>0</v>
      </c>
      <c r="LV10" s="5">
        <v>0</v>
      </c>
      <c r="LW10" s="5"/>
      <c r="LX10" s="4"/>
      <c r="LY10" s="5">
        <v>0</v>
      </c>
      <c r="LZ10" s="4"/>
      <c r="MA10" s="4"/>
      <c r="MB10" s="4"/>
      <c r="MC10" s="4"/>
      <c r="MD10" s="6"/>
      <c r="ME10" s="6"/>
      <c r="MF10" s="6"/>
      <c r="MG10" s="9"/>
      <c r="MH10"/>
    </row>
    <row r="11">
      <c r="A11" s="8">
        <v>25217</v>
      </c>
      <c r="B11" s="8">
        <v>25218</v>
      </c>
      <c r="C11" s="9">
        <f>B11-A11</f>
        <v>1</v>
      </c>
      <c r="D11" s="8">
        <v>25217</v>
      </c>
      <c r="E11" t="inlineStr">
        <is>
          <t xml:space="preserve">positive</t>
        </is>
      </c>
      <c r="F11" s="4">
        <v>1.0673490104095786</v>
      </c>
      <c r="G11" s="6">
        <v>-0.002812792287371754</v>
      </c>
      <c r="H11" s="7">
        <f>SUM(CP11,DR11,ET11,FV11,GX11,HZ11,JB11,KD11,LF11,MH11)</f>
        <v>-0.0028127922873717537</v>
      </c>
      <c r="I11" s="7">
        <f>G11-H11</f>
        <v>-4.336808689942018e-19</v>
      </c>
      <c r="J11" s="5">
        <f>F11*(1+H11)</f>
        <v>1.0643467793451646</v>
      </c>
      <c r="K11" s="4">
        <v>1.0643467793451646</v>
      </c>
      <c r="L11" s="5">
        <f>K11-J11</f>
        <v>0</v>
      </c>
      <c r="M11" s="4">
        <v>2.027</v>
      </c>
      <c r="N11" s="4">
        <v>2.038</v>
      </c>
      <c r="O11" s="5">
        <f>M11/$M$3</f>
        <v>1.0352400408580185</v>
      </c>
      <c r="P11" s="5">
        <f>N11/$M$3</f>
        <v>1.0408580183861083</v>
      </c>
      <c r="Q11" s="7">
        <f>IFERROR(N11/M11-1,0)</f>
        <v>0.0054267390231868</v>
      </c>
      <c r="R11" s="5">
        <f>SUM(IF(BQ11="lease",CB11,0),IF(CS11="lease",DD11,0),IF(DU11="lease",EF11,0),IF(EW11="lease",FH11,0),IF(FY11="lease",GJ11,0),IF(HA11="lease",HL11,0),IF(IC11="lease",IN11,0),IF(JE11="lease",JP11,0),IF(KG11="lease",KR11,0),IF(LI11="lease",LT11,0))</f>
        <v>1.0673490104095786</v>
      </c>
      <c r="S11" s="5">
        <f>SUM(IF(BQ11="lease",CI11,0),IF(CS11="lease",DK11,0),IF(DU11="lease",EM11,0),IF(EW11="lease",FO11,0),IF(FY11="lease",GQ11,0),IF(HA11="lease",HS11,0),IF(IC11="lease",IU11,0),IF(JE11="lease",JW11,0),IF(KG11="lease",KY11,0),IF(LI11="lease",MA11,0))</f>
        <v>1.0643467793451646</v>
      </c>
      <c r="T11" s="5">
        <f>SUM(IF(BQ11="keep",CB11,0),IF(CS11="keep",DD11,0),IF(DU11="keep",EF11,0),IF(EW11="keep",FH11,0),IF(FY11="keep",GJ11,0),IF(HA11="keep",HL11,0),IF(IC11="keep",IN11,0),IF(JE11="keep",JP11,0),IF(KG11="keep",KR11,0),IF(LI11="keep",LT11,0))</f>
        <v>0</v>
      </c>
      <c r="U11" s="5">
        <f>SUM(IF(BQ11="keep",CI11,0),IF(CS11="keep",DK11,0),IF(DU11="keep",EM11,0),IF(EW11="keep",FO11,0),IF(FY11="keep",GQ11,0),IF(HA11="keep",HS11,0),IF(IC11="keep",IU11,0),IF(JE11="keep",JW11,0),IF(KG11="keep",KY11,0),IF(LI11="keep",MA11,0))</f>
        <v>0</v>
      </c>
      <c r="V11" s="5">
        <f>R11/O11</f>
        <v>1.0310159656546398</v>
      </c>
      <c r="W11" s="5">
        <f>S11/P11</f>
        <v>1.0225667291255311</v>
      </c>
      <c r="X11" s="5">
        <f>T11/O11</f>
        <v>0</v>
      </c>
      <c r="Y11" s="5">
        <f>U11/P11</f>
        <v>0</v>
      </c>
      <c r="Z11" s="5">
        <f>V11+X11</f>
        <v>1.0310159656546398</v>
      </c>
      <c r="AA11" s="7">
        <f>IFERROR(W11/V11-1,0)</f>
        <v>-0.008195058864819638</v>
      </c>
      <c r="AB11" s="7">
        <f>IFERROR((W11-V11)/Z11,0)</f>
        <v>-0.008195058864819674</v>
      </c>
      <c r="AC11" s="7">
        <f>IFERROR(Y11/X11-1,0)</f>
        <v>0</v>
      </c>
      <c r="AD11" s="7">
        <f>IFERROR((Y11-X11)/Z11,0)</f>
        <v>0</v>
      </c>
      <c r="AE11" s="7">
        <f>AB11+AD11</f>
        <v>-0.008195058864819674</v>
      </c>
      <c r="AF11" s="7">
        <f>(1+Q11)*(1+AE11)-1</f>
        <v>-0.002812792287371857</v>
      </c>
      <c r="AG11" s="7">
        <f>G11-AF11</f>
        <v>1.0278236595162582e-16</v>
      </c>
      <c r="AH11" s="5">
        <f>SUM(IF(BQ11="lease",CE11,0),IF(CS11="lease",DG11,0),IF(DU11="lease",EI11,0),IF(EW11="lease",FK11,0),IF(FY11="lease",GM11,0),IF(HA11="lease",HO11,0),IF(IC11="lease",IQ11,0),IF(JE11="lease",JS11,0),IF(KG11="lease",KU11,0),IF(LI11="lease",LW11,0))</f>
        <v>-0.0030022310644139366</v>
      </c>
      <c r="AI11" s="5">
        <f>SUM(IF(BQ11="keep",CE11,0),IF(CS11="keep",DG11,0),IF(DU11="keep",EI11,0),IF(EW11="keep",FK11,0),IF(FY11="keep",GM11,0),IF(HA11="keep",HO11,0),IF(IC11="keep",IQ11,0),IF(JE11="keep",JS11,0),IF(KG11="keep",KU11,0),IF(LI11="keep",LW11,0))</f>
        <v>0</v>
      </c>
      <c r="AJ11" s="5">
        <f>SUM(IF(BQ11="lease",CH11,0),IF(CS11="lease",DJ11,0),IF(DU11="lease",EL11,0),IF(EW11="lease",FN11,0),IF(FY11="lease",GP11,0),IF(HA11="lease",HR11,0),IF(IC11="lease",IT11,0),IF(JE11="lease",JV11,0),IF(KG11="lease",KX11,0),IF(LI11="lease",LZ11,0))</f>
        <v>0</v>
      </c>
      <c r="AK11" s="5">
        <f>SUM(IF(BQ11="keep",CH11,0),IF(CS11="keep",DJ11,0),IF(DU11="keep",EL11,0),IF(EW11="keep",FN11,0),IF(FY11="keep",GP11,0),IF(HA11="keep",HR11,0),IF(IC11="keep",IT11,0),IF(JE11="keep",JV11,0),IF(KG11="keep",KX11,0),IF(LI11="keep",LZ11,0))</f>
        <v>0</v>
      </c>
      <c r="AL11" s="5">
        <f>R11-S10</f>
        <v>0</v>
      </c>
      <c r="AM11" s="5">
        <f>T11-U10</f>
        <v>0</v>
      </c>
      <c r="AN11" s="5">
        <f>AN10</f>
        <v>1</v>
      </c>
      <c r="AO11" s="5">
        <f>AO10+AH11</f>
        <v>0.06434677934516464</v>
      </c>
      <c r="AP11" s="5">
        <f>AP10+AL11</f>
        <v>-2.220446049250313e-16</v>
      </c>
      <c r="AQ11" s="5">
        <f>AN11+AO11+AP11</f>
        <v>1.0643467793451644</v>
      </c>
      <c r="AR11" s="5">
        <f>S11-AQ11</f>
        <v>2.220446049250313e-16</v>
      </c>
      <c r="AS11" s="5">
        <f>AS10</f>
        <v>0</v>
      </c>
      <c r="AT11" s="5">
        <f>AT10+AI11</f>
        <v>0</v>
      </c>
      <c r="AU11" s="5">
        <f>AU10+AM11</f>
        <v>0</v>
      </c>
      <c r="AV11" s="5">
        <f>AS11+AT11+AU11</f>
        <v>0</v>
      </c>
      <c r="AW11" s="5">
        <f>U11-AV11</f>
        <v>0</v>
      </c>
      <c r="AX11" s="4">
        <v>1.0673490104095786</v>
      </c>
      <c r="AY11" s="4">
        <v>1.0643467793451646</v>
      </c>
      <c r="AZ11" s="5">
        <f>S11-AY11</f>
        <v>0</v>
      </c>
      <c r="BA11" s="4">
        <v>0</v>
      </c>
      <c r="BB11" s="4">
        <v>0</v>
      </c>
      <c r="BC11" s="5">
        <f>U11-BB11</f>
        <v>0</v>
      </c>
      <c r="BD11" s="7">
        <f>SUM(IF(BP11="direct",CC11/F11,0),IF(CR11="direct",DE11/F11,0),IF(DT11="direct",EG11/F11,0),IF(EV11="direct",FI11/F11,0),IF(FX11="direct",GK11/F11,0),IF(GZ11="direct",HM11/F11,0),IF(IB11="direct",IO11/F11,0),IF(JD11="direct",JQ11/F11,0),IF(KF11="direct",KS11/F11,0),IF(LH11="direct",LU11/F11,0))</f>
        <v>0</v>
      </c>
      <c r="BE11" s="7">
        <f>-SUM(IF(BP11="direct",CD11/F11,0),IF(CR11="direct",DF11/F11,0),IF(DT11="direct",EH11/F11,0),IF(EV11="direct",FJ11/F11,0),IF(FX11="direct",GL11/F11,0),IF(GZ11="direct",HN11/F11,0),IF(IB11="direct",IP11/F11,0),IF(JD11="direct",JR11/F11,0),IF(KF11="direct",KT11/F11,0),IF(LH11="direct",LV11/F11,0))</f>
        <v>0</v>
      </c>
      <c r="BF11" s="7">
        <f>BD11+BE11</f>
        <v>0</v>
      </c>
      <c r="BG11" s="7">
        <f>BF11-SUM(IF(BP11="direct",CP11,0),IF(CR11="direct",DR11,0),IF(DT11="direct",ET11,0),IF(EV11="direct",FV11,0),IF(FX11="direct",GX11,0),IF(GZ11="direct",HZ11,0),IF(IB11="direct",JB11,0),IF(JD11="direct",KD11,0),IF(KF11="direct",LF11,0),IF(LH11="direct",MH11,0))</f>
        <v>0</v>
      </c>
      <c r="BH11" s="7">
        <f>SUM(IF(BP11="treasury",CP11,0),IF(CR11="treasury",DR11,0),IF(DT11="treasury",ET11,0),IF(EV11="treasury",FV11,0),IF(FX11="treasury",GX11,0),IF(GZ11="treasury",HZ11,0),IF(IB11="treasury",JB11,0),IF(JD11="treasury",KD11,0),IF(KF11="treasury",LF11,0),IF(LH11="treasury",MH11,0))</f>
        <v>0.00016931506849315067</v>
      </c>
      <c r="BI11" s="7">
        <f>SUM(IF(BP11="future",CP11,0),IF(CR11="future",DR11,0),IF(DT11="future",ET11,0),IF(EV11="future",FV11,0),IF(FX11="future",GX11,0),IF(GZ11="future",HZ11,0),IF(IB11="future",JB11,0),IF(JD11="future",KD11,0),IF(KF11="future",LF11,0),IF(LH11="future",MH11,0))</f>
        <v>-0.0029821073558649043</v>
      </c>
      <c r="BJ11" s="7">
        <f>SUM(IF(BP11="cash",CP11,0),IF(CR11="cash",DR11,0),IF(DT11="cash",ET11,0),IF(EV11="cash",FV11,0),IF(FX11="cash",GX11,0),IF(GZ11="cash",HZ11,0),IF(IB11="cash",JB11,0),IF(JD11="cash",KD11,0),IF(KF11="cash",LF11,0),IF(LH11="cash",MH11,0))</f>
        <v>0</v>
      </c>
      <c r="BK11" s="7">
        <f>SUM(BF11,BH11,BI11,BJ11)</f>
        <v>-0.0028127922873717537</v>
      </c>
      <c r="BL11" s="7">
        <f>G11-BK11</f>
        <v>-4.336808689942018e-19</v>
      </c>
      <c r="BM11" s="5">
        <f>MAX(ABS(CG11),ABS(DI11),ABS(EK11),ABS(FM11),ABS(GO11),ABS(HQ11),ABS(IS11),ABS(JU11),ABS(KW11),ABS(LY11))</f>
        <v>1.323810852604801e-16</v>
      </c>
      <c r="BN11" s="9">
        <f>COUNTA(BO11,CQ11,DS11,EU11,FW11,GY11,IA11,JC11,KE11,LG11)</f>
        <v>4</v>
      </c>
      <c r="BO11" t="inlineStr">
        <is>
          <t xml:space="preserve">Treasury collateral</t>
        </is>
      </c>
      <c r="BP11" t="inlineStr">
        <is>
          <t xml:space="preserve">treasury</t>
        </is>
      </c>
      <c r="BQ11" t="inlineStr">
        <is>
          <t xml:space="preserve">lease</t>
        </is>
      </c>
      <c r="BR11" t="inlineStr">
        <is>
          <t xml:space="preserve">long</t>
        </is>
      </c>
      <c r="BS11"/>
      <c r="BT11" s="4">
        <v>100.20225257193978</v>
      </c>
      <c r="BU11" s="4">
        <v>100.21921832319715</v>
      </c>
      <c r="BV11" s="6"/>
      <c r="BW11" s="4">
        <v>0.010651946268805484</v>
      </c>
      <c r="BX11" s="5">
        <f>IF(BP11="direct",IFERROR(CD11/BU11,0),0)</f>
        <v>0</v>
      </c>
      <c r="BY11" s="5">
        <f>IF(BP11="direct",BW11-BX11,IF(BP11="cash",CI11,BW11))</f>
        <v>0.010651946268805484</v>
      </c>
      <c r="BZ11" s="6">
        <v>1</v>
      </c>
      <c r="CA11" s="4">
        <v>1.0673490104095786</v>
      </c>
      <c r="CB11" s="4">
        <v>1.0673490104095786</v>
      </c>
      <c r="CC11" s="5">
        <f>IF(BP11="direct",BW11*(BU11-BT11),CF11)</f>
        <v>0.00018071827080346203</v>
      </c>
      <c r="CD11" s="5">
        <f>IF(BP11="direct",CB11*BV11*C11/365,0)</f>
        <v>0</v>
      </c>
      <c r="CE11" s="5">
        <f>CC11-CD11</f>
        <v>0.0001807182708035944</v>
      </c>
      <c r="CF11" s="4">
        <v>0.0001807182708035944</v>
      </c>
      <c r="CG11" s="5">
        <f>CF11-CE11</f>
        <v>1.323810852604801e-16</v>
      </c>
      <c r="CH11" s="4">
        <v>-2.4015078120553923e-17</v>
      </c>
      <c r="CI11" s="4">
        <v>1.0675297286803822</v>
      </c>
      <c r="CJ11" s="4">
        <v>2.027</v>
      </c>
      <c r="CK11" s="4">
        <v>2.038</v>
      </c>
      <c r="CL11" s="6"/>
      <c r="CM11" s="6"/>
      <c r="CN11" s="6"/>
      <c r="CO11" s="9">
        <v>15</v>
      </c>
      <c r="CP11" s="7">
        <f>IFERROR(CE11/F11,0)</f>
        <v>0.00016931506849315067</v>
      </c>
      <c r="CQ11" t="inlineStr">
        <is>
          <t xml:space="preserve">SI69F</t>
        </is>
      </c>
      <c r="CR11" t="inlineStr">
        <is>
          <t xml:space="preserve">future</t>
        </is>
      </c>
      <c r="CS11" t="inlineStr">
        <is>
          <t xml:space="preserve">lease</t>
        </is>
      </c>
      <c r="CT11" t="inlineStr">
        <is>
          <t xml:space="preserve">long</t>
        </is>
      </c>
      <c r="CU11" t="inlineStr">
        <is>
          <t xml:space="preserve">regular</t>
        </is>
      </c>
      <c r="CV11" s="4">
        <v>2.012</v>
      </c>
      <c r="CW11" s="4">
        <v>2.006</v>
      </c>
      <c r="CX11" s="6"/>
      <c r="CY11" s="4">
        <v>0.5304915558695718</v>
      </c>
      <c r="CZ11" s="5">
        <f>IF(CR11="direct",IFERROR(DF11/CW11,0),0)</f>
        <v>0</v>
      </c>
      <c r="DA11" s="5">
        <f>IF(CR11="direct",CY11-CZ11,IF(CR11="cash",DK11,CY11))</f>
        <v>0.5304915558695718</v>
      </c>
      <c r="DB11" s="6">
        <v>0.9999999999999999</v>
      </c>
      <c r="DC11" s="4">
        <v>1.0673490104095784</v>
      </c>
      <c r="DD11" s="4">
        <v>0</v>
      </c>
      <c r="DE11" s="5">
        <f>IF(CR11="direct",CY11*(CW11-CV11),DH11)</f>
        <v>-0.003182949335217531</v>
      </c>
      <c r="DF11" s="5">
        <f>IF(CR11="direct",DD11*CX11*C11/365,0)</f>
        <v>0</v>
      </c>
      <c r="DG11" s="5">
        <f>DE11-DF11</f>
        <v>-0.003182949335217531</v>
      </c>
      <c r="DH11" s="4">
        <v>-0.003182949335217531</v>
      </c>
      <c r="DI11" s="5">
        <f>DH11-DG11</f>
        <v>0</v>
      </c>
      <c r="DJ11" s="4">
        <v>0.003182949335217531</v>
      </c>
      <c r="DK11" s="4">
        <v>0</v>
      </c>
      <c r="DL11" s="4">
        <v>2.027</v>
      </c>
      <c r="DM11" s="4">
        <v>2.038</v>
      </c>
      <c r="DN11" s="6">
        <v>-0.007400098667982302</v>
      </c>
      <c r="DO11" s="6">
        <v>0.061799999999999994</v>
      </c>
      <c r="DP11" s="6">
        <v>0.24186906758756932</v>
      </c>
      <c r="DQ11" s="9">
        <v>15</v>
      </c>
      <c r="DR11" s="7">
        <f>IFERROR(DG11/F11,0)</f>
        <v>-0.0029821073558649043</v>
      </c>
      <c r="DS11" t="inlineStr">
        <is>
          <t xml:space="preserve">Lease cash / margin / financing</t>
        </is>
      </c>
      <c r="DT11" t="inlineStr">
        <is>
          <t xml:space="preserve">cash</t>
        </is>
      </c>
      <c r="DU11" t="inlineStr">
        <is>
          <t xml:space="preserve">lease</t>
        </is>
      </c>
      <c r="DV11" t="inlineStr">
        <is>
          <t xml:space="preserve">cash</t>
        </is>
      </c>
      <c r="DW11"/>
      <c r="DX11" s="4">
        <v>1</v>
      </c>
      <c r="DY11" s="4">
        <v>1</v>
      </c>
      <c r="DZ11" s="6"/>
      <c r="EA11" s="4">
        <v>0</v>
      </c>
      <c r="EB11" s="5">
        <f>IF(DT11="direct",IFERROR(EH11/DY11,0),0)</f>
        <v>0</v>
      </c>
      <c r="EC11" s="5">
        <f>IF(DT11="direct",EA11-EB11,IF(DT11="cash",EM11,EA11))</f>
        <v>-0.003182949335217507</v>
      </c>
      <c r="ED11" s="6"/>
      <c r="EE11" s="4">
        <v>0</v>
      </c>
      <c r="EF11" s="4">
        <v>0</v>
      </c>
      <c r="EG11" s="5">
        <f>IF(DT11="direct",EA11*(DY11-DX11),EJ11)</f>
        <v>0</v>
      </c>
      <c r="EH11" s="5">
        <f>IF(DT11="direct",EF11*DZ11*C11/365,0)</f>
        <v>0</v>
      </c>
      <c r="EI11" s="5">
        <f>EG11-EH11</f>
        <v>0</v>
      </c>
      <c r="EJ11" s="4">
        <v>0</v>
      </c>
      <c r="EK11" s="5">
        <f>EJ11-EI11</f>
        <v>0</v>
      </c>
      <c r="EL11" s="4">
        <v>-0.003182949335217507</v>
      </c>
      <c r="EM11" s="4">
        <v>-0.003182949335217507</v>
      </c>
      <c r="EN11" s="4">
        <v>2.027</v>
      </c>
      <c r="EO11" s="4">
        <v>2.038</v>
      </c>
      <c r="EP11" s="6"/>
      <c r="EQ11" s="6"/>
      <c r="ER11" s="6"/>
      <c r="ES11" s="9"/>
      <c r="ET11" s="7">
        <f>IFERROR(EI11/F11,0)</f>
        <v>0</v>
      </c>
      <c r="EU11" t="inlineStr">
        <is>
          <t xml:space="preserve">Keep cash / margin / financing</t>
        </is>
      </c>
      <c r="EV11" t="inlineStr">
        <is>
          <t xml:space="preserve">cash</t>
        </is>
      </c>
      <c r="EW11" t="inlineStr">
        <is>
          <t xml:space="preserve">keep</t>
        </is>
      </c>
      <c r="EX11" t="inlineStr">
        <is>
          <t xml:space="preserve">cash</t>
        </is>
      </c>
      <c r="EY11"/>
      <c r="EZ11" s="4">
        <v>1</v>
      </c>
      <c r="FA11" s="4">
        <v>1</v>
      </c>
      <c r="FB11" s="6"/>
      <c r="FC11" s="4">
        <v>0</v>
      </c>
      <c r="FD11" s="5">
        <f>IF(EV11="direct",IFERROR(FJ11/FA11,0),0)</f>
        <v>0</v>
      </c>
      <c r="FE11" s="5">
        <f>IF(EV11="direct",FC11-FD11,IF(EV11="cash",FO11,FC11))</f>
        <v>0</v>
      </c>
      <c r="FF11" s="6"/>
      <c r="FG11" s="4">
        <v>0</v>
      </c>
      <c r="FH11" s="4">
        <v>0</v>
      </c>
      <c r="FI11" s="5">
        <f>IF(EV11="direct",FC11*(FA11-EZ11),FL11)</f>
        <v>0</v>
      </c>
      <c r="FJ11" s="5">
        <f>IF(EV11="direct",FH11*FB11*C11/365,0)</f>
        <v>0</v>
      </c>
      <c r="FK11" s="5">
        <f>FI11-FJ11</f>
        <v>0</v>
      </c>
      <c r="FL11" s="4">
        <v>0</v>
      </c>
      <c r="FM11" s="5">
        <f>FL11-FK11</f>
        <v>0</v>
      </c>
      <c r="FN11" s="4">
        <v>0</v>
      </c>
      <c r="FO11" s="4">
        <v>0</v>
      </c>
      <c r="FP11" s="4">
        <v>2.027</v>
      </c>
      <c r="FQ11" s="4">
        <v>2.038</v>
      </c>
      <c r="FR11" s="6"/>
      <c r="FS11" s="6"/>
      <c r="FT11" s="6"/>
      <c r="FU11" s="9"/>
      <c r="FV11" s="7">
        <f>IFERROR(FK11/F11,0)</f>
        <v>0</v>
      </c>
      <c r="FW11"/>
      <c r="FX11"/>
      <c r="FY11"/>
      <c r="FZ11"/>
      <c r="GA11"/>
      <c r="GB11" s="4"/>
      <c r="GC11" s="4"/>
      <c r="GD11" s="6"/>
      <c r="GE11" s="4"/>
      <c r="GF11" s="5">
        <v>0</v>
      </c>
      <c r="GG11" s="5"/>
      <c r="GH11" s="6"/>
      <c r="GI11" s="4"/>
      <c r="GJ11" s="4"/>
      <c r="GK11" s="5">
        <v>0</v>
      </c>
      <c r="GL11" s="5">
        <v>0</v>
      </c>
      <c r="GM11" s="5"/>
      <c r="GN11" s="4"/>
      <c r="GO11" s="5">
        <v>0</v>
      </c>
      <c r="GP11" s="4"/>
      <c r="GQ11" s="4"/>
      <c r="GR11" s="4"/>
      <c r="GS11" s="4"/>
      <c r="GT11" s="6"/>
      <c r="GU11" s="6"/>
      <c r="GV11" s="6"/>
      <c r="GW11" s="9"/>
      <c r="GX11"/>
      <c r="GY11"/>
      <c r="GZ11"/>
      <c r="HA11"/>
      <c r="HB11"/>
      <c r="HC11"/>
      <c r="HD11" s="4"/>
      <c r="HE11" s="4"/>
      <c r="HF11" s="6"/>
      <c r="HG11" s="4"/>
      <c r="HH11" s="5">
        <v>0</v>
      </c>
      <c r="HI11" s="5"/>
      <c r="HJ11" s="6"/>
      <c r="HK11" s="4"/>
      <c r="HL11" s="4"/>
      <c r="HM11" s="5">
        <v>0</v>
      </c>
      <c r="HN11" s="5">
        <v>0</v>
      </c>
      <c r="HO11" s="5"/>
      <c r="HP11" s="4"/>
      <c r="HQ11" s="5">
        <v>0</v>
      </c>
      <c r="HR11" s="4"/>
      <c r="HS11" s="4"/>
      <c r="HT11" s="4"/>
      <c r="HU11" s="4"/>
      <c r="HV11" s="6"/>
      <c r="HW11" s="6"/>
      <c r="HX11" s="6"/>
      <c r="HY11" s="9"/>
      <c r="HZ11"/>
      <c r="IA11"/>
      <c r="IB11"/>
      <c r="IC11"/>
      <c r="ID11"/>
      <c r="IE11"/>
      <c r="IF11" s="4"/>
      <c r="IG11" s="4"/>
      <c r="IH11" s="6"/>
      <c r="II11" s="4"/>
      <c r="IJ11" s="5">
        <v>0</v>
      </c>
      <c r="IK11" s="5"/>
      <c r="IL11" s="6"/>
      <c r="IM11" s="4"/>
      <c r="IN11" s="4"/>
      <c r="IO11" s="5">
        <v>0</v>
      </c>
      <c r="IP11" s="5">
        <v>0</v>
      </c>
      <c r="IQ11" s="5"/>
      <c r="IR11" s="4"/>
      <c r="IS11" s="5">
        <v>0</v>
      </c>
      <c r="IT11" s="4"/>
      <c r="IU11" s="4"/>
      <c r="IV11" s="4"/>
      <c r="IW11" s="4"/>
      <c r="IX11" s="6"/>
      <c r="IY11" s="6"/>
      <c r="IZ11" s="6"/>
      <c r="JA11" s="9"/>
      <c r="JB11"/>
      <c r="JC11"/>
      <c r="JD11"/>
      <c r="JE11"/>
      <c r="JF11"/>
      <c r="JG11"/>
      <c r="JH11" s="4"/>
      <c r="JI11" s="4"/>
      <c r="JJ11" s="6"/>
      <c r="JK11" s="4"/>
      <c r="JL11" s="5">
        <v>0</v>
      </c>
      <c r="JM11" s="5"/>
      <c r="JN11" s="6"/>
      <c r="JO11" s="4"/>
      <c r="JP11" s="4"/>
      <c r="JQ11" s="5">
        <v>0</v>
      </c>
      <c r="JR11" s="5">
        <v>0</v>
      </c>
      <c r="JS11" s="5"/>
      <c r="JT11" s="4"/>
      <c r="JU11" s="5">
        <v>0</v>
      </c>
      <c r="JV11" s="4"/>
      <c r="JW11" s="4"/>
      <c r="JX11" s="4"/>
      <c r="JY11" s="4"/>
      <c r="JZ11" s="6"/>
      <c r="KA11" s="6"/>
      <c r="KB11" s="6"/>
      <c r="KC11" s="9"/>
      <c r="KD11"/>
      <c r="KE11"/>
      <c r="KF11"/>
      <c r="KG11"/>
      <c r="KH11"/>
      <c r="KI11"/>
      <c r="KJ11" s="4"/>
      <c r="KK11" s="4"/>
      <c r="KL11" s="6"/>
      <c r="KM11" s="4"/>
      <c r="KN11" s="5">
        <v>0</v>
      </c>
      <c r="KO11" s="5"/>
      <c r="KP11" s="6"/>
      <c r="KQ11" s="4"/>
      <c r="KR11" s="4"/>
      <c r="KS11" s="5">
        <v>0</v>
      </c>
      <c r="KT11" s="5">
        <v>0</v>
      </c>
      <c r="KU11" s="5"/>
      <c r="KV11" s="4"/>
      <c r="KW11" s="5">
        <v>0</v>
      </c>
      <c r="KX11" s="4"/>
      <c r="KY11" s="4"/>
      <c r="KZ11" s="4"/>
      <c r="LA11" s="4"/>
      <c r="LB11" s="6"/>
      <c r="LC11" s="6"/>
      <c r="LD11" s="6"/>
      <c r="LE11" s="9"/>
      <c r="LF11"/>
      <c r="LG11"/>
      <c r="LH11"/>
      <c r="LI11"/>
      <c r="LJ11"/>
      <c r="LK11"/>
      <c r="LL11" s="4"/>
      <c r="LM11" s="4"/>
      <c r="LN11" s="6"/>
      <c r="LO11" s="4"/>
      <c r="LP11" s="5">
        <v>0</v>
      </c>
      <c r="LQ11" s="5"/>
      <c r="LR11" s="6"/>
      <c r="LS11" s="4"/>
      <c r="LT11" s="4"/>
      <c r="LU11" s="5">
        <v>0</v>
      </c>
      <c r="LV11" s="5">
        <v>0</v>
      </c>
      <c r="LW11" s="5"/>
      <c r="LX11" s="4"/>
      <c r="LY11" s="5">
        <v>0</v>
      </c>
      <c r="LZ11" s="4"/>
      <c r="MA11" s="4"/>
      <c r="MB11" s="4"/>
      <c r="MC11" s="4"/>
      <c r="MD11" s="6"/>
      <c r="ME11" s="6"/>
      <c r="MF11" s="6"/>
      <c r="MG11" s="9"/>
      <c r="MH11"/>
    </row>
    <row r="12">
      <c r="A12" s="8">
        <v>25218</v>
      </c>
      <c r="B12" s="8">
        <v>25219</v>
      </c>
      <c r="C12" s="9">
        <f>B12-A12</f>
        <v>1</v>
      </c>
      <c r="D12" s="8">
        <v>25218</v>
      </c>
      <c r="E12" t="inlineStr">
        <is>
          <t xml:space="preserve">positive</t>
        </is>
      </c>
      <c r="F12" s="4">
        <v>1.0643467793451646</v>
      </c>
      <c r="G12" s="6">
        <v>-0.01877522528305477</v>
      </c>
      <c r="H12" s="7">
        <f>SUM(CP12,DR12,ET12,FV12,GX12,HZ12,JB12,KD12,LF12,MH12)</f>
        <v>-0.01877522528305477</v>
      </c>
      <c r="I12" s="7">
        <f>G12-H12</f>
        <v>0</v>
      </c>
      <c r="J12" s="5">
        <f>F12*(1+H12)</f>
        <v>1.0443634287836654</v>
      </c>
      <c r="K12" s="4">
        <v>1.0443634287836654</v>
      </c>
      <c r="L12" s="5">
        <f>K12-J12</f>
        <v>0</v>
      </c>
      <c r="M12" s="4">
        <v>2.038</v>
      </c>
      <c r="N12" s="4">
        <v>2.017</v>
      </c>
      <c r="O12" s="5">
        <f>M12/$M$3</f>
        <v>1.0408580183861083</v>
      </c>
      <c r="P12" s="5">
        <f>N12/$M$3</f>
        <v>1.0301327885597549</v>
      </c>
      <c r="Q12" s="7">
        <f>IFERROR(N12/M12-1,0)</f>
        <v>-0.010304219823356164</v>
      </c>
      <c r="R12" s="5">
        <f>SUM(IF(BQ12="lease",CB12,0),IF(CS12="lease",DD12,0),IF(DU12="lease",EF12,0),IF(EW12="lease",FH12,0),IF(FY12="lease",GJ12,0),IF(HA12="lease",HL12,0),IF(IC12="lease",IN12,0),IF(JE12="lease",JP12,0),IF(KG12="lease",KR12,0),IF(LI12="lease",LT12,0))</f>
        <v>1.0643467793451646</v>
      </c>
      <c r="S12" s="5">
        <f>SUM(IF(BQ12="lease",CI12,0),IF(CS12="lease",DK12,0),IF(DU12="lease",EM12,0),IF(EW12="lease",FO12,0),IF(FY12="lease",GQ12,0),IF(HA12="lease",HS12,0),IF(IC12="lease",IU12,0),IF(JE12="lease",JW12,0),IF(KG12="lease",KY12,0),IF(LI12="lease",MA12,0))</f>
        <v>1.0443634287836654</v>
      </c>
      <c r="T12" s="5">
        <f>SUM(IF(BQ12="keep",CB12,0),IF(CS12="keep",DD12,0),IF(DU12="keep",EF12,0),IF(EW12="keep",FH12,0),IF(FY12="keep",GJ12,0),IF(HA12="keep",HL12,0),IF(IC12="keep",IN12,0),IF(JE12="keep",JP12,0),IF(KG12="keep",KR12,0),IF(LI12="keep",LT12,0))</f>
        <v>0</v>
      </c>
      <c r="U12" s="5">
        <f>SUM(IF(BQ12="keep",CI12,0),IF(CS12="keep",DK12,0),IF(DU12="keep",EM12,0),IF(EW12="keep",FO12,0),IF(FY12="keep",GQ12,0),IF(HA12="keep",HS12,0),IF(IC12="keep",IU12,0),IF(JE12="keep",JW12,0),IF(KG12="keep",KY12,0),IF(LI12="keep",MA12,0))</f>
        <v>0</v>
      </c>
      <c r="V12" s="5">
        <f>R12/O12</f>
        <v>1.0225667291255311</v>
      </c>
      <c r="W12" s="5">
        <f>S12/P12</f>
        <v>1.0138143745951496</v>
      </c>
      <c r="X12" s="5">
        <f>T12/O12</f>
        <v>0</v>
      </c>
      <c r="Y12" s="5">
        <f>U12/P12</f>
        <v>0</v>
      </c>
      <c r="Z12" s="5">
        <f>V12+X12</f>
        <v>1.0225667291255311</v>
      </c>
      <c r="AA12" s="7">
        <f>IFERROR(W12/V12-1,0)</f>
        <v>-0.008559201351941437</v>
      </c>
      <c r="AB12" s="7">
        <f>IFERROR((W12-V12)/Z12,0)</f>
        <v>-0.008559201351941447</v>
      </c>
      <c r="AC12" s="7">
        <f>IFERROR(Y12/X12-1,0)</f>
        <v>0</v>
      </c>
      <c r="AD12" s="7">
        <f>IFERROR((Y12-X12)/Z12,0)</f>
        <v>0</v>
      </c>
      <c r="AE12" s="7">
        <f>AB12+AD12</f>
        <v>-0.008559201351941447</v>
      </c>
      <c r="AF12" s="7">
        <f>(1+Q12)*(1+AE12)-1</f>
        <v>-0.018775225283054864</v>
      </c>
      <c r="AG12" s="7">
        <f>G12-AF12</f>
        <v>9.367506770274758e-17</v>
      </c>
      <c r="AH12" s="5">
        <f>SUM(IF(BQ12="lease",CE12,0),IF(CS12="lease",DG12,0),IF(DU12="lease",EI12,0),IF(EW12="lease",FK12,0),IF(FY12="lease",GM12,0),IF(HA12="lease",HO12,0),IF(IC12="lease",IQ12,0),IF(JE12="lease",JS12,0),IF(KG12="lease",KU12,0),IF(LI12="lease",LW12,0))</f>
        <v>-0.01998335056149925</v>
      </c>
      <c r="AI12" s="5">
        <f>SUM(IF(BQ12="keep",CE12,0),IF(CS12="keep",DG12,0),IF(DU12="keep",EI12,0),IF(EW12="keep",FK12,0),IF(FY12="keep",GM12,0),IF(HA12="keep",HO12,0),IF(IC12="keep",IQ12,0),IF(JE12="keep",JS12,0),IF(KG12="keep",KU12,0),IF(LI12="keep",LW12,0))</f>
        <v>0</v>
      </c>
      <c r="AJ12" s="5">
        <f>SUM(IF(BQ12="lease",CH12,0),IF(CS12="lease",DJ12,0),IF(DU12="lease",EL12,0),IF(EW12="lease",FN12,0),IF(FY12="lease",GP12,0),IF(HA12="lease",HR12,0),IF(IC12="lease",IT12,0),IF(JE12="lease",JV12,0),IF(KG12="lease",KX12,0),IF(LI12="lease",LZ12,0))</f>
        <v>0</v>
      </c>
      <c r="AK12" s="5">
        <f>SUM(IF(BQ12="keep",CH12,0),IF(CS12="keep",DJ12,0),IF(DU12="keep",EL12,0),IF(EW12="keep",FN12,0),IF(FY12="keep",GP12,0),IF(HA12="keep",HR12,0),IF(IC12="keep",IT12,0),IF(JE12="keep",JV12,0),IF(KG12="keep",KX12,0),IF(LI12="keep",LZ12,0))</f>
        <v>0</v>
      </c>
      <c r="AL12" s="5">
        <f>R12-S11</f>
        <v>0</v>
      </c>
      <c r="AM12" s="5">
        <f>T12-U11</f>
        <v>0</v>
      </c>
      <c r="AN12" s="5">
        <f>AN11</f>
        <v>1</v>
      </c>
      <c r="AO12" s="5">
        <f>AO11+AH12</f>
        <v>0.04436342878366539</v>
      </c>
      <c r="AP12" s="5">
        <f>AP11+AL12</f>
        <v>-2.220446049250313e-16</v>
      </c>
      <c r="AQ12" s="5">
        <f>AN12+AO12+AP12</f>
        <v>1.0443634287836652</v>
      </c>
      <c r="AR12" s="5">
        <f>S12-AQ12</f>
        <v>2.220446049250313e-16</v>
      </c>
      <c r="AS12" s="5">
        <f>AS11</f>
        <v>0</v>
      </c>
      <c r="AT12" s="5">
        <f>AT11+AI12</f>
        <v>0</v>
      </c>
      <c r="AU12" s="5">
        <f>AU11+AM12</f>
        <v>0</v>
      </c>
      <c r="AV12" s="5">
        <f>AS12+AT12+AU12</f>
        <v>0</v>
      </c>
      <c r="AW12" s="5">
        <f>U12-AV12</f>
        <v>0</v>
      </c>
      <c r="AX12" s="4">
        <v>1.0643467793451646</v>
      </c>
      <c r="AY12" s="4">
        <v>1.0443634287836654</v>
      </c>
      <c r="AZ12" s="5">
        <f>S12-AY12</f>
        <v>0</v>
      </c>
      <c r="BA12" s="4">
        <v>0</v>
      </c>
      <c r="BB12" s="4">
        <v>0</v>
      </c>
      <c r="BC12" s="5">
        <f>U12-BB12</f>
        <v>0</v>
      </c>
      <c r="BD12" s="7">
        <f>SUM(IF(BP12="direct",CC12/F12,0),IF(CR12="direct",DE12/F12,0),IF(DT12="direct",EG12/F12,0),IF(EV12="direct",FI12/F12,0),IF(FX12="direct",GK12/F12,0),IF(GZ12="direct",HM12/F12,0),IF(IB12="direct",IO12/F12,0),IF(JD12="direct",JQ12/F12,0),IF(KF12="direct",KS12/F12,0),IF(LH12="direct",LU12/F12,0))</f>
        <v>0</v>
      </c>
      <c r="BE12" s="7">
        <f>-SUM(IF(BP12="direct",CD12/F12,0),IF(CR12="direct",DF12/F12,0),IF(DT12="direct",EH12/F12,0),IF(EV12="direct",FJ12/F12,0),IF(FX12="direct",GL12/F12,0),IF(GZ12="direct",HN12/F12,0),IF(IB12="direct",IP12/F12,0),IF(JD12="direct",JR12/F12,0),IF(KF12="direct",KT12/F12,0),IF(LH12="direct",LV12/F12,0))</f>
        <v>0</v>
      </c>
      <c r="BF12" s="7">
        <f>BD12+BE12</f>
        <v>0</v>
      </c>
      <c r="BG12" s="7">
        <f>BF12-SUM(IF(BP12="direct",CP12,0),IF(CR12="direct",DR12,0),IF(DT12="direct",ET12,0),IF(EV12="direct",FV12,0),IF(FX12="direct",GX12,0),IF(GZ12="direct",HZ12,0),IF(IB12="direct",JB12,0),IF(JD12="direct",KD12,0),IF(KF12="direct",LF12,0),IF(LH12="direct",MH12,0))</f>
        <v>0</v>
      </c>
      <c r="BH12" s="7">
        <f>SUM(IF(BP12="treasury",CP12,0),IF(CR12="treasury",DR12,0),IF(DT12="treasury",ET12,0),IF(EV12="treasury",FV12,0),IF(FX12="treasury",GX12,0),IF(GZ12="treasury",HZ12,0),IF(IB12="treasury",JB12,0),IF(JD12="treasury",KD12,0),IF(KF12="treasury",LF12,0),IF(LH12="treasury",MH12,0))</f>
        <v>0.00016794520547945205</v>
      </c>
      <c r="BI12" s="7">
        <f>SUM(IF(BP12="future",CP12,0),IF(CR12="future",DR12,0),IF(DT12="future",ET12,0),IF(EV12="future",FV12,0),IF(FX12="future",GX12,0),IF(GZ12="future",HZ12,0),IF(IB12="future",JB12,0),IF(JD12="future",KD12,0),IF(KF12="future",LF12,0),IF(LH12="future",MH12,0))</f>
        <v>-0.018943170488534222</v>
      </c>
      <c r="BJ12" s="7">
        <f>SUM(IF(BP12="cash",CP12,0),IF(CR12="cash",DR12,0),IF(DT12="cash",ET12,0),IF(EV12="cash",FV12,0),IF(FX12="cash",GX12,0),IF(GZ12="cash",HZ12,0),IF(IB12="cash",JB12,0),IF(JD12="cash",KD12,0),IF(KF12="cash",LF12,0),IF(LH12="cash",MH12,0))</f>
        <v>0</v>
      </c>
      <c r="BK12" s="7">
        <f>SUM(BF12,BH12,BI12,BJ12)</f>
        <v>-0.01877522528305477</v>
      </c>
      <c r="BL12" s="7">
        <f>G12-BK12</f>
        <v>0</v>
      </c>
      <c r="BM12" s="5">
        <f>MAX(ABS(CG12),ABS(DI12),ABS(EK12),ABS(FM12),ABS(GO12),ABS(HQ12),ABS(IS12),ABS(JU12),ABS(KW12),ABS(LY12))</f>
        <v>5.67850887839283e-17</v>
      </c>
      <c r="BN12" s="9">
        <f>COUNTA(BO12,CQ12,DS12,EU12,FW12,GY12,IA12,JC12,KE12,LG12)</f>
        <v>4</v>
      </c>
      <c r="BO12" t="inlineStr">
        <is>
          <t xml:space="preserve">Treasury collateral</t>
        </is>
      </c>
      <c r="BP12" t="inlineStr">
        <is>
          <t xml:space="preserve">treasury</t>
        </is>
      </c>
      <c r="BQ12" t="inlineStr">
        <is>
          <t xml:space="preserve">lease</t>
        </is>
      </c>
      <c r="BR12" t="inlineStr">
        <is>
          <t xml:space="preserve">long</t>
        </is>
      </c>
      <c r="BS12"/>
      <c r="BT12" s="4">
        <v>100.21921832319715</v>
      </c>
      <c r="BU12" s="4">
        <v>100.23604966041144</v>
      </c>
      <c r="BV12" s="6"/>
      <c r="BW12" s="4">
        <v>0.01062018639890755</v>
      </c>
      <c r="BX12" s="5">
        <f>IF(BP12="direct",IFERROR(CD12/BU12,0),0)</f>
        <v>0</v>
      </c>
      <c r="BY12" s="5">
        <f>IF(BP12="direct",BW12-BX12,IF(BP12="cash",CI12,BW12))</f>
        <v>0.01062018639890755</v>
      </c>
      <c r="BZ12" s="6">
        <v>1</v>
      </c>
      <c r="CA12" s="4">
        <v>1.0643467793451646</v>
      </c>
      <c r="CB12" s="4">
        <v>1.0643467793451646</v>
      </c>
      <c r="CC12" s="5">
        <f>IF(BP12="direct",BW12*(BU12-BT12),CF12)</f>
        <v>0.00017875193855857347</v>
      </c>
      <c r="CD12" s="5">
        <f>IF(BP12="direct",CB12*BV12*C12/365,0)</f>
        <v>0</v>
      </c>
      <c r="CE12" s="5">
        <f>CC12-CD12</f>
        <v>0.00017875193855851668</v>
      </c>
      <c r="CF12" s="4">
        <v>0.00017875193855851668</v>
      </c>
      <c r="CG12" s="5">
        <f>CF12-CE12</f>
        <v>-5.67850887839283e-17</v>
      </c>
      <c r="CH12" s="4">
        <v>2.4530074152484538e-17</v>
      </c>
      <c r="CI12" s="4">
        <v>1.0645255312837232</v>
      </c>
      <c r="CJ12" s="4">
        <v>2.038</v>
      </c>
      <c r="CK12" s="4">
        <v>2.017</v>
      </c>
      <c r="CL12" s="6"/>
      <c r="CM12" s="6"/>
      <c r="CN12" s="6"/>
      <c r="CO12" s="9">
        <v>14</v>
      </c>
      <c r="CP12" s="7">
        <f>IFERROR(CE12/F12,0)</f>
        <v>0.00016794520547945205</v>
      </c>
      <c r="CQ12" t="inlineStr">
        <is>
          <t xml:space="preserve">SI69F</t>
        </is>
      </c>
      <c r="CR12" t="inlineStr">
        <is>
          <t xml:space="preserve">future</t>
        </is>
      </c>
      <c r="CS12" t="inlineStr">
        <is>
          <t xml:space="preserve">lease</t>
        </is>
      </c>
      <c r="CT12" t="inlineStr">
        <is>
          <t xml:space="preserve">long</t>
        </is>
      </c>
      <c r="CU12" t="inlineStr">
        <is>
          <t xml:space="preserve">regular</t>
        </is>
      </c>
      <c r="CV12" s="4">
        <v>2.006</v>
      </c>
      <c r="CW12" s="4">
        <v>1.9680000000000002</v>
      </c>
      <c r="CX12" s="6"/>
      <c r="CY12" s="4">
        <v>0.5305816447383673</v>
      </c>
      <c r="CZ12" s="5">
        <f>IF(CR12="direct",IFERROR(DF12/CW12,0),0)</f>
        <v>0</v>
      </c>
      <c r="DA12" s="5">
        <f>IF(CR12="direct",CY12-CZ12,IF(CR12="cash",DK12,CY12))</f>
        <v>0.5305816447383673</v>
      </c>
      <c r="DB12" s="6">
        <v>1</v>
      </c>
      <c r="DC12" s="4">
        <v>1.0643467793451646</v>
      </c>
      <c r="DD12" s="4">
        <v>0</v>
      </c>
      <c r="DE12" s="5">
        <f>IF(CR12="direct",CY12*(CW12-CV12),DH12)</f>
        <v>-0.020162102500057767</v>
      </c>
      <c r="DF12" s="5">
        <f>IF(CR12="direct",DD12*CX12*C12/365,0)</f>
        <v>0</v>
      </c>
      <c r="DG12" s="5">
        <f>DE12-DF12</f>
        <v>-0.020162102500057767</v>
      </c>
      <c r="DH12" s="4">
        <v>-0.020162102500057767</v>
      </c>
      <c r="DI12" s="5">
        <f>DH12-DG12</f>
        <v>0</v>
      </c>
      <c r="DJ12" s="4">
        <v>0.020162102500057767</v>
      </c>
      <c r="DK12" s="4">
        <v>0</v>
      </c>
      <c r="DL12" s="4">
        <v>2.038</v>
      </c>
      <c r="DM12" s="4">
        <v>2.017</v>
      </c>
      <c r="DN12" s="6">
        <v>-0.015701668302257166</v>
      </c>
      <c r="DO12" s="6">
        <v>0.0613</v>
      </c>
      <c r="DP12" s="6">
        <v>0.47066492359456186</v>
      </c>
      <c r="DQ12" s="9">
        <v>14</v>
      </c>
      <c r="DR12" s="7">
        <f>IFERROR(DG12/F12,0)</f>
        <v>-0.018943170488534222</v>
      </c>
      <c r="DS12" t="inlineStr">
        <is>
          <t xml:space="preserve">Lease cash / margin / financing</t>
        </is>
      </c>
      <c r="DT12" t="inlineStr">
        <is>
          <t xml:space="preserve">cash</t>
        </is>
      </c>
      <c r="DU12" t="inlineStr">
        <is>
          <t xml:space="preserve">lease</t>
        </is>
      </c>
      <c r="DV12" t="inlineStr">
        <is>
          <t xml:space="preserve">cash</t>
        </is>
      </c>
      <c r="DW12"/>
      <c r="DX12" s="4">
        <v>1</v>
      </c>
      <c r="DY12" s="4">
        <v>1</v>
      </c>
      <c r="DZ12" s="6"/>
      <c r="EA12" s="4">
        <v>0</v>
      </c>
      <c r="EB12" s="5">
        <f>IF(DT12="direct",IFERROR(EH12/DY12,0),0)</f>
        <v>0</v>
      </c>
      <c r="EC12" s="5">
        <f>IF(DT12="direct",EA12-EB12,IF(DT12="cash",EM12,EA12))</f>
        <v>-0.02016210250005779</v>
      </c>
      <c r="ED12" s="6"/>
      <c r="EE12" s="4">
        <v>0</v>
      </c>
      <c r="EF12" s="4">
        <v>0</v>
      </c>
      <c r="EG12" s="5">
        <f>IF(DT12="direct",EA12*(DY12-DX12),EJ12)</f>
        <v>0</v>
      </c>
      <c r="EH12" s="5">
        <f>IF(DT12="direct",EF12*DZ12*C12/365,0)</f>
        <v>0</v>
      </c>
      <c r="EI12" s="5">
        <f>EG12-EH12</f>
        <v>0</v>
      </c>
      <c r="EJ12" s="4">
        <v>0</v>
      </c>
      <c r="EK12" s="5">
        <f>EJ12-EI12</f>
        <v>0</v>
      </c>
      <c r="EL12" s="4">
        <v>-0.02016210250005779</v>
      </c>
      <c r="EM12" s="4">
        <v>-0.02016210250005779</v>
      </c>
      <c r="EN12" s="4">
        <v>2.038</v>
      </c>
      <c r="EO12" s="4">
        <v>2.017</v>
      </c>
      <c r="EP12" s="6"/>
      <c r="EQ12" s="6"/>
      <c r="ER12" s="6"/>
      <c r="ES12" s="9"/>
      <c r="ET12" s="7">
        <f>IFERROR(EI12/F12,0)</f>
        <v>0</v>
      </c>
      <c r="EU12" t="inlineStr">
        <is>
          <t xml:space="preserve">Keep cash / margin / financing</t>
        </is>
      </c>
      <c r="EV12" t="inlineStr">
        <is>
          <t xml:space="preserve">cash</t>
        </is>
      </c>
      <c r="EW12" t="inlineStr">
        <is>
          <t xml:space="preserve">keep</t>
        </is>
      </c>
      <c r="EX12" t="inlineStr">
        <is>
          <t xml:space="preserve">cash</t>
        </is>
      </c>
      <c r="EY12"/>
      <c r="EZ12" s="4">
        <v>1</v>
      </c>
      <c r="FA12" s="4">
        <v>1</v>
      </c>
      <c r="FB12" s="6"/>
      <c r="FC12" s="4">
        <v>0</v>
      </c>
      <c r="FD12" s="5">
        <f>IF(EV12="direct",IFERROR(FJ12/FA12,0),0)</f>
        <v>0</v>
      </c>
      <c r="FE12" s="5">
        <f>IF(EV12="direct",FC12-FD12,IF(EV12="cash",FO12,FC12))</f>
        <v>0</v>
      </c>
      <c r="FF12" s="6"/>
      <c r="FG12" s="4">
        <v>0</v>
      </c>
      <c r="FH12" s="4">
        <v>0</v>
      </c>
      <c r="FI12" s="5">
        <f>IF(EV12="direct",FC12*(FA12-EZ12),FL12)</f>
        <v>0</v>
      </c>
      <c r="FJ12" s="5">
        <f>IF(EV12="direct",FH12*FB12*C12/365,0)</f>
        <v>0</v>
      </c>
      <c r="FK12" s="5">
        <f>FI12-FJ12</f>
        <v>0</v>
      </c>
      <c r="FL12" s="4">
        <v>0</v>
      </c>
      <c r="FM12" s="5">
        <f>FL12-FK12</f>
        <v>0</v>
      </c>
      <c r="FN12" s="4">
        <v>0</v>
      </c>
      <c r="FO12" s="4">
        <v>0</v>
      </c>
      <c r="FP12" s="4">
        <v>2.038</v>
      </c>
      <c r="FQ12" s="4">
        <v>2.017</v>
      </c>
      <c r="FR12" s="6"/>
      <c r="FS12" s="6"/>
      <c r="FT12" s="6"/>
      <c r="FU12" s="9"/>
      <c r="FV12" s="7">
        <f>IFERROR(FK12/F12,0)</f>
        <v>0</v>
      </c>
      <c r="FW12"/>
      <c r="FX12"/>
      <c r="FY12"/>
      <c r="FZ12"/>
      <c r="GA12"/>
      <c r="GB12" s="4"/>
      <c r="GC12" s="4"/>
      <c r="GD12" s="6"/>
      <c r="GE12" s="4"/>
      <c r="GF12" s="5">
        <v>0</v>
      </c>
      <c r="GG12" s="5"/>
      <c r="GH12" s="6"/>
      <c r="GI12" s="4"/>
      <c r="GJ12" s="4"/>
      <c r="GK12" s="5">
        <v>0</v>
      </c>
      <c r="GL12" s="5">
        <v>0</v>
      </c>
      <c r="GM12" s="5"/>
      <c r="GN12" s="4"/>
      <c r="GO12" s="5">
        <v>0</v>
      </c>
      <c r="GP12" s="4"/>
      <c r="GQ12" s="4"/>
      <c r="GR12" s="4"/>
      <c r="GS12" s="4"/>
      <c r="GT12" s="6"/>
      <c r="GU12" s="6"/>
      <c r="GV12" s="6"/>
      <c r="GW12" s="9"/>
      <c r="GX12"/>
      <c r="GY12"/>
      <c r="GZ12"/>
      <c r="HA12"/>
      <c r="HB12"/>
      <c r="HC12"/>
      <c r="HD12" s="4"/>
      <c r="HE12" s="4"/>
      <c r="HF12" s="6"/>
      <c r="HG12" s="4"/>
      <c r="HH12" s="5">
        <v>0</v>
      </c>
      <c r="HI12" s="5"/>
      <c r="HJ12" s="6"/>
      <c r="HK12" s="4"/>
      <c r="HL12" s="4"/>
      <c r="HM12" s="5">
        <v>0</v>
      </c>
      <c r="HN12" s="5">
        <v>0</v>
      </c>
      <c r="HO12" s="5"/>
      <c r="HP12" s="4"/>
      <c r="HQ12" s="5">
        <v>0</v>
      </c>
      <c r="HR12" s="4"/>
      <c r="HS12" s="4"/>
      <c r="HT12" s="4"/>
      <c r="HU12" s="4"/>
      <c r="HV12" s="6"/>
      <c r="HW12" s="6"/>
      <c r="HX12" s="6"/>
      <c r="HY12" s="9"/>
      <c r="HZ12"/>
      <c r="IA12"/>
      <c r="IB12"/>
      <c r="IC12"/>
      <c r="ID12"/>
      <c r="IE12"/>
      <c r="IF12" s="4"/>
      <c r="IG12" s="4"/>
      <c r="IH12" s="6"/>
      <c r="II12" s="4"/>
      <c r="IJ12" s="5">
        <v>0</v>
      </c>
      <c r="IK12" s="5"/>
      <c r="IL12" s="6"/>
      <c r="IM12" s="4"/>
      <c r="IN12" s="4"/>
      <c r="IO12" s="5">
        <v>0</v>
      </c>
      <c r="IP12" s="5">
        <v>0</v>
      </c>
      <c r="IQ12" s="5"/>
      <c r="IR12" s="4"/>
      <c r="IS12" s="5">
        <v>0</v>
      </c>
      <c r="IT12" s="4"/>
      <c r="IU12" s="4"/>
      <c r="IV12" s="4"/>
      <c r="IW12" s="4"/>
      <c r="IX12" s="6"/>
      <c r="IY12" s="6"/>
      <c r="IZ12" s="6"/>
      <c r="JA12" s="9"/>
      <c r="JB12"/>
      <c r="JC12"/>
      <c r="JD12"/>
      <c r="JE12"/>
      <c r="JF12"/>
      <c r="JG12"/>
      <c r="JH12" s="4"/>
      <c r="JI12" s="4"/>
      <c r="JJ12" s="6"/>
      <c r="JK12" s="4"/>
      <c r="JL12" s="5">
        <v>0</v>
      </c>
      <c r="JM12" s="5"/>
      <c r="JN12" s="6"/>
      <c r="JO12" s="4"/>
      <c r="JP12" s="4"/>
      <c r="JQ12" s="5">
        <v>0</v>
      </c>
      <c r="JR12" s="5">
        <v>0</v>
      </c>
      <c r="JS12" s="5"/>
      <c r="JT12" s="4"/>
      <c r="JU12" s="5">
        <v>0</v>
      </c>
      <c r="JV12" s="4"/>
      <c r="JW12" s="4"/>
      <c r="JX12" s="4"/>
      <c r="JY12" s="4"/>
      <c r="JZ12" s="6"/>
      <c r="KA12" s="6"/>
      <c r="KB12" s="6"/>
      <c r="KC12" s="9"/>
      <c r="KD12"/>
      <c r="KE12"/>
      <c r="KF12"/>
      <c r="KG12"/>
      <c r="KH12"/>
      <c r="KI12"/>
      <c r="KJ12" s="4"/>
      <c r="KK12" s="4"/>
      <c r="KL12" s="6"/>
      <c r="KM12" s="4"/>
      <c r="KN12" s="5">
        <v>0</v>
      </c>
      <c r="KO12" s="5"/>
      <c r="KP12" s="6"/>
      <c r="KQ12" s="4"/>
      <c r="KR12" s="4"/>
      <c r="KS12" s="5">
        <v>0</v>
      </c>
      <c r="KT12" s="5">
        <v>0</v>
      </c>
      <c r="KU12" s="5"/>
      <c r="KV12" s="4"/>
      <c r="KW12" s="5">
        <v>0</v>
      </c>
      <c r="KX12" s="4"/>
      <c r="KY12" s="4"/>
      <c r="KZ12" s="4"/>
      <c r="LA12" s="4"/>
      <c r="LB12" s="6"/>
      <c r="LC12" s="6"/>
      <c r="LD12" s="6"/>
      <c r="LE12" s="9"/>
      <c r="LF12"/>
      <c r="LG12"/>
      <c r="LH12"/>
      <c r="LI12"/>
      <c r="LJ12"/>
      <c r="LK12"/>
      <c r="LL12" s="4"/>
      <c r="LM12" s="4"/>
      <c r="LN12" s="6"/>
      <c r="LO12" s="4"/>
      <c r="LP12" s="5">
        <v>0</v>
      </c>
      <c r="LQ12" s="5"/>
      <c r="LR12" s="6"/>
      <c r="LS12" s="4"/>
      <c r="LT12" s="4"/>
      <c r="LU12" s="5">
        <v>0</v>
      </c>
      <c r="LV12" s="5">
        <v>0</v>
      </c>
      <c r="LW12" s="5"/>
      <c r="LX12" s="4"/>
      <c r="LY12" s="5">
        <v>0</v>
      </c>
      <c r="LZ12" s="4"/>
      <c r="MA12" s="4"/>
      <c r="MB12" s="4"/>
      <c r="MC12" s="4"/>
      <c r="MD12" s="6"/>
      <c r="ME12" s="6"/>
      <c r="MF12" s="6"/>
      <c r="MG12" s="9"/>
      <c r="MH12"/>
    </row>
    <row r="13">
      <c r="A13" s="8">
        <v>25219</v>
      </c>
      <c r="B13" s="8">
        <v>25220</v>
      </c>
      <c r="C13" s="9">
        <f>B13-A13</f>
        <v>1</v>
      </c>
      <c r="D13" s="8">
        <v>25219</v>
      </c>
      <c r="E13" t="inlineStr">
        <is>
          <t xml:space="preserve">positive</t>
        </is>
      </c>
      <c r="F13" s="4">
        <v>1.0443634287836654</v>
      </c>
      <c r="G13" s="6">
        <v>0.0006738835059583293</v>
      </c>
      <c r="H13" s="7">
        <f>SUM(CP13,DR13,ET13,FV13,GX13,HZ13,JB13,KD13,LF13,MH13)</f>
        <v>0.0006738835059583292</v>
      </c>
      <c r="I13" s="7">
        <f>G13-H13</f>
        <v>1.0842021724855044e-19</v>
      </c>
      <c r="J13" s="5">
        <f>F13*(1+H13)</f>
        <v>1.0450672080725487</v>
      </c>
      <c r="K13" s="4">
        <v>1.0450672080725487</v>
      </c>
      <c r="L13" s="5">
        <f>K13-J13</f>
        <v>0</v>
      </c>
      <c r="M13" s="4">
        <v>2.017</v>
      </c>
      <c r="N13" s="4">
        <v>1.994</v>
      </c>
      <c r="O13" s="5">
        <f>M13/$M$3</f>
        <v>1.0301327885597549</v>
      </c>
      <c r="P13" s="5">
        <f>N13/$M$3</f>
        <v>1.0183861082737486</v>
      </c>
      <c r="Q13" s="7">
        <f>IFERROR(N13/M13-1,0)</f>
        <v>-0.011403073872087166</v>
      </c>
      <c r="R13" s="5">
        <f>SUM(IF(BQ13="lease",CB13,0),IF(CS13="lease",DD13,0),IF(DU13="lease",EF13,0),IF(EW13="lease",FH13,0),IF(FY13="lease",GJ13,0),IF(HA13="lease",HL13,0),IF(IC13="lease",IN13,0),IF(JE13="lease",JP13,0),IF(KG13="lease",KR13,0),IF(LI13="lease",LT13,0))</f>
        <v>1.0443634287836654</v>
      </c>
      <c r="S13" s="5">
        <f>SUM(IF(BQ13="lease",CI13,0),IF(CS13="lease",DK13,0),IF(DU13="lease",EM13,0),IF(EW13="lease",FO13,0),IF(FY13="lease",GQ13,0),IF(HA13="lease",HS13,0),IF(IC13="lease",IU13,0),IF(JE13="lease",JW13,0),IF(KG13="lease",KY13,0),IF(LI13="lease",MA13,0))</f>
        <v>1.0450672080725487</v>
      </c>
      <c r="T13" s="5">
        <f>SUM(IF(BQ13="keep",CB13,0),IF(CS13="keep",DD13,0),IF(DU13="keep",EF13,0),IF(EW13="keep",FH13,0),IF(FY13="keep",GJ13,0),IF(HA13="keep",HL13,0),IF(IC13="keep",IN13,0),IF(JE13="keep",JP13,0),IF(KG13="keep",KR13,0),IF(LI13="keep",LT13,0))</f>
        <v>0</v>
      </c>
      <c r="U13" s="5">
        <f>SUM(IF(BQ13="keep",CI13,0),IF(CS13="keep",DK13,0),IF(DU13="keep",EM13,0),IF(EW13="keep",FO13,0),IF(FY13="keep",GQ13,0),IF(HA13="keep",HS13,0),IF(IC13="keep",IU13,0),IF(JE13="keep",JW13,0),IF(KG13="keep",KY13,0),IF(LI13="keep",MA13,0))</f>
        <v>0</v>
      </c>
      <c r="V13" s="5">
        <f>R13/O13</f>
        <v>1.0138143745951496</v>
      </c>
      <c r="W13" s="5">
        <f>S13/P13</f>
        <v>1.0261993948876884</v>
      </c>
      <c r="X13" s="5">
        <f>T13/O13</f>
        <v>0</v>
      </c>
      <c r="Y13" s="5">
        <f>U13/P13</f>
        <v>0</v>
      </c>
      <c r="Z13" s="5">
        <f>V13+X13</f>
        <v>1.0138143745951496</v>
      </c>
      <c r="AA13" s="7">
        <f>IFERROR(W13/V13-1,0)</f>
        <v>0.012216260296649128</v>
      </c>
      <c r="AB13" s="7">
        <f>IFERROR((W13-V13)/Z13,0)</f>
        <v>0.012216260296649087</v>
      </c>
      <c r="AC13" s="7">
        <f>IFERROR(Y13/X13-1,0)</f>
        <v>0</v>
      </c>
      <c r="AD13" s="7">
        <f>IFERROR((Y13-X13)/Z13,0)</f>
        <v>0</v>
      </c>
      <c r="AE13" s="7">
        <f>AB13+AD13</f>
        <v>0.012216260296649087</v>
      </c>
      <c r="AF13" s="7">
        <f>(1+Q13)*(1+AE13)-1</f>
        <v>0.0006738835059585391</v>
      </c>
      <c r="AG13" s="7">
        <f>G13-AF13</f>
        <v>-2.097931203759451e-16</v>
      </c>
      <c r="AH13" s="5">
        <f>SUM(IF(BQ13="lease",CE13,0),IF(CS13="lease",DG13,0),IF(DU13="lease",EI13,0),IF(EW13="lease",FK13,0),IF(FY13="lease",GM13,0),IF(HA13="lease",HO13,0),IF(IC13="lease",IQ13,0),IF(JE13="lease",JS13,0),IF(KG13="lease",KU13,0),IF(LI13="lease",LW13,0))</f>
        <v>0.0007037792888833983</v>
      </c>
      <c r="AI13" s="5">
        <f>SUM(IF(BQ13="keep",CE13,0),IF(CS13="keep",DG13,0),IF(DU13="keep",EI13,0),IF(EW13="keep",FK13,0),IF(FY13="keep",GM13,0),IF(HA13="keep",HO13,0),IF(IC13="keep",IQ13,0),IF(JE13="keep",JS13,0),IF(KG13="keep",KU13,0),IF(LI13="keep",LW13,0))</f>
        <v>0</v>
      </c>
      <c r="AJ13" s="5">
        <f>SUM(IF(BQ13="lease",CH13,0),IF(CS13="lease",DJ13,0),IF(DU13="lease",EL13,0),IF(EW13="lease",FN13,0),IF(FY13="lease",GP13,0),IF(HA13="lease",HR13,0),IF(IC13="lease",IT13,0),IF(JE13="lease",JV13,0),IF(KG13="lease",KX13,0),IF(LI13="lease",LZ13,0))</f>
        <v>0</v>
      </c>
      <c r="AK13" s="5">
        <f>SUM(IF(BQ13="keep",CH13,0),IF(CS13="keep",DJ13,0),IF(DU13="keep",EL13,0),IF(EW13="keep",FN13,0),IF(FY13="keep",GP13,0),IF(HA13="keep",HR13,0),IF(IC13="keep",IT13,0),IF(JE13="keep",JV13,0),IF(KG13="keep",KX13,0),IF(LI13="keep",LZ13,0))</f>
        <v>0</v>
      </c>
      <c r="AL13" s="5">
        <f>R13-S12</f>
        <v>0</v>
      </c>
      <c r="AM13" s="5">
        <f>T13-U12</f>
        <v>0</v>
      </c>
      <c r="AN13" s="5">
        <f>AN12</f>
        <v>1</v>
      </c>
      <c r="AO13" s="5">
        <f>AO12+AH13</f>
        <v>0.04506720807254879</v>
      </c>
      <c r="AP13" s="5">
        <f>AP12+AL13</f>
        <v>-2.220446049250313e-16</v>
      </c>
      <c r="AQ13" s="5">
        <f>AN13+AO13+AP13</f>
        <v>1.0450672080725485</v>
      </c>
      <c r="AR13" s="5">
        <f>S13-AQ13</f>
        <v>2.220446049250313e-16</v>
      </c>
      <c r="AS13" s="5">
        <f>AS12</f>
        <v>0</v>
      </c>
      <c r="AT13" s="5">
        <f>AT12+AI13</f>
        <v>0</v>
      </c>
      <c r="AU13" s="5">
        <f>AU12+AM13</f>
        <v>0</v>
      </c>
      <c r="AV13" s="5">
        <f>AS13+AT13+AU13</f>
        <v>0</v>
      </c>
      <c r="AW13" s="5">
        <f>U13-AV13</f>
        <v>0</v>
      </c>
      <c r="AX13" s="4">
        <v>1.0443634287836654</v>
      </c>
      <c r="AY13" s="4">
        <v>1.0450672080725487</v>
      </c>
      <c r="AZ13" s="5">
        <f>S13-AY13</f>
        <v>0</v>
      </c>
      <c r="BA13" s="4">
        <v>0</v>
      </c>
      <c r="BB13" s="4">
        <v>0</v>
      </c>
      <c r="BC13" s="5">
        <f>U13-BB13</f>
        <v>0</v>
      </c>
      <c r="BD13" s="7">
        <f>SUM(IF(BP13="direct",CC13/F13,0),IF(CR13="direct",DE13/F13,0),IF(DT13="direct",EG13/F13,0),IF(EV13="direct",FI13/F13,0),IF(FX13="direct",GK13/F13,0),IF(GZ13="direct",HM13/F13,0),IF(IB13="direct",IO13/F13,0),IF(JD13="direct",JQ13/F13,0),IF(KF13="direct",KS13/F13,0),IF(LH13="direct",LU13/F13,0))</f>
        <v>0</v>
      </c>
      <c r="BE13" s="7">
        <f>-SUM(IF(BP13="direct",CD13/F13,0),IF(CR13="direct",DF13/F13,0),IF(DT13="direct",EH13/F13,0),IF(EV13="direct",FJ13/F13,0),IF(FX13="direct",GL13/F13,0),IF(GZ13="direct",HN13/F13,0),IF(IB13="direct",IP13/F13,0),IF(JD13="direct",JR13/F13,0),IF(KF13="direct",KT13/F13,0),IF(LH13="direct",LV13/F13,0))</f>
        <v>0</v>
      </c>
      <c r="BF13" s="7">
        <f>BD13+BE13</f>
        <v>0</v>
      </c>
      <c r="BG13" s="7">
        <f>BF13-SUM(IF(BP13="direct",CP13,0),IF(CR13="direct",DR13,0),IF(DT13="direct",ET13,0),IF(EV13="direct",FV13,0),IF(FX13="direct",GX13,0),IF(GZ13="direct",HZ13,0),IF(IB13="direct",JB13,0),IF(JD13="direct",KD13,0),IF(KF13="direct",LF13,0),IF(LH13="direct",MH13,0))</f>
        <v>0</v>
      </c>
      <c r="BH13" s="7">
        <f>SUM(IF(BP13="treasury",CP13,0),IF(CR13="treasury",DR13,0),IF(DT13="treasury",ET13,0),IF(EV13="treasury",FV13,0),IF(FX13="treasury",GX13,0),IF(GZ13="treasury",HZ13,0),IF(IB13="treasury",JB13,0),IF(JD13="treasury",KD13,0),IF(KF13="treasury",LF13,0),IF(LH13="treasury",MH13,0))</f>
        <v>0.00016575342465753425</v>
      </c>
      <c r="BI13" s="7">
        <f>SUM(IF(BP13="future",CP13,0),IF(CR13="future",DR13,0),IF(DT13="future",ET13,0),IF(EV13="future",FV13,0),IF(FX13="future",GX13,0),IF(GZ13="future",HZ13,0),IF(IB13="future",JB13,0),IF(JD13="future",KD13,0),IF(KF13="future",LF13,0),IF(LH13="future",MH13,0))</f>
        <v>0.000508130081300795</v>
      </c>
      <c r="BJ13" s="7">
        <f>SUM(IF(BP13="cash",CP13,0),IF(CR13="cash",DR13,0),IF(DT13="cash",ET13,0),IF(EV13="cash",FV13,0),IF(FX13="cash",GX13,0),IF(GZ13="cash",HZ13,0),IF(IB13="cash",JB13,0),IF(JD13="cash",KD13,0),IF(KF13="cash",LF13,0),IF(LH13="cash",MH13,0))</f>
        <v>0</v>
      </c>
      <c r="BK13" s="7">
        <f>SUM(BF13,BH13,BI13,BJ13)</f>
        <v>0.0006738835059583292</v>
      </c>
      <c r="BL13" s="7">
        <f>G13-BK13</f>
        <v>1.0842021724855044e-19</v>
      </c>
      <c r="BM13" s="5">
        <f>MAX(ABS(CG13),ABS(DI13),ABS(EK13),ABS(FM13),ABS(GO13),ABS(HQ13),ABS(IS13),ABS(JU13),ABS(KW13),ABS(LY13))</f>
        <v>1.121336096893133e-16</v>
      </c>
      <c r="BN13" s="9">
        <f>COUNTA(BO13,CQ13,DS13,EU13,FW13,GY13,IA13,JC13,KE13,LG13)</f>
        <v>4</v>
      </c>
      <c r="BO13" t="inlineStr">
        <is>
          <t xml:space="preserve">Treasury collateral</t>
        </is>
      </c>
      <c r="BP13" t="inlineStr">
        <is>
          <t xml:space="preserve">treasury</t>
        </is>
      </c>
      <c r="BQ13" t="inlineStr">
        <is>
          <t xml:space="preserve">lease</t>
        </is>
      </c>
      <c r="BR13" t="inlineStr">
        <is>
          <t xml:space="preserve">long</t>
        </is>
      </c>
      <c r="BS13"/>
      <c r="BT13" s="4">
        <v>100.23604966041144</v>
      </c>
      <c r="BU13" s="4">
        <v>100.2526641289168</v>
      </c>
      <c r="BV13" s="6"/>
      <c r="BW13" s="4">
        <v>0.010419040178876285</v>
      </c>
      <c r="BX13" s="5">
        <f>IF(BP13="direct",IFERROR(CD13/BU13,0),0)</f>
        <v>0</v>
      </c>
      <c r="BY13" s="5">
        <f>IF(BP13="direct",BW13-BX13,IF(BP13="cash",CI13,BW13))</f>
        <v>0.010419040178876285</v>
      </c>
      <c r="BZ13" s="6">
        <v>1</v>
      </c>
      <c r="CA13" s="4">
        <v>1.0443634287836654</v>
      </c>
      <c r="CB13" s="4">
        <v>1.0443634287836654</v>
      </c>
      <c r="CC13" s="5">
        <f>IF(BP13="direct",BW13*(BU13-BT13),CF13)</f>
        <v>0.00017310681490808954</v>
      </c>
      <c r="CD13" s="5">
        <f>IF(BP13="direct",CB13*BV13*C13/365,0)</f>
        <v>0</v>
      </c>
      <c r="CE13" s="5">
        <f>CC13-CD13</f>
        <v>0.0001731068149079774</v>
      </c>
      <c r="CF13" s="4">
        <v>0.0001731068149079774</v>
      </c>
      <c r="CG13" s="5">
        <f>CF13-CE13</f>
        <v>-1.121336096893133e-16</v>
      </c>
      <c r="CH13" s="4">
        <v>3.098107707877329e-17</v>
      </c>
      <c r="CI13" s="4">
        <v>1.0445365355985734</v>
      </c>
      <c r="CJ13" s="4">
        <v>2.017</v>
      </c>
      <c r="CK13" s="4">
        <v>1.994</v>
      </c>
      <c r="CL13" s="6"/>
      <c r="CM13" s="6"/>
      <c r="CN13" s="6"/>
      <c r="CO13" s="9">
        <v>13</v>
      </c>
      <c r="CP13" s="7">
        <f>IFERROR(CE13/F13,0)</f>
        <v>0.00016575342465753425</v>
      </c>
      <c r="CQ13" t="inlineStr">
        <is>
          <t xml:space="preserve">SI69F</t>
        </is>
      </c>
      <c r="CR13" t="inlineStr">
        <is>
          <t xml:space="preserve">future</t>
        </is>
      </c>
      <c r="CS13" t="inlineStr">
        <is>
          <t xml:space="preserve">lease</t>
        </is>
      </c>
      <c r="CT13" t="inlineStr">
        <is>
          <t xml:space="preserve">long</t>
        </is>
      </c>
      <c r="CU13" t="inlineStr">
        <is>
          <t xml:space="preserve">regular</t>
        </is>
      </c>
      <c r="CV13" s="4">
        <v>1.9680000000000002</v>
      </c>
      <c r="CW13" s="4">
        <v>1.969</v>
      </c>
      <c r="CX13" s="6"/>
      <c r="CY13" s="4">
        <v>0.5306724739754397</v>
      </c>
      <c r="CZ13" s="5">
        <f>IF(CR13="direct",IFERROR(DF13/CW13,0),0)</f>
        <v>0</v>
      </c>
      <c r="DA13" s="5">
        <f>IF(CR13="direct",CY13-CZ13,IF(CR13="cash",DK13,CY13))</f>
        <v>0.5306724739754397</v>
      </c>
      <c r="DB13" s="6">
        <v>1</v>
      </c>
      <c r="DC13" s="4">
        <v>1.0443634287836654</v>
      </c>
      <c r="DD13" s="4">
        <v>0</v>
      </c>
      <c r="DE13" s="5">
        <f>IF(CR13="direct",CY13*(CW13-CV13),DH13)</f>
        <v>0.0005306724739754209</v>
      </c>
      <c r="DF13" s="5">
        <f>IF(CR13="direct",DD13*CX13*C13/365,0)</f>
        <v>0</v>
      </c>
      <c r="DG13" s="5">
        <f>DE13-DF13</f>
        <v>0.0005306724739754209</v>
      </c>
      <c r="DH13" s="4">
        <v>0.0005306724739754209</v>
      </c>
      <c r="DI13" s="5">
        <f>DH13-DG13</f>
        <v>0</v>
      </c>
      <c r="DJ13" s="4">
        <v>-0.0005306724739754209</v>
      </c>
      <c r="DK13" s="4">
        <v>0</v>
      </c>
      <c r="DL13" s="4">
        <v>2.017</v>
      </c>
      <c r="DM13" s="4">
        <v>1.994</v>
      </c>
      <c r="DN13" s="6">
        <v>-0.02429350520575102</v>
      </c>
      <c r="DO13" s="6">
        <v>0.0605</v>
      </c>
      <c r="DP13" s="6">
        <v>0.7425868769307017</v>
      </c>
      <c r="DQ13" s="9">
        <v>13</v>
      </c>
      <c r="DR13" s="7">
        <f>IFERROR(DG13/F13,0)</f>
        <v>0.000508130081300795</v>
      </c>
      <c r="DS13" t="inlineStr">
        <is>
          <t xml:space="preserve">Lease cash / margin / financing</t>
        </is>
      </c>
      <c r="DT13" t="inlineStr">
        <is>
          <t xml:space="preserve">cash</t>
        </is>
      </c>
      <c r="DU13" t="inlineStr">
        <is>
          <t xml:space="preserve">lease</t>
        </is>
      </c>
      <c r="DV13" t="inlineStr">
        <is>
          <t xml:space="preserve">cash</t>
        </is>
      </c>
      <c r="DW13"/>
      <c r="DX13" s="4">
        <v>1</v>
      </c>
      <c r="DY13" s="4">
        <v>1</v>
      </c>
      <c r="DZ13" s="6"/>
      <c r="EA13" s="4">
        <v>0</v>
      </c>
      <c r="EB13" s="5">
        <f>IF(DT13="direct",IFERROR(EH13/DY13,0),0)</f>
        <v>0</v>
      </c>
      <c r="EC13" s="5">
        <f>IF(DT13="direct",EA13-EB13,IF(DT13="cash",EM13,EA13))</f>
        <v>0.0005306724739753899</v>
      </c>
      <c r="ED13" s="6"/>
      <c r="EE13" s="4">
        <v>0</v>
      </c>
      <c r="EF13" s="4">
        <v>0</v>
      </c>
      <c r="EG13" s="5">
        <f>IF(DT13="direct",EA13*(DY13-DX13),EJ13)</f>
        <v>0</v>
      </c>
      <c r="EH13" s="5">
        <f>IF(DT13="direct",EF13*DZ13*C13/365,0)</f>
        <v>0</v>
      </c>
      <c r="EI13" s="5">
        <f>EG13-EH13</f>
        <v>0</v>
      </c>
      <c r="EJ13" s="4">
        <v>0</v>
      </c>
      <c r="EK13" s="5">
        <f>EJ13-EI13</f>
        <v>0</v>
      </c>
      <c r="EL13" s="4">
        <v>0.0005306724739753899</v>
      </c>
      <c r="EM13" s="4">
        <v>0.0005306724739753899</v>
      </c>
      <c r="EN13" s="4">
        <v>2.017</v>
      </c>
      <c r="EO13" s="4">
        <v>1.994</v>
      </c>
      <c r="EP13" s="6"/>
      <c r="EQ13" s="6"/>
      <c r="ER13" s="6"/>
      <c r="ES13" s="9"/>
      <c r="ET13" s="7">
        <f>IFERROR(EI13/F13,0)</f>
        <v>0</v>
      </c>
      <c r="EU13" t="inlineStr">
        <is>
          <t xml:space="preserve">Keep cash / margin / financing</t>
        </is>
      </c>
      <c r="EV13" t="inlineStr">
        <is>
          <t xml:space="preserve">cash</t>
        </is>
      </c>
      <c r="EW13" t="inlineStr">
        <is>
          <t xml:space="preserve">keep</t>
        </is>
      </c>
      <c r="EX13" t="inlineStr">
        <is>
          <t xml:space="preserve">cash</t>
        </is>
      </c>
      <c r="EY13"/>
      <c r="EZ13" s="4">
        <v>1</v>
      </c>
      <c r="FA13" s="4">
        <v>1</v>
      </c>
      <c r="FB13" s="6"/>
      <c r="FC13" s="4">
        <v>0</v>
      </c>
      <c r="FD13" s="5">
        <f>IF(EV13="direct",IFERROR(FJ13/FA13,0),0)</f>
        <v>0</v>
      </c>
      <c r="FE13" s="5">
        <f>IF(EV13="direct",FC13-FD13,IF(EV13="cash",FO13,FC13))</f>
        <v>0</v>
      </c>
      <c r="FF13" s="6"/>
      <c r="FG13" s="4">
        <v>0</v>
      </c>
      <c r="FH13" s="4">
        <v>0</v>
      </c>
      <c r="FI13" s="5">
        <f>IF(EV13="direct",FC13*(FA13-EZ13),FL13)</f>
        <v>0</v>
      </c>
      <c r="FJ13" s="5">
        <f>IF(EV13="direct",FH13*FB13*C13/365,0)</f>
        <v>0</v>
      </c>
      <c r="FK13" s="5">
        <f>FI13-FJ13</f>
        <v>0</v>
      </c>
      <c r="FL13" s="4">
        <v>0</v>
      </c>
      <c r="FM13" s="5">
        <f>FL13-FK13</f>
        <v>0</v>
      </c>
      <c r="FN13" s="4">
        <v>0</v>
      </c>
      <c r="FO13" s="4">
        <v>0</v>
      </c>
      <c r="FP13" s="4">
        <v>2.017</v>
      </c>
      <c r="FQ13" s="4">
        <v>1.994</v>
      </c>
      <c r="FR13" s="6"/>
      <c r="FS13" s="6"/>
      <c r="FT13" s="6"/>
      <c r="FU13" s="9"/>
      <c r="FV13" s="7">
        <f>IFERROR(FK13/F13,0)</f>
        <v>0</v>
      </c>
      <c r="FW13"/>
      <c r="FX13"/>
      <c r="FY13"/>
      <c r="FZ13"/>
      <c r="GA13"/>
      <c r="GB13" s="4"/>
      <c r="GC13" s="4"/>
      <c r="GD13" s="6"/>
      <c r="GE13" s="4"/>
      <c r="GF13" s="5">
        <v>0</v>
      </c>
      <c r="GG13" s="5"/>
      <c r="GH13" s="6"/>
      <c r="GI13" s="4"/>
      <c r="GJ13" s="4"/>
      <c r="GK13" s="5">
        <v>0</v>
      </c>
      <c r="GL13" s="5">
        <v>0</v>
      </c>
      <c r="GM13" s="5"/>
      <c r="GN13" s="4"/>
      <c r="GO13" s="5">
        <v>0</v>
      </c>
      <c r="GP13" s="4"/>
      <c r="GQ13" s="4"/>
      <c r="GR13" s="4"/>
      <c r="GS13" s="4"/>
      <c r="GT13" s="6"/>
      <c r="GU13" s="6"/>
      <c r="GV13" s="6"/>
      <c r="GW13" s="9"/>
      <c r="GX13"/>
      <c r="GY13"/>
      <c r="GZ13"/>
      <c r="HA13"/>
      <c r="HB13"/>
      <c r="HC13"/>
      <c r="HD13" s="4"/>
      <c r="HE13" s="4"/>
      <c r="HF13" s="6"/>
      <c r="HG13" s="4"/>
      <c r="HH13" s="5">
        <v>0</v>
      </c>
      <c r="HI13" s="5"/>
      <c r="HJ13" s="6"/>
      <c r="HK13" s="4"/>
      <c r="HL13" s="4"/>
      <c r="HM13" s="5">
        <v>0</v>
      </c>
      <c r="HN13" s="5">
        <v>0</v>
      </c>
      <c r="HO13" s="5"/>
      <c r="HP13" s="4"/>
      <c r="HQ13" s="5">
        <v>0</v>
      </c>
      <c r="HR13" s="4"/>
      <c r="HS13" s="4"/>
      <c r="HT13" s="4"/>
      <c r="HU13" s="4"/>
      <c r="HV13" s="6"/>
      <c r="HW13" s="6"/>
      <c r="HX13" s="6"/>
      <c r="HY13" s="9"/>
      <c r="HZ13"/>
      <c r="IA13"/>
      <c r="IB13"/>
      <c r="IC13"/>
      <c r="ID13"/>
      <c r="IE13"/>
      <c r="IF13" s="4"/>
      <c r="IG13" s="4"/>
      <c r="IH13" s="6"/>
      <c r="II13" s="4"/>
      <c r="IJ13" s="5">
        <v>0</v>
      </c>
      <c r="IK13" s="5"/>
      <c r="IL13" s="6"/>
      <c r="IM13" s="4"/>
      <c r="IN13" s="4"/>
      <c r="IO13" s="5">
        <v>0</v>
      </c>
      <c r="IP13" s="5">
        <v>0</v>
      </c>
      <c r="IQ13" s="5"/>
      <c r="IR13" s="4"/>
      <c r="IS13" s="5">
        <v>0</v>
      </c>
      <c r="IT13" s="4"/>
      <c r="IU13" s="4"/>
      <c r="IV13" s="4"/>
      <c r="IW13" s="4"/>
      <c r="IX13" s="6"/>
      <c r="IY13" s="6"/>
      <c r="IZ13" s="6"/>
      <c r="JA13" s="9"/>
      <c r="JB13"/>
      <c r="JC13"/>
      <c r="JD13"/>
      <c r="JE13"/>
      <c r="JF13"/>
      <c r="JG13"/>
      <c r="JH13" s="4"/>
      <c r="JI13" s="4"/>
      <c r="JJ13" s="6"/>
      <c r="JK13" s="4"/>
      <c r="JL13" s="5">
        <v>0</v>
      </c>
      <c r="JM13" s="5"/>
      <c r="JN13" s="6"/>
      <c r="JO13" s="4"/>
      <c r="JP13" s="4"/>
      <c r="JQ13" s="5">
        <v>0</v>
      </c>
      <c r="JR13" s="5">
        <v>0</v>
      </c>
      <c r="JS13" s="5"/>
      <c r="JT13" s="4"/>
      <c r="JU13" s="5">
        <v>0</v>
      </c>
      <c r="JV13" s="4"/>
      <c r="JW13" s="4"/>
      <c r="JX13" s="4"/>
      <c r="JY13" s="4"/>
      <c r="JZ13" s="6"/>
      <c r="KA13" s="6"/>
      <c r="KB13" s="6"/>
      <c r="KC13" s="9"/>
      <c r="KD13"/>
      <c r="KE13"/>
      <c r="KF13"/>
      <c r="KG13"/>
      <c r="KH13"/>
      <c r="KI13"/>
      <c r="KJ13" s="4"/>
      <c r="KK13" s="4"/>
      <c r="KL13" s="6"/>
      <c r="KM13" s="4"/>
      <c r="KN13" s="5">
        <v>0</v>
      </c>
      <c r="KO13" s="5"/>
      <c r="KP13" s="6"/>
      <c r="KQ13" s="4"/>
      <c r="KR13" s="4"/>
      <c r="KS13" s="5">
        <v>0</v>
      </c>
      <c r="KT13" s="5">
        <v>0</v>
      </c>
      <c r="KU13" s="5"/>
      <c r="KV13" s="4"/>
      <c r="KW13" s="5">
        <v>0</v>
      </c>
      <c r="KX13" s="4"/>
      <c r="KY13" s="4"/>
      <c r="KZ13" s="4"/>
      <c r="LA13" s="4"/>
      <c r="LB13" s="6"/>
      <c r="LC13" s="6"/>
      <c r="LD13" s="6"/>
      <c r="LE13" s="9"/>
      <c r="LF13"/>
      <c r="LG13"/>
      <c r="LH13"/>
      <c r="LI13"/>
      <c r="LJ13"/>
      <c r="LK13"/>
      <c r="LL13" s="4"/>
      <c r="LM13" s="4"/>
      <c r="LN13" s="6"/>
      <c r="LO13" s="4"/>
      <c r="LP13" s="5">
        <v>0</v>
      </c>
      <c r="LQ13" s="5"/>
      <c r="LR13" s="6"/>
      <c r="LS13" s="4"/>
      <c r="LT13" s="4"/>
      <c r="LU13" s="5">
        <v>0</v>
      </c>
      <c r="LV13" s="5">
        <v>0</v>
      </c>
      <c r="LW13" s="5"/>
      <c r="LX13" s="4"/>
      <c r="LY13" s="5">
        <v>0</v>
      </c>
      <c r="LZ13" s="4"/>
      <c r="MA13" s="4"/>
      <c r="MB13" s="4"/>
      <c r="MC13" s="4"/>
      <c r="MD13" s="6"/>
      <c r="ME13" s="6"/>
      <c r="MF13" s="6"/>
      <c r="MG13" s="9"/>
      <c r="MH13"/>
    </row>
    <row r="14">
      <c r="A14" s="8">
        <v>25220</v>
      </c>
      <c r="B14" s="8">
        <v>25223</v>
      </c>
      <c r="C14" s="9">
        <f>B14-A14</f>
        <v>3</v>
      </c>
      <c r="D14" s="8">
        <v>25220</v>
      </c>
      <c r="E14" t="inlineStr">
        <is>
          <t xml:space="preserve">positive</t>
        </is>
      </c>
      <c r="F14" s="4">
        <v>1.0450672080725487</v>
      </c>
      <c r="G14" s="6">
        <v>0.016242936613398</v>
      </c>
      <c r="H14" s="7">
        <f>SUM(CP14,DR14,ET14,FV14,GX14,HZ14,JB14,KD14,LF14,MH14)</f>
        <v>0.016242936613398</v>
      </c>
      <c r="I14" s="7">
        <f>G14-H14</f>
        <v>0</v>
      </c>
      <c r="J14" s="5">
        <f>F14*(1+H14)</f>
        <v>1.0620421684900119</v>
      </c>
      <c r="K14" s="4">
        <v>1.0620421684900119</v>
      </c>
      <c r="L14" s="5">
        <f>K14-J14</f>
        <v>0</v>
      </c>
      <c r="M14" s="4">
        <v>1.994</v>
      </c>
      <c r="N14" s="4">
        <v>1.994</v>
      </c>
      <c r="O14" s="5">
        <f>M14/$M$3</f>
        <v>1.0183861082737486</v>
      </c>
      <c r="P14" s="5">
        <f>N14/$M$3</f>
        <v>1.0183861082737486</v>
      </c>
      <c r="Q14" s="7">
        <f>IFERROR(N14/M14-1,0)</f>
        <v>0</v>
      </c>
      <c r="R14" s="5">
        <f>SUM(IF(BQ14="lease",CB14,0),IF(CS14="lease",DD14,0),IF(DU14="lease",EF14,0),IF(EW14="lease",FH14,0),IF(FY14="lease",GJ14,0),IF(HA14="lease",HL14,0),IF(IC14="lease",IN14,0),IF(JE14="lease",JP14,0),IF(KG14="lease",KR14,0),IF(LI14="lease",LT14,0))</f>
        <v>1.0450672080725487</v>
      </c>
      <c r="S14" s="5">
        <f>SUM(IF(BQ14="lease",CI14,0),IF(CS14="lease",DK14,0),IF(DU14="lease",EM14,0),IF(EW14="lease",FO14,0),IF(FY14="lease",GQ14,0),IF(HA14="lease",HS14,0),IF(IC14="lease",IU14,0),IF(JE14="lease",JW14,0),IF(KG14="lease",KY14,0),IF(LI14="lease",MA14,0))</f>
        <v>1.0620421684900119</v>
      </c>
      <c r="T14" s="5">
        <f>SUM(IF(BQ14="keep",CB14,0),IF(CS14="keep",DD14,0),IF(DU14="keep",EF14,0),IF(EW14="keep",FH14,0),IF(FY14="keep",GJ14,0),IF(HA14="keep",HL14,0),IF(IC14="keep",IN14,0),IF(JE14="keep",JP14,0),IF(KG14="keep",KR14,0),IF(LI14="keep",LT14,0))</f>
        <v>0</v>
      </c>
      <c r="U14" s="5">
        <f>SUM(IF(BQ14="keep",CI14,0),IF(CS14="keep",DK14,0),IF(DU14="keep",EM14,0),IF(EW14="keep",FO14,0),IF(FY14="keep",GQ14,0),IF(HA14="keep",HS14,0),IF(IC14="keep",IU14,0),IF(JE14="keep",JW14,0),IF(KG14="keep",KY14,0),IF(LI14="keep",MA14,0))</f>
        <v>0</v>
      </c>
      <c r="V14" s="5">
        <f>R14/O14</f>
        <v>1.0261993948876884</v>
      </c>
      <c r="W14" s="5">
        <f>S14/P14</f>
        <v>1.0428678866115564</v>
      </c>
      <c r="X14" s="5">
        <f>T14/O14</f>
        <v>0</v>
      </c>
      <c r="Y14" s="5">
        <f>U14/P14</f>
        <v>0</v>
      </c>
      <c r="Z14" s="5">
        <f>V14+X14</f>
        <v>1.0261993948876884</v>
      </c>
      <c r="AA14" s="7">
        <f>IFERROR(W14/V14-1,0)</f>
        <v>0.016242936613397818</v>
      </c>
      <c r="AB14" s="7">
        <f>IFERROR((W14-V14)/Z14,0)</f>
        <v>0.01624293661339787</v>
      </c>
      <c r="AC14" s="7">
        <f>IFERROR(Y14/X14-1,0)</f>
        <v>0</v>
      </c>
      <c r="AD14" s="7">
        <f>IFERROR((Y14-X14)/Z14,0)</f>
        <v>0</v>
      </c>
      <c r="AE14" s="7">
        <f>AB14+AD14</f>
        <v>0.01624293661339787</v>
      </c>
      <c r="AF14" s="7">
        <f>(1+Q14)*(1+AE14)-1</f>
        <v>0.016242936613397818</v>
      </c>
      <c r="AG14" s="7">
        <f>G14-AF14</f>
        <v>1.8041124150158794e-16</v>
      </c>
      <c r="AH14" s="5">
        <f>SUM(IF(BQ14="lease",CE14,0),IF(CS14="lease",DG14,0),IF(DU14="lease",EI14,0),IF(EW14="lease",FK14,0),IF(FY14="lease",GM14,0),IF(HA14="lease",HO14,0),IF(IC14="lease",IQ14,0),IF(JE14="lease",JS14,0),IF(KG14="lease",KU14,0),IF(LI14="lease",LW14,0))</f>
        <v>0.016974960417463224</v>
      </c>
      <c r="AI14" s="5">
        <f>SUM(IF(BQ14="keep",CE14,0),IF(CS14="keep",DG14,0),IF(DU14="keep",EI14,0),IF(EW14="keep",FK14,0),IF(FY14="keep",GM14,0),IF(HA14="keep",HO14,0),IF(IC14="keep",IQ14,0),IF(JE14="keep",JS14,0),IF(KG14="keep",KU14,0),IF(LI14="keep",LW14,0))</f>
        <v>0</v>
      </c>
      <c r="AJ14" s="5">
        <f>SUM(IF(BQ14="lease",CH14,0),IF(CS14="lease",DJ14,0),IF(DU14="lease",EL14,0),IF(EW14="lease",FN14,0),IF(FY14="lease",GP14,0),IF(HA14="lease",HR14,0),IF(IC14="lease",IT14,0),IF(JE14="lease",JV14,0),IF(KG14="lease",KX14,0),IF(LI14="lease",LZ14,0))</f>
        <v>0</v>
      </c>
      <c r="AK14" s="5">
        <f>SUM(IF(BQ14="keep",CH14,0),IF(CS14="keep",DJ14,0),IF(DU14="keep",EL14,0),IF(EW14="keep",FN14,0),IF(FY14="keep",GP14,0),IF(HA14="keep",HR14,0),IF(IC14="keep",IT14,0),IF(JE14="keep",JV14,0),IF(KG14="keep",KX14,0),IF(LI14="keep",LZ14,0))</f>
        <v>0</v>
      </c>
      <c r="AL14" s="5">
        <f>R14-S13</f>
        <v>0</v>
      </c>
      <c r="AM14" s="5">
        <f>T14-U13</f>
        <v>0</v>
      </c>
      <c r="AN14" s="5">
        <f>AN13</f>
        <v>1</v>
      </c>
      <c r="AO14" s="5">
        <f>AO13+AH14</f>
        <v>0.06204216849001201</v>
      </c>
      <c r="AP14" s="5">
        <f>AP13+AL14</f>
        <v>-2.220446049250313e-16</v>
      </c>
      <c r="AQ14" s="5">
        <f>AN14+AO14+AP14</f>
        <v>1.0620421684900119</v>
      </c>
      <c r="AR14" s="5">
        <f>S14-AQ14</f>
        <v>0</v>
      </c>
      <c r="AS14" s="5">
        <f>AS13</f>
        <v>0</v>
      </c>
      <c r="AT14" s="5">
        <f>AT13+AI14</f>
        <v>0</v>
      </c>
      <c r="AU14" s="5">
        <f>AU13+AM14</f>
        <v>0</v>
      </c>
      <c r="AV14" s="5">
        <f>AS14+AT14+AU14</f>
        <v>0</v>
      </c>
      <c r="AW14" s="5">
        <f>U14-AV14</f>
        <v>0</v>
      </c>
      <c r="AX14" s="4">
        <v>1.0450672080725487</v>
      </c>
      <c r="AY14" s="4">
        <v>1.0620421684900119</v>
      </c>
      <c r="AZ14" s="5">
        <f>S14-AY14</f>
        <v>0</v>
      </c>
      <c r="BA14" s="4">
        <v>0</v>
      </c>
      <c r="BB14" s="4">
        <v>0</v>
      </c>
      <c r="BC14" s="5">
        <f>U14-BB14</f>
        <v>0</v>
      </c>
      <c r="BD14" s="7">
        <f>SUM(IF(BP14="direct",CC14/F14,0),IF(CR14="direct",DE14/F14,0),IF(DT14="direct",EG14/F14,0),IF(EV14="direct",FI14/F14,0),IF(FX14="direct",GK14/F14,0),IF(GZ14="direct",HM14/F14,0),IF(IB14="direct",IO14/F14,0),IF(JD14="direct",JQ14/F14,0),IF(KF14="direct",KS14/F14,0),IF(LH14="direct",LU14/F14,0))</f>
        <v>0</v>
      </c>
      <c r="BE14" s="7">
        <f>-SUM(IF(BP14="direct",CD14/F14,0),IF(CR14="direct",DF14/F14,0),IF(DT14="direct",EH14/F14,0),IF(EV14="direct",FJ14/F14,0),IF(FX14="direct",GL14/F14,0),IF(GZ14="direct",HN14/F14,0),IF(IB14="direct",IP14/F14,0),IF(JD14="direct",JR14/F14,0),IF(KF14="direct",KT14/F14,0),IF(LH14="direct",LV14/F14,0))</f>
        <v>0</v>
      </c>
      <c r="BF14" s="7">
        <f>BD14+BE14</f>
        <v>0</v>
      </c>
      <c r="BG14" s="7">
        <f>BF14-SUM(IF(BP14="direct",CP14,0),IF(CR14="direct",DR14,0),IF(DT14="direct",ET14,0),IF(EV14="direct",FV14,0),IF(FX14="direct",GX14,0),IF(GZ14="direct",HZ14,0),IF(IB14="direct",JB14,0),IF(JD14="direct",KD14,0),IF(KF14="direct",LF14,0),IF(LH14="direct",MH14,0))</f>
        <v>0</v>
      </c>
      <c r="BH14" s="7">
        <f>SUM(IF(BP14="treasury",CP14,0),IF(CR14="treasury",DR14,0),IF(DT14="treasury",ET14,0),IF(EV14="treasury",FV14,0),IF(FX14="treasury",GX14,0),IF(GZ14="treasury",HZ14,0),IF(IB14="treasury",JB14,0),IF(JD14="treasury",KD14,0),IF(KF14="treasury",LF14,0),IF(LH14="treasury",MH14,0))</f>
        <v>0.0004989041095890412</v>
      </c>
      <c r="BI14" s="7">
        <f>SUM(IF(BP14="future",CP14,0),IF(CR14="future",DR14,0),IF(DT14="future",ET14,0),IF(EV14="future",FV14,0),IF(FX14="future",GX14,0),IF(GZ14="future",HZ14,0),IF(IB14="future",JB14,0),IF(JD14="future",KD14,0),IF(KF14="future",LF14,0),IF(LH14="future",MH14,0))</f>
        <v>0.015744032503808958</v>
      </c>
      <c r="BJ14" s="7">
        <f>SUM(IF(BP14="cash",CP14,0),IF(CR14="cash",DR14,0),IF(DT14="cash",ET14,0),IF(EV14="cash",FV14,0),IF(FX14="cash",GX14,0),IF(GZ14="cash",HZ14,0),IF(IB14="cash",JB14,0),IF(JD14="cash",KD14,0),IF(KF14="cash",LF14,0),IF(LH14="cash",MH14,0))</f>
        <v>0</v>
      </c>
      <c r="BK14" s="7">
        <f>SUM(BF14,BH14,BI14,BJ14)</f>
        <v>0.016242936613398</v>
      </c>
      <c r="BL14" s="7">
        <f>G14-BK14</f>
        <v>0</v>
      </c>
      <c r="BM14" s="5">
        <f>MAX(ABS(CG14),ABS(DI14),ABS(EK14),ABS(FM14),ABS(GO14),ABS(HQ14),ABS(IS14),ABS(JU14),ABS(KW14),ABS(LY14))</f>
        <v>1.2555061157382141e-16</v>
      </c>
      <c r="BN14" s="9">
        <f>COUNTA(BO14,CQ14,DS14,EU14,FW14,GY14,IA14,JC14,KE14,LG14)</f>
        <v>4</v>
      </c>
      <c r="BO14" t="inlineStr">
        <is>
          <t xml:space="preserve">Treasury collateral</t>
        </is>
      </c>
      <c r="BP14" t="inlineStr">
        <is>
          <t xml:space="preserve">treasury</t>
        </is>
      </c>
      <c r="BQ14" t="inlineStr">
        <is>
          <t xml:space="preserve">lease</t>
        </is>
      </c>
      <c r="BR14" t="inlineStr">
        <is>
          <t xml:space="preserve">long</t>
        </is>
      </c>
      <c r="BS14"/>
      <c r="BT14" s="4">
        <v>100.2526641289168</v>
      </c>
      <c r="BU14" s="4">
        <v>100.30268059504796</v>
      </c>
      <c r="BV14" s="6"/>
      <c r="BW14" s="4">
        <v>0.010424333529218505</v>
      </c>
      <c r="BX14" s="5">
        <f>IF(BP14="direct",IFERROR(CD14/BU14,0),0)</f>
        <v>0</v>
      </c>
      <c r="BY14" s="5">
        <f>IF(BP14="direct",BW14-BX14,IF(BP14="cash",CI14,BW14))</f>
        <v>0.010424333529218505</v>
      </c>
      <c r="BZ14" s="6">
        <v>1</v>
      </c>
      <c r="CA14" s="4">
        <v>1.0450672080725487</v>
      </c>
      <c r="CB14" s="4">
        <v>1.0450672080725487</v>
      </c>
      <c r="CC14" s="5">
        <f>IF(BP14="direct",BW14*(BU14-BT14),CF14)</f>
        <v>0.0005213883249040146</v>
      </c>
      <c r="CD14" s="5">
        <f>IF(BP14="direct",CB14*BV14*C14/365,0)</f>
        <v>0</v>
      </c>
      <c r="CE14" s="5">
        <f>CC14-CD14</f>
        <v>0.0005213883249041402</v>
      </c>
      <c r="CF14" s="4">
        <v>0.0005213883249041402</v>
      </c>
      <c r="CG14" s="5">
        <f>CF14-CE14</f>
        <v>1.2555061157382141e-16</v>
      </c>
      <c r="CH14" s="4">
        <v>-1.360673726469308e-16</v>
      </c>
      <c r="CI14" s="4">
        <v>1.0455885963974527</v>
      </c>
      <c r="CJ14" s="4">
        <v>1.994</v>
      </c>
      <c r="CK14" s="4">
        <v>1.994</v>
      </c>
      <c r="CL14" s="6"/>
      <c r="CM14" s="6"/>
      <c r="CN14" s="6"/>
      <c r="CO14" s="9">
        <v>12</v>
      </c>
      <c r="CP14" s="7">
        <f>IFERROR(CE14/F14,0)</f>
        <v>0.0004989041095890412</v>
      </c>
      <c r="CQ14" t="inlineStr">
        <is>
          <t xml:space="preserve">SI69F</t>
        </is>
      </c>
      <c r="CR14" t="inlineStr">
        <is>
          <t xml:space="preserve">future</t>
        </is>
      </c>
      <c r="CS14" t="inlineStr">
        <is>
          <t xml:space="preserve">lease</t>
        </is>
      </c>
      <c r="CT14" t="inlineStr">
        <is>
          <t xml:space="preserve">long</t>
        </is>
      </c>
      <c r="CU14" t="inlineStr">
        <is>
          <t xml:space="preserve">regular</t>
        </is>
      </c>
      <c r="CV14" s="4">
        <v>1.969</v>
      </c>
      <c r="CW14" s="4">
        <v>2</v>
      </c>
      <c r="CX14" s="6"/>
      <c r="CY14" s="4">
        <v>0.5307603900825539</v>
      </c>
      <c r="CZ14" s="5">
        <f>IF(CR14="direct",IFERROR(DF14/CW14,0),0)</f>
        <v>0</v>
      </c>
      <c r="DA14" s="5">
        <f>IF(CR14="direct",CY14-CZ14,IF(CR14="cash",DK14,CY14))</f>
        <v>0.5307603900825539</v>
      </c>
      <c r="DB14" s="6">
        <v>1</v>
      </c>
      <c r="DC14" s="4">
        <v>1.0450672080725487</v>
      </c>
      <c r="DD14" s="4">
        <v>0</v>
      </c>
      <c r="DE14" s="5">
        <f>IF(CR14="direct",CY14*(CW14-CV14),DH14)</f>
        <v>0.016453572092559085</v>
      </c>
      <c r="DF14" s="5">
        <f>IF(CR14="direct",DD14*CX14*C14/365,0)</f>
        <v>0</v>
      </c>
      <c r="DG14" s="5">
        <f>DE14-DF14</f>
        <v>0.016453572092559085</v>
      </c>
      <c r="DH14" s="4">
        <v>0.016453572092559085</v>
      </c>
      <c r="DI14" s="5">
        <f>DH14-DG14</f>
        <v>0</v>
      </c>
      <c r="DJ14" s="4">
        <v>-0.016453572092559085</v>
      </c>
      <c r="DK14" s="4">
        <v>0</v>
      </c>
      <c r="DL14" s="4">
        <v>1.994</v>
      </c>
      <c r="DM14" s="4">
        <v>1.994</v>
      </c>
      <c r="DN14" s="6">
        <v>-0.01253761283851551</v>
      </c>
      <c r="DO14" s="6">
        <v>0.0607</v>
      </c>
      <c r="DP14" s="6">
        <v>0.4420523905048468</v>
      </c>
      <c r="DQ14" s="9">
        <v>12</v>
      </c>
      <c r="DR14" s="7">
        <f>IFERROR(DG14/F14,0)</f>
        <v>0.015744032503808958</v>
      </c>
      <c r="DS14" t="inlineStr">
        <is>
          <t xml:space="preserve">Lease cash / margin / financing</t>
        </is>
      </c>
      <c r="DT14" t="inlineStr">
        <is>
          <t xml:space="preserve">cash</t>
        </is>
      </c>
      <c r="DU14" t="inlineStr">
        <is>
          <t xml:space="preserve">lease</t>
        </is>
      </c>
      <c r="DV14" t="inlineStr">
        <is>
          <t xml:space="preserve">cash</t>
        </is>
      </c>
      <c r="DW14"/>
      <c r="DX14" s="4">
        <v>1</v>
      </c>
      <c r="DY14" s="4">
        <v>1</v>
      </c>
      <c r="DZ14" s="6"/>
      <c r="EA14" s="4">
        <v>0</v>
      </c>
      <c r="EB14" s="5">
        <f>IF(DT14="direct",IFERROR(EH14/DY14,0),0)</f>
        <v>0</v>
      </c>
      <c r="EC14" s="5">
        <f>IF(DT14="direct",EA14-EB14,IF(DT14="cash",EM14,EA14))</f>
        <v>0.01645357209255922</v>
      </c>
      <c r="ED14" s="6"/>
      <c r="EE14" s="4">
        <v>0</v>
      </c>
      <c r="EF14" s="4">
        <v>0</v>
      </c>
      <c r="EG14" s="5">
        <f>IF(DT14="direct",EA14*(DY14-DX14),EJ14)</f>
        <v>0</v>
      </c>
      <c r="EH14" s="5">
        <f>IF(DT14="direct",EF14*DZ14*C14/365,0)</f>
        <v>0</v>
      </c>
      <c r="EI14" s="5">
        <f>EG14-EH14</f>
        <v>0</v>
      </c>
      <c r="EJ14" s="4">
        <v>0</v>
      </c>
      <c r="EK14" s="5">
        <f>EJ14-EI14</f>
        <v>0</v>
      </c>
      <c r="EL14" s="4">
        <v>0.01645357209255922</v>
      </c>
      <c r="EM14" s="4">
        <v>0.01645357209255922</v>
      </c>
      <c r="EN14" s="4">
        <v>1.994</v>
      </c>
      <c r="EO14" s="4">
        <v>1.994</v>
      </c>
      <c r="EP14" s="6"/>
      <c r="EQ14" s="6"/>
      <c r="ER14" s="6"/>
      <c r="ES14" s="9"/>
      <c r="ET14" s="7">
        <f>IFERROR(EI14/F14,0)</f>
        <v>0</v>
      </c>
      <c r="EU14" t="inlineStr">
        <is>
          <t xml:space="preserve">Keep cash / margin / financing</t>
        </is>
      </c>
      <c r="EV14" t="inlineStr">
        <is>
          <t xml:space="preserve">cash</t>
        </is>
      </c>
      <c r="EW14" t="inlineStr">
        <is>
          <t xml:space="preserve">keep</t>
        </is>
      </c>
      <c r="EX14" t="inlineStr">
        <is>
          <t xml:space="preserve">cash</t>
        </is>
      </c>
      <c r="EY14"/>
      <c r="EZ14" s="4">
        <v>1</v>
      </c>
      <c r="FA14" s="4">
        <v>1</v>
      </c>
      <c r="FB14" s="6"/>
      <c r="FC14" s="4">
        <v>0</v>
      </c>
      <c r="FD14" s="5">
        <f>IF(EV14="direct",IFERROR(FJ14/FA14,0),0)</f>
        <v>0</v>
      </c>
      <c r="FE14" s="5">
        <f>IF(EV14="direct",FC14-FD14,IF(EV14="cash",FO14,FC14))</f>
        <v>0</v>
      </c>
      <c r="FF14" s="6"/>
      <c r="FG14" s="4">
        <v>0</v>
      </c>
      <c r="FH14" s="4">
        <v>0</v>
      </c>
      <c r="FI14" s="5">
        <f>IF(EV14="direct",FC14*(FA14-EZ14),FL14)</f>
        <v>0</v>
      </c>
      <c r="FJ14" s="5">
        <f>IF(EV14="direct",FH14*FB14*C14/365,0)</f>
        <v>0</v>
      </c>
      <c r="FK14" s="5">
        <f>FI14-FJ14</f>
        <v>0</v>
      </c>
      <c r="FL14" s="4">
        <v>0</v>
      </c>
      <c r="FM14" s="5">
        <f>FL14-FK14</f>
        <v>0</v>
      </c>
      <c r="FN14" s="4">
        <v>0</v>
      </c>
      <c r="FO14" s="4">
        <v>0</v>
      </c>
      <c r="FP14" s="4">
        <v>1.994</v>
      </c>
      <c r="FQ14" s="4">
        <v>1.994</v>
      </c>
      <c r="FR14" s="6"/>
      <c r="FS14" s="6"/>
      <c r="FT14" s="6"/>
      <c r="FU14" s="9"/>
      <c r="FV14" s="7">
        <f>IFERROR(FK14/F14,0)</f>
        <v>0</v>
      </c>
      <c r="FW14"/>
      <c r="FX14"/>
      <c r="FY14"/>
      <c r="FZ14"/>
      <c r="GA14"/>
      <c r="GB14" s="4"/>
      <c r="GC14" s="4"/>
      <c r="GD14" s="6"/>
      <c r="GE14" s="4"/>
      <c r="GF14" s="5">
        <v>0</v>
      </c>
      <c r="GG14" s="5"/>
      <c r="GH14" s="6"/>
      <c r="GI14" s="4"/>
      <c r="GJ14" s="4"/>
      <c r="GK14" s="5">
        <v>0</v>
      </c>
      <c r="GL14" s="5">
        <v>0</v>
      </c>
      <c r="GM14" s="5"/>
      <c r="GN14" s="4"/>
      <c r="GO14" s="5">
        <v>0</v>
      </c>
      <c r="GP14" s="4"/>
      <c r="GQ14" s="4"/>
      <c r="GR14" s="4"/>
      <c r="GS14" s="4"/>
      <c r="GT14" s="6"/>
      <c r="GU14" s="6"/>
      <c r="GV14" s="6"/>
      <c r="GW14" s="9"/>
      <c r="GX14"/>
      <c r="GY14"/>
      <c r="GZ14"/>
      <c r="HA14"/>
      <c r="HB14"/>
      <c r="HC14"/>
      <c r="HD14" s="4"/>
      <c r="HE14" s="4"/>
      <c r="HF14" s="6"/>
      <c r="HG14" s="4"/>
      <c r="HH14" s="5">
        <v>0</v>
      </c>
      <c r="HI14" s="5"/>
      <c r="HJ14" s="6"/>
      <c r="HK14" s="4"/>
      <c r="HL14" s="4"/>
      <c r="HM14" s="5">
        <v>0</v>
      </c>
      <c r="HN14" s="5">
        <v>0</v>
      </c>
      <c r="HO14" s="5"/>
      <c r="HP14" s="4"/>
      <c r="HQ14" s="5">
        <v>0</v>
      </c>
      <c r="HR14" s="4"/>
      <c r="HS14" s="4"/>
      <c r="HT14" s="4"/>
      <c r="HU14" s="4"/>
      <c r="HV14" s="6"/>
      <c r="HW14" s="6"/>
      <c r="HX14" s="6"/>
      <c r="HY14" s="9"/>
      <c r="HZ14"/>
      <c r="IA14"/>
      <c r="IB14"/>
      <c r="IC14"/>
      <c r="ID14"/>
      <c r="IE14"/>
      <c r="IF14" s="4"/>
      <c r="IG14" s="4"/>
      <c r="IH14" s="6"/>
      <c r="II14" s="4"/>
      <c r="IJ14" s="5">
        <v>0</v>
      </c>
      <c r="IK14" s="5"/>
      <c r="IL14" s="6"/>
      <c r="IM14" s="4"/>
      <c r="IN14" s="4"/>
      <c r="IO14" s="5">
        <v>0</v>
      </c>
      <c r="IP14" s="5">
        <v>0</v>
      </c>
      <c r="IQ14" s="5"/>
      <c r="IR14" s="4"/>
      <c r="IS14" s="5">
        <v>0</v>
      </c>
      <c r="IT14" s="4"/>
      <c r="IU14" s="4"/>
      <c r="IV14" s="4"/>
      <c r="IW14" s="4"/>
      <c r="IX14" s="6"/>
      <c r="IY14" s="6"/>
      <c r="IZ14" s="6"/>
      <c r="JA14" s="9"/>
      <c r="JB14"/>
      <c r="JC14"/>
      <c r="JD14"/>
      <c r="JE14"/>
      <c r="JF14"/>
      <c r="JG14"/>
      <c r="JH14" s="4"/>
      <c r="JI14" s="4"/>
      <c r="JJ14" s="6"/>
      <c r="JK14" s="4"/>
      <c r="JL14" s="5">
        <v>0</v>
      </c>
      <c r="JM14" s="5"/>
      <c r="JN14" s="6"/>
      <c r="JO14" s="4"/>
      <c r="JP14" s="4"/>
      <c r="JQ14" s="5">
        <v>0</v>
      </c>
      <c r="JR14" s="5">
        <v>0</v>
      </c>
      <c r="JS14" s="5"/>
      <c r="JT14" s="4"/>
      <c r="JU14" s="5">
        <v>0</v>
      </c>
      <c r="JV14" s="4"/>
      <c r="JW14" s="4"/>
      <c r="JX14" s="4"/>
      <c r="JY14" s="4"/>
      <c r="JZ14" s="6"/>
      <c r="KA14" s="6"/>
      <c r="KB14" s="6"/>
      <c r="KC14" s="9"/>
      <c r="KD14"/>
      <c r="KE14"/>
      <c r="KF14"/>
      <c r="KG14"/>
      <c r="KH14"/>
      <c r="KI14"/>
      <c r="KJ14" s="4"/>
      <c r="KK14" s="4"/>
      <c r="KL14" s="6"/>
      <c r="KM14" s="4"/>
      <c r="KN14" s="5">
        <v>0</v>
      </c>
      <c r="KO14" s="5"/>
      <c r="KP14" s="6"/>
      <c r="KQ14" s="4"/>
      <c r="KR14" s="4"/>
      <c r="KS14" s="5">
        <v>0</v>
      </c>
      <c r="KT14" s="5">
        <v>0</v>
      </c>
      <c r="KU14" s="5"/>
      <c r="KV14" s="4"/>
      <c r="KW14" s="5">
        <v>0</v>
      </c>
      <c r="KX14" s="4"/>
      <c r="KY14" s="4"/>
      <c r="KZ14" s="4"/>
      <c r="LA14" s="4"/>
      <c r="LB14" s="6"/>
      <c r="LC14" s="6"/>
      <c r="LD14" s="6"/>
      <c r="LE14" s="9"/>
      <c r="LF14"/>
      <c r="LG14"/>
      <c r="LH14"/>
      <c r="LI14"/>
      <c r="LJ14"/>
      <c r="LK14"/>
      <c r="LL14" s="4"/>
      <c r="LM14" s="4"/>
      <c r="LN14" s="6"/>
      <c r="LO14" s="4"/>
      <c r="LP14" s="5">
        <v>0</v>
      </c>
      <c r="LQ14" s="5"/>
      <c r="LR14" s="6"/>
      <c r="LS14" s="4"/>
      <c r="LT14" s="4"/>
      <c r="LU14" s="5">
        <v>0</v>
      </c>
      <c r="LV14" s="5">
        <v>0</v>
      </c>
      <c r="LW14" s="5"/>
      <c r="LX14" s="4"/>
      <c r="LY14" s="5">
        <v>0</v>
      </c>
      <c r="LZ14" s="4"/>
      <c r="MA14" s="4"/>
      <c r="MB14" s="4"/>
      <c r="MC14" s="4"/>
      <c r="MD14" s="6"/>
      <c r="ME14" s="6"/>
      <c r="MF14" s="6"/>
      <c r="MG14" s="9"/>
      <c r="MH14"/>
    </row>
    <row r="15">
      <c r="A15" s="8">
        <v>25223</v>
      </c>
      <c r="B15" s="8">
        <v>25224</v>
      </c>
      <c r="C15" s="9">
        <f>B15-A15</f>
        <v>1</v>
      </c>
      <c r="D15" s="8">
        <v>25223</v>
      </c>
      <c r="E15" t="inlineStr">
        <is>
          <t xml:space="preserve">neutral</t>
        </is>
      </c>
      <c r="F15" s="4">
        <v>1.0620421684900119</v>
      </c>
      <c r="G15" s="6">
        <v>0.010524745469284677</v>
      </c>
      <c r="H15" s="7">
        <f>SUM(CP15,DR15,ET15,FV15,GX15,HZ15,JB15,KD15,LF15,MH15)</f>
        <v>0.010524745469284677</v>
      </c>
      <c r="I15" s="7">
        <f>G15-H15</f>
        <v>0</v>
      </c>
      <c r="J15" s="5">
        <f>F15*(1+H15)</f>
        <v>1.0732198919910165</v>
      </c>
      <c r="K15" s="4">
        <v>1.0732198919910165</v>
      </c>
      <c r="L15" s="5">
        <f>K15-J15</f>
        <v>0</v>
      </c>
      <c r="M15" s="4">
        <v>1.994</v>
      </c>
      <c r="N15" s="4">
        <v>2.015</v>
      </c>
      <c r="O15" s="5">
        <f>M15/$M$3</f>
        <v>1.0183861082737486</v>
      </c>
      <c r="P15" s="5">
        <f>N15/$M$3</f>
        <v>1.0291113381001022</v>
      </c>
      <c r="Q15" s="7">
        <f>IFERROR(N15/M15-1,0)</f>
        <v>0.010531594784353171</v>
      </c>
      <c r="R15" s="5">
        <f>SUM(IF(BQ15="lease",CB15,0),IF(CS15="lease",DD15,0),IF(DU15="lease",EF15,0),IF(EW15="lease",FH15,0),IF(FY15="lease",GJ15,0),IF(HA15="lease",HL15,0),IF(IC15="lease",IN15,0),IF(JE15="lease",JP15,0),IF(KG15="lease",KR15,0),IF(LI15="lease",LT15,0))</f>
        <v>1.0620421684900119</v>
      </c>
      <c r="S15" s="5">
        <f>SUM(IF(BQ15="lease",CI15,0),IF(CS15="lease",DK15,0),IF(DU15="lease",EM15,0),IF(EW15="lease",FO15,0),IF(FY15="lease",GQ15,0),IF(HA15="lease",HS15,0),IF(IC15="lease",IU15,0),IF(JE15="lease",JW15,0),IF(KG15="lease",KY15,0),IF(LI15="lease",MA15,0))</f>
        <v>1.0732198919910165</v>
      </c>
      <c r="T15" s="5">
        <f>SUM(IF(BQ15="keep",CB15,0),IF(CS15="keep",DD15,0),IF(DU15="keep",EF15,0),IF(EW15="keep",FH15,0),IF(FY15="keep",GJ15,0),IF(HA15="keep",HL15,0),IF(IC15="keep",IN15,0),IF(JE15="keep",JP15,0),IF(KG15="keep",KR15,0),IF(LI15="keep",LT15,0))</f>
        <v>0</v>
      </c>
      <c r="U15" s="5">
        <f>SUM(IF(BQ15="keep",CI15,0),IF(CS15="keep",DK15,0),IF(DU15="keep",EM15,0),IF(EW15="keep",FO15,0),IF(FY15="keep",GQ15,0),IF(HA15="keep",HS15,0),IF(IC15="keep",IU15,0),IF(JE15="keep",JW15,0),IF(KG15="keep",KY15,0),IF(LI15="keep",MA15,0))</f>
        <v>0</v>
      </c>
      <c r="V15" s="5">
        <f>R15/O15</f>
        <v>1.0428678866115564</v>
      </c>
      <c r="W15" s="5">
        <f>S15/P15</f>
        <v>1.0428608181232806</v>
      </c>
      <c r="X15" s="5">
        <f>T15/O15</f>
        <v>0</v>
      </c>
      <c r="Y15" s="5">
        <f>U15/P15</f>
        <v>0</v>
      </c>
      <c r="Z15" s="5">
        <f>V15+X15</f>
        <v>1.0428678866115564</v>
      </c>
      <c r="AA15" s="7">
        <f>IFERROR(W15/V15-1,0)</f>
        <v>-0.0000067779326283767816</v>
      </c>
      <c r="AB15" s="7">
        <f>IFERROR((W15-V15)/Z15,0)</f>
        <v>-0.000006777932628431278</v>
      </c>
      <c r="AC15" s="7">
        <f>IFERROR(Y15/X15-1,0)</f>
        <v>0</v>
      </c>
      <c r="AD15" s="7">
        <f>IFERROR((Y15-X15)/Z15,0)</f>
        <v>0</v>
      </c>
      <c r="AE15" s="7">
        <f>AB15+AD15</f>
        <v>-0.000006777932628431278</v>
      </c>
      <c r="AF15" s="7">
        <f>(1+Q15)*(1+AE15)-1</f>
        <v>0.010524745469284946</v>
      </c>
      <c r="AG15" s="7">
        <f>G15-AF15</f>
        <v>-2.688821387764051e-16</v>
      </c>
      <c r="AH15" s="5">
        <f>SUM(IF(BQ15="lease",CE15,0),IF(CS15="lease",DG15,0),IF(DU15="lease",EI15,0),IF(EW15="lease",FK15,0),IF(FY15="lease",GM15,0),IF(HA15="lease",HO15,0),IF(IC15="lease",IQ15,0),IF(JE15="lease",JS15,0),IF(KG15="lease",KU15,0),IF(LI15="lease",LW15,0))</f>
        <v>0.011177723501004527</v>
      </c>
      <c r="AI15" s="5">
        <f>SUM(IF(BQ15="keep",CE15,0),IF(CS15="keep",DG15,0),IF(DU15="keep",EI15,0),IF(EW15="keep",FK15,0),IF(FY15="keep",GM15,0),IF(HA15="keep",HO15,0),IF(IC15="keep",IQ15,0),IF(JE15="keep",JS15,0),IF(KG15="keep",KU15,0),IF(LI15="keep",LW15,0))</f>
        <v>0</v>
      </c>
      <c r="AJ15" s="5">
        <f>SUM(IF(BQ15="lease",CH15,0),IF(CS15="lease",DJ15,0),IF(DU15="lease",EL15,0),IF(EW15="lease",FN15,0),IF(FY15="lease",GP15,0),IF(HA15="lease",HR15,0),IF(IC15="lease",IT15,0),IF(JE15="lease",JV15,0),IF(KG15="lease",KX15,0),IF(LI15="lease",LZ15,0))</f>
        <v>0</v>
      </c>
      <c r="AK15" s="5">
        <f>SUM(IF(BQ15="keep",CH15,0),IF(CS15="keep",DJ15,0),IF(DU15="keep",EL15,0),IF(EW15="keep",FN15,0),IF(FY15="keep",GP15,0),IF(HA15="keep",HR15,0),IF(IC15="keep",IT15,0),IF(JE15="keep",JV15,0),IF(KG15="keep",KX15,0),IF(LI15="keep",LZ15,0))</f>
        <v>0</v>
      </c>
      <c r="AL15" s="5">
        <f>R15-S14</f>
        <v>0</v>
      </c>
      <c r="AM15" s="5">
        <f>T15-U14</f>
        <v>0</v>
      </c>
      <c r="AN15" s="5">
        <f>AN14</f>
        <v>1</v>
      </c>
      <c r="AO15" s="5">
        <f>AO14+AH15</f>
        <v>0.07321989199101654</v>
      </c>
      <c r="AP15" s="5">
        <f>AP14+AL15</f>
        <v>-2.220446049250313e-16</v>
      </c>
      <c r="AQ15" s="5">
        <f>AN15+AO15+AP15</f>
        <v>1.0732198919910163</v>
      </c>
      <c r="AR15" s="5">
        <f>S15-AQ15</f>
        <v>2.220446049250313e-16</v>
      </c>
      <c r="AS15" s="5">
        <f>AS14</f>
        <v>0</v>
      </c>
      <c r="AT15" s="5">
        <f>AT14+AI15</f>
        <v>0</v>
      </c>
      <c r="AU15" s="5">
        <f>AU14+AM15</f>
        <v>0</v>
      </c>
      <c r="AV15" s="5">
        <f>AS15+AT15+AU15</f>
        <v>0</v>
      </c>
      <c r="AW15" s="5">
        <f>U15-AV15</f>
        <v>0</v>
      </c>
      <c r="AX15" s="4">
        <v>1.0620421684900119</v>
      </c>
      <c r="AY15" s="4">
        <v>1.0732198919910163</v>
      </c>
      <c r="AZ15" s="5">
        <f>S15-AY15</f>
        <v>2.220446049250313e-16</v>
      </c>
      <c r="BA15" s="4">
        <v>0</v>
      </c>
      <c r="BB15" s="4">
        <v>0</v>
      </c>
      <c r="BC15" s="5">
        <f>U15-BB15</f>
        <v>0</v>
      </c>
      <c r="BD15" s="7">
        <f>SUM(IF(BP15="direct",CC15/F15,0),IF(CR15="direct",DE15/F15,0),IF(DT15="direct",EG15/F15,0),IF(EV15="direct",FI15/F15,0),IF(FX15="direct",GK15/F15,0),IF(GZ15="direct",HM15/F15,0),IF(IB15="direct",IO15/F15,0),IF(JD15="direct",JQ15/F15,0),IF(KF15="direct",KS15/F15,0),IF(LH15="direct",LU15/F15,0))</f>
        <v>0.010531594784353126</v>
      </c>
      <c r="BE15" s="7">
        <f>-SUM(IF(BP15="direct",CD15/F15,0),IF(CR15="direct",DF15/F15,0),IF(DT15="direct",EH15/F15,0),IF(EV15="direct",FJ15/F15,0),IF(FX15="direct",GL15/F15,0),IF(GZ15="direct",HN15/F15,0),IF(IB15="direct",IP15/F15,0),IF(JD15="direct",JR15/F15,0),IF(KF15="direct",KT15/F15,0),IF(LH15="direct",LV15/F15,0))</f>
        <v>-0.000006849315068493151</v>
      </c>
      <c r="BF15" s="7">
        <f>BD15+BE15</f>
        <v>0.010524745469284632</v>
      </c>
      <c r="BG15" s="7">
        <f>BF15-SUM(IF(BP15="direct",CP15,0),IF(CR15="direct",DR15,0),IF(DT15="direct",ET15,0),IF(EV15="direct",FV15,0),IF(FX15="direct",GX15,0),IF(GZ15="direct",HZ15,0),IF(IB15="direct",JB15,0),IF(JD15="direct",KD15,0),IF(KF15="direct",LF15,0),IF(LH15="direct",MH15,0))</f>
        <v>-4.5102810375396984e-17</v>
      </c>
      <c r="BH15" s="7">
        <f>SUM(IF(BP15="treasury",CP15,0),IF(CR15="treasury",DR15,0),IF(DT15="treasury",ET15,0),IF(EV15="treasury",FV15,0),IF(FX15="treasury",GX15,0),IF(GZ15="treasury",HZ15,0),IF(IB15="treasury",JB15,0),IF(JD15="treasury",KD15,0),IF(KF15="treasury",LF15,0),IF(LH15="treasury",MH15,0))</f>
        <v>0</v>
      </c>
      <c r="BI15" s="7">
        <f>SUM(IF(BP15="future",CP15,0),IF(CR15="future",DR15,0),IF(DT15="future",ET15,0),IF(EV15="future",FV15,0),IF(FX15="future",GX15,0),IF(GZ15="future",HZ15,0),IF(IB15="future",JB15,0),IF(JD15="future",KD15,0),IF(KF15="future",LF15,0),IF(LH15="future",MH15,0))</f>
        <v>0</v>
      </c>
      <c r="BJ15" s="7">
        <f>SUM(IF(BP15="cash",CP15,0),IF(CR15="cash",DR15,0),IF(DT15="cash",ET15,0),IF(EV15="cash",FV15,0),IF(FX15="cash",GX15,0),IF(GZ15="cash",HZ15,0),IF(IB15="cash",JB15,0),IF(JD15="cash",KD15,0),IF(KF15="cash",LF15,0),IF(LH15="cash",MH15,0))</f>
        <v>0</v>
      </c>
      <c r="BK15" s="7">
        <f>SUM(BF15,BH15,BI15,BJ15)</f>
        <v>0.010524745469284677</v>
      </c>
      <c r="BL15" s="7">
        <f>G15-BK15</f>
        <v>0</v>
      </c>
      <c r="BM15" s="5">
        <f>MAX(ABS(CG15),ABS(DI15),ABS(EK15),ABS(FM15),ABS(GO15),ABS(HQ15),ABS(IS15),ABS(JU15),ABS(KW15),ABS(LY15))</f>
        <v>4.787684327765482e-17</v>
      </c>
      <c r="BN15" s="9">
        <f>COUNTA(BO15,CQ15,DS15,EU15,FW15,GY15,IA15,JC15,KE15,LG15)</f>
        <v>3</v>
      </c>
      <c r="BO15" t="inlineStr">
        <is>
          <t xml:space="preserve">Direct commodity holding</t>
        </is>
      </c>
      <c r="BP15" t="inlineStr">
        <is>
          <t xml:space="preserve">direct</t>
        </is>
      </c>
      <c r="BQ15" t="inlineStr">
        <is>
          <t xml:space="preserve">lease</t>
        </is>
      </c>
      <c r="BR15" t="inlineStr">
        <is>
          <t xml:space="preserve">long</t>
        </is>
      </c>
      <c r="BS15"/>
      <c r="BT15" s="4">
        <v>1.994</v>
      </c>
      <c r="BU15" s="4">
        <v>2.015</v>
      </c>
      <c r="BV15" s="6">
        <v>0.0025</v>
      </c>
      <c r="BW15" s="4">
        <v>0.5326189410682106</v>
      </c>
      <c r="BX15" s="5">
        <f>IF(BP15="direct",IFERROR(CD15/BU15,0),0)</f>
        <v>0.0000036100552992624215</v>
      </c>
      <c r="BY15" s="5">
        <f>IF(BP15="direct",BW15-BX15,IF(BP15="cash",CI15,BW15))</f>
        <v>0.5326153310129114</v>
      </c>
      <c r="BZ15" s="6">
        <v>1</v>
      </c>
      <c r="CA15" s="4">
        <v>1.0620421684900119</v>
      </c>
      <c r="CB15" s="4">
        <v>1.0620421684900119</v>
      </c>
      <c r="CC15" s="5">
        <f>IF(BP15="direct",BW15*(BU15-BT15),CF15)</f>
        <v>0.011184997762432492</v>
      </c>
      <c r="CD15" s="5">
        <f>IF(BP15="direct",CB15*BV15*C15/365,0)</f>
        <v>0.00000727426142801378</v>
      </c>
      <c r="CE15" s="5">
        <f>CC15-CD15</f>
        <v>0.011177723501004527</v>
      </c>
      <c r="CF15" s="4">
        <v>0.011177723501004527</v>
      </c>
      <c r="CG15" s="5">
        <f>CF15-CE15</f>
        <v>4.787684327765482e-17</v>
      </c>
      <c r="CH15" s="4">
        <v>0</v>
      </c>
      <c r="CI15" s="4">
        <v>1.0732198919910165</v>
      </c>
      <c r="CJ15" s="4">
        <v>1.994</v>
      </c>
      <c r="CK15" s="4">
        <v>2.015</v>
      </c>
      <c r="CL15" s="6"/>
      <c r="CM15" s="6"/>
      <c r="CN15" s="6"/>
      <c r="CO15" s="9"/>
      <c r="CP15" s="7">
        <f>IFERROR(CE15/F15,0)</f>
        <v>0.010524745469284677</v>
      </c>
      <c r="CQ15" t="inlineStr">
        <is>
          <t xml:space="preserve">Lease cash / margin / financing</t>
        </is>
      </c>
      <c r="CR15" t="inlineStr">
        <is>
          <t xml:space="preserve">cash</t>
        </is>
      </c>
      <c r="CS15" t="inlineStr">
        <is>
          <t xml:space="preserve">lease</t>
        </is>
      </c>
      <c r="CT15" t="inlineStr">
        <is>
          <t xml:space="preserve">cash</t>
        </is>
      </c>
      <c r="CU15"/>
      <c r="CV15" s="4">
        <v>1</v>
      </c>
      <c r="CW15" s="4">
        <v>1</v>
      </c>
      <c r="CX15" s="6"/>
      <c r="CY15" s="4">
        <v>0</v>
      </c>
      <c r="CZ15" s="5">
        <f>IF(CR15="direct",IFERROR(DF15/CW15,0),0)</f>
        <v>0</v>
      </c>
      <c r="DA15" s="5">
        <f>IF(CR15="direct",CY15-CZ15,IF(CR15="cash",DK15,CY15))</f>
        <v>0</v>
      </c>
      <c r="DB15" s="6"/>
      <c r="DC15" s="4">
        <v>0</v>
      </c>
      <c r="DD15" s="4">
        <v>0</v>
      </c>
      <c r="DE15" s="5">
        <f>IF(CR15="direct",CY15*(CW15-CV15),DH15)</f>
        <v>0</v>
      </c>
      <c r="DF15" s="5">
        <f>IF(CR15="direct",DD15*CX15*C15/365,0)</f>
        <v>0</v>
      </c>
      <c r="DG15" s="5">
        <f>DE15-DF15</f>
        <v>0</v>
      </c>
      <c r="DH15" s="4">
        <v>0</v>
      </c>
      <c r="DI15" s="5">
        <f>DH15-DG15</f>
        <v>0</v>
      </c>
      <c r="DJ15" s="4">
        <v>0</v>
      </c>
      <c r="DK15" s="4">
        <v>0</v>
      </c>
      <c r="DL15" s="4">
        <v>1.994</v>
      </c>
      <c r="DM15" s="4">
        <v>2.015</v>
      </c>
      <c r="DN15" s="6"/>
      <c r="DO15" s="6"/>
      <c r="DP15" s="6"/>
      <c r="DQ15" s="9"/>
      <c r="DR15" s="7">
        <f>IFERROR(DG15/F15,0)</f>
        <v>0</v>
      </c>
      <c r="DS15" t="inlineStr">
        <is>
          <t xml:space="preserve">Keep cash / margin / financing</t>
        </is>
      </c>
      <c r="DT15" t="inlineStr">
        <is>
          <t xml:space="preserve">cash</t>
        </is>
      </c>
      <c r="DU15" t="inlineStr">
        <is>
          <t xml:space="preserve">keep</t>
        </is>
      </c>
      <c r="DV15" t="inlineStr">
        <is>
          <t xml:space="preserve">cash</t>
        </is>
      </c>
      <c r="DW15"/>
      <c r="DX15" s="4">
        <v>1</v>
      </c>
      <c r="DY15" s="4">
        <v>1</v>
      </c>
      <c r="DZ15" s="6"/>
      <c r="EA15" s="4">
        <v>0</v>
      </c>
      <c r="EB15" s="5">
        <f>IF(DT15="direct",IFERROR(EH15/DY15,0),0)</f>
        <v>0</v>
      </c>
      <c r="EC15" s="5">
        <f>IF(DT15="direct",EA15-EB15,IF(DT15="cash",EM15,EA15))</f>
        <v>0</v>
      </c>
      <c r="ED15" s="6"/>
      <c r="EE15" s="4">
        <v>0</v>
      </c>
      <c r="EF15" s="4">
        <v>0</v>
      </c>
      <c r="EG15" s="5">
        <f>IF(DT15="direct",EA15*(DY15-DX15),EJ15)</f>
        <v>0</v>
      </c>
      <c r="EH15" s="5">
        <f>IF(DT15="direct",EF15*DZ15*C15/365,0)</f>
        <v>0</v>
      </c>
      <c r="EI15" s="5">
        <f>EG15-EH15</f>
        <v>0</v>
      </c>
      <c r="EJ15" s="4">
        <v>0</v>
      </c>
      <c r="EK15" s="5">
        <f>EJ15-EI15</f>
        <v>0</v>
      </c>
      <c r="EL15" s="4">
        <v>0</v>
      </c>
      <c r="EM15" s="4">
        <v>0</v>
      </c>
      <c r="EN15" s="4">
        <v>1.994</v>
      </c>
      <c r="EO15" s="4">
        <v>2.015</v>
      </c>
      <c r="EP15" s="6"/>
      <c r="EQ15" s="6"/>
      <c r="ER15" s="6"/>
      <c r="ES15" s="9"/>
      <c r="ET15" s="7">
        <f>IFERROR(EI15/F15,0)</f>
        <v>0</v>
      </c>
      <c r="EU15"/>
      <c r="EV15"/>
      <c r="EW15"/>
      <c r="EX15"/>
      <c r="EY15"/>
      <c r="EZ15" s="4"/>
      <c r="FA15" s="4"/>
      <c r="FB15" s="6"/>
      <c r="FC15" s="4"/>
      <c r="FD15" s="5">
        <v>0</v>
      </c>
      <c r="FE15" s="5"/>
      <c r="FF15" s="6"/>
      <c r="FG15" s="4"/>
      <c r="FH15" s="4"/>
      <c r="FI15" s="5">
        <v>0</v>
      </c>
      <c r="FJ15" s="5">
        <v>0</v>
      </c>
      <c r="FK15" s="5"/>
      <c r="FL15" s="4"/>
      <c r="FM15" s="5">
        <v>0</v>
      </c>
      <c r="FN15" s="4"/>
      <c r="FO15" s="4"/>
      <c r="FP15" s="4"/>
      <c r="FQ15" s="4"/>
      <c r="FR15" s="6"/>
      <c r="FS15" s="6"/>
      <c r="FT15" s="6"/>
      <c r="FU15" s="9"/>
      <c r="FV15"/>
      <c r="FW15"/>
      <c r="FX15"/>
      <c r="FY15"/>
      <c r="FZ15"/>
      <c r="GA15"/>
      <c r="GB15" s="4"/>
      <c r="GC15" s="4"/>
      <c r="GD15" s="6"/>
      <c r="GE15" s="4"/>
      <c r="GF15" s="5">
        <v>0</v>
      </c>
      <c r="GG15" s="5"/>
      <c r="GH15" s="6"/>
      <c r="GI15" s="4"/>
      <c r="GJ15" s="4"/>
      <c r="GK15" s="5">
        <v>0</v>
      </c>
      <c r="GL15" s="5">
        <v>0</v>
      </c>
      <c r="GM15" s="5"/>
      <c r="GN15" s="4"/>
      <c r="GO15" s="5">
        <v>0</v>
      </c>
      <c r="GP15" s="4"/>
      <c r="GQ15" s="4"/>
      <c r="GR15" s="4"/>
      <c r="GS15" s="4"/>
      <c r="GT15" s="6"/>
      <c r="GU15" s="6"/>
      <c r="GV15" s="6"/>
      <c r="GW15" s="9"/>
      <c r="GX15"/>
      <c r="GY15"/>
      <c r="GZ15"/>
      <c r="HA15"/>
      <c r="HB15"/>
      <c r="HC15"/>
      <c r="HD15" s="4"/>
      <c r="HE15" s="4"/>
      <c r="HF15" s="6"/>
      <c r="HG15" s="4"/>
      <c r="HH15" s="5">
        <v>0</v>
      </c>
      <c r="HI15" s="5"/>
      <c r="HJ15" s="6"/>
      <c r="HK15" s="4"/>
      <c r="HL15" s="4"/>
      <c r="HM15" s="5">
        <v>0</v>
      </c>
      <c r="HN15" s="5">
        <v>0</v>
      </c>
      <c r="HO15" s="5"/>
      <c r="HP15" s="4"/>
      <c r="HQ15" s="5">
        <v>0</v>
      </c>
      <c r="HR15" s="4"/>
      <c r="HS15" s="4"/>
      <c r="HT15" s="4"/>
      <c r="HU15" s="4"/>
      <c r="HV15" s="6"/>
      <c r="HW15" s="6"/>
      <c r="HX15" s="6"/>
      <c r="HY15" s="9"/>
      <c r="HZ15"/>
      <c r="IA15"/>
      <c r="IB15"/>
      <c r="IC15"/>
      <c r="ID15"/>
      <c r="IE15"/>
      <c r="IF15" s="4"/>
      <c r="IG15" s="4"/>
      <c r="IH15" s="6"/>
      <c r="II15" s="4"/>
      <c r="IJ15" s="5">
        <v>0</v>
      </c>
      <c r="IK15" s="5"/>
      <c r="IL15" s="6"/>
      <c r="IM15" s="4"/>
      <c r="IN15" s="4"/>
      <c r="IO15" s="5">
        <v>0</v>
      </c>
      <c r="IP15" s="5">
        <v>0</v>
      </c>
      <c r="IQ15" s="5"/>
      <c r="IR15" s="4"/>
      <c r="IS15" s="5">
        <v>0</v>
      </c>
      <c r="IT15" s="4"/>
      <c r="IU15" s="4"/>
      <c r="IV15" s="4"/>
      <c r="IW15" s="4"/>
      <c r="IX15" s="6"/>
      <c r="IY15" s="6"/>
      <c r="IZ15" s="6"/>
      <c r="JA15" s="9"/>
      <c r="JB15"/>
      <c r="JC15"/>
      <c r="JD15"/>
      <c r="JE15"/>
      <c r="JF15"/>
      <c r="JG15"/>
      <c r="JH15" s="4"/>
      <c r="JI15" s="4"/>
      <c r="JJ15" s="6"/>
      <c r="JK15" s="4"/>
      <c r="JL15" s="5">
        <v>0</v>
      </c>
      <c r="JM15" s="5"/>
      <c r="JN15" s="6"/>
      <c r="JO15" s="4"/>
      <c r="JP15" s="4"/>
      <c r="JQ15" s="5">
        <v>0</v>
      </c>
      <c r="JR15" s="5">
        <v>0</v>
      </c>
      <c r="JS15" s="5"/>
      <c r="JT15" s="4"/>
      <c r="JU15" s="5">
        <v>0</v>
      </c>
      <c r="JV15" s="4"/>
      <c r="JW15" s="4"/>
      <c r="JX15" s="4"/>
      <c r="JY15" s="4"/>
      <c r="JZ15" s="6"/>
      <c r="KA15" s="6"/>
      <c r="KB15" s="6"/>
      <c r="KC15" s="9"/>
      <c r="KD15"/>
      <c r="KE15"/>
      <c r="KF15"/>
      <c r="KG15"/>
      <c r="KH15"/>
      <c r="KI15"/>
      <c r="KJ15" s="4"/>
      <c r="KK15" s="4"/>
      <c r="KL15" s="6"/>
      <c r="KM15" s="4"/>
      <c r="KN15" s="5">
        <v>0</v>
      </c>
      <c r="KO15" s="5"/>
      <c r="KP15" s="6"/>
      <c r="KQ15" s="4"/>
      <c r="KR15" s="4"/>
      <c r="KS15" s="5">
        <v>0</v>
      </c>
      <c r="KT15" s="5">
        <v>0</v>
      </c>
      <c r="KU15" s="5"/>
      <c r="KV15" s="4"/>
      <c r="KW15" s="5">
        <v>0</v>
      </c>
      <c r="KX15" s="4"/>
      <c r="KY15" s="4"/>
      <c r="KZ15" s="4"/>
      <c r="LA15" s="4"/>
      <c r="LB15" s="6"/>
      <c r="LC15" s="6"/>
      <c r="LD15" s="6"/>
      <c r="LE15" s="9"/>
      <c r="LF15"/>
      <c r="LG15"/>
      <c r="LH15"/>
      <c r="LI15"/>
      <c r="LJ15"/>
      <c r="LK15"/>
      <c r="LL15" s="4"/>
      <c r="LM15" s="4"/>
      <c r="LN15" s="6"/>
      <c r="LO15" s="4"/>
      <c r="LP15" s="5">
        <v>0</v>
      </c>
      <c r="LQ15" s="5"/>
      <c r="LR15" s="6"/>
      <c r="LS15" s="4"/>
      <c r="LT15" s="4"/>
      <c r="LU15" s="5">
        <v>0</v>
      </c>
      <c r="LV15" s="5">
        <v>0</v>
      </c>
      <c r="LW15" s="5"/>
      <c r="LX15" s="4"/>
      <c r="LY15" s="5">
        <v>0</v>
      </c>
      <c r="LZ15" s="4"/>
      <c r="MA15" s="4"/>
      <c r="MB15" s="4"/>
      <c r="MC15" s="4"/>
      <c r="MD15" s="6"/>
      <c r="ME15" s="6"/>
      <c r="MF15" s="6"/>
      <c r="MG15" s="9"/>
      <c r="MH15"/>
    </row>
    <row r="16">
      <c r="A16" s="8">
        <v>25224</v>
      </c>
      <c r="B16" s="8">
        <v>25225</v>
      </c>
      <c r="C16" s="9">
        <f>B16-A16</f>
        <v>1</v>
      </c>
      <c r="D16" s="8">
        <v>25224</v>
      </c>
      <c r="E16" t="inlineStr">
        <is>
          <t xml:space="preserve">positive</t>
        </is>
      </c>
      <c r="F16" s="4">
        <v>1.0732198919910165</v>
      </c>
      <c r="G16" s="6">
        <v>-0.004843288102602075</v>
      </c>
      <c r="H16" s="7">
        <f>SUM(CP16,DR16,ET16,FV16,GX16,HZ16,JB16,KD16,LF16,MH16)</f>
        <v>-0.004843288102602075</v>
      </c>
      <c r="I16" s="7">
        <f>G16-H16</f>
        <v>0</v>
      </c>
      <c r="J16" s="5">
        <f>F16*(1+H16)</f>
        <v>1.0680219788566605</v>
      </c>
      <c r="K16" s="4">
        <v>1.0680219788566605</v>
      </c>
      <c r="L16" s="5">
        <f>K16-J16</f>
        <v>0</v>
      </c>
      <c r="M16" s="4">
        <v>2.015</v>
      </c>
      <c r="N16" s="4">
        <v>2.002</v>
      </c>
      <c r="O16" s="5">
        <f>M16/$M$3</f>
        <v>1.0291113381001022</v>
      </c>
      <c r="P16" s="5">
        <f>N16/$M$3</f>
        <v>1.0224719101123594</v>
      </c>
      <c r="Q16" s="7">
        <f>IFERROR(N16/M16-1,0)</f>
        <v>-0.006451612903225934</v>
      </c>
      <c r="R16" s="5">
        <f>SUM(IF(BQ16="lease",CB16,0),IF(CS16="lease",DD16,0),IF(DU16="lease",EF16,0),IF(EW16="lease",FH16,0),IF(FY16="lease",GJ16,0),IF(HA16="lease",HL16,0),IF(IC16="lease",IN16,0),IF(JE16="lease",JP16,0),IF(KG16="lease",KR16,0),IF(LI16="lease",LT16,0))</f>
        <v>1.0732198919910163</v>
      </c>
      <c r="S16" s="5">
        <f>SUM(IF(BQ16="lease",CI16,0),IF(CS16="lease",DK16,0),IF(DU16="lease",EM16,0),IF(EW16="lease",FO16,0),IF(FY16="lease",GQ16,0),IF(HA16="lease",HS16,0),IF(IC16="lease",IU16,0),IF(JE16="lease",JW16,0),IF(KG16="lease",KY16,0),IF(LI16="lease",MA16,0))</f>
        <v>1.0680219788566603</v>
      </c>
      <c r="T16" s="5">
        <f>SUM(IF(BQ16="keep",CB16,0),IF(CS16="keep",DD16,0),IF(DU16="keep",EF16,0),IF(EW16="keep",FH16,0),IF(FY16="keep",GJ16,0),IF(HA16="keep",HL16,0),IF(IC16="keep",IN16,0),IF(JE16="keep",JP16,0),IF(KG16="keep",KR16,0),IF(LI16="keep",LT16,0))</f>
        <v>0</v>
      </c>
      <c r="U16" s="5">
        <f>SUM(IF(BQ16="keep",CI16,0),IF(CS16="keep",DK16,0),IF(DU16="keep",EM16,0),IF(EW16="keep",FO16,0),IF(FY16="keep",GQ16,0),IF(HA16="keep",HS16,0),IF(IC16="keep",IU16,0),IF(JE16="keep",JW16,0),IF(KG16="keep",KY16,0),IF(LI16="keep",MA16,0))</f>
        <v>0</v>
      </c>
      <c r="V16" s="5">
        <f>R16/O16</f>
        <v>1.0428608181232804</v>
      </c>
      <c r="W16" s="5">
        <f>S16/P16</f>
        <v>1.0445489683323383</v>
      </c>
      <c r="X16" s="5">
        <f>T16/O16</f>
        <v>0</v>
      </c>
      <c r="Y16" s="5">
        <f>U16/P16</f>
        <v>0</v>
      </c>
      <c r="Z16" s="5">
        <f>V16+X16</f>
        <v>1.0428608181232804</v>
      </c>
      <c r="AA16" s="7">
        <f>IFERROR(W16/V16-1,0)</f>
        <v>0.0016187684681605585</v>
      </c>
      <c r="AB16" s="7">
        <f>IFERROR((W16-V16)/Z16,0)</f>
        <v>0.0016187684681604657</v>
      </c>
      <c r="AC16" s="7">
        <f>IFERROR(Y16/X16-1,0)</f>
        <v>0</v>
      </c>
      <c r="AD16" s="7">
        <f>IFERROR((Y16-X16)/Z16,0)</f>
        <v>0</v>
      </c>
      <c r="AE16" s="7">
        <f>AB16+AD16</f>
        <v>0.0016187684681604657</v>
      </c>
      <c r="AF16" s="7">
        <f>(1+Q16)*(1+AE16)-1</f>
        <v>-0.004843288102601928</v>
      </c>
      <c r="AG16" s="7">
        <f>G16-AF16</f>
        <v>-1.465841337200402e-16</v>
      </c>
      <c r="AH16" s="5">
        <f>SUM(IF(BQ16="lease",CE16,0),IF(CS16="lease",DG16,0),IF(DU16="lease",EI16,0),IF(EW16="lease",FK16,0),IF(FY16="lease",GM16,0),IF(HA16="lease",HO16,0),IF(IC16="lease",IQ16,0),IF(JE16="lease",JS16,0),IF(KG16="lease",KU16,0),IF(LI16="lease",LW16,0))</f>
        <v>-0.005197913134355974</v>
      </c>
      <c r="AI16" s="5">
        <f>SUM(IF(BQ16="keep",CE16,0),IF(CS16="keep",DG16,0),IF(DU16="keep",EI16,0),IF(EW16="keep",FK16,0),IF(FY16="keep",GM16,0),IF(HA16="keep",HO16,0),IF(IC16="keep",IQ16,0),IF(JE16="keep",JS16,0),IF(KG16="keep",KU16,0),IF(LI16="keep",LW16,0))</f>
        <v>0</v>
      </c>
      <c r="AJ16" s="5">
        <f>SUM(IF(BQ16="lease",CH16,0),IF(CS16="lease",DJ16,0),IF(DU16="lease",EL16,0),IF(EW16="lease",FN16,0),IF(FY16="lease",GP16,0),IF(HA16="lease",HR16,0),IF(IC16="lease",IT16,0),IF(JE16="lease",JV16,0),IF(KG16="lease",KX16,0),IF(LI16="lease",LZ16,0))</f>
        <v>0</v>
      </c>
      <c r="AK16" s="5">
        <f>SUM(IF(BQ16="keep",CH16,0),IF(CS16="keep",DJ16,0),IF(DU16="keep",EL16,0),IF(EW16="keep",FN16,0),IF(FY16="keep",GP16,0),IF(HA16="keep",HR16,0),IF(IC16="keep",IT16,0),IF(JE16="keep",JV16,0),IF(KG16="keep",KX16,0),IF(LI16="keep",LZ16,0))</f>
        <v>0</v>
      </c>
      <c r="AL16" s="5">
        <f>R16-S15</f>
        <v>-2.220446049250313e-16</v>
      </c>
      <c r="AM16" s="5">
        <f>T16-U15</f>
        <v>0</v>
      </c>
      <c r="AN16" s="5">
        <f>AN15</f>
        <v>1</v>
      </c>
      <c r="AO16" s="5">
        <f>AO15+AH16</f>
        <v>0.06802197885666057</v>
      </c>
      <c r="AP16" s="5">
        <f>AP15+AL16</f>
        <v>-4.440892098500626e-16</v>
      </c>
      <c r="AQ16" s="5">
        <f>AN16+AO16+AP16</f>
        <v>1.06802197885666</v>
      </c>
      <c r="AR16" s="5">
        <f>S16-AQ16</f>
        <v>2.220446049250313e-16</v>
      </c>
      <c r="AS16" s="5">
        <f>AS15</f>
        <v>0</v>
      </c>
      <c r="AT16" s="5">
        <f>AT15+AI16</f>
        <v>0</v>
      </c>
      <c r="AU16" s="5">
        <f>AU15+AM16</f>
        <v>0</v>
      </c>
      <c r="AV16" s="5">
        <f>AS16+AT16+AU16</f>
        <v>0</v>
      </c>
      <c r="AW16" s="5">
        <f>U16-AV16</f>
        <v>0</v>
      </c>
      <c r="AX16" s="4">
        <v>1.0732198919910163</v>
      </c>
      <c r="AY16" s="4">
        <v>1.0680219788566603</v>
      </c>
      <c r="AZ16" s="5">
        <f>S16-AY16</f>
        <v>0</v>
      </c>
      <c r="BA16" s="4">
        <v>0</v>
      </c>
      <c r="BB16" s="4">
        <v>0</v>
      </c>
      <c r="BC16" s="5">
        <f>U16-BB16</f>
        <v>0</v>
      </c>
      <c r="BD16" s="7">
        <f>SUM(IF(BP16="direct",CC16/F16,0),IF(CR16="direct",DE16/F16,0),IF(DT16="direct",EG16/F16,0),IF(EV16="direct",FI16/F16,0),IF(FX16="direct",GK16/F16,0),IF(GZ16="direct",HM16/F16,0),IF(IB16="direct",IO16/F16,0),IF(JD16="direct",JQ16/F16,0),IF(KF16="direct",KS16/F16,0),IF(LH16="direct",LU16/F16,0))</f>
        <v>-0.0035925340754925875</v>
      </c>
      <c r="BE16" s="7">
        <f>-SUM(IF(BP16="direct",CD16/F16,0),IF(CR16="direct",DF16/F16,0),IF(DT16="direct",EH16/F16,0),IF(EV16="direct",FJ16/F16,0),IF(FX16="direct",GL16/F16,0),IF(GZ16="direct",HN16/F16,0),IF(IB16="direct",IP16/F16,0),IF(JD16="direct",JR16/F16,0),IF(KF16="direct",KT16/F16,0),IF(LH16="direct",LV16/F16,0))</f>
        <v>-0.0000038139916554886056</v>
      </c>
      <c r="BF16" s="7">
        <f>BD16+BE16</f>
        <v>-0.0035963480671480762</v>
      </c>
      <c r="BG16" s="7">
        <f>BF16-SUM(IF(BP16="direct",CP16,0),IF(CR16="direct",DR16,0),IF(DT16="direct",ET16,0),IF(EV16="direct",FV16,0),IF(FX16="direct",GX16,0),IF(GZ16="direct",HZ16,0),IF(IB16="direct",JB16,0),IF(JD16="direct",KD16,0),IF(KF16="direct",LF16,0),IF(LH16="direct",MH16,0))</f>
        <v>-2.42861286636753e-17</v>
      </c>
      <c r="BH16" s="7">
        <f>SUM(IF(BP16="treasury",CP16,0),IF(CR16="treasury",DR16,0),IF(DT16="treasury",ET16,0),IF(EV16="treasury",FV16,0),IF(FX16="treasury",GX16,0),IF(GZ16="treasury",HZ16,0),IF(IB16="treasury",JB16,0),IF(JD16="treasury",KD16,0),IF(KF16="treasury",LF16,0),IF(LH16="treasury",MH16,0))</f>
        <v>0.00007394047834079072</v>
      </c>
      <c r="BI16" s="7">
        <f>SUM(IF(BP16="future",CP16,0),IF(CR16="future",DR16,0),IF(DT16="future",ET16,0),IF(EV16="future",FV16,0),IF(FX16="future",GX16,0),IF(GZ16="future",HZ16,0),IF(IB16="future",JB16,0),IF(JD16="future",KD16,0),IF(KF16="future",LF16,0),IF(LH16="future",MH16,0))</f>
        <v>-0.0013208805137948133</v>
      </c>
      <c r="BJ16" s="7">
        <f>SUM(IF(BP16="cash",CP16,0),IF(CR16="cash",DR16,0),IF(DT16="cash",ET16,0),IF(EV16="cash",FV16,0),IF(FX16="cash",GX16,0),IF(GZ16="cash",HZ16,0),IF(IB16="cash",JB16,0),IF(JD16="cash",KD16,0),IF(KF16="cash",LF16,0),IF(LH16="cash",MH16,0))</f>
        <v>0</v>
      </c>
      <c r="BK16" s="7">
        <f>SUM(BF16,BH16,BI16,BJ16)</f>
        <v>-0.004843288102602075</v>
      </c>
      <c r="BL16" s="7">
        <f>G16-BK16</f>
        <v>0</v>
      </c>
      <c r="BM16" s="5">
        <f>MAX(ABS(CG16),ABS(DI16),ABS(EK16),ABS(FM16),ABS(GO16),ABS(HQ16),ABS(IS16),ABS(JU16),ABS(KW16),ABS(LY16))</f>
        <v>4.994106257011355e-17</v>
      </c>
      <c r="BN16" s="9">
        <f>COUNTA(BO16,CQ16,DS16,EU16,FW16,GY16,IA16,JC16,KE16,LG16)</f>
        <v>6</v>
      </c>
      <c r="BO16" t="inlineStr">
        <is>
          <t xml:space="preserve">Direct commodity holding</t>
        </is>
      </c>
      <c r="BP16" t="inlineStr">
        <is>
          <t xml:space="preserve">direct</t>
        </is>
      </c>
      <c r="BQ16" t="inlineStr">
        <is>
          <t xml:space="preserve">lease</t>
        </is>
      </c>
      <c r="BR16" t="inlineStr">
        <is>
          <t xml:space="preserve">long</t>
        </is>
      </c>
      <c r="BS16"/>
      <c r="BT16" s="4">
        <v>2.015</v>
      </c>
      <c r="BU16" s="4">
        <v>2.002</v>
      </c>
      <c r="BV16" s="6">
        <v>0.0025</v>
      </c>
      <c r="BW16" s="4">
        <v>0.2965830024980076</v>
      </c>
      <c r="BX16" s="5">
        <f>IF(BP16="direct",IFERROR(CD16/BU16,0),0)</f>
        <v>0.0000020445812750040563</v>
      </c>
      <c r="BY16" s="5">
        <f>IF(BP16="direct",BW16-BX16,IF(BP16="cash",CI16,BW16))</f>
        <v>0.2965809579167326</v>
      </c>
      <c r="BZ16" s="6">
        <v>0.5568427817013364</v>
      </c>
      <c r="CA16" s="4">
        <v>0.5976147500334854</v>
      </c>
      <c r="CB16" s="4">
        <v>0.5976147500334854</v>
      </c>
      <c r="CC16" s="5">
        <f>IF(BP16="direct",BW16*(BU16-BT16),CF16)</f>
        <v>-0.0038555790324742013</v>
      </c>
      <c r="CD16" s="5">
        <f>IF(BP16="direct",CB16*BV16*C16/365,0)</f>
        <v>0.00000409325171255812</v>
      </c>
      <c r="CE16" s="5">
        <f>CC16-CD16</f>
        <v>-0.0038596722841867334</v>
      </c>
      <c r="CF16" s="4">
        <v>-0.0038596722841867334</v>
      </c>
      <c r="CG16" s="5">
        <f>CF16-CE16</f>
        <v>2.6073368182381873e-17</v>
      </c>
      <c r="CH16" s="4">
        <v>0</v>
      </c>
      <c r="CI16" s="4">
        <v>0.5937550777492986</v>
      </c>
      <c r="CJ16" s="4">
        <v>2.015</v>
      </c>
      <c r="CK16" s="4">
        <v>2.002</v>
      </c>
      <c r="CL16" s="6"/>
      <c r="CM16" s="6"/>
      <c r="CN16" s="6"/>
      <c r="CO16" s="9"/>
      <c r="CP16" s="7">
        <f>IFERROR(CE16/F16,0)</f>
        <v>-0.003596348067148052</v>
      </c>
      <c r="CQ16" t="inlineStr">
        <is>
          <t xml:space="preserve">Treasury collateral</t>
        </is>
      </c>
      <c r="CR16" t="inlineStr">
        <is>
          <t xml:space="preserve">treasury</t>
        </is>
      </c>
      <c r="CS16" t="inlineStr">
        <is>
          <t xml:space="preserve">lease</t>
        </is>
      </c>
      <c r="CT16" t="inlineStr">
        <is>
          <t xml:space="preserve">long</t>
        </is>
      </c>
      <c r="CU16"/>
      <c r="CV16" s="4">
        <v>100.31919618711306</v>
      </c>
      <c r="CW16" s="4">
        <v>100.3359343762851</v>
      </c>
      <c r="CX16" s="6"/>
      <c r="CY16" s="4">
        <v>0.004740918588207618</v>
      </c>
      <c r="CZ16" s="5">
        <f>IF(CR16="direct",IFERROR(DF16/CW16,0),0)</f>
        <v>0</v>
      </c>
      <c r="DA16" s="5">
        <f>IF(CR16="direct",CY16-CZ16,IF(CR16="cash",DK16,CY16))</f>
        <v>0.004740918588207618</v>
      </c>
      <c r="DB16" s="6">
        <v>0.44315721829866367</v>
      </c>
      <c r="DC16" s="4">
        <v>0.4756051419575312</v>
      </c>
      <c r="DD16" s="4">
        <v>0.4756051419575312</v>
      </c>
      <c r="DE16" s="5">
        <f>IF(CR16="direct",CY16*(CW16-CV16),DH16)</f>
        <v>0.00007935439217861758</v>
      </c>
      <c r="DF16" s="5">
        <f>IF(CR16="direct",DD16*CX16*C16/365,0)</f>
        <v>0</v>
      </c>
      <c r="DG16" s="5">
        <f>DE16-DF16</f>
        <v>0.00007935439217866752</v>
      </c>
      <c r="DH16" s="4">
        <v>0.00007935439217866752</v>
      </c>
      <c r="DI16" s="5">
        <f>DH16-DG16</f>
        <v>4.994106257011355e-17</v>
      </c>
      <c r="DJ16" s="4">
        <v>-6.867065509980064e-17</v>
      </c>
      <c r="DK16" s="4">
        <v>0.4756844963497098</v>
      </c>
      <c r="DL16" s="4">
        <v>2.015</v>
      </c>
      <c r="DM16" s="4">
        <v>2.002</v>
      </c>
      <c r="DN16" s="6"/>
      <c r="DO16" s="6"/>
      <c r="DP16" s="6"/>
      <c r="DQ16" s="9">
        <v>65</v>
      </c>
      <c r="DR16" s="7">
        <f>IFERROR(DG16/F16,0)</f>
        <v>0.00007394047834079072</v>
      </c>
      <c r="DS16" t="inlineStr">
        <is>
          <t xml:space="preserve">SI69H</t>
        </is>
      </c>
      <c r="DT16" t="inlineStr">
        <is>
          <t xml:space="preserve">future</t>
        </is>
      </c>
      <c r="DU16" t="inlineStr">
        <is>
          <t xml:space="preserve">lease</t>
        </is>
      </c>
      <c r="DV16" t="inlineStr">
        <is>
          <t xml:space="preserve">long</t>
        </is>
      </c>
      <c r="DW16" t="inlineStr">
        <is>
          <t xml:space="preserve">regular</t>
        </is>
      </c>
      <c r="DX16" s="4">
        <v>2.013</v>
      </c>
      <c r="DY16" s="4">
        <v>2.0069999999999997</v>
      </c>
      <c r="DZ16" s="6"/>
      <c r="EA16" s="4">
        <v>0.23621203622924217</v>
      </c>
      <c r="EB16" s="5">
        <f>IF(DT16="direct",IFERROR(EH16/DY16,0),0)</f>
        <v>0</v>
      </c>
      <c r="EC16" s="5">
        <f>IF(DT16="direct",EA16-EB16,IF(DT16="cash",EM16,EA16))</f>
        <v>0.23621203622924217</v>
      </c>
      <c r="ED16" s="6">
        <v>0.4430544313219314</v>
      </c>
      <c r="EE16" s="4">
        <v>0.4754948289294645</v>
      </c>
      <c r="EF16" s="4">
        <v>0</v>
      </c>
      <c r="EG16" s="5">
        <f>IF(DT16="direct",EA16*(DY16-DX16),EJ16)</f>
        <v>-0.0014172722173755312</v>
      </c>
      <c r="EH16" s="5">
        <f>IF(DT16="direct",EF16*DZ16*C16/365,0)</f>
        <v>0</v>
      </c>
      <c r="EI16" s="5">
        <f>EG16-EH16</f>
        <v>-0.0014172722173755312</v>
      </c>
      <c r="EJ16" s="4">
        <v>-0.0014172722173755312</v>
      </c>
      <c r="EK16" s="5">
        <f>EJ16-EI16</f>
        <v>0</v>
      </c>
      <c r="EL16" s="4">
        <v>0.0014172722173755312</v>
      </c>
      <c r="EM16" s="4">
        <v>0</v>
      </c>
      <c r="EN16" s="4">
        <v>2.015</v>
      </c>
      <c r="EO16" s="4">
        <v>2.002</v>
      </c>
      <c r="EP16" s="6">
        <v>-0.0009925558312656735</v>
      </c>
      <c r="EQ16" s="6">
        <v>0.060899999999999996</v>
      </c>
      <c r="ER16" s="6">
        <v>0.06647358274479954</v>
      </c>
      <c r="ES16" s="9">
        <v>65</v>
      </c>
      <c r="ET16" s="7">
        <f>IFERROR(EI16/F16,0)</f>
        <v>-0.001320579527040107</v>
      </c>
      <c r="EU16" t="inlineStr">
        <is>
          <t xml:space="preserve">SI69K</t>
        </is>
      </c>
      <c r="EV16" t="inlineStr">
        <is>
          <t xml:space="preserve">future</t>
        </is>
      </c>
      <c r="EW16" t="inlineStr">
        <is>
          <t xml:space="preserve">lease</t>
        </is>
      </c>
      <c r="EX16" t="inlineStr">
        <is>
          <t xml:space="preserve">long</t>
        </is>
      </c>
      <c r="EY16" t="inlineStr">
        <is>
          <t xml:space="preserve">regular</t>
        </is>
      </c>
      <c r="EZ16" s="4">
        <v>2.049</v>
      </c>
      <c r="FA16" s="4">
        <v>2.043</v>
      </c>
      <c r="FB16" s="6"/>
      <c r="FC16" s="4">
        <v>0.000053837495396139854</v>
      </c>
      <c r="FD16" s="5">
        <f>IF(EV16="direct",IFERROR(FJ16/FA16,0),0)</f>
        <v>0</v>
      </c>
      <c r="FE16" s="5">
        <f>IF(EV16="direct",FC16-FD16,IF(EV16="cash",FO16,FC16))</f>
        <v>0.000053837495396139854</v>
      </c>
      <c r="FF16" s="6">
        <v>0.00010278697673227057</v>
      </c>
      <c r="FG16" s="4">
        <v>0.00011031302806669056</v>
      </c>
      <c r="FH16" s="4">
        <v>0</v>
      </c>
      <c r="FI16" s="5">
        <f>IF(EV16="direct",FC16*(FA16-EZ16),FL16)</f>
        <v>-3.2302497237683297e-7</v>
      </c>
      <c r="FJ16" s="5">
        <f>IF(EV16="direct",FH16*FB16*C16/365,0)</f>
        <v>0</v>
      </c>
      <c r="FK16" s="5">
        <f>FI16-FJ16</f>
        <v>-3.2302497237683297e-7</v>
      </c>
      <c r="FL16" s="4">
        <v>-3.2302497237683297e-7</v>
      </c>
      <c r="FM16" s="5">
        <f>FL16-FK16</f>
        <v>0</v>
      </c>
      <c r="FN16" s="4">
        <v>3.2302497237683297e-7</v>
      </c>
      <c r="FO16" s="4">
        <v>0</v>
      </c>
      <c r="FP16" s="4">
        <v>2.015</v>
      </c>
      <c r="FQ16" s="4">
        <v>2.002</v>
      </c>
      <c r="FR16" s="6">
        <v>0.01687344913151345</v>
      </c>
      <c r="FS16" s="6">
        <v>0.06133516483516484</v>
      </c>
      <c r="FT16" s="6">
        <v>0.0128406063075868</v>
      </c>
      <c r="FU16" s="9">
        <v>127</v>
      </c>
      <c r="FV16" s="7">
        <f>IFERROR(FK16/F16,0)</f>
        <v>-3.009867547064967e-7</v>
      </c>
      <c r="FW16" t="inlineStr">
        <is>
          <t xml:space="preserve">Lease cash / margin / financing</t>
        </is>
      </c>
      <c r="FX16" t="inlineStr">
        <is>
          <t xml:space="preserve">cash</t>
        </is>
      </c>
      <c r="FY16" t="inlineStr">
        <is>
          <t xml:space="preserve">lease</t>
        </is>
      </c>
      <c r="FZ16" t="inlineStr">
        <is>
          <t xml:space="preserve">cash</t>
        </is>
      </c>
      <c r="GA16"/>
      <c r="GB16" s="4">
        <v>1</v>
      </c>
      <c r="GC16" s="4">
        <v>1</v>
      </c>
      <c r="GD16" s="6"/>
      <c r="GE16" s="4">
        <v>-2.220446049250313e-16</v>
      </c>
      <c r="GF16" s="5">
        <f>IF(FX16="direct",IFERROR(GL16/GC16,0),0)</f>
        <v>0</v>
      </c>
      <c r="GG16" s="5">
        <f>IF(FX16="direct",GE16-GF16,IF(FX16="cash",GQ16,GE16))</f>
        <v>-0.0014175952423480613</v>
      </c>
      <c r="GH16" s="6"/>
      <c r="GI16" s="4">
        <v>-2.220446049250313e-16</v>
      </c>
      <c r="GJ16" s="4">
        <v>-2.220446049250313e-16</v>
      </c>
      <c r="GK16" s="5">
        <f>IF(FX16="direct",GE16*(GC16-GB16),GN16)</f>
        <v>0</v>
      </c>
      <c r="GL16" s="5">
        <f>IF(FX16="direct",GJ16*GD16*C16/365,0)</f>
        <v>0</v>
      </c>
      <c r="GM16" s="5">
        <f>GK16-GL16</f>
        <v>0</v>
      </c>
      <c r="GN16" s="4">
        <v>0</v>
      </c>
      <c r="GO16" s="5">
        <f>GN16-GM16</f>
        <v>0</v>
      </c>
      <c r="GP16" s="4">
        <v>-0.0014175952423478393</v>
      </c>
      <c r="GQ16" s="4">
        <v>-0.0014175952423480613</v>
      </c>
      <c r="GR16" s="4">
        <v>2.015</v>
      </c>
      <c r="GS16" s="4">
        <v>2.002</v>
      </c>
      <c r="GT16" s="6"/>
      <c r="GU16" s="6"/>
      <c r="GV16" s="6"/>
      <c r="GW16" s="9"/>
      <c r="GX16" s="7">
        <f>IFERROR(GM16/F16,0)</f>
        <v>0</v>
      </c>
      <c r="GY16" t="inlineStr">
        <is>
          <t xml:space="preserve">Keep cash / margin / financing</t>
        </is>
      </c>
      <c r="GZ16" t="inlineStr">
        <is>
          <t xml:space="preserve">cash</t>
        </is>
      </c>
      <c r="HA16" t="inlineStr">
        <is>
          <t xml:space="preserve">keep</t>
        </is>
      </c>
      <c r="HB16" t="inlineStr">
        <is>
          <t xml:space="preserve">cash</t>
        </is>
      </c>
      <c r="HC16"/>
      <c r="HD16" s="4">
        <v>1</v>
      </c>
      <c r="HE16" s="4">
        <v>1</v>
      </c>
      <c r="HF16" s="6"/>
      <c r="HG16" s="4">
        <v>0</v>
      </c>
      <c r="HH16" s="5">
        <f>IF(GZ16="direct",IFERROR(HN16/HE16,0),0)</f>
        <v>0</v>
      </c>
      <c r="HI16" s="5">
        <f>IF(GZ16="direct",HG16-HH16,IF(GZ16="cash",HS16,HG16))</f>
        <v>0</v>
      </c>
      <c r="HJ16" s="6"/>
      <c r="HK16" s="4">
        <v>0</v>
      </c>
      <c r="HL16" s="4">
        <v>0</v>
      </c>
      <c r="HM16" s="5">
        <f>IF(GZ16="direct",HG16*(HE16-HD16),HP16)</f>
        <v>0</v>
      </c>
      <c r="HN16" s="5">
        <f>IF(GZ16="direct",HL16*HF16*C16/365,0)</f>
        <v>0</v>
      </c>
      <c r="HO16" s="5">
        <f>HM16-HN16</f>
        <v>0</v>
      </c>
      <c r="HP16" s="4">
        <v>0</v>
      </c>
      <c r="HQ16" s="5">
        <f>HP16-HO16</f>
        <v>0</v>
      </c>
      <c r="HR16" s="4">
        <v>0</v>
      </c>
      <c r="HS16" s="4">
        <v>0</v>
      </c>
      <c r="HT16" s="4">
        <v>2.015</v>
      </c>
      <c r="HU16" s="4">
        <v>2.002</v>
      </c>
      <c r="HV16" s="6"/>
      <c r="HW16" s="6"/>
      <c r="HX16" s="6"/>
      <c r="HY16" s="9"/>
      <c r="HZ16" s="7">
        <f>IFERROR(HO16/F16,0)</f>
        <v>0</v>
      </c>
      <c r="IA16"/>
      <c r="IB16"/>
      <c r="IC16"/>
      <c r="ID16"/>
      <c r="IE16"/>
      <c r="IF16" s="4"/>
      <c r="IG16" s="4"/>
      <c r="IH16" s="6"/>
      <c r="II16" s="4"/>
      <c r="IJ16" s="5">
        <v>0</v>
      </c>
      <c r="IK16" s="5"/>
      <c r="IL16" s="6"/>
      <c r="IM16" s="4"/>
      <c r="IN16" s="4"/>
      <c r="IO16" s="5">
        <v>0</v>
      </c>
      <c r="IP16" s="5">
        <v>0</v>
      </c>
      <c r="IQ16" s="5"/>
      <c r="IR16" s="4"/>
      <c r="IS16" s="5">
        <v>0</v>
      </c>
      <c r="IT16" s="4"/>
      <c r="IU16" s="4"/>
      <c r="IV16" s="4"/>
      <c r="IW16" s="4"/>
      <c r="IX16" s="6"/>
      <c r="IY16" s="6"/>
      <c r="IZ16" s="6"/>
      <c r="JA16" s="9"/>
      <c r="JB16"/>
      <c r="JC16"/>
      <c r="JD16"/>
      <c r="JE16"/>
      <c r="JF16"/>
      <c r="JG16"/>
      <c r="JH16" s="4"/>
      <c r="JI16" s="4"/>
      <c r="JJ16" s="6"/>
      <c r="JK16" s="4"/>
      <c r="JL16" s="5">
        <v>0</v>
      </c>
      <c r="JM16" s="5"/>
      <c r="JN16" s="6"/>
      <c r="JO16" s="4"/>
      <c r="JP16" s="4"/>
      <c r="JQ16" s="5">
        <v>0</v>
      </c>
      <c r="JR16" s="5">
        <v>0</v>
      </c>
      <c r="JS16" s="5"/>
      <c r="JT16" s="4"/>
      <c r="JU16" s="5">
        <v>0</v>
      </c>
      <c r="JV16" s="4"/>
      <c r="JW16" s="4"/>
      <c r="JX16" s="4"/>
      <c r="JY16" s="4"/>
      <c r="JZ16" s="6"/>
      <c r="KA16" s="6"/>
      <c r="KB16" s="6"/>
      <c r="KC16" s="9"/>
      <c r="KD16"/>
      <c r="KE16"/>
      <c r="KF16"/>
      <c r="KG16"/>
      <c r="KH16"/>
      <c r="KI16"/>
      <c r="KJ16" s="4"/>
      <c r="KK16" s="4"/>
      <c r="KL16" s="6"/>
      <c r="KM16" s="4"/>
      <c r="KN16" s="5">
        <v>0</v>
      </c>
      <c r="KO16" s="5"/>
      <c r="KP16" s="6"/>
      <c r="KQ16" s="4"/>
      <c r="KR16" s="4"/>
      <c r="KS16" s="5">
        <v>0</v>
      </c>
      <c r="KT16" s="5">
        <v>0</v>
      </c>
      <c r="KU16" s="5"/>
      <c r="KV16" s="4"/>
      <c r="KW16" s="5">
        <v>0</v>
      </c>
      <c r="KX16" s="4"/>
      <c r="KY16" s="4"/>
      <c r="KZ16" s="4"/>
      <c r="LA16" s="4"/>
      <c r="LB16" s="6"/>
      <c r="LC16" s="6"/>
      <c r="LD16" s="6"/>
      <c r="LE16" s="9"/>
      <c r="LF16"/>
      <c r="LG16"/>
      <c r="LH16"/>
      <c r="LI16"/>
      <c r="LJ16"/>
      <c r="LK16"/>
      <c r="LL16" s="4"/>
      <c r="LM16" s="4"/>
      <c r="LN16" s="6"/>
      <c r="LO16" s="4"/>
      <c r="LP16" s="5">
        <v>0</v>
      </c>
      <c r="LQ16" s="5"/>
      <c r="LR16" s="6"/>
      <c r="LS16" s="4"/>
      <c r="LT16" s="4"/>
      <c r="LU16" s="5">
        <v>0</v>
      </c>
      <c r="LV16" s="5">
        <v>0</v>
      </c>
      <c r="LW16" s="5"/>
      <c r="LX16" s="4"/>
      <c r="LY16" s="5">
        <v>0</v>
      </c>
      <c r="LZ16" s="4"/>
      <c r="MA16" s="4"/>
      <c r="MB16" s="4"/>
      <c r="MC16" s="4"/>
      <c r="MD16" s="6"/>
      <c r="ME16" s="6"/>
      <c r="MF16" s="6"/>
      <c r="MG16" s="9"/>
      <c r="MH16"/>
    </row>
    <row r="17">
      <c r="A17" s="8">
        <v>25225</v>
      </c>
      <c r="B17" s="8">
        <v>25226</v>
      </c>
      <c r="C17" s="9">
        <f>B17-A17</f>
        <v>1</v>
      </c>
      <c r="D17" s="8">
        <v>25225</v>
      </c>
      <c r="E17" t="inlineStr">
        <is>
          <t xml:space="preserve">positive</t>
        </is>
      </c>
      <c r="F17" s="4">
        <v>1.0680219788566605</v>
      </c>
      <c r="G17" s="6">
        <v>-0.010246789060479388</v>
      </c>
      <c r="H17" s="7">
        <f>SUM(CP17,DR17,ET17,FV17,GX17,HZ17,JB17,KD17,LF17,MH17)</f>
        <v>-0.01024678906047939</v>
      </c>
      <c r="I17" s="7">
        <f>G17-H17</f>
        <v>1.734723475976807e-18</v>
      </c>
      <c r="J17" s="5">
        <f>F17*(1+H17)</f>
        <v>1.0570781829273606</v>
      </c>
      <c r="K17" s="4">
        <v>1.0570781829273606</v>
      </c>
      <c r="L17" s="5">
        <f>K17-J17</f>
        <v>0</v>
      </c>
      <c r="M17" s="4">
        <v>2.002</v>
      </c>
      <c r="N17" s="4">
        <v>1.982</v>
      </c>
      <c r="O17" s="5">
        <f>M17/$M$3</f>
        <v>1.0224719101123594</v>
      </c>
      <c r="P17" s="5">
        <f>N17/$M$3</f>
        <v>1.0122574055158324</v>
      </c>
      <c r="Q17" s="7">
        <f>IFERROR(N17/M17-1,0)</f>
        <v>-0.009990009990009874</v>
      </c>
      <c r="R17" s="5">
        <f>SUM(IF(BQ17="lease",CB17,0),IF(CS17="lease",DD17,0),IF(DU17="lease",EF17,0),IF(EW17="lease",FH17,0),IF(FY17="lease",GJ17,0),IF(HA17="lease",HL17,0),IF(IC17="lease",IN17,0),IF(JE17="lease",JP17,0),IF(KG17="lease",KR17,0),IF(LI17="lease",LT17,0))</f>
        <v>1.0680219788566603</v>
      </c>
      <c r="S17" s="5">
        <f>SUM(IF(BQ17="lease",CI17,0),IF(CS17="lease",DK17,0),IF(DU17="lease",EM17,0),IF(EW17="lease",FO17,0),IF(FY17="lease",GQ17,0),IF(HA17="lease",HS17,0),IF(IC17="lease",IU17,0),IF(JE17="lease",JW17,0),IF(KG17="lease",KY17,0),IF(LI17="lease",MA17,0))</f>
        <v>1.0570781829273603</v>
      </c>
      <c r="T17" s="5">
        <f>SUM(IF(BQ17="keep",CB17,0),IF(CS17="keep",DD17,0),IF(DU17="keep",EF17,0),IF(EW17="keep",FH17,0),IF(FY17="keep",GJ17,0),IF(HA17="keep",HL17,0),IF(IC17="keep",IN17,0),IF(JE17="keep",JP17,0),IF(KG17="keep",KR17,0),IF(LI17="keep",LT17,0))</f>
        <v>0</v>
      </c>
      <c r="U17" s="5">
        <f>SUM(IF(BQ17="keep",CI17,0),IF(CS17="keep",DK17,0),IF(DU17="keep",EM17,0),IF(EW17="keep",FO17,0),IF(FY17="keep",GQ17,0),IF(HA17="keep",HS17,0),IF(IC17="keep",IU17,0),IF(JE17="keep",JW17,0),IF(KG17="keep",KY17,0),IF(LI17="keep",MA17,0))</f>
        <v>0</v>
      </c>
      <c r="V17" s="5">
        <f>R17/O17</f>
        <v>1.0445489683323383</v>
      </c>
      <c r="W17" s="5">
        <f>S17/P17</f>
        <v>1.0442780434771803</v>
      </c>
      <c r="X17" s="5">
        <f>T17/O17</f>
        <v>0</v>
      </c>
      <c r="Y17" s="5">
        <f>U17/P17</f>
        <v>0</v>
      </c>
      <c r="Z17" s="5">
        <f>V17+X17</f>
        <v>1.0445489683323383</v>
      </c>
      <c r="AA17" s="7">
        <f>IFERROR(W17/V17-1,0)</f>
        <v>-0.0002593701811707261</v>
      </c>
      <c r="AB17" s="7">
        <f>IFERROR((W17-V17)/Z17,0)</f>
        <v>-0.0002593701811706802</v>
      </c>
      <c r="AC17" s="7">
        <f>IFERROR(Y17/X17-1,0)</f>
        <v>0</v>
      </c>
      <c r="AD17" s="7">
        <f>IFERROR((Y17-X17)/Z17,0)</f>
        <v>0</v>
      </c>
      <c r="AE17" s="7">
        <f>AB17+AD17</f>
        <v>-0.0002593701811706802</v>
      </c>
      <c r="AF17" s="7">
        <f>(1+Q17)*(1+AE17)-1</f>
        <v>-0.0102467890604796</v>
      </c>
      <c r="AG17" s="7">
        <f>G17-AF17</f>
        <v>2.1163626406917047e-16</v>
      </c>
      <c r="AH17" s="5">
        <f>SUM(IF(BQ17="lease",CE17,0),IF(CS17="lease",DG17,0),IF(DU17="lease",EI17,0),IF(EW17="lease",FK17,0),IF(FY17="lease",GM17,0),IF(HA17="lease",HO17,0),IF(IC17="lease",IQ17,0),IF(JE17="lease",JS17,0),IF(KG17="lease",KU17,0),IF(LI17="lease",LW17,0))</f>
        <v>-0.010943795929299978</v>
      </c>
      <c r="AI17" s="5">
        <f>SUM(IF(BQ17="keep",CE17,0),IF(CS17="keep",DG17,0),IF(DU17="keep",EI17,0),IF(EW17="keep",FK17,0),IF(FY17="keep",GM17,0),IF(HA17="keep",HO17,0),IF(IC17="keep",IQ17,0),IF(JE17="keep",JS17,0),IF(KG17="keep",KU17,0),IF(LI17="keep",LW17,0))</f>
        <v>0</v>
      </c>
      <c r="AJ17" s="5">
        <f>SUM(IF(BQ17="lease",CH17,0),IF(CS17="lease",DJ17,0),IF(DU17="lease",EL17,0),IF(EW17="lease",FN17,0),IF(FY17="lease",GP17,0),IF(HA17="lease",HR17,0),IF(IC17="lease",IT17,0),IF(JE17="lease",JV17,0),IF(KG17="lease",KX17,0),IF(LI17="lease",LZ17,0))</f>
        <v>0</v>
      </c>
      <c r="AK17" s="5">
        <f>SUM(IF(BQ17="keep",CH17,0),IF(CS17="keep",DJ17,0),IF(DU17="keep",EL17,0),IF(EW17="keep",FN17,0),IF(FY17="keep",GP17,0),IF(HA17="keep",HR17,0),IF(IC17="keep",IT17,0),IF(JE17="keep",JV17,0),IF(KG17="keep",KX17,0),IF(LI17="keep",LZ17,0))</f>
        <v>0</v>
      </c>
      <c r="AL17" s="5">
        <f>R17-S16</f>
        <v>0</v>
      </c>
      <c r="AM17" s="5">
        <f>T17-U16</f>
        <v>0</v>
      </c>
      <c r="AN17" s="5">
        <f>AN16</f>
        <v>1</v>
      </c>
      <c r="AO17" s="5">
        <f>AO16+AH17</f>
        <v>0.057078182927360596</v>
      </c>
      <c r="AP17" s="5">
        <f>AP16+AL17</f>
        <v>-4.440892098500626e-16</v>
      </c>
      <c r="AQ17" s="5">
        <f>AN17+AO17+AP17</f>
        <v>1.05707818292736</v>
      </c>
      <c r="AR17" s="5">
        <f>S17-AQ17</f>
        <v>2.220446049250313e-16</v>
      </c>
      <c r="AS17" s="5">
        <f>AS16</f>
        <v>0</v>
      </c>
      <c r="AT17" s="5">
        <f>AT16+AI17</f>
        <v>0</v>
      </c>
      <c r="AU17" s="5">
        <f>AU16+AM17</f>
        <v>0</v>
      </c>
      <c r="AV17" s="5">
        <f>AS17+AT17+AU17</f>
        <v>0</v>
      </c>
      <c r="AW17" s="5">
        <f>U17-AV17</f>
        <v>0</v>
      </c>
      <c r="AX17" s="4">
        <v>1.0680219788566603</v>
      </c>
      <c r="AY17" s="4">
        <v>1.0570781829273603</v>
      </c>
      <c r="AZ17" s="5">
        <f>S17-AY17</f>
        <v>0</v>
      </c>
      <c r="BA17" s="4">
        <v>0</v>
      </c>
      <c r="BB17" s="4">
        <v>0</v>
      </c>
      <c r="BC17" s="5">
        <f>U17-BB17</f>
        <v>0</v>
      </c>
      <c r="BD17" s="7">
        <f>SUM(IF(BP17="direct",CC17/F17,0),IF(CR17="direct",DE17/F17,0),IF(DT17="direct",EG17/F17,0),IF(EV17="direct",FI17/F17,0),IF(FX17="direct",GK17/F17,0),IF(GZ17="direct",HM17/F17,0),IF(IB17="direct",IO17/F17,0),IF(JD17="direct",JQ17/F17,0),IF(KF17="direct",KS17/F17,0),IF(LH17="direct",LU17/F17,0))</f>
        <v>-0.006856048546857658</v>
      </c>
      <c r="BE17" s="7">
        <f>-SUM(IF(BP17="direct",CD17/F17,0),IF(CR17="direct",DF17/F17,0),IF(DT17="direct",EH17/F17,0),IF(EV17="direct",FJ17/F17,0),IF(FX17="direct",GL17/F17,0),IF(GZ17="direct",HN17/F17,0),IF(IB17="direct",IP17/F17,0),IF(JD17="direct",JR17/F17,0),IF(KF17="direct",KT17/F17,0),IF(LH17="direct",LV17/F17,0))</f>
        <v>-0.000004700619585893551</v>
      </c>
      <c r="BF17" s="7">
        <f>BD17+BE17</f>
        <v>-0.006860749166443552</v>
      </c>
      <c r="BG17" s="7">
        <f>BF17-SUM(IF(BP17="direct",CP17,0),IF(CR17="direct",DR17,0),IF(DT17="direct",ET17,0),IF(EV17="direct",FV17,0),IF(FX17="direct",GX17,0),IF(GZ17="direct",HZ17,0),IF(IB17="direct",JB17,0),IF(JD17="direct",KD17,0),IF(KF17="direct",LF17,0),IF(LH17="direct",MH17,0))</f>
        <v>-1.1275702593849246e-17</v>
      </c>
      <c r="BH17" s="7">
        <f>SUM(IF(BP17="treasury",CP17,0),IF(CR17="treasury",DR17,0),IF(DT17="treasury",ET17,0),IF(EV17="treasury",FV17,0),IF(FX17="treasury",GX17,0),IF(GZ17="treasury",HZ17,0),IF(IB17="treasury",JB17,0),IF(JD17="treasury",KD17,0),IF(KF17="treasury",LF17,0),IF(LH17="treasury",MH17,0))</f>
        <v>0.00005268601323334219</v>
      </c>
      <c r="BI17" s="7">
        <f>SUM(IF(BP17="future",CP17,0),IF(CR17="future",DR17,0),IF(DT17="future",ET17,0),IF(EV17="future",FV17,0),IF(FX17="future",GX17,0),IF(GZ17="future",HZ17,0),IF(IB17="future",JB17,0),IF(JD17="future",KD17,0),IF(KF17="future",LF17,0),IF(LH17="future",MH17,0))</f>
        <v>-0.0034387259072691913</v>
      </c>
      <c r="BJ17" s="7">
        <f>SUM(IF(BP17="cash",CP17,0),IF(CR17="cash",DR17,0),IF(DT17="cash",ET17,0),IF(EV17="cash",FV17,0),IF(FX17="cash",GX17,0),IF(GZ17="cash",HZ17,0),IF(IB17="cash",JB17,0),IF(JD17="cash",KD17,0),IF(KF17="cash",LF17,0),IF(LH17="cash",MH17,0))</f>
        <v>0</v>
      </c>
      <c r="BK17" s="7">
        <f>SUM(BF17,BH17,BI17,BJ17)</f>
        <v>-0.01024678906047939</v>
      </c>
      <c r="BL17" s="7">
        <f>G17-BK17</f>
        <v>1.734723475976807e-18</v>
      </c>
      <c r="BM17" s="5">
        <f>MAX(ABS(CG17),ABS(DI17),ABS(EK17),ABS(FM17),ABS(GO17),ABS(HQ17),ABS(IS17),ABS(JU17),ABS(KW17),ABS(LY17))</f>
        <v>4.830120678422922e-17</v>
      </c>
      <c r="BN17" s="9">
        <f>COUNTA(BO17,CQ17,DS17,EU17,FW17,GY17,IA17,JC17,KE17,LG17)</f>
        <v>6</v>
      </c>
      <c r="BO17" t="inlineStr">
        <is>
          <t xml:space="preserve">Direct commodity holding</t>
        </is>
      </c>
      <c r="BP17" t="inlineStr">
        <is>
          <t xml:space="preserve">direct</t>
        </is>
      </c>
      <c r="BQ17" t="inlineStr">
        <is>
          <t xml:space="preserve">lease</t>
        </is>
      </c>
      <c r="BR17" t="inlineStr">
        <is>
          <t xml:space="preserve">long</t>
        </is>
      </c>
      <c r="BS17"/>
      <c r="BT17" s="4">
        <v>2.002</v>
      </c>
      <c r="BU17" s="4">
        <v>1.982</v>
      </c>
      <c r="BV17" s="6">
        <v>0.0025</v>
      </c>
      <c r="BW17" s="4">
        <v>0.3661205268076161</v>
      </c>
      <c r="BX17" s="5">
        <f>IF(BP17="direct",IFERROR(CD17/BU17,0),0)</f>
        <v>0.0000025329793299588324</v>
      </c>
      <c r="BY17" s="5">
        <f>IF(BP17="direct",BW17-BX17,IF(BP17="cash",CI17,BW17))</f>
        <v>0.36611799382828614</v>
      </c>
      <c r="BZ17" s="6">
        <v>0.6862904595404583</v>
      </c>
      <c r="CA17" s="4">
        <v>0.7329732946688473</v>
      </c>
      <c r="CB17" s="4">
        <v>0.7329732946688473</v>
      </c>
      <c r="CC17" s="5">
        <f>IF(BP17="direct",BW17*(BU17-BT17),CF17)</f>
        <v>-0.007322410536152247</v>
      </c>
      <c r="CD17" s="5">
        <f>IF(BP17="direct",CB17*BV17*C17/365,0)</f>
        <v>0.000005020365031978406</v>
      </c>
      <c r="CE17" s="5">
        <f>CC17-CD17</f>
        <v>-0.007327430901184214</v>
      </c>
      <c r="CF17" s="4">
        <v>-0.007327430901184214</v>
      </c>
      <c r="CG17" s="5">
        <f>CF17-CE17</f>
        <v>1.1401910502990137e-17</v>
      </c>
      <c r="CH17" s="4">
        <v>0</v>
      </c>
      <c r="CI17" s="4">
        <v>0.7256458637676632</v>
      </c>
      <c r="CJ17" s="4">
        <v>2.002</v>
      </c>
      <c r="CK17" s="4">
        <v>1.982</v>
      </c>
      <c r="CL17" s="6"/>
      <c r="CM17" s="6"/>
      <c r="CN17" s="6"/>
      <c r="CO17" s="9"/>
      <c r="CP17" s="7">
        <f>IFERROR(CE17/F17,0)</f>
        <v>-0.0068607491664435406</v>
      </c>
      <c r="CQ17" t="inlineStr">
        <is>
          <t xml:space="preserve">Treasury collateral</t>
        </is>
      </c>
      <c r="CR17" t="inlineStr">
        <is>
          <t xml:space="preserve">treasury</t>
        </is>
      </c>
      <c r="CS17" t="inlineStr">
        <is>
          <t xml:space="preserve">lease</t>
        </is>
      </c>
      <c r="CT17" t="inlineStr">
        <is>
          <t xml:space="preserve">long</t>
        </is>
      </c>
      <c r="CU17"/>
      <c r="CV17" s="4">
        <v>100.3359343762851</v>
      </c>
      <c r="CW17" s="4">
        <v>100.35278531540091</v>
      </c>
      <c r="CX17" s="6"/>
      <c r="CY17" s="4">
        <v>0.0033392690890912125</v>
      </c>
      <c r="CZ17" s="5">
        <f>IF(CR17="direct",IFERROR(DF17/CW17,0),0)</f>
        <v>0</v>
      </c>
      <c r="DA17" s="5">
        <f>IF(CR17="direct",CY17-CZ17,IF(CR17="cash",DK17,CY17))</f>
        <v>0.0033392690890912125</v>
      </c>
      <c r="DB17" s="6">
        <v>0.3137095404595416</v>
      </c>
      <c r="DC17" s="4">
        <v>0.3350486841878132</v>
      </c>
      <c r="DD17" s="4">
        <v>0.3350486841878132</v>
      </c>
      <c r="DE17" s="5">
        <f>IF(CR17="direct",CY17*(CW17-CV17),DH17)</f>
        <v>0.000056269820111590624</v>
      </c>
      <c r="DF17" s="5">
        <f>IF(CR17="direct",DD17*CX17*C17/365,0)</f>
        <v>0</v>
      </c>
      <c r="DG17" s="5">
        <f>DE17-DF17</f>
        <v>0.00005626982011154232</v>
      </c>
      <c r="DH17" s="4">
        <v>0.00005626982011154232</v>
      </c>
      <c r="DI17" s="5">
        <f>DH17-DG17</f>
        <v>-4.830120678422922e-17</v>
      </c>
      <c r="DJ17" s="4">
        <v>4.510958663897502e-17</v>
      </c>
      <c r="DK17" s="4">
        <v>0.3351049540079248</v>
      </c>
      <c r="DL17" s="4">
        <v>2.002</v>
      </c>
      <c r="DM17" s="4">
        <v>1.982</v>
      </c>
      <c r="DN17" s="6"/>
      <c r="DO17" s="6"/>
      <c r="DP17" s="6"/>
      <c r="DQ17" s="9">
        <v>64</v>
      </c>
      <c r="DR17" s="7">
        <f>IFERROR(DG17/F17,0)</f>
        <v>0.00005268601323334219</v>
      </c>
      <c r="DS17" t="inlineStr">
        <is>
          <t xml:space="preserve">SI69H</t>
        </is>
      </c>
      <c r="DT17" t="inlineStr">
        <is>
          <t xml:space="preserve">future</t>
        </is>
      </c>
      <c r="DU17" t="inlineStr">
        <is>
          <t xml:space="preserve">lease</t>
        </is>
      </c>
      <c r="DV17" t="inlineStr">
        <is>
          <t xml:space="preserve">long</t>
        </is>
      </c>
      <c r="DW17" t="inlineStr">
        <is>
          <t xml:space="preserve">regular</t>
        </is>
      </c>
      <c r="DX17" s="4">
        <v>2.0069999999999997</v>
      </c>
      <c r="DY17" s="4">
        <v>1.985</v>
      </c>
      <c r="DZ17" s="6"/>
      <c r="EA17" s="4">
        <v>0.16690626187368668</v>
      </c>
      <c r="EB17" s="5">
        <f>IF(DT17="direct",IFERROR(EH17/DY17,0),0)</f>
        <v>0</v>
      </c>
      <c r="EC17" s="5">
        <f>IF(DT17="direct",EA17-EB17,IF(DT17="cash",EM17,EA17))</f>
        <v>0.16690626187368668</v>
      </c>
      <c r="ED17" s="6">
        <v>0.3136460430702868</v>
      </c>
      <c r="EE17" s="4">
        <v>0.3349808675804891</v>
      </c>
      <c r="EF17" s="4">
        <v>0</v>
      </c>
      <c r="EG17" s="5">
        <f>IF(DT17="direct",EA17*(DY17-DX17),EJ17)</f>
        <v>-0.0036719377612210386</v>
      </c>
      <c r="EH17" s="5">
        <f>IF(DT17="direct",EF17*DZ17*C17/365,0)</f>
        <v>0</v>
      </c>
      <c r="EI17" s="5">
        <f>EG17-EH17</f>
        <v>-0.0036719377612210386</v>
      </c>
      <c r="EJ17" s="4">
        <v>-0.0036719377612210386</v>
      </c>
      <c r="EK17" s="5">
        <f>EJ17-EI17</f>
        <v>0</v>
      </c>
      <c r="EL17" s="4">
        <v>0.0036719377612210386</v>
      </c>
      <c r="EM17" s="4">
        <v>0</v>
      </c>
      <c r="EN17" s="4">
        <v>2.002</v>
      </c>
      <c r="EO17" s="4">
        <v>1.982</v>
      </c>
      <c r="EP17" s="6">
        <v>0.0024975024975024684</v>
      </c>
      <c r="EQ17" s="6">
        <v>0.0613</v>
      </c>
      <c r="ER17" s="6">
        <v>0.04705643106893123</v>
      </c>
      <c r="ES17" s="9">
        <v>64</v>
      </c>
      <c r="ET17" s="7">
        <f>IFERROR(EI17/F17,0)</f>
        <v>-0.0034380732175118</v>
      </c>
      <c r="EU17" t="inlineStr">
        <is>
          <t xml:space="preserve">SI69K</t>
        </is>
      </c>
      <c r="EV17" t="inlineStr">
        <is>
          <t xml:space="preserve">future</t>
        </is>
      </c>
      <c r="EW17" t="inlineStr">
        <is>
          <t xml:space="preserve">lease</t>
        </is>
      </c>
      <c r="EX17" t="inlineStr">
        <is>
          <t xml:space="preserve">long</t>
        </is>
      </c>
      <c r="EY17" t="inlineStr">
        <is>
          <t xml:space="preserve">regular</t>
        </is>
      </c>
      <c r="EZ17" s="4">
        <v>2.043</v>
      </c>
      <c r="FA17" s="4">
        <v>2.022</v>
      </c>
      <c r="FB17" s="6"/>
      <c r="FC17" s="4">
        <v>0.000033194619346114936</v>
      </c>
      <c r="FD17" s="5">
        <f>IF(EV17="direct",IFERROR(FJ17/FA17,0),0)</f>
        <v>0</v>
      </c>
      <c r="FE17" s="5">
        <f>IF(EV17="direct",FC17-FD17,IF(EV17="cash",FO17,FC17))</f>
        <v>0.000033194619346114936</v>
      </c>
      <c r="FF17" s="6">
        <v>0.00006349738925477161</v>
      </c>
      <c r="FG17" s="4">
        <v>0.00006781660732411282</v>
      </c>
      <c r="FH17" s="4">
        <v>0</v>
      </c>
      <c r="FI17" s="5">
        <f>IF(EV17="direct",FC17*(FA17-EZ17),FL17)</f>
        <v>-6.970870062684268e-7</v>
      </c>
      <c r="FJ17" s="5">
        <f>IF(EV17="direct",FH17*FB17*C17/365,0)</f>
        <v>0</v>
      </c>
      <c r="FK17" s="5">
        <f>FI17-FJ17</f>
        <v>-6.970870062684268e-7</v>
      </c>
      <c r="FL17" s="4">
        <v>-6.970870062684268e-7</v>
      </c>
      <c r="FM17" s="5">
        <f>FL17-FK17</f>
        <v>0</v>
      </c>
      <c r="FN17" s="4">
        <v>6.970870062684268e-7</v>
      </c>
      <c r="FO17" s="4">
        <v>0</v>
      </c>
      <c r="FP17" s="4">
        <v>2.002</v>
      </c>
      <c r="FQ17" s="4">
        <v>1.982</v>
      </c>
      <c r="FR17" s="6">
        <v>0.02047952047952073</v>
      </c>
      <c r="FS17" s="6">
        <v>0.06176153846153848</v>
      </c>
      <c r="FT17" s="6">
        <v>0.002435943421656983</v>
      </c>
      <c r="FU17" s="9">
        <v>126</v>
      </c>
      <c r="FV17" s="7">
        <f>IFERROR(FK17/F17,0)</f>
        <v>-6.526897573912035e-7</v>
      </c>
      <c r="FW17" t="inlineStr">
        <is>
          <t xml:space="preserve">Lease cash / margin / financing</t>
        </is>
      </c>
      <c r="FX17" t="inlineStr">
        <is>
          <t xml:space="preserve">cash</t>
        </is>
      </c>
      <c r="FY17" t="inlineStr">
        <is>
          <t xml:space="preserve">lease</t>
        </is>
      </c>
      <c r="FZ17" t="inlineStr">
        <is>
          <t xml:space="preserve">cash</t>
        </is>
      </c>
      <c r="GA17"/>
      <c r="GB17" s="4">
        <v>1</v>
      </c>
      <c r="GC17" s="4">
        <v>1</v>
      </c>
      <c r="GD17" s="6"/>
      <c r="GE17" s="4">
        <v>-2.220446049250313e-16</v>
      </c>
      <c r="GF17" s="5">
        <f>IF(FX17="direct",IFERROR(GL17/GC17,0),0)</f>
        <v>0</v>
      </c>
      <c r="GG17" s="5">
        <f>IF(FX17="direct",GE17-GF17,IF(FX17="cash",GQ17,GE17))</f>
        <v>-0.0036726348482275743</v>
      </c>
      <c r="GH17" s="6"/>
      <c r="GI17" s="4">
        <v>-2.220446049250313e-16</v>
      </c>
      <c r="GJ17" s="4">
        <v>-2.220446049250313e-16</v>
      </c>
      <c r="GK17" s="5">
        <f>IF(FX17="direct",GE17*(GC17-GB17),GN17)</f>
        <v>0</v>
      </c>
      <c r="GL17" s="5">
        <f>IF(FX17="direct",GJ17*GD17*C17/365,0)</f>
        <v>0</v>
      </c>
      <c r="GM17" s="5">
        <f>GK17-GL17</f>
        <v>0</v>
      </c>
      <c r="GN17" s="4">
        <v>0</v>
      </c>
      <c r="GO17" s="5">
        <f>GN17-GM17</f>
        <v>0</v>
      </c>
      <c r="GP17" s="4">
        <v>-0.003672634848227352</v>
      </c>
      <c r="GQ17" s="4">
        <v>-0.0036726348482275743</v>
      </c>
      <c r="GR17" s="4">
        <v>2.002</v>
      </c>
      <c r="GS17" s="4">
        <v>1.982</v>
      </c>
      <c r="GT17" s="6"/>
      <c r="GU17" s="6"/>
      <c r="GV17" s="6"/>
      <c r="GW17" s="9"/>
      <c r="GX17" s="7">
        <f>IFERROR(GM17/F17,0)</f>
        <v>0</v>
      </c>
      <c r="GY17" t="inlineStr">
        <is>
          <t xml:space="preserve">Keep cash / margin / financing</t>
        </is>
      </c>
      <c r="GZ17" t="inlineStr">
        <is>
          <t xml:space="preserve">cash</t>
        </is>
      </c>
      <c r="HA17" t="inlineStr">
        <is>
          <t xml:space="preserve">keep</t>
        </is>
      </c>
      <c r="HB17" t="inlineStr">
        <is>
          <t xml:space="preserve">cash</t>
        </is>
      </c>
      <c r="HC17"/>
      <c r="HD17" s="4">
        <v>1</v>
      </c>
      <c r="HE17" s="4">
        <v>1</v>
      </c>
      <c r="HF17" s="6"/>
      <c r="HG17" s="4">
        <v>0</v>
      </c>
      <c r="HH17" s="5">
        <f>IF(GZ17="direct",IFERROR(HN17/HE17,0),0)</f>
        <v>0</v>
      </c>
      <c r="HI17" s="5">
        <f>IF(GZ17="direct",HG17-HH17,IF(GZ17="cash",HS17,HG17))</f>
        <v>0</v>
      </c>
      <c r="HJ17" s="6"/>
      <c r="HK17" s="4">
        <v>0</v>
      </c>
      <c r="HL17" s="4">
        <v>0</v>
      </c>
      <c r="HM17" s="5">
        <f>IF(GZ17="direct",HG17*(HE17-HD17),HP17)</f>
        <v>0</v>
      </c>
      <c r="HN17" s="5">
        <f>IF(GZ17="direct",HL17*HF17*C17/365,0)</f>
        <v>0</v>
      </c>
      <c r="HO17" s="5">
        <f>HM17-HN17</f>
        <v>0</v>
      </c>
      <c r="HP17" s="4">
        <v>0</v>
      </c>
      <c r="HQ17" s="5">
        <f>HP17-HO17</f>
        <v>0</v>
      </c>
      <c r="HR17" s="4">
        <v>0</v>
      </c>
      <c r="HS17" s="4">
        <v>0</v>
      </c>
      <c r="HT17" s="4">
        <v>2.002</v>
      </c>
      <c r="HU17" s="4">
        <v>1.982</v>
      </c>
      <c r="HV17" s="6"/>
      <c r="HW17" s="6"/>
      <c r="HX17" s="6"/>
      <c r="HY17" s="9"/>
      <c r="HZ17" s="7">
        <f>IFERROR(HO17/F17,0)</f>
        <v>0</v>
      </c>
      <c r="IA17"/>
      <c r="IB17"/>
      <c r="IC17"/>
      <c r="ID17"/>
      <c r="IE17"/>
      <c r="IF17" s="4"/>
      <c r="IG17" s="4"/>
      <c r="IH17" s="6"/>
      <c r="II17" s="4"/>
      <c r="IJ17" s="5">
        <v>0</v>
      </c>
      <c r="IK17" s="5"/>
      <c r="IL17" s="6"/>
      <c r="IM17" s="4"/>
      <c r="IN17" s="4"/>
      <c r="IO17" s="5">
        <v>0</v>
      </c>
      <c r="IP17" s="5">
        <v>0</v>
      </c>
      <c r="IQ17" s="5"/>
      <c r="IR17" s="4"/>
      <c r="IS17" s="5">
        <v>0</v>
      </c>
      <c r="IT17" s="4"/>
      <c r="IU17" s="4"/>
      <c r="IV17" s="4"/>
      <c r="IW17" s="4"/>
      <c r="IX17" s="6"/>
      <c r="IY17" s="6"/>
      <c r="IZ17" s="6"/>
      <c r="JA17" s="9"/>
      <c r="JB17"/>
      <c r="JC17"/>
      <c r="JD17"/>
      <c r="JE17"/>
      <c r="JF17"/>
      <c r="JG17"/>
      <c r="JH17" s="4"/>
      <c r="JI17" s="4"/>
      <c r="JJ17" s="6"/>
      <c r="JK17" s="4"/>
      <c r="JL17" s="5">
        <v>0</v>
      </c>
      <c r="JM17" s="5"/>
      <c r="JN17" s="6"/>
      <c r="JO17" s="4"/>
      <c r="JP17" s="4"/>
      <c r="JQ17" s="5">
        <v>0</v>
      </c>
      <c r="JR17" s="5">
        <v>0</v>
      </c>
      <c r="JS17" s="5"/>
      <c r="JT17" s="4"/>
      <c r="JU17" s="5">
        <v>0</v>
      </c>
      <c r="JV17" s="4"/>
      <c r="JW17" s="4"/>
      <c r="JX17" s="4"/>
      <c r="JY17" s="4"/>
      <c r="JZ17" s="6"/>
      <c r="KA17" s="6"/>
      <c r="KB17" s="6"/>
      <c r="KC17" s="9"/>
      <c r="KD17"/>
      <c r="KE17"/>
      <c r="KF17"/>
      <c r="KG17"/>
      <c r="KH17"/>
      <c r="KI17"/>
      <c r="KJ17" s="4"/>
      <c r="KK17" s="4"/>
      <c r="KL17" s="6"/>
      <c r="KM17" s="4"/>
      <c r="KN17" s="5">
        <v>0</v>
      </c>
      <c r="KO17" s="5"/>
      <c r="KP17" s="6"/>
      <c r="KQ17" s="4"/>
      <c r="KR17" s="4"/>
      <c r="KS17" s="5">
        <v>0</v>
      </c>
      <c r="KT17" s="5">
        <v>0</v>
      </c>
      <c r="KU17" s="5"/>
      <c r="KV17" s="4"/>
      <c r="KW17" s="5">
        <v>0</v>
      </c>
      <c r="KX17" s="4"/>
      <c r="KY17" s="4"/>
      <c r="KZ17" s="4"/>
      <c r="LA17" s="4"/>
      <c r="LB17" s="6"/>
      <c r="LC17" s="6"/>
      <c r="LD17" s="6"/>
      <c r="LE17" s="9"/>
      <c r="LF17"/>
      <c r="LG17"/>
      <c r="LH17"/>
      <c r="LI17"/>
      <c r="LJ17"/>
      <c r="LK17"/>
      <c r="LL17" s="4"/>
      <c r="LM17" s="4"/>
      <c r="LN17" s="6"/>
      <c r="LO17" s="4"/>
      <c r="LP17" s="5">
        <v>0</v>
      </c>
      <c r="LQ17" s="5"/>
      <c r="LR17" s="6"/>
      <c r="LS17" s="4"/>
      <c r="LT17" s="4"/>
      <c r="LU17" s="5">
        <v>0</v>
      </c>
      <c r="LV17" s="5">
        <v>0</v>
      </c>
      <c r="LW17" s="5"/>
      <c r="LX17" s="4"/>
      <c r="LY17" s="5">
        <v>0</v>
      </c>
      <c r="LZ17" s="4"/>
      <c r="MA17" s="4"/>
      <c r="MB17" s="4"/>
      <c r="MC17" s="4"/>
      <c r="MD17" s="6"/>
      <c r="ME17" s="6"/>
      <c r="MF17" s="6"/>
      <c r="MG17" s="9"/>
      <c r="MH17"/>
    </row>
    <row r="18">
      <c r="A18" s="8">
        <v>25226</v>
      </c>
      <c r="B18" s="8">
        <v>25227</v>
      </c>
      <c r="C18" s="9">
        <f>B18-A18</f>
        <v>1</v>
      </c>
      <c r="D18" s="8">
        <v>25226</v>
      </c>
      <c r="E18" t="inlineStr">
        <is>
          <t xml:space="preserve">positive</t>
        </is>
      </c>
      <c r="F18" s="4">
        <v>1.0570781829273606</v>
      </c>
      <c r="G18" s="6">
        <v>0.006274416423031035</v>
      </c>
      <c r="H18" s="7">
        <f>SUM(CP18,DR18,ET18,FV18,GX18,HZ18,JB18,KD18,LF18,MH18)</f>
        <v>0.006274416423031034</v>
      </c>
      <c r="I18" s="7">
        <f>G18-H18</f>
        <v>8.673617379884035e-19</v>
      </c>
      <c r="J18" s="5">
        <f>F18*(1+H18)</f>
        <v>1.0637107316387477</v>
      </c>
      <c r="K18" s="4">
        <v>1.0637107316387477</v>
      </c>
      <c r="L18" s="5">
        <f>K18-J18</f>
        <v>0</v>
      </c>
      <c r="M18" s="4">
        <v>1.982</v>
      </c>
      <c r="N18" s="4">
        <v>1.988</v>
      </c>
      <c r="O18" s="5">
        <f>M18/$M$3</f>
        <v>1.0122574055158324</v>
      </c>
      <c r="P18" s="5">
        <f>N18/$M$3</f>
        <v>1.0153217568947905</v>
      </c>
      <c r="Q18" s="7">
        <f>IFERROR(N18/M18-1,0)</f>
        <v>0.003027245206861817</v>
      </c>
      <c r="R18" s="5">
        <f>SUM(IF(BQ18="lease",CB18,0),IF(CS18="lease",DD18,0),IF(DU18="lease",EF18,0),IF(EW18="lease",FH18,0),IF(FY18="lease",GJ18,0),IF(HA18="lease",HL18,0),IF(IC18="lease",IN18,0),IF(JE18="lease",JP18,0),IF(KG18="lease",KR18,0),IF(LI18="lease",LT18,0))</f>
        <v>1.0570781829273603</v>
      </c>
      <c r="S18" s="5">
        <f>SUM(IF(BQ18="lease",CI18,0),IF(CS18="lease",DK18,0),IF(DU18="lease",EM18,0),IF(EW18="lease",FO18,0),IF(FY18="lease",GQ18,0),IF(HA18="lease",HS18,0),IF(IC18="lease",IU18,0),IF(JE18="lease",JW18,0),IF(KG18="lease",KY18,0),IF(LI18="lease",MA18,0))</f>
        <v>1.0637107316387475</v>
      </c>
      <c r="T18" s="5">
        <f>SUM(IF(BQ18="keep",CB18,0),IF(CS18="keep",DD18,0),IF(DU18="keep",EF18,0),IF(EW18="keep",FH18,0),IF(FY18="keep",GJ18,0),IF(HA18="keep",HL18,0),IF(IC18="keep",IN18,0),IF(JE18="keep",JP18,0),IF(KG18="keep",KR18,0),IF(LI18="keep",LT18,0))</f>
        <v>0</v>
      </c>
      <c r="U18" s="5">
        <f>SUM(IF(BQ18="keep",CI18,0),IF(CS18="keep",DK18,0),IF(DU18="keep",EM18,0),IF(EW18="keep",FO18,0),IF(FY18="keep",GQ18,0),IF(HA18="keep",HS18,0),IF(IC18="keep",IU18,0),IF(JE18="keep",JW18,0),IF(KG18="keep",KY18,0),IF(LI18="keep",MA18,0))</f>
        <v>0</v>
      </c>
      <c r="V18" s="5">
        <f>R18/O18</f>
        <v>1.0442780434771803</v>
      </c>
      <c r="W18" s="5">
        <f>S18/P18</f>
        <v>1.0476587588272976</v>
      </c>
      <c r="X18" s="5">
        <f>T18/O18</f>
        <v>0</v>
      </c>
      <c r="Y18" s="5">
        <f>U18/P18</f>
        <v>0</v>
      </c>
      <c r="Z18" s="5">
        <f>V18+X18</f>
        <v>1.0442780434771803</v>
      </c>
      <c r="AA18" s="7">
        <f>IFERROR(W18/V18-1,0)</f>
        <v>0.0032373709006274787</v>
      </c>
      <c r="AB18" s="7">
        <f>IFERROR((W18-V18)/Z18,0)</f>
        <v>0.003237370900627557</v>
      </c>
      <c r="AC18" s="7">
        <f>IFERROR(Y18/X18-1,0)</f>
        <v>0</v>
      </c>
      <c r="AD18" s="7">
        <f>IFERROR((Y18-X18)/Z18,0)</f>
        <v>0</v>
      </c>
      <c r="AE18" s="7">
        <f>AB18+AD18</f>
        <v>0.003237370900627557</v>
      </c>
      <c r="AF18" s="7">
        <f>(1+Q18)*(1+AE18)-1</f>
        <v>0.0062744164230310595</v>
      </c>
      <c r="AG18" s="7">
        <f>G18-AF18</f>
        <v>-2.42861286636753e-17</v>
      </c>
      <c r="AH18" s="5">
        <f>SUM(IF(BQ18="lease",CE18,0),IF(CS18="lease",DG18,0),IF(DU18="lease",EI18,0),IF(EW18="lease",FK18,0),IF(FY18="lease",GM18,0),IF(HA18="lease",HO18,0),IF(IC18="lease",IQ18,0),IF(JE18="lease",JS18,0),IF(KG18="lease",KU18,0),IF(LI18="lease",LW18,0))</f>
        <v>0.006632548711387235</v>
      </c>
      <c r="AI18" s="5">
        <f>SUM(IF(BQ18="keep",CE18,0),IF(CS18="keep",DG18,0),IF(DU18="keep",EI18,0),IF(EW18="keep",FK18,0),IF(FY18="keep",GM18,0),IF(HA18="keep",HO18,0),IF(IC18="keep",IQ18,0),IF(JE18="keep",JS18,0),IF(KG18="keep",KU18,0),IF(LI18="keep",LW18,0))</f>
        <v>0</v>
      </c>
      <c r="AJ18" s="5">
        <f>SUM(IF(BQ18="lease",CH18,0),IF(CS18="lease",DJ18,0),IF(DU18="lease",EL18,0),IF(EW18="lease",FN18,0),IF(FY18="lease",GP18,0),IF(HA18="lease",HR18,0),IF(IC18="lease",IT18,0),IF(JE18="lease",JV18,0),IF(KG18="lease",KX18,0),IF(LI18="lease",LZ18,0))</f>
        <v>0</v>
      </c>
      <c r="AK18" s="5">
        <f>SUM(IF(BQ18="keep",CH18,0),IF(CS18="keep",DJ18,0),IF(DU18="keep",EL18,0),IF(EW18="keep",FN18,0),IF(FY18="keep",GP18,0),IF(HA18="keep",HR18,0),IF(IC18="keep",IT18,0),IF(JE18="keep",JV18,0),IF(KG18="keep",KX18,0),IF(LI18="keep",LZ18,0))</f>
        <v>0</v>
      </c>
      <c r="AL18" s="5">
        <f>R18-S17</f>
        <v>0</v>
      </c>
      <c r="AM18" s="5">
        <f>T18-U17</f>
        <v>0</v>
      </c>
      <c r="AN18" s="5">
        <f>AN17</f>
        <v>1</v>
      </c>
      <c r="AO18" s="5">
        <f>AO17+AH18</f>
        <v>0.06371073163874783</v>
      </c>
      <c r="AP18" s="5">
        <f>AP17+AL18</f>
        <v>-4.440892098500626e-16</v>
      </c>
      <c r="AQ18" s="5">
        <f>AN18+AO18+AP18</f>
        <v>1.0637107316387473</v>
      </c>
      <c r="AR18" s="5">
        <f>S18-AQ18</f>
        <v>2.220446049250313e-16</v>
      </c>
      <c r="AS18" s="5">
        <f>AS17</f>
        <v>0</v>
      </c>
      <c r="AT18" s="5">
        <f>AT17+AI18</f>
        <v>0</v>
      </c>
      <c r="AU18" s="5">
        <f>AU17+AM18</f>
        <v>0</v>
      </c>
      <c r="AV18" s="5">
        <f>AS18+AT18+AU18</f>
        <v>0</v>
      </c>
      <c r="AW18" s="5">
        <f>U18-AV18</f>
        <v>0</v>
      </c>
      <c r="AX18" s="4">
        <v>1.0570781829273603</v>
      </c>
      <c r="AY18" s="4">
        <v>1.0637107316387475</v>
      </c>
      <c r="AZ18" s="5">
        <f>S18-AY18</f>
        <v>0</v>
      </c>
      <c r="BA18" s="4">
        <v>0</v>
      </c>
      <c r="BB18" s="4">
        <v>0</v>
      </c>
      <c r="BC18" s="5">
        <f>U18-BB18</f>
        <v>0</v>
      </c>
      <c r="BD18" s="7">
        <f>SUM(IF(BP18="direct",CC18/F18,0),IF(CR18="direct",DE18/F18,0),IF(DT18="direct",EG18/F18,0),IF(EV18="direct",FI18/F18,0),IF(FX18="direct",GK18/F18,0),IF(GZ18="direct",HM18/F18,0),IF(IB18="direct",IO18/F18,0),IF(JD18="direct",JQ18/F18,0),IF(KF18="direct",KS18/F18,0),IF(LH18="direct",LU18/F18,0))</f>
        <v>0.001961037352122207</v>
      </c>
      <c r="BE18" s="7">
        <f>-SUM(IF(BP18="direct",CD18/F18,0),IF(CR18="direct",DF18/F18,0),IF(DT18="direct",EH18/F18,0),IF(EV18="direct",FJ18/F18,0),IF(FX18="direct",GL18/F18,0),IF(GZ18="direct",HN18/F18,0),IF(IB18="direct",IP18/F18,0),IF(JD18="direct",JR18/F18,0),IF(KF18="direct",KT18/F18,0),IF(LH18="direct",LV18/F18,0))</f>
        <v>-0.000004436958940532204</v>
      </c>
      <c r="BF18" s="7">
        <f>BD18+BE18</f>
        <v>0.001956600393181675</v>
      </c>
      <c r="BG18" s="7">
        <f>BF18-SUM(IF(BP18="direct",CP18,0),IF(CR18="direct",DR18,0),IF(DT18="direct",ET18,0),IF(EV18="direct",FV18,0),IF(FX18="direct",GX18,0),IF(GZ18="direct",HZ18,0),IF(IB18="direct",JB18,0),IF(JD18="direct",KD18,0),IF(KF18="direct",LF18,0),IF(LH18="direct",MH18,0))</f>
        <v>-3.7730235602495554e-17</v>
      </c>
      <c r="BH18" s="7">
        <f>SUM(IF(BP18="treasury",CP18,0),IF(CR18="treasury",DR18,0),IF(DT18="treasury",ET18,0),IF(EV18="treasury",FV18,0),IF(FX18="treasury",GX18,0),IF(GZ18="treasury",HZ18,0),IF(IB18="treasury",JB18,0),IF(JD18="treasury",KD18,0),IF(KF18="treasury",LF18,0),IF(LH18="treasury",MH18,0))</f>
        <v>0.000059440454992957725</v>
      </c>
      <c r="BI18" s="7">
        <f>SUM(IF(BP18="future",CP18,0),IF(CR18="future",DR18,0),IF(DT18="future",ET18,0),IF(EV18="future",FV18,0),IF(FX18="future",GX18,0),IF(GZ18="future",HZ18,0),IF(IB18="future",JB18,0),IF(JD18="future",KD18,0),IF(KF18="future",LF18,0),IF(LH18="future",MH18,0))</f>
        <v>0.004258375574856365</v>
      </c>
      <c r="BJ18" s="7">
        <f>SUM(IF(BP18="cash",CP18,0),IF(CR18="cash",DR18,0),IF(DT18="cash",ET18,0),IF(EV18="cash",FV18,0),IF(FX18="cash",GX18,0),IF(GZ18="cash",HZ18,0),IF(IB18="cash",JB18,0),IF(JD18="cash",KD18,0),IF(KF18="cash",LF18,0),IF(LH18="cash",MH18,0))</f>
        <v>0</v>
      </c>
      <c r="BK18" s="7">
        <f>SUM(BF18,BH18,BI18,BJ18)</f>
        <v>0.006274416423031035</v>
      </c>
      <c r="BL18" s="7">
        <f>G18-BK18</f>
        <v>0</v>
      </c>
      <c r="BM18" s="5">
        <f>MAX(ABS(CG18),ABS(DI18),ABS(EK18),ABS(FM18),ABS(GO18),ABS(HQ18),ABS(IS18),ABS(JU18),ABS(KW18),ABS(LY18))</f>
        <v>4.012649181027797e-17</v>
      </c>
      <c r="BN18" s="9">
        <f>COUNTA(BO18,CQ18,DS18,EU18,FW18,GY18,IA18,JC18,KE18,LG18)</f>
        <v>6</v>
      </c>
      <c r="BO18" t="inlineStr">
        <is>
          <t xml:space="preserve">Direct commodity holding</t>
        </is>
      </c>
      <c r="BP18" t="inlineStr">
        <is>
          <t xml:space="preserve">direct</t>
        </is>
      </c>
      <c r="BQ18" t="inlineStr">
        <is>
          <t xml:space="preserve">lease</t>
        </is>
      </c>
      <c r="BR18" t="inlineStr">
        <is>
          <t xml:space="preserve">long</t>
        </is>
      </c>
      <c r="BS18"/>
      <c r="BT18" s="4">
        <v>1.982</v>
      </c>
      <c r="BU18" s="4">
        <v>1.988</v>
      </c>
      <c r="BV18" s="6">
        <v>0.0025</v>
      </c>
      <c r="BW18" s="4">
        <v>0.3454949668056705</v>
      </c>
      <c r="BX18" s="5">
        <f>IF(BP18="direct",IFERROR(CD18/BU18,0),0)</f>
        <v>0.0000023592618181997433</v>
      </c>
      <c r="BY18" s="5">
        <f>IF(BP18="direct",BW18-BX18,IF(BP18="cash",CI18,BW18))</f>
        <v>0.3454926075438523</v>
      </c>
      <c r="BZ18" s="6">
        <v>0.6477960053177018</v>
      </c>
      <c r="CA18" s="4">
        <v>0.684771024208839</v>
      </c>
      <c r="CB18" s="4">
        <v>0.684771024208839</v>
      </c>
      <c r="CC18" s="5">
        <f>IF(BP18="direct",BW18*(BU18-BT18),CF18)</f>
        <v>0.002072969800834025</v>
      </c>
      <c r="CD18" s="5">
        <f>IF(BP18="direct",CB18*BV18*C18/365,0)</f>
        <v>0.000004690212494581089</v>
      </c>
      <c r="CE18" s="5">
        <f>CC18-CD18</f>
        <v>0.002068279588339484</v>
      </c>
      <c r="CF18" s="4">
        <v>0.002068279588339484</v>
      </c>
      <c r="CG18" s="5">
        <f>CF18-CE18</f>
        <v>4.012649181027797e-17</v>
      </c>
      <c r="CH18" s="4">
        <v>0</v>
      </c>
      <c r="CI18" s="4">
        <v>0.6868393037971784</v>
      </c>
      <c r="CJ18" s="4">
        <v>1.982</v>
      </c>
      <c r="CK18" s="4">
        <v>1.988</v>
      </c>
      <c r="CL18" s="6"/>
      <c r="CM18" s="6"/>
      <c r="CN18" s="6"/>
      <c r="CO18" s="9"/>
      <c r="CP18" s="7">
        <f>IFERROR(CE18/F18,0)</f>
        <v>0.0019566003931817126</v>
      </c>
      <c r="CQ18" t="inlineStr">
        <is>
          <t xml:space="preserve">Treasury collateral</t>
        </is>
      </c>
      <c r="CR18" t="inlineStr">
        <is>
          <t xml:space="preserve">treasury</t>
        </is>
      </c>
      <c r="CS18" t="inlineStr">
        <is>
          <t xml:space="preserve">lease</t>
        </is>
      </c>
      <c r="CT18" t="inlineStr">
        <is>
          <t xml:space="preserve">long</t>
        </is>
      </c>
      <c r="CU18"/>
      <c r="CV18" s="4">
        <v>100.35278531540091</v>
      </c>
      <c r="CW18" s="4">
        <v>100.3697215662925</v>
      </c>
      <c r="CX18" s="6"/>
      <c r="CY18" s="4">
        <v>0.0037099833108606753</v>
      </c>
      <c r="CZ18" s="5">
        <f>IF(CR18="direct",IFERROR(DF18/CW18,0),0)</f>
        <v>0</v>
      </c>
      <c r="DA18" s="5">
        <f>IF(CR18="direct",CY18-CZ18,IF(CR18="cash",DK18,CY18))</f>
        <v>0.0037099833108606753</v>
      </c>
      <c r="DB18" s="6">
        <v>0.35220399468229824</v>
      </c>
      <c r="DC18" s="4">
        <v>0.3723071587185216</v>
      </c>
      <c r="DD18" s="4">
        <v>0.3723071587185216</v>
      </c>
      <c r="DE18" s="5">
        <f>IF(CR18="direct",CY18*(CW18-CV18),DH18)</f>
        <v>0.00006283320815634653</v>
      </c>
      <c r="DF18" s="5">
        <f>IF(CR18="direct",DD18*CX18*C18/365,0)</f>
        <v>0</v>
      </c>
      <c r="DG18" s="5">
        <f>DE18-DF18</f>
        <v>0.00006283320815633131</v>
      </c>
      <c r="DH18" s="4">
        <v>0.00006283320815633131</v>
      </c>
      <c r="DI18" s="5">
        <f>DH18-DG18</f>
        <v>-1.521948799626527e-17</v>
      </c>
      <c r="DJ18" s="4">
        <v>3.4084605797513046e-17</v>
      </c>
      <c r="DK18" s="4">
        <v>0.37236999192667797</v>
      </c>
      <c r="DL18" s="4">
        <v>1.982</v>
      </c>
      <c r="DM18" s="4">
        <v>1.988</v>
      </c>
      <c r="DN18" s="6"/>
      <c r="DO18" s="6"/>
      <c r="DP18" s="6"/>
      <c r="DQ18" s="9">
        <v>63</v>
      </c>
      <c r="DR18" s="7">
        <f>IFERROR(DG18/F18,0)</f>
        <v>0.000059440454992957725</v>
      </c>
      <c r="DS18" t="inlineStr">
        <is>
          <t xml:space="preserve">SI69H</t>
        </is>
      </c>
      <c r="DT18" t="inlineStr">
        <is>
          <t xml:space="preserve">future</t>
        </is>
      </c>
      <c r="DU18" t="inlineStr">
        <is>
          <t xml:space="preserve">lease</t>
        </is>
      </c>
      <c r="DV18" t="inlineStr">
        <is>
          <t xml:space="preserve">long</t>
        </is>
      </c>
      <c r="DW18" t="inlineStr">
        <is>
          <t xml:space="preserve">regular</t>
        </is>
      </c>
      <c r="DX18" s="4">
        <v>1.985</v>
      </c>
      <c r="DY18" s="4">
        <v>2.009</v>
      </c>
      <c r="DZ18" s="6"/>
      <c r="EA18" s="4">
        <v>0.18753559759679134</v>
      </c>
      <c r="EB18" s="5">
        <f>IF(DT18="direct",IFERROR(EH18/DY18,0),0)</f>
        <v>0</v>
      </c>
      <c r="EC18" s="5">
        <f>IF(DT18="direct",EA18-EB18,IF(DT18="cash",EM18,EA18))</f>
        <v>0.18753559759679134</v>
      </c>
      <c r="ED18" s="6">
        <v>0.3521576428705949</v>
      </c>
      <c r="EE18" s="4">
        <v>0.37225816122963085</v>
      </c>
      <c r="EF18" s="4">
        <v>0</v>
      </c>
      <c r="EG18" s="5">
        <f>IF(DT18="direct",EA18*(DY18-DX18),EJ18)</f>
        <v>0.0045008543423229845</v>
      </c>
      <c r="EH18" s="5">
        <f>IF(DT18="direct",EF18*DZ18*C18/365,0)</f>
        <v>0</v>
      </c>
      <c r="EI18" s="5">
        <f>EG18-EH18</f>
        <v>0.0045008543423229845</v>
      </c>
      <c r="EJ18" s="4">
        <v>0.0045008543423229845</v>
      </c>
      <c r="EK18" s="5">
        <f>EJ18-EI18</f>
        <v>0</v>
      </c>
      <c r="EL18" s="4">
        <v>-0.0045008543423229845</v>
      </c>
      <c r="EM18" s="4">
        <v>0</v>
      </c>
      <c r="EN18" s="4">
        <v>1.982</v>
      </c>
      <c r="EO18" s="4">
        <v>1.988</v>
      </c>
      <c r="EP18" s="6">
        <v>0.0015136226034309086</v>
      </c>
      <c r="EQ18" s="6">
        <v>0.0616</v>
      </c>
      <c r="ER18" s="6">
        <v>0.052830599202344744</v>
      </c>
      <c r="ES18" s="9">
        <v>63</v>
      </c>
      <c r="ET18" s="7">
        <f>IFERROR(EI18/F18,0)</f>
        <v>0.004257825404984515</v>
      </c>
      <c r="EU18" t="inlineStr">
        <is>
          <t xml:space="preserve">SI69K</t>
        </is>
      </c>
      <c r="EV18" t="inlineStr">
        <is>
          <t xml:space="preserve">future</t>
        </is>
      </c>
      <c r="EW18" t="inlineStr">
        <is>
          <t xml:space="preserve">lease</t>
        </is>
      </c>
      <c r="EX18" t="inlineStr">
        <is>
          <t xml:space="preserve">long</t>
        </is>
      </c>
      <c r="EY18" t="inlineStr">
        <is>
          <t xml:space="preserve">regular</t>
        </is>
      </c>
      <c r="EZ18" s="4">
        <v>2.022</v>
      </c>
      <c r="FA18" s="4">
        <v>2.046</v>
      </c>
      <c r="FB18" s="6"/>
      <c r="FC18" s="4">
        <v>0.000024232190351490668</v>
      </c>
      <c r="FD18" s="5">
        <f>IF(EV18="direct",IFERROR(FJ18/FA18,0),0)</f>
        <v>0</v>
      </c>
      <c r="FE18" s="5">
        <f>IF(EV18="direct",FC18-FD18,IF(EV18="cash",FO18,FC18))</f>
        <v>0.000024232190351490668</v>
      </c>
      <c r="FF18" s="6">
        <v>0.00004635181170329867</v>
      </c>
      <c r="FG18" s="4">
        <v>0.000048997488890714125</v>
      </c>
      <c r="FH18" s="4">
        <v>0</v>
      </c>
      <c r="FI18" s="5">
        <f>IF(EV18="direct",FC18*(FA18-EZ18),FL18)</f>
        <v>5.815725684357742e-7</v>
      </c>
      <c r="FJ18" s="5">
        <f>IF(EV18="direct",FH18*FB18*C18/365,0)</f>
        <v>0</v>
      </c>
      <c r="FK18" s="5">
        <f>FI18-FJ18</f>
        <v>5.815725684357742e-7</v>
      </c>
      <c r="FL18" s="4">
        <v>5.815725684357742e-7</v>
      </c>
      <c r="FM18" s="5">
        <f>FL18-FK18</f>
        <v>0</v>
      </c>
      <c r="FN18" s="4">
        <v>-5.815725684357742e-7</v>
      </c>
      <c r="FO18" s="4">
        <v>0</v>
      </c>
      <c r="FP18" s="4">
        <v>1.982</v>
      </c>
      <c r="FQ18" s="4">
        <v>1.988</v>
      </c>
      <c r="FR18" s="6">
        <v>0.020181634712411523</v>
      </c>
      <c r="FS18" s="6">
        <v>0.06208571428571428</v>
      </c>
      <c r="FT18" s="6">
        <v>0.003155340925472643</v>
      </c>
      <c r="FU18" s="9">
        <v>125</v>
      </c>
      <c r="FV18" s="7">
        <f>IFERROR(FK18/F18,0)</f>
        <v>5.501698718492408e-7</v>
      </c>
      <c r="FW18" t="inlineStr">
        <is>
          <t xml:space="preserve">Lease cash / margin / financing</t>
        </is>
      </c>
      <c r="FX18" t="inlineStr">
        <is>
          <t xml:space="preserve">cash</t>
        </is>
      </c>
      <c r="FY18" t="inlineStr">
        <is>
          <t xml:space="preserve">lease</t>
        </is>
      </c>
      <c r="FZ18" t="inlineStr">
        <is>
          <t xml:space="preserve">cash</t>
        </is>
      </c>
      <c r="GA18"/>
      <c r="GB18" s="4">
        <v>1</v>
      </c>
      <c r="GC18" s="4">
        <v>1</v>
      </c>
      <c r="GD18" s="6"/>
      <c r="GE18" s="4">
        <v>-2.220446049250313e-16</v>
      </c>
      <c r="GF18" s="5">
        <f>IF(FX18="direct",IFERROR(GL18/GC18,0),0)</f>
        <v>0</v>
      </c>
      <c r="GG18" s="5">
        <f>IF(FX18="direct",GE18-GF18,IF(FX18="cash",GQ18,GE18))</f>
        <v>0.004501435914891164</v>
      </c>
      <c r="GH18" s="6"/>
      <c r="GI18" s="4">
        <v>-2.220446049250313e-16</v>
      </c>
      <c r="GJ18" s="4">
        <v>-2.220446049250313e-16</v>
      </c>
      <c r="GK18" s="5">
        <f>IF(FX18="direct",GE18*(GC18-GB18),GN18)</f>
        <v>0</v>
      </c>
      <c r="GL18" s="5">
        <f>IF(FX18="direct",GJ18*GD18*C18/365,0)</f>
        <v>0</v>
      </c>
      <c r="GM18" s="5">
        <f>GK18-GL18</f>
        <v>0</v>
      </c>
      <c r="GN18" s="4">
        <v>0</v>
      </c>
      <c r="GO18" s="5">
        <f>GN18-GM18</f>
        <v>0</v>
      </c>
      <c r="GP18" s="4">
        <v>0.004501435914891386</v>
      </c>
      <c r="GQ18" s="4">
        <v>0.004501435914891164</v>
      </c>
      <c r="GR18" s="4">
        <v>1.982</v>
      </c>
      <c r="GS18" s="4">
        <v>1.988</v>
      </c>
      <c r="GT18" s="6"/>
      <c r="GU18" s="6"/>
      <c r="GV18" s="6"/>
      <c r="GW18" s="9"/>
      <c r="GX18" s="7">
        <f>IFERROR(GM18/F18,0)</f>
        <v>0</v>
      </c>
      <c r="GY18" t="inlineStr">
        <is>
          <t xml:space="preserve">Keep cash / margin / financing</t>
        </is>
      </c>
      <c r="GZ18" t="inlineStr">
        <is>
          <t xml:space="preserve">cash</t>
        </is>
      </c>
      <c r="HA18" t="inlineStr">
        <is>
          <t xml:space="preserve">keep</t>
        </is>
      </c>
      <c r="HB18" t="inlineStr">
        <is>
          <t xml:space="preserve">cash</t>
        </is>
      </c>
      <c r="HC18"/>
      <c r="HD18" s="4">
        <v>1</v>
      </c>
      <c r="HE18" s="4">
        <v>1</v>
      </c>
      <c r="HF18" s="6"/>
      <c r="HG18" s="4">
        <v>0</v>
      </c>
      <c r="HH18" s="5">
        <f>IF(GZ18="direct",IFERROR(HN18/HE18,0),0)</f>
        <v>0</v>
      </c>
      <c r="HI18" s="5">
        <f>IF(GZ18="direct",HG18-HH18,IF(GZ18="cash",HS18,HG18))</f>
        <v>0</v>
      </c>
      <c r="HJ18" s="6"/>
      <c r="HK18" s="4">
        <v>0</v>
      </c>
      <c r="HL18" s="4">
        <v>0</v>
      </c>
      <c r="HM18" s="5">
        <f>IF(GZ18="direct",HG18*(HE18-HD18),HP18)</f>
        <v>0</v>
      </c>
      <c r="HN18" s="5">
        <f>IF(GZ18="direct",HL18*HF18*C18/365,0)</f>
        <v>0</v>
      </c>
      <c r="HO18" s="5">
        <f>HM18-HN18</f>
        <v>0</v>
      </c>
      <c r="HP18" s="4">
        <v>0</v>
      </c>
      <c r="HQ18" s="5">
        <f>HP18-HO18</f>
        <v>0</v>
      </c>
      <c r="HR18" s="4">
        <v>0</v>
      </c>
      <c r="HS18" s="4">
        <v>0</v>
      </c>
      <c r="HT18" s="4">
        <v>1.982</v>
      </c>
      <c r="HU18" s="4">
        <v>1.988</v>
      </c>
      <c r="HV18" s="6"/>
      <c r="HW18" s="6"/>
      <c r="HX18" s="6"/>
      <c r="HY18" s="9"/>
      <c r="HZ18" s="7">
        <f>IFERROR(HO18/F18,0)</f>
        <v>0</v>
      </c>
      <c r="IA18"/>
      <c r="IB18"/>
      <c r="IC18"/>
      <c r="ID18"/>
      <c r="IE18"/>
      <c r="IF18" s="4"/>
      <c r="IG18" s="4"/>
      <c r="IH18" s="6"/>
      <c r="II18" s="4"/>
      <c r="IJ18" s="5">
        <v>0</v>
      </c>
      <c r="IK18" s="5"/>
      <c r="IL18" s="6"/>
      <c r="IM18" s="4"/>
      <c r="IN18" s="4"/>
      <c r="IO18" s="5">
        <v>0</v>
      </c>
      <c r="IP18" s="5">
        <v>0</v>
      </c>
      <c r="IQ18" s="5"/>
      <c r="IR18" s="4"/>
      <c r="IS18" s="5">
        <v>0</v>
      </c>
      <c r="IT18" s="4"/>
      <c r="IU18" s="4"/>
      <c r="IV18" s="4"/>
      <c r="IW18" s="4"/>
      <c r="IX18" s="6"/>
      <c r="IY18" s="6"/>
      <c r="IZ18" s="6"/>
      <c r="JA18" s="9"/>
      <c r="JB18"/>
      <c r="JC18"/>
      <c r="JD18"/>
      <c r="JE18"/>
      <c r="JF18"/>
      <c r="JG18"/>
      <c r="JH18" s="4"/>
      <c r="JI18" s="4"/>
      <c r="JJ18" s="6"/>
      <c r="JK18" s="4"/>
      <c r="JL18" s="5">
        <v>0</v>
      </c>
      <c r="JM18" s="5"/>
      <c r="JN18" s="6"/>
      <c r="JO18" s="4"/>
      <c r="JP18" s="4"/>
      <c r="JQ18" s="5">
        <v>0</v>
      </c>
      <c r="JR18" s="5">
        <v>0</v>
      </c>
      <c r="JS18" s="5"/>
      <c r="JT18" s="4"/>
      <c r="JU18" s="5">
        <v>0</v>
      </c>
      <c r="JV18" s="4"/>
      <c r="JW18" s="4"/>
      <c r="JX18" s="4"/>
      <c r="JY18" s="4"/>
      <c r="JZ18" s="6"/>
      <c r="KA18" s="6"/>
      <c r="KB18" s="6"/>
      <c r="KC18" s="9"/>
      <c r="KD18"/>
      <c r="KE18"/>
      <c r="KF18"/>
      <c r="KG18"/>
      <c r="KH18"/>
      <c r="KI18"/>
      <c r="KJ18" s="4"/>
      <c r="KK18" s="4"/>
      <c r="KL18" s="6"/>
      <c r="KM18" s="4"/>
      <c r="KN18" s="5">
        <v>0</v>
      </c>
      <c r="KO18" s="5"/>
      <c r="KP18" s="6"/>
      <c r="KQ18" s="4"/>
      <c r="KR18" s="4"/>
      <c r="KS18" s="5">
        <v>0</v>
      </c>
      <c r="KT18" s="5">
        <v>0</v>
      </c>
      <c r="KU18" s="5"/>
      <c r="KV18" s="4"/>
      <c r="KW18" s="5">
        <v>0</v>
      </c>
      <c r="KX18" s="4"/>
      <c r="KY18" s="4"/>
      <c r="KZ18" s="4"/>
      <c r="LA18" s="4"/>
      <c r="LB18" s="6"/>
      <c r="LC18" s="6"/>
      <c r="LD18" s="6"/>
      <c r="LE18" s="9"/>
      <c r="LF18"/>
      <c r="LG18"/>
      <c r="LH18"/>
      <c r="LI18"/>
      <c r="LJ18"/>
      <c r="LK18"/>
      <c r="LL18" s="4"/>
      <c r="LM18" s="4"/>
      <c r="LN18" s="6"/>
      <c r="LO18" s="4"/>
      <c r="LP18" s="5">
        <v>0</v>
      </c>
      <c r="LQ18" s="5"/>
      <c r="LR18" s="6"/>
      <c r="LS18" s="4"/>
      <c r="LT18" s="4"/>
      <c r="LU18" s="5">
        <v>0</v>
      </c>
      <c r="LV18" s="5">
        <v>0</v>
      </c>
      <c r="LW18" s="5"/>
      <c r="LX18" s="4"/>
      <c r="LY18" s="5">
        <v>0</v>
      </c>
      <c r="LZ18" s="4"/>
      <c r="MA18" s="4"/>
      <c r="MB18" s="4"/>
      <c r="MC18" s="4"/>
      <c r="MD18" s="6"/>
      <c r="ME18" s="6"/>
      <c r="MF18" s="6"/>
      <c r="MG18" s="9"/>
      <c r="MH18"/>
    </row>
    <row r="19">
      <c r="A19" s="8">
        <v>25227</v>
      </c>
      <c r="B19" s="8">
        <v>25230</v>
      </c>
      <c r="C19" s="9">
        <f>B19-A19</f>
        <v>3</v>
      </c>
      <c r="D19" s="8">
        <v>25227</v>
      </c>
      <c r="E19" t="inlineStr">
        <is>
          <t xml:space="preserve">neutral</t>
        </is>
      </c>
      <c r="F19" s="4">
        <v>1.0637107316387477</v>
      </c>
      <c r="G19" s="6">
        <v>0.0055126512499655556</v>
      </c>
      <c r="H19" s="7">
        <f>SUM(CP19,DR19,ET19,FV19,GX19,HZ19,JB19,KD19,LF19,MH19)</f>
        <v>0.0055126512499655556</v>
      </c>
      <c r="I19" s="7">
        <f>G19-H19</f>
        <v>0</v>
      </c>
      <c r="J19" s="5">
        <f>F19*(1+H19)</f>
        <v>1.0695745979331177</v>
      </c>
      <c r="K19" s="4">
        <v>1.0695745979331177</v>
      </c>
      <c r="L19" s="5">
        <f>K19-J19</f>
        <v>0</v>
      </c>
      <c r="M19" s="4">
        <v>1.988</v>
      </c>
      <c r="N19" s="4">
        <v>1.999</v>
      </c>
      <c r="O19" s="5">
        <f>M19/$M$3</f>
        <v>1.0153217568947905</v>
      </c>
      <c r="P19" s="5">
        <f>N19/$M$3</f>
        <v>1.0209397344228806</v>
      </c>
      <c r="Q19" s="7">
        <f>IFERROR(N19/M19-1,0)</f>
        <v>0.005533199195171035</v>
      </c>
      <c r="R19" s="5">
        <f>SUM(IF(BQ19="lease",CB19,0),IF(CS19="lease",DD19,0),IF(DU19="lease",EF19,0),IF(EW19="lease",FH19,0),IF(FY19="lease",GJ19,0),IF(HA19="lease",HL19,0),IF(IC19="lease",IN19,0),IF(JE19="lease",JP19,0),IF(KG19="lease",KR19,0),IF(LI19="lease",LT19,0))</f>
        <v>1.0637107316387475</v>
      </c>
      <c r="S19" s="5">
        <f>SUM(IF(BQ19="lease",CI19,0),IF(CS19="lease",DK19,0),IF(DU19="lease",EM19,0),IF(EW19="lease",FO19,0),IF(FY19="lease",GQ19,0),IF(HA19="lease",HS19,0),IF(IC19="lease",IU19,0),IF(JE19="lease",JW19,0),IF(KG19="lease",KY19,0),IF(LI19="lease",MA19,0))</f>
        <v>1.0695745979331177</v>
      </c>
      <c r="T19" s="5">
        <f>SUM(IF(BQ19="keep",CB19,0),IF(CS19="keep",DD19,0),IF(DU19="keep",EF19,0),IF(EW19="keep",FH19,0),IF(FY19="keep",GJ19,0),IF(HA19="keep",HL19,0),IF(IC19="keep",IN19,0),IF(JE19="keep",JP19,0),IF(KG19="keep",KR19,0),IF(LI19="keep",LT19,0))</f>
        <v>0</v>
      </c>
      <c r="U19" s="5">
        <f>SUM(IF(BQ19="keep",CI19,0),IF(CS19="keep",DK19,0),IF(DU19="keep",EM19,0),IF(EW19="keep",FO19,0),IF(FY19="keep",GQ19,0),IF(HA19="keep",HS19,0),IF(IC19="keep",IU19,0),IF(JE19="keep",JW19,0),IF(KG19="keep",KY19,0),IF(LI19="keep",MA19,0))</f>
        <v>0</v>
      </c>
      <c r="V19" s="5">
        <f>R19/O19</f>
        <v>1.0476587588272976</v>
      </c>
      <c r="W19" s="5">
        <f>S19/P19</f>
        <v>1.047637350051548</v>
      </c>
      <c r="X19" s="5">
        <f>T19/O19</f>
        <v>0</v>
      </c>
      <c r="Y19" s="5">
        <f>U19/P19</f>
        <v>0</v>
      </c>
      <c r="Z19" s="5">
        <f>V19+X19</f>
        <v>1.0476587588272976</v>
      </c>
      <c r="AA19" s="7">
        <f>IFERROR(W19/V19-1,0)</f>
        <v>-0.00002043487497183083</v>
      </c>
      <c r="AB19" s="7">
        <f>IFERROR((W19-V19)/Z19,0)</f>
        <v>-0.000020434874971795956</v>
      </c>
      <c r="AC19" s="7">
        <f>IFERROR(Y19/X19-1,0)</f>
        <v>0</v>
      </c>
      <c r="AD19" s="7">
        <f>IFERROR((Y19-X19)/Z19,0)</f>
        <v>0</v>
      </c>
      <c r="AE19" s="7">
        <f>AB19+AD19</f>
        <v>-0.000020434874971795956</v>
      </c>
      <c r="AF19" s="7">
        <f>(1+Q19)*(1+AE19)-1</f>
        <v>0.005512651249965472</v>
      </c>
      <c r="AG19" s="7">
        <f>G19-AF19</f>
        <v>8.326672684688674e-17</v>
      </c>
      <c r="AH19" s="5">
        <f>SUM(IF(BQ19="lease",CE19,0),IF(CS19="lease",DG19,0),IF(DU19="lease",EI19,0),IF(EW19="lease",FK19,0),IF(FY19="lease",GM19,0),IF(HA19="lease",HO19,0),IF(IC19="lease",IQ19,0),IF(JE19="lease",JS19,0),IF(KG19="lease",KU19,0),IF(LI19="lease",LW19,0))</f>
        <v>0.005863866294370118</v>
      </c>
      <c r="AI19" s="5">
        <f>SUM(IF(BQ19="keep",CE19,0),IF(CS19="keep",DG19,0),IF(DU19="keep",EI19,0),IF(EW19="keep",FK19,0),IF(FY19="keep",GM19,0),IF(HA19="keep",HO19,0),IF(IC19="keep",IQ19,0),IF(JE19="keep",JS19,0),IF(KG19="keep",KU19,0),IF(LI19="keep",LW19,0))</f>
        <v>0</v>
      </c>
      <c r="AJ19" s="5">
        <f>SUM(IF(BQ19="lease",CH19,0),IF(CS19="lease",DJ19,0),IF(DU19="lease",EL19,0),IF(EW19="lease",FN19,0),IF(FY19="lease",GP19,0),IF(HA19="lease",HR19,0),IF(IC19="lease",IT19,0),IF(JE19="lease",JV19,0),IF(KG19="lease",KX19,0),IF(LI19="lease",LZ19,0))</f>
        <v>0</v>
      </c>
      <c r="AK19" s="5">
        <f>SUM(IF(BQ19="keep",CH19,0),IF(CS19="keep",DJ19,0),IF(DU19="keep",EL19,0),IF(EW19="keep",FN19,0),IF(FY19="keep",GP19,0),IF(HA19="keep",HR19,0),IF(IC19="keep",IT19,0),IF(JE19="keep",JV19,0),IF(KG19="keep",KX19,0),IF(LI19="keep",LZ19,0))</f>
        <v>0</v>
      </c>
      <c r="AL19" s="5">
        <f>R19-S18</f>
        <v>0</v>
      </c>
      <c r="AM19" s="5">
        <f>T19-U18</f>
        <v>0</v>
      </c>
      <c r="AN19" s="5">
        <f>AN18</f>
        <v>1</v>
      </c>
      <c r="AO19" s="5">
        <f>AO18+AH19</f>
        <v>0.06957459793311795</v>
      </c>
      <c r="AP19" s="5">
        <f>AP18+AL19</f>
        <v>-4.440892098500626e-16</v>
      </c>
      <c r="AQ19" s="5">
        <f>AN19+AO19+AP19</f>
        <v>1.0695745979331175</v>
      </c>
      <c r="AR19" s="5">
        <f>S19-AQ19</f>
        <v>2.220446049250313e-16</v>
      </c>
      <c r="AS19" s="5">
        <f>AS18</f>
        <v>0</v>
      </c>
      <c r="AT19" s="5">
        <f>AT18+AI19</f>
        <v>0</v>
      </c>
      <c r="AU19" s="5">
        <f>AU18+AM19</f>
        <v>0</v>
      </c>
      <c r="AV19" s="5">
        <f>AS19+AT19+AU19</f>
        <v>0</v>
      </c>
      <c r="AW19" s="5">
        <f>U19-AV19</f>
        <v>0</v>
      </c>
      <c r="AX19" s="4">
        <v>1.0637107316387475</v>
      </c>
      <c r="AY19" s="4">
        <v>1.0695745979331177</v>
      </c>
      <c r="AZ19" s="5">
        <f>S19-AY19</f>
        <v>0</v>
      </c>
      <c r="BA19" s="4">
        <v>0</v>
      </c>
      <c r="BB19" s="4">
        <v>0</v>
      </c>
      <c r="BC19" s="5">
        <f>U19-BB19</f>
        <v>0</v>
      </c>
      <c r="BD19" s="7">
        <f>SUM(IF(BP19="direct",CC19/F19,0),IF(CR19="direct",DE19/F19,0),IF(DT19="direct",EG19/F19,0),IF(EV19="direct",FI19/F19,0),IF(FX19="direct",GK19/F19,0),IF(GZ19="direct",HM19/F19,0),IF(IB19="direct",IO19/F19,0),IF(JD19="direct",JQ19/F19,0),IF(KF19="direct",KS19/F19,0),IF(LH19="direct",LU19/F19,0))</f>
        <v>0.0055331991951710876</v>
      </c>
      <c r="BE19" s="7">
        <f>-SUM(IF(BP19="direct",CD19/F19,0),IF(CR19="direct",DF19/F19,0),IF(DT19="direct",EH19/F19,0),IF(EV19="direct",FJ19/F19,0),IF(FX19="direct",GL19/F19,0),IF(GZ19="direct",HN19/F19,0),IF(IB19="direct",IP19/F19,0),IF(JD19="direct",JR19/F19,0),IF(KF19="direct",KT19/F19,0),IF(LH19="direct",LV19/F19,0))</f>
        <v>-0.00002054794520547945</v>
      </c>
      <c r="BF19" s="7">
        <f>BD19+BE19</f>
        <v>0.0055126512499656085</v>
      </c>
      <c r="BG19" s="7">
        <f>BF19-SUM(IF(BP19="direct",CP19,0),IF(CR19="direct",DR19,0),IF(DT19="direct",ET19,0),IF(EV19="direct",FV19,0),IF(FX19="direct",GX19,0),IF(GZ19="direct",HZ19,0),IF(IB19="direct",JB19,0),IF(JD19="direct",KD19,0),IF(KF19="direct",LF19,0),IF(LH19="direct",MH19,0))</f>
        <v>5.2909066017292616e-17</v>
      </c>
      <c r="BH19" s="7">
        <f>SUM(IF(BP19="treasury",CP19,0),IF(CR19="treasury",DR19,0),IF(DT19="treasury",ET19,0),IF(EV19="treasury",FV19,0),IF(FX19="treasury",GX19,0),IF(GZ19="treasury",HZ19,0),IF(IB19="treasury",JB19,0),IF(JD19="treasury",KD19,0),IF(KF19="treasury",LF19,0),IF(LH19="treasury",MH19,0))</f>
        <v>0</v>
      </c>
      <c r="BI19" s="7">
        <f>SUM(IF(BP19="future",CP19,0),IF(CR19="future",DR19,0),IF(DT19="future",ET19,0),IF(EV19="future",FV19,0),IF(FX19="future",GX19,0),IF(GZ19="future",HZ19,0),IF(IB19="future",JB19,0),IF(JD19="future",KD19,0),IF(KF19="future",LF19,0),IF(LH19="future",MH19,0))</f>
        <v>0</v>
      </c>
      <c r="BJ19" s="7">
        <f>SUM(IF(BP19="cash",CP19,0),IF(CR19="cash",DR19,0),IF(DT19="cash",ET19,0),IF(EV19="cash",FV19,0),IF(FX19="cash",GX19,0),IF(GZ19="cash",HZ19,0),IF(IB19="cash",JB19,0),IF(JD19="cash",KD19,0),IF(KF19="cash",LF19,0),IF(LH19="cash",MH19,0))</f>
        <v>0</v>
      </c>
      <c r="BK19" s="7">
        <f>SUM(BF19,BH19,BI19,BJ19)</f>
        <v>0.0055126512499655556</v>
      </c>
      <c r="BL19" s="7">
        <f>G19-BK19</f>
        <v>0</v>
      </c>
      <c r="BM19" s="5">
        <f>MAX(ABS(CG19),ABS(DI19),ABS(EK19),ABS(FM19),ABS(GO19),ABS(HQ19),ABS(IS19),ABS(JU19),ABS(KW19),ABS(LY19))</f>
        <v>5.576864924722313e-17</v>
      </c>
      <c r="BN19" s="9">
        <f>COUNTA(BO19,CQ19,DS19,EU19,FW19,GY19,IA19,JC19,KE19,LG19)</f>
        <v>3</v>
      </c>
      <c r="BO19" t="inlineStr">
        <is>
          <t xml:space="preserve">Direct commodity holding</t>
        </is>
      </c>
      <c r="BP19" t="inlineStr">
        <is>
          <t xml:space="preserve">direct</t>
        </is>
      </c>
      <c r="BQ19" t="inlineStr">
        <is>
          <t xml:space="preserve">lease</t>
        </is>
      </c>
      <c r="BR19" t="inlineStr">
        <is>
          <t xml:space="preserve">long</t>
        </is>
      </c>
      <c r="BS19"/>
      <c r="BT19" s="4">
        <v>1.988</v>
      </c>
      <c r="BU19" s="4">
        <v>1.999</v>
      </c>
      <c r="BV19" s="6">
        <v>0.0025</v>
      </c>
      <c r="BW19" s="4">
        <v>0.5350657603816639</v>
      </c>
      <c r="BX19" s="5">
        <f>IF(BP19="direct",IFERROR(CD19/BU19,0),0)</f>
        <v>0.000010934001915054248</v>
      </c>
      <c r="BY19" s="5">
        <f>IF(BP19="direct",BW19-BX19,IF(BP19="cash",CI19,BW19))</f>
        <v>0.5350548263797488</v>
      </c>
      <c r="BZ19" s="6">
        <v>1</v>
      </c>
      <c r="CA19" s="4">
        <v>1.0637107316387477</v>
      </c>
      <c r="CB19" s="4">
        <v>1.0637107316387477</v>
      </c>
      <c r="CC19" s="5">
        <f>IF(BP19="direct",BW19*(BU19-BT19),CF19)</f>
        <v>0.0058857233641983675</v>
      </c>
      <c r="CD19" s="5">
        <f>IF(BP19="direct",CB19*BV19*C19/365,0)</f>
        <v>0.000021857069828193443</v>
      </c>
      <c r="CE19" s="5">
        <f>CC19-CD19</f>
        <v>0.005863866294370118</v>
      </c>
      <c r="CF19" s="4">
        <v>0.005863866294370118</v>
      </c>
      <c r="CG19" s="5">
        <f>CF19-CE19</f>
        <v>-5.576864924722313e-17</v>
      </c>
      <c r="CH19" s="4">
        <v>0</v>
      </c>
      <c r="CI19" s="4">
        <v>1.069574597933118</v>
      </c>
      <c r="CJ19" s="4">
        <v>1.988</v>
      </c>
      <c r="CK19" s="4">
        <v>1.999</v>
      </c>
      <c r="CL19" s="6"/>
      <c r="CM19" s="6"/>
      <c r="CN19" s="6"/>
      <c r="CO19" s="9"/>
      <c r="CP19" s="7">
        <f>IFERROR(CE19/F19,0)</f>
        <v>0.0055126512499655556</v>
      </c>
      <c r="CQ19" t="inlineStr">
        <is>
          <t xml:space="preserve">Lease cash / margin / financing</t>
        </is>
      </c>
      <c r="CR19" t="inlineStr">
        <is>
          <t xml:space="preserve">cash</t>
        </is>
      </c>
      <c r="CS19" t="inlineStr">
        <is>
          <t xml:space="preserve">lease</t>
        </is>
      </c>
      <c r="CT19" t="inlineStr">
        <is>
          <t xml:space="preserve">cash</t>
        </is>
      </c>
      <c r="CU19"/>
      <c r="CV19" s="4">
        <v>1</v>
      </c>
      <c r="CW19" s="4">
        <v>1</v>
      </c>
      <c r="CX19" s="6"/>
      <c r="CY19" s="4">
        <v>-2.220446049250313e-16</v>
      </c>
      <c r="CZ19" s="5">
        <f>IF(CR19="direct",IFERROR(DF19/CW19,0),0)</f>
        <v>0</v>
      </c>
      <c r="DA19" s="5">
        <f>IF(CR19="direct",CY19-CZ19,IF(CR19="cash",DK19,CY19))</f>
        <v>-2.220446049250313e-16</v>
      </c>
      <c r="DB19" s="6"/>
      <c r="DC19" s="4">
        <v>-2.220446049250313e-16</v>
      </c>
      <c r="DD19" s="4">
        <v>-2.220446049250313e-16</v>
      </c>
      <c r="DE19" s="5">
        <f>IF(CR19="direct",CY19*(CW19-CV19),DH19)</f>
        <v>0</v>
      </c>
      <c r="DF19" s="5">
        <f>IF(CR19="direct",DD19*CX19*C19/365,0)</f>
        <v>0</v>
      </c>
      <c r="DG19" s="5">
        <f>DE19-DF19</f>
        <v>0</v>
      </c>
      <c r="DH19" s="4">
        <v>0</v>
      </c>
      <c r="DI19" s="5">
        <f>DH19-DG19</f>
        <v>0</v>
      </c>
      <c r="DJ19" s="4">
        <v>0</v>
      </c>
      <c r="DK19" s="4">
        <v>-2.220446049250313e-16</v>
      </c>
      <c r="DL19" s="4">
        <v>1.988</v>
      </c>
      <c r="DM19" s="4">
        <v>1.999</v>
      </c>
      <c r="DN19" s="6"/>
      <c r="DO19" s="6"/>
      <c r="DP19" s="6"/>
      <c r="DQ19" s="9"/>
      <c r="DR19" s="7">
        <f>IFERROR(DG19/F19,0)</f>
        <v>0</v>
      </c>
      <c r="DS19" t="inlineStr">
        <is>
          <t xml:space="preserve">Keep cash / margin / financing</t>
        </is>
      </c>
      <c r="DT19" t="inlineStr">
        <is>
          <t xml:space="preserve">cash</t>
        </is>
      </c>
      <c r="DU19" t="inlineStr">
        <is>
          <t xml:space="preserve">keep</t>
        </is>
      </c>
      <c r="DV19" t="inlineStr">
        <is>
          <t xml:space="preserve">cash</t>
        </is>
      </c>
      <c r="DW19"/>
      <c r="DX19" s="4">
        <v>1</v>
      </c>
      <c r="DY19" s="4">
        <v>1</v>
      </c>
      <c r="DZ19" s="6"/>
      <c r="EA19" s="4">
        <v>0</v>
      </c>
      <c r="EB19" s="5">
        <f>IF(DT19="direct",IFERROR(EH19/DY19,0),0)</f>
        <v>0</v>
      </c>
      <c r="EC19" s="5">
        <f>IF(DT19="direct",EA19-EB19,IF(DT19="cash",EM19,EA19))</f>
        <v>0</v>
      </c>
      <c r="ED19" s="6"/>
      <c r="EE19" s="4">
        <v>0</v>
      </c>
      <c r="EF19" s="4">
        <v>0</v>
      </c>
      <c r="EG19" s="5">
        <f>IF(DT19="direct",EA19*(DY19-DX19),EJ19)</f>
        <v>0</v>
      </c>
      <c r="EH19" s="5">
        <f>IF(DT19="direct",EF19*DZ19*C19/365,0)</f>
        <v>0</v>
      </c>
      <c r="EI19" s="5">
        <f>EG19-EH19</f>
        <v>0</v>
      </c>
      <c r="EJ19" s="4">
        <v>0</v>
      </c>
      <c r="EK19" s="5">
        <f>EJ19-EI19</f>
        <v>0</v>
      </c>
      <c r="EL19" s="4">
        <v>0</v>
      </c>
      <c r="EM19" s="4">
        <v>0</v>
      </c>
      <c r="EN19" s="4">
        <v>1.988</v>
      </c>
      <c r="EO19" s="4">
        <v>1.999</v>
      </c>
      <c r="EP19" s="6"/>
      <c r="EQ19" s="6"/>
      <c r="ER19" s="6"/>
      <c r="ES19" s="9"/>
      <c r="ET19" s="7">
        <f>IFERROR(EI19/F19,0)</f>
        <v>0</v>
      </c>
      <c r="EU19"/>
      <c r="EV19"/>
      <c r="EW19"/>
      <c r="EX19"/>
      <c r="EY19"/>
      <c r="EZ19" s="4"/>
      <c r="FA19" s="4"/>
      <c r="FB19" s="6"/>
      <c r="FC19" s="4"/>
      <c r="FD19" s="5">
        <v>0</v>
      </c>
      <c r="FE19" s="5"/>
      <c r="FF19" s="6"/>
      <c r="FG19" s="4"/>
      <c r="FH19" s="4"/>
      <c r="FI19" s="5">
        <v>0</v>
      </c>
      <c r="FJ19" s="5">
        <v>0</v>
      </c>
      <c r="FK19" s="5"/>
      <c r="FL19" s="4"/>
      <c r="FM19" s="5">
        <v>0</v>
      </c>
      <c r="FN19" s="4"/>
      <c r="FO19" s="4"/>
      <c r="FP19" s="4"/>
      <c r="FQ19" s="4"/>
      <c r="FR19" s="6"/>
      <c r="FS19" s="6"/>
      <c r="FT19" s="6"/>
      <c r="FU19" s="9"/>
      <c r="FV19"/>
      <c r="FW19"/>
      <c r="FX19"/>
      <c r="FY19"/>
      <c r="FZ19"/>
      <c r="GA19"/>
      <c r="GB19" s="4"/>
      <c r="GC19" s="4"/>
      <c r="GD19" s="6"/>
      <c r="GE19" s="4"/>
      <c r="GF19" s="5">
        <v>0</v>
      </c>
      <c r="GG19" s="5"/>
      <c r="GH19" s="6"/>
      <c r="GI19" s="4"/>
      <c r="GJ19" s="4"/>
      <c r="GK19" s="5">
        <v>0</v>
      </c>
      <c r="GL19" s="5">
        <v>0</v>
      </c>
      <c r="GM19" s="5"/>
      <c r="GN19" s="4"/>
      <c r="GO19" s="5">
        <v>0</v>
      </c>
      <c r="GP19" s="4"/>
      <c r="GQ19" s="4"/>
      <c r="GR19" s="4"/>
      <c r="GS19" s="4"/>
      <c r="GT19" s="6"/>
      <c r="GU19" s="6"/>
      <c r="GV19" s="6"/>
      <c r="GW19" s="9"/>
      <c r="GX19"/>
      <c r="GY19"/>
      <c r="GZ19"/>
      <c r="HA19"/>
      <c r="HB19"/>
      <c r="HC19"/>
      <c r="HD19" s="4"/>
      <c r="HE19" s="4"/>
      <c r="HF19" s="6"/>
      <c r="HG19" s="4"/>
      <c r="HH19" s="5">
        <v>0</v>
      </c>
      <c r="HI19" s="5"/>
      <c r="HJ19" s="6"/>
      <c r="HK19" s="4"/>
      <c r="HL19" s="4"/>
      <c r="HM19" s="5">
        <v>0</v>
      </c>
      <c r="HN19" s="5">
        <v>0</v>
      </c>
      <c r="HO19" s="5"/>
      <c r="HP19" s="4"/>
      <c r="HQ19" s="5">
        <v>0</v>
      </c>
      <c r="HR19" s="4"/>
      <c r="HS19" s="4"/>
      <c r="HT19" s="4"/>
      <c r="HU19" s="4"/>
      <c r="HV19" s="6"/>
      <c r="HW19" s="6"/>
      <c r="HX19" s="6"/>
      <c r="HY19" s="9"/>
      <c r="HZ19"/>
      <c r="IA19"/>
      <c r="IB19"/>
      <c r="IC19"/>
      <c r="ID19"/>
      <c r="IE19"/>
      <c r="IF19" s="4"/>
      <c r="IG19" s="4"/>
      <c r="IH19" s="6"/>
      <c r="II19" s="4"/>
      <c r="IJ19" s="5">
        <v>0</v>
      </c>
      <c r="IK19" s="5"/>
      <c r="IL19" s="6"/>
      <c r="IM19" s="4"/>
      <c r="IN19" s="4"/>
      <c r="IO19" s="5">
        <v>0</v>
      </c>
      <c r="IP19" s="5">
        <v>0</v>
      </c>
      <c r="IQ19" s="5"/>
      <c r="IR19" s="4"/>
      <c r="IS19" s="5">
        <v>0</v>
      </c>
      <c r="IT19" s="4"/>
      <c r="IU19" s="4"/>
      <c r="IV19" s="4"/>
      <c r="IW19" s="4"/>
      <c r="IX19" s="6"/>
      <c r="IY19" s="6"/>
      <c r="IZ19" s="6"/>
      <c r="JA19" s="9"/>
      <c r="JB19"/>
      <c r="JC19"/>
      <c r="JD19"/>
      <c r="JE19"/>
      <c r="JF19"/>
      <c r="JG19"/>
      <c r="JH19" s="4"/>
      <c r="JI19" s="4"/>
      <c r="JJ19" s="6"/>
      <c r="JK19" s="4"/>
      <c r="JL19" s="5">
        <v>0</v>
      </c>
      <c r="JM19" s="5"/>
      <c r="JN19" s="6"/>
      <c r="JO19" s="4"/>
      <c r="JP19" s="4"/>
      <c r="JQ19" s="5">
        <v>0</v>
      </c>
      <c r="JR19" s="5">
        <v>0</v>
      </c>
      <c r="JS19" s="5"/>
      <c r="JT19" s="4"/>
      <c r="JU19" s="5">
        <v>0</v>
      </c>
      <c r="JV19" s="4"/>
      <c r="JW19" s="4"/>
      <c r="JX19" s="4"/>
      <c r="JY19" s="4"/>
      <c r="JZ19" s="6"/>
      <c r="KA19" s="6"/>
      <c r="KB19" s="6"/>
      <c r="KC19" s="9"/>
      <c r="KD19"/>
      <c r="KE19"/>
      <c r="KF19"/>
      <c r="KG19"/>
      <c r="KH19"/>
      <c r="KI19"/>
      <c r="KJ19" s="4"/>
      <c r="KK19" s="4"/>
      <c r="KL19" s="6"/>
      <c r="KM19" s="4"/>
      <c r="KN19" s="5">
        <v>0</v>
      </c>
      <c r="KO19" s="5"/>
      <c r="KP19" s="6"/>
      <c r="KQ19" s="4"/>
      <c r="KR19" s="4"/>
      <c r="KS19" s="5">
        <v>0</v>
      </c>
      <c r="KT19" s="5">
        <v>0</v>
      </c>
      <c r="KU19" s="5"/>
      <c r="KV19" s="4"/>
      <c r="KW19" s="5">
        <v>0</v>
      </c>
      <c r="KX19" s="4"/>
      <c r="KY19" s="4"/>
      <c r="KZ19" s="4"/>
      <c r="LA19" s="4"/>
      <c r="LB19" s="6"/>
      <c r="LC19" s="6"/>
      <c r="LD19" s="6"/>
      <c r="LE19" s="9"/>
      <c r="LF19"/>
      <c r="LG19"/>
      <c r="LH19"/>
      <c r="LI19"/>
      <c r="LJ19"/>
      <c r="LK19"/>
      <c r="LL19" s="4"/>
      <c r="LM19" s="4"/>
      <c r="LN19" s="6"/>
      <c r="LO19" s="4"/>
      <c r="LP19" s="5">
        <v>0</v>
      </c>
      <c r="LQ19" s="5"/>
      <c r="LR19" s="6"/>
      <c r="LS19" s="4"/>
      <c r="LT19" s="4"/>
      <c r="LU19" s="5">
        <v>0</v>
      </c>
      <c r="LV19" s="5">
        <v>0</v>
      </c>
      <c r="LW19" s="5"/>
      <c r="LX19" s="4"/>
      <c r="LY19" s="5">
        <v>0</v>
      </c>
      <c r="LZ19" s="4"/>
      <c r="MA19" s="4"/>
      <c r="MB19" s="4"/>
      <c r="MC19" s="4"/>
      <c r="MD19" s="6"/>
      <c r="ME19" s="6"/>
      <c r="MF19" s="6"/>
      <c r="MG19" s="9"/>
      <c r="MH19"/>
    </row>
    <row r="20">
      <c r="A20" s="8">
        <v>25230</v>
      </c>
      <c r="B20" s="8">
        <v>25231</v>
      </c>
      <c r="C20" s="9">
        <f>B20-A20</f>
        <v>1</v>
      </c>
      <c r="D20" s="8">
        <v>25230</v>
      </c>
      <c r="E20" t="inlineStr">
        <is>
          <t xml:space="preserve">positive</t>
        </is>
      </c>
      <c r="F20" s="4">
        <v>1.0695745979331177</v>
      </c>
      <c r="G20" s="6">
        <v>-0.00575981297551644</v>
      </c>
      <c r="H20" s="7">
        <f>SUM(CP20,DR20,ET20,FV20,GX20,HZ20,JB20,KD20,LF20,MH20)</f>
        <v>-0.00575981297551644</v>
      </c>
      <c r="I20" s="7">
        <f>G20-H20</f>
        <v>0</v>
      </c>
      <c r="J20" s="5">
        <f>F20*(1+H20)</f>
        <v>1.0634140482856598</v>
      </c>
      <c r="K20" s="4">
        <v>1.0634140482856598</v>
      </c>
      <c r="L20" s="5">
        <f>K20-J20</f>
        <v>0</v>
      </c>
      <c r="M20" s="4">
        <v>1.999</v>
      </c>
      <c r="N20" s="4">
        <v>1.987</v>
      </c>
      <c r="O20" s="5">
        <f>M20/$M$3</f>
        <v>1.0209397344228806</v>
      </c>
      <c r="P20" s="5">
        <f>N20/$M$3</f>
        <v>1.0148110316649643</v>
      </c>
      <c r="Q20" s="7">
        <f>IFERROR(N20/M20-1,0)</f>
        <v>-0.006003001500750393</v>
      </c>
      <c r="R20" s="5">
        <f>SUM(IF(BQ20="lease",CB20,0),IF(CS20="lease",DD20,0),IF(DU20="lease",EF20,0),IF(EW20="lease",FH20,0),IF(FY20="lease",GJ20,0),IF(HA20="lease",HL20,0),IF(IC20="lease",IN20,0),IF(JE20="lease",JP20,0),IF(KG20="lease",KR20,0),IF(LI20="lease",LT20,0))</f>
        <v>1.0695745979331177</v>
      </c>
      <c r="S20" s="5">
        <f>SUM(IF(BQ20="lease",CI20,0),IF(CS20="lease",DK20,0),IF(DU20="lease",EM20,0),IF(EW20="lease",FO20,0),IF(FY20="lease",GQ20,0),IF(HA20="lease",HS20,0),IF(IC20="lease",IU20,0),IF(JE20="lease",JW20,0),IF(KG20="lease",KY20,0),IF(LI20="lease",MA20,0))</f>
        <v>1.06341404828566</v>
      </c>
      <c r="T20" s="5">
        <f>SUM(IF(BQ20="keep",CB20,0),IF(CS20="keep",DD20,0),IF(DU20="keep",EF20,0),IF(EW20="keep",FH20,0),IF(FY20="keep",GJ20,0),IF(HA20="keep",HL20,0),IF(IC20="keep",IN20,0),IF(JE20="keep",JP20,0),IF(KG20="keep",KR20,0),IF(LI20="keep",LT20,0))</f>
        <v>0</v>
      </c>
      <c r="U20" s="5">
        <f>SUM(IF(BQ20="keep",CI20,0),IF(CS20="keep",DK20,0),IF(DU20="keep",EM20,0),IF(EW20="keep",FO20,0),IF(FY20="keep",GQ20,0),IF(HA20="keep",HS20,0),IF(IC20="keep",IU20,0),IF(JE20="keep",JW20,0),IF(KG20="keep",KY20,0),IF(LI20="keep",MA20,0))</f>
        <v>0</v>
      </c>
      <c r="V20" s="5">
        <f>R20/O20</f>
        <v>1.047637350051548</v>
      </c>
      <c r="W20" s="5">
        <f>S20/P20</f>
        <v>1.0478936620751496</v>
      </c>
      <c r="X20" s="5">
        <f>T20/O20</f>
        <v>0</v>
      </c>
      <c r="Y20" s="5">
        <f>U20/P20</f>
        <v>0</v>
      </c>
      <c r="Z20" s="5">
        <f>V20+X20</f>
        <v>1.047637350051548</v>
      </c>
      <c r="AA20" s="7">
        <f>IFERROR(W20/V20-1,0)</f>
        <v>0.0002446572027896554</v>
      </c>
      <c r="AB20" s="7">
        <f>IFERROR((W20-V20)/Z20,0)</f>
        <v>0.00024465720278973006</v>
      </c>
      <c r="AC20" s="7">
        <f>IFERROR(Y20/X20-1,0)</f>
        <v>0</v>
      </c>
      <c r="AD20" s="7">
        <f>IFERROR((Y20-X20)/Z20,0)</f>
        <v>0</v>
      </c>
      <c r="AE20" s="7">
        <f>AB20+AD20</f>
        <v>0.00024465720278973006</v>
      </c>
      <c r="AF20" s="7">
        <f>(1+Q20)*(1+AE20)-1</f>
        <v>-0.005759812975516199</v>
      </c>
      <c r="AG20" s="7">
        <f>G20-AF20</f>
        <v>-2.411265631607762e-16</v>
      </c>
      <c r="AH20" s="5">
        <f>SUM(IF(BQ20="lease",CE20,0),IF(CS20="lease",DG20,0),IF(DU20="lease",EI20,0),IF(EW20="lease",FK20,0),IF(FY20="lease",GM20,0),IF(HA20="lease",HO20,0),IF(IC20="lease",IQ20,0),IF(JE20="lease",JS20,0),IF(KG20="lease",KU20,0),IF(LI20="lease",LW20,0))</f>
        <v>-0.0061605496474579505</v>
      </c>
      <c r="AI20" s="5">
        <f>SUM(IF(BQ20="keep",CE20,0),IF(CS20="keep",DG20,0),IF(DU20="keep",EI20,0),IF(EW20="keep",FK20,0),IF(FY20="keep",GM20,0),IF(HA20="keep",HO20,0),IF(IC20="keep",IQ20,0),IF(JE20="keep",JS20,0),IF(KG20="keep",KU20,0),IF(LI20="keep",LW20,0))</f>
        <v>0</v>
      </c>
      <c r="AJ20" s="5">
        <f>SUM(IF(BQ20="lease",CH20,0),IF(CS20="lease",DJ20,0),IF(DU20="lease",EL20,0),IF(EW20="lease",FN20,0),IF(FY20="lease",GP20,0),IF(HA20="lease",HR20,0),IF(IC20="lease",IT20,0),IF(JE20="lease",JV20,0),IF(KG20="lease",KX20,0),IF(LI20="lease",LZ20,0))</f>
        <v>0</v>
      </c>
      <c r="AK20" s="5">
        <f>SUM(IF(BQ20="keep",CH20,0),IF(CS20="keep",DJ20,0),IF(DU20="keep",EL20,0),IF(EW20="keep",FN20,0),IF(FY20="keep",GP20,0),IF(HA20="keep",HR20,0),IF(IC20="keep",IT20,0),IF(JE20="keep",JV20,0),IF(KG20="keep",KX20,0),IF(LI20="keep",LZ20,0))</f>
        <v>0</v>
      </c>
      <c r="AL20" s="5">
        <f>R20-S19</f>
        <v>0</v>
      </c>
      <c r="AM20" s="5">
        <f>T20-U19</f>
        <v>0</v>
      </c>
      <c r="AN20" s="5">
        <f>AN19</f>
        <v>1</v>
      </c>
      <c r="AO20" s="5">
        <f>AO19+AH20</f>
        <v>0.06341404828566</v>
      </c>
      <c r="AP20" s="5">
        <f>AP19+AL20</f>
        <v>-4.440892098500626e-16</v>
      </c>
      <c r="AQ20" s="5">
        <f>AN20+AO20+AP20</f>
        <v>1.0634140482856596</v>
      </c>
      <c r="AR20" s="5">
        <f>S20-AQ20</f>
        <v>4.440892098500626e-16</v>
      </c>
      <c r="AS20" s="5">
        <f>AS19</f>
        <v>0</v>
      </c>
      <c r="AT20" s="5">
        <f>AT19+AI20</f>
        <v>0</v>
      </c>
      <c r="AU20" s="5">
        <f>AU19+AM20</f>
        <v>0</v>
      </c>
      <c r="AV20" s="5">
        <f>AS20+AT20+AU20</f>
        <v>0</v>
      </c>
      <c r="AW20" s="5">
        <f>U20-AV20</f>
        <v>0</v>
      </c>
      <c r="AX20" s="4">
        <v>1.0695745979331177</v>
      </c>
      <c r="AY20" s="4">
        <v>1.0634140482856598</v>
      </c>
      <c r="AZ20" s="5">
        <f>S20-AY20</f>
        <v>2.220446049250313e-16</v>
      </c>
      <c r="BA20" s="4">
        <v>0</v>
      </c>
      <c r="BB20" s="4">
        <v>0</v>
      </c>
      <c r="BC20" s="5">
        <f>U20-BB20</f>
        <v>0</v>
      </c>
      <c r="BD20" s="7">
        <f>SUM(IF(BP20="direct",CC20/F20,0),IF(CR20="direct",DE20/F20,0),IF(DT20="direct",EG20/F20,0),IF(EV20="direct",FI20/F20,0),IF(FX20="direct",GK20/F20,0),IF(GZ20="direct",HM20/F20,0),IF(IB20="direct",IO20/F20,0),IF(JD20="direct",JQ20/F20,0),IF(KF20="direct",KS20/F20,0),IF(LH20="direct",LU20/F20,0))</f>
        <v>-0.0037974801579064976</v>
      </c>
      <c r="BE20" s="7">
        <f>-SUM(IF(BP20="direct",CD20/F20,0),IF(CR20="direct",DF20/F20,0),IF(DT20="direct",EH20/F20,0),IF(EV20="direct",FJ20/F20,0),IF(FX20="direct",GL20/F20,0),IF(GZ20="direct",HN20/F20,0),IF(IB20="direct",IP20/F20,0),IF(JD20="direct",JR20/F20,0),IF(KF20="direct",KT20/F20,0),IF(LH20="direct",LV20/F20,0))</f>
        <v>-0.000004332855499803129</v>
      </c>
      <c r="BF20" s="7">
        <f>BD20+BE20</f>
        <v>-0.0038018130134063006</v>
      </c>
      <c r="BG20" s="7">
        <f>BF20-SUM(IF(BP20="direct",CP20,0),IF(CR20="direct",DR20,0),IF(DT20="direct",ET20,0),IF(EV20="direct",FV20,0),IF(FX20="direct",GX20,0),IF(GZ20="direct",HZ20,0),IF(IB20="direct",JB20,0),IF(JD20="direct",KD20,0),IF(KF20="direct",LF20,0),IF(LH20="direct",MH20,0))</f>
        <v>7.37257477290143e-18</v>
      </c>
      <c r="BH20" s="7">
        <f>SUM(IF(BP20="treasury",CP20,0),IF(CR20="treasury",DR20,0),IF(DT20="treasury",ET20,0),IF(EV20="treasury",FV20,0),IF(FX20="treasury",GX20,0),IF(GZ20="treasury",HZ20,0),IF(IB20="treasury",JB20,0),IF(JD20="treasury",KD20,0),IF(KF20="treasury",LF20,0),IF(LH20="treasury",MH20,0))</f>
        <v>0.00006170358862427935</v>
      </c>
      <c r="BI20" s="7">
        <f>SUM(IF(BP20="future",CP20,0),IF(CR20="future",DR20,0),IF(DT20="future",ET20,0),IF(EV20="future",FV20,0),IF(FX20="future",GX20,0),IF(GZ20="future",HZ20,0),IF(IB20="future",JB20,0),IF(JD20="future",KD20,0),IF(KF20="future",LF20,0),IF(LH20="future",MH20,0))</f>
        <v>-0.002019703550734411</v>
      </c>
      <c r="BJ20" s="7">
        <f>SUM(IF(BP20="cash",CP20,0),IF(CR20="cash",DR20,0),IF(DT20="cash",ET20,0),IF(EV20="cash",FV20,0),IF(FX20="cash",GX20,0),IF(GZ20="cash",HZ20,0),IF(IB20="cash",JB20,0),IF(JD20="cash",KD20,0),IF(KF20="cash",LF20,0),IF(LH20="cash",MH20,0))</f>
        <v>0</v>
      </c>
      <c r="BK20" s="7">
        <f>SUM(BF20,BH20,BI20,BJ20)</f>
        <v>-0.00575981297551644</v>
      </c>
      <c r="BL20" s="7">
        <f>G20-BK20</f>
        <v>0</v>
      </c>
      <c r="BM20" s="5">
        <f>MAX(ABS(CG20),ABS(DI20),ABS(EK20),ABS(FM20),ABS(GO20),ABS(HQ20),ABS(IS20),ABS(JU20),ABS(KW20),ABS(LY20))</f>
        <v>1.5517643593698782e-17</v>
      </c>
      <c r="BN20" s="9">
        <f>COUNTA(BO20,CQ20,DS20,EU20,FW20,GY20,IA20,JC20,KE20,LG20)</f>
        <v>6</v>
      </c>
      <c r="BO20" t="inlineStr">
        <is>
          <t xml:space="preserve">Direct commodity holding</t>
        </is>
      </c>
      <c r="BP20" t="inlineStr">
        <is>
          <t xml:space="preserve">direct</t>
        </is>
      </c>
      <c r="BQ20" t="inlineStr">
        <is>
          <t xml:space="preserve">lease</t>
        </is>
      </c>
      <c r="BR20" t="inlineStr">
        <is>
          <t xml:space="preserve">long</t>
        </is>
      </c>
      <c r="BS20"/>
      <c r="BT20" s="4">
        <v>1.999</v>
      </c>
      <c r="BU20" s="4">
        <v>1.987</v>
      </c>
      <c r="BV20" s="6">
        <v>0.0025</v>
      </c>
      <c r="BW20" s="4">
        <v>0.33847402608765254</v>
      </c>
      <c r="BX20" s="5">
        <f>IF(BP20="direct",IFERROR(CD20/BU20,0),0)</f>
        <v>0.000002332316144491308</v>
      </c>
      <c r="BY20" s="5">
        <f>IF(BP20="direct",BW20-BX20,IF(BP20="cash",CI20,BW20))</f>
        <v>0.33847169377150804</v>
      </c>
      <c r="BZ20" s="6">
        <v>0.6325969029712567</v>
      </c>
      <c r="CA20" s="4">
        <v>0.6766095781492174</v>
      </c>
      <c r="CB20" s="4">
        <v>0.6766095781492174</v>
      </c>
      <c r="CC20" s="5">
        <f>IF(BP20="direct",BW20*(BU20-BT20),CF20)</f>
        <v>-0.004061688313051834</v>
      </c>
      <c r="CD20" s="5">
        <f>IF(BP20="direct",CB20*BV20*C20/365,0)</f>
        <v>0.000004634312179104229</v>
      </c>
      <c r="CE20" s="5">
        <f>CC20-CD20</f>
        <v>-0.004066322625230947</v>
      </c>
      <c r="CF20" s="4">
        <v>-0.004066322625230947</v>
      </c>
      <c r="CG20" s="5">
        <f>CF20-CE20</f>
        <v>-8.080694316806025e-18</v>
      </c>
      <c r="CH20" s="4">
        <v>0</v>
      </c>
      <c r="CI20" s="4">
        <v>0.6725432555239865</v>
      </c>
      <c r="CJ20" s="4">
        <v>1.999</v>
      </c>
      <c r="CK20" s="4">
        <v>1.987</v>
      </c>
      <c r="CL20" s="6"/>
      <c r="CM20" s="6"/>
      <c r="CN20" s="6"/>
      <c r="CO20" s="9"/>
      <c r="CP20" s="7">
        <f>IFERROR(CE20/F20,0)</f>
        <v>-0.003801813013406308</v>
      </c>
      <c r="CQ20" t="inlineStr">
        <is>
          <t xml:space="preserve">Treasury collateral</t>
        </is>
      </c>
      <c r="CR20" t="inlineStr">
        <is>
          <t xml:space="preserve">treasury</t>
        </is>
      </c>
      <c r="CS20" t="inlineStr">
        <is>
          <t xml:space="preserve">lease</t>
        </is>
      </c>
      <c r="CT20" t="inlineStr">
        <is>
          <t xml:space="preserve">long</t>
        </is>
      </c>
      <c r="CU20"/>
      <c r="CV20" s="4">
        <v>100.42062138947583</v>
      </c>
      <c r="CW20" s="4">
        <v>100.43748655136946</v>
      </c>
      <c r="CX20" s="6"/>
      <c r="CY20" s="4">
        <v>0.0039131904816622</v>
      </c>
      <c r="CZ20" s="5">
        <f>IF(CR20="direct",IFERROR(DF20/CW20,0),0)</f>
        <v>0</v>
      </c>
      <c r="DA20" s="5">
        <f>IF(CR20="direct",CY20-CZ20,IF(CR20="cash",DK20,CY20))</f>
        <v>0.0039131904816622</v>
      </c>
      <c r="DB20" s="6">
        <v>0.3674030970287433</v>
      </c>
      <c r="DC20" s="4">
        <v>0.39296501978390036</v>
      </c>
      <c r="DD20" s="4">
        <v>0.39296501978390036</v>
      </c>
      <c r="DE20" s="5">
        <f>IF(CR20="direct",CY20*(CW20-CV20),DH20)</f>
        <v>0.0000659965909938596</v>
      </c>
      <c r="DF20" s="5">
        <f>IF(CR20="direct",DD20*CX20*C20/365,0)</f>
        <v>0</v>
      </c>
      <c r="DG20" s="5">
        <f>DE20-DF20</f>
        <v>0.00006599659099384408</v>
      </c>
      <c r="DH20" s="4">
        <v>0.00006599659099384408</v>
      </c>
      <c r="DI20" s="5">
        <f>DH20-DG20</f>
        <v>-1.5517643593698782e-17</v>
      </c>
      <c r="DJ20" s="4">
        <v>-2.2036409155767878e-17</v>
      </c>
      <c r="DK20" s="4">
        <v>0.3930310163748942</v>
      </c>
      <c r="DL20" s="4">
        <v>1.999</v>
      </c>
      <c r="DM20" s="4">
        <v>1.987</v>
      </c>
      <c r="DN20" s="6"/>
      <c r="DO20" s="6"/>
      <c r="DP20" s="6"/>
      <c r="DQ20" s="9">
        <v>59</v>
      </c>
      <c r="DR20" s="7">
        <f>IFERROR(DG20/F20,0)</f>
        <v>0.00006170358862427935</v>
      </c>
      <c r="DS20" t="inlineStr">
        <is>
          <t xml:space="preserve">SI69H</t>
        </is>
      </c>
      <c r="DT20" t="inlineStr">
        <is>
          <t xml:space="preserve">future</t>
        </is>
      </c>
      <c r="DU20" t="inlineStr">
        <is>
          <t xml:space="preserve">lease</t>
        </is>
      </c>
      <c r="DV20" t="inlineStr">
        <is>
          <t xml:space="preserve">long</t>
        </is>
      </c>
      <c r="DW20" t="inlineStr">
        <is>
          <t xml:space="preserve">regular</t>
        </is>
      </c>
      <c r="DX20" s="4">
        <v>2.001</v>
      </c>
      <c r="DY20" s="4">
        <v>1.99</v>
      </c>
      <c r="DZ20" s="6"/>
      <c r="EA20" s="4">
        <v>0.19636487990474472</v>
      </c>
      <c r="EB20" s="5">
        <f>IF(DT20="direct",IFERROR(EH20/DY20,0),0)</f>
        <v>0</v>
      </c>
      <c r="EC20" s="5">
        <f>IF(DT20="direct",EA20-EB20,IF(DT20="cash",EM20,EA20))</f>
        <v>0.19636487990474472</v>
      </c>
      <c r="ED20" s="6">
        <v>0.36736673201541803</v>
      </c>
      <c r="EE20" s="4">
        <v>0.39292612468939414</v>
      </c>
      <c r="EF20" s="4">
        <v>0</v>
      </c>
      <c r="EG20" s="5">
        <f>IF(DT20="direct",EA20*(DY20-DX20),EJ20)</f>
        <v>-0.0021600136789521685</v>
      </c>
      <c r="EH20" s="5">
        <f>IF(DT20="direct",EF20*DZ20*C20/365,0)</f>
        <v>0</v>
      </c>
      <c r="EI20" s="5">
        <f>EG20-EH20</f>
        <v>-0.0021600136789521685</v>
      </c>
      <c r="EJ20" s="4">
        <v>-0.0021600136789521685</v>
      </c>
      <c r="EK20" s="5">
        <f>EJ20-EI20</f>
        <v>0</v>
      </c>
      <c r="EL20" s="4">
        <v>0.0021600136789521685</v>
      </c>
      <c r="EM20" s="4">
        <v>0</v>
      </c>
      <c r="EN20" s="4">
        <v>1.999</v>
      </c>
      <c r="EO20" s="4">
        <v>1.987</v>
      </c>
      <c r="EP20" s="6">
        <v>0.0010005002501249916</v>
      </c>
      <c r="EQ20" s="6">
        <v>0.0613</v>
      </c>
      <c r="ER20" s="6">
        <v>0.05511046455431149</v>
      </c>
      <c r="ES20" s="9">
        <v>59</v>
      </c>
      <c r="ET20" s="7">
        <f>IFERROR(EI20/F20,0)</f>
        <v>-0.002019507272448553</v>
      </c>
      <c r="EU20" t="inlineStr">
        <is>
          <t xml:space="preserve">SI69K</t>
        </is>
      </c>
      <c r="EV20" t="inlineStr">
        <is>
          <t xml:space="preserve">future</t>
        </is>
      </c>
      <c r="EW20" t="inlineStr">
        <is>
          <t xml:space="preserve">lease</t>
        </is>
      </c>
      <c r="EX20" t="inlineStr">
        <is>
          <t xml:space="preserve">long</t>
        </is>
      </c>
      <c r="EY20" t="inlineStr">
        <is>
          <t xml:space="preserve">regular</t>
        </is>
      </c>
      <c r="EZ20" s="4">
        <v>2.0380000000000003</v>
      </c>
      <c r="FA20" s="4">
        <v>2.0269999999999997</v>
      </c>
      <c r="FB20" s="6"/>
      <c r="FC20" s="4">
        <v>0.000019084933516301314</v>
      </c>
      <c r="FD20" s="5">
        <f>IF(EV20="direct",IFERROR(FJ20/FA20,0),0)</f>
        <v>0</v>
      </c>
      <c r="FE20" s="5">
        <f>IF(EV20="direct",FC20-FD20,IF(EV20="cash",FO20,FC20))</f>
        <v>0.000019084933516301314</v>
      </c>
      <c r="FF20" s="6">
        <v>0.000036365013325283044</v>
      </c>
      <c r="FG20" s="4">
        <v>0.00003889509450622208</v>
      </c>
      <c r="FH20" s="4">
        <v>0</v>
      </c>
      <c r="FI20" s="5">
        <f>IF(EV20="direct",FC20*(FA20-EZ20),FL20)</f>
        <v>-2.0993426867932336e-7</v>
      </c>
      <c r="FJ20" s="5">
        <f>IF(EV20="direct",FH20*FB20*C20/365,0)</f>
        <v>0</v>
      </c>
      <c r="FK20" s="5">
        <f>FI20-FJ20</f>
        <v>-2.0993426867932336e-7</v>
      </c>
      <c r="FL20" s="4">
        <v>-2.0993426867932336e-7</v>
      </c>
      <c r="FM20" s="5">
        <f>FL20-FK20</f>
        <v>0</v>
      </c>
      <c r="FN20" s="4">
        <v>2.0993426867932336e-7</v>
      </c>
      <c r="FO20" s="4">
        <v>0</v>
      </c>
      <c r="FP20" s="4">
        <v>1.999</v>
      </c>
      <c r="FQ20" s="4">
        <v>1.987</v>
      </c>
      <c r="FR20" s="6">
        <v>0.01950975487743878</v>
      </c>
      <c r="FS20" s="6">
        <v>0.06166263736263737</v>
      </c>
      <c r="FT20" s="6">
        <v>0.002810897443090633</v>
      </c>
      <c r="FU20" s="9">
        <v>121</v>
      </c>
      <c r="FV20" s="7">
        <f>IFERROR(FK20/F20,0)</f>
        <v>-1.9627828585776764e-7</v>
      </c>
      <c r="FW20" t="inlineStr">
        <is>
          <t xml:space="preserve">Lease cash / margin / financing</t>
        </is>
      </c>
      <c r="FX20" t="inlineStr">
        <is>
          <t xml:space="preserve">cash</t>
        </is>
      </c>
      <c r="FY20" t="inlineStr">
        <is>
          <t xml:space="preserve">lease</t>
        </is>
      </c>
      <c r="FZ20" t="inlineStr">
        <is>
          <t xml:space="preserve">cash</t>
        </is>
      </c>
      <c r="GA20"/>
      <c r="GB20" s="4">
        <v>1</v>
      </c>
      <c r="GC20" s="4">
        <v>1</v>
      </c>
      <c r="GD20" s="6"/>
      <c r="GE20" s="4">
        <v>0</v>
      </c>
      <c r="GF20" s="5">
        <f>IF(FX20="direct",IFERROR(GL20/GC20,0),0)</f>
        <v>0</v>
      </c>
      <c r="GG20" s="5">
        <f>IF(FX20="direct",GE20-GF20,IF(FX20="cash",GQ20,GE20))</f>
        <v>-0.002160223613220826</v>
      </c>
      <c r="GH20" s="6"/>
      <c r="GI20" s="4">
        <v>0</v>
      </c>
      <c r="GJ20" s="4">
        <v>0</v>
      </c>
      <c r="GK20" s="5">
        <f>IF(FX20="direct",GE20*(GC20-GB20),GN20)</f>
        <v>0</v>
      </c>
      <c r="GL20" s="5">
        <f>IF(FX20="direct",GJ20*GD20*C20/365,0)</f>
        <v>0</v>
      </c>
      <c r="GM20" s="5">
        <f>GK20-GL20</f>
        <v>0</v>
      </c>
      <c r="GN20" s="4">
        <v>0</v>
      </c>
      <c r="GO20" s="5">
        <f>GN20-GM20</f>
        <v>0</v>
      </c>
      <c r="GP20" s="4">
        <v>-0.002160223613220826</v>
      </c>
      <c r="GQ20" s="4">
        <v>-0.002160223613220826</v>
      </c>
      <c r="GR20" s="4">
        <v>1.999</v>
      </c>
      <c r="GS20" s="4">
        <v>1.987</v>
      </c>
      <c r="GT20" s="6"/>
      <c r="GU20" s="6"/>
      <c r="GV20" s="6"/>
      <c r="GW20" s="9"/>
      <c r="GX20" s="7">
        <f>IFERROR(GM20/F20,0)</f>
        <v>0</v>
      </c>
      <c r="GY20" t="inlineStr">
        <is>
          <t xml:space="preserve">Keep cash / margin / financing</t>
        </is>
      </c>
      <c r="GZ20" t="inlineStr">
        <is>
          <t xml:space="preserve">cash</t>
        </is>
      </c>
      <c r="HA20" t="inlineStr">
        <is>
          <t xml:space="preserve">keep</t>
        </is>
      </c>
      <c r="HB20" t="inlineStr">
        <is>
          <t xml:space="preserve">cash</t>
        </is>
      </c>
      <c r="HC20"/>
      <c r="HD20" s="4">
        <v>1</v>
      </c>
      <c r="HE20" s="4">
        <v>1</v>
      </c>
      <c r="HF20" s="6"/>
      <c r="HG20" s="4">
        <v>0</v>
      </c>
      <c r="HH20" s="5">
        <f>IF(GZ20="direct",IFERROR(HN20/HE20,0),0)</f>
        <v>0</v>
      </c>
      <c r="HI20" s="5">
        <f>IF(GZ20="direct",HG20-HH20,IF(GZ20="cash",HS20,HG20))</f>
        <v>0</v>
      </c>
      <c r="HJ20" s="6"/>
      <c r="HK20" s="4">
        <v>0</v>
      </c>
      <c r="HL20" s="4">
        <v>0</v>
      </c>
      <c r="HM20" s="5">
        <f>IF(GZ20="direct",HG20*(HE20-HD20),HP20)</f>
        <v>0</v>
      </c>
      <c r="HN20" s="5">
        <f>IF(GZ20="direct",HL20*HF20*C20/365,0)</f>
        <v>0</v>
      </c>
      <c r="HO20" s="5">
        <f>HM20-HN20</f>
        <v>0</v>
      </c>
      <c r="HP20" s="4">
        <v>0</v>
      </c>
      <c r="HQ20" s="5">
        <f>HP20-HO20</f>
        <v>0</v>
      </c>
      <c r="HR20" s="4">
        <v>0</v>
      </c>
      <c r="HS20" s="4">
        <v>0</v>
      </c>
      <c r="HT20" s="4">
        <v>1.999</v>
      </c>
      <c r="HU20" s="4">
        <v>1.987</v>
      </c>
      <c r="HV20" s="6"/>
      <c r="HW20" s="6"/>
      <c r="HX20" s="6"/>
      <c r="HY20" s="9"/>
      <c r="HZ20" s="7">
        <f>IFERROR(HO20/F20,0)</f>
        <v>0</v>
      </c>
      <c r="IA20"/>
      <c r="IB20"/>
      <c r="IC20"/>
      <c r="ID20"/>
      <c r="IE20"/>
      <c r="IF20" s="4"/>
      <c r="IG20" s="4"/>
      <c r="IH20" s="6"/>
      <c r="II20" s="4"/>
      <c r="IJ20" s="5">
        <v>0</v>
      </c>
      <c r="IK20" s="5"/>
      <c r="IL20" s="6"/>
      <c r="IM20" s="4"/>
      <c r="IN20" s="4"/>
      <c r="IO20" s="5">
        <v>0</v>
      </c>
      <c r="IP20" s="5">
        <v>0</v>
      </c>
      <c r="IQ20" s="5"/>
      <c r="IR20" s="4"/>
      <c r="IS20" s="5">
        <v>0</v>
      </c>
      <c r="IT20" s="4"/>
      <c r="IU20" s="4"/>
      <c r="IV20" s="4"/>
      <c r="IW20" s="4"/>
      <c r="IX20" s="6"/>
      <c r="IY20" s="6"/>
      <c r="IZ20" s="6"/>
      <c r="JA20" s="9"/>
      <c r="JB20"/>
      <c r="JC20"/>
      <c r="JD20"/>
      <c r="JE20"/>
      <c r="JF20"/>
      <c r="JG20"/>
      <c r="JH20" s="4"/>
      <c r="JI20" s="4"/>
      <c r="JJ20" s="6"/>
      <c r="JK20" s="4"/>
      <c r="JL20" s="5">
        <v>0</v>
      </c>
      <c r="JM20" s="5"/>
      <c r="JN20" s="6"/>
      <c r="JO20" s="4"/>
      <c r="JP20" s="4"/>
      <c r="JQ20" s="5">
        <v>0</v>
      </c>
      <c r="JR20" s="5">
        <v>0</v>
      </c>
      <c r="JS20" s="5"/>
      <c r="JT20" s="4"/>
      <c r="JU20" s="5">
        <v>0</v>
      </c>
      <c r="JV20" s="4"/>
      <c r="JW20" s="4"/>
      <c r="JX20" s="4"/>
      <c r="JY20" s="4"/>
      <c r="JZ20" s="6"/>
      <c r="KA20" s="6"/>
      <c r="KB20" s="6"/>
      <c r="KC20" s="9"/>
      <c r="KD20"/>
      <c r="KE20"/>
      <c r="KF20"/>
      <c r="KG20"/>
      <c r="KH20"/>
      <c r="KI20"/>
      <c r="KJ20" s="4"/>
      <c r="KK20" s="4"/>
      <c r="KL20" s="6"/>
      <c r="KM20" s="4"/>
      <c r="KN20" s="5">
        <v>0</v>
      </c>
      <c r="KO20" s="5"/>
      <c r="KP20" s="6"/>
      <c r="KQ20" s="4"/>
      <c r="KR20" s="4"/>
      <c r="KS20" s="5">
        <v>0</v>
      </c>
      <c r="KT20" s="5">
        <v>0</v>
      </c>
      <c r="KU20" s="5"/>
      <c r="KV20" s="4"/>
      <c r="KW20" s="5">
        <v>0</v>
      </c>
      <c r="KX20" s="4"/>
      <c r="KY20" s="4"/>
      <c r="KZ20" s="4"/>
      <c r="LA20" s="4"/>
      <c r="LB20" s="6"/>
      <c r="LC20" s="6"/>
      <c r="LD20" s="6"/>
      <c r="LE20" s="9"/>
      <c r="LF20"/>
      <c r="LG20"/>
      <c r="LH20"/>
      <c r="LI20"/>
      <c r="LJ20"/>
      <c r="LK20"/>
      <c r="LL20" s="4"/>
      <c r="LM20" s="4"/>
      <c r="LN20" s="6"/>
      <c r="LO20" s="4"/>
      <c r="LP20" s="5">
        <v>0</v>
      </c>
      <c r="LQ20" s="5"/>
      <c r="LR20" s="6"/>
      <c r="LS20" s="4"/>
      <c r="LT20" s="4"/>
      <c r="LU20" s="5">
        <v>0</v>
      </c>
      <c r="LV20" s="5">
        <v>0</v>
      </c>
      <c r="LW20" s="5"/>
      <c r="LX20" s="4"/>
      <c r="LY20" s="5">
        <v>0</v>
      </c>
      <c r="LZ20" s="4"/>
      <c r="MA20" s="4"/>
      <c r="MB20" s="4"/>
      <c r="MC20" s="4"/>
      <c r="MD20" s="6"/>
      <c r="ME20" s="6"/>
      <c r="MF20" s="6"/>
      <c r="MG20" s="9"/>
      <c r="MH20"/>
    </row>
    <row r="21">
      <c r="A21" s="8">
        <v>25231</v>
      </c>
      <c r="B21" s="8">
        <v>25232</v>
      </c>
      <c r="C21" s="9">
        <f>B21-A21</f>
        <v>1</v>
      </c>
      <c r="D21" s="8">
        <v>25231</v>
      </c>
      <c r="E21" t="inlineStr">
        <is>
          <t xml:space="preserve">positive</t>
        </is>
      </c>
      <c r="F21" s="4">
        <v>1.0634140482856598</v>
      </c>
      <c r="G21" s="6">
        <v>-0.0015676384123739376</v>
      </c>
      <c r="H21" s="7">
        <f>SUM(CP21,DR21,ET21,FV21,GX21,HZ21,JB21,KD21,LF21,MH21)</f>
        <v>-0.0015676384123739376</v>
      </c>
      <c r="I21" s="7">
        <f>G21-H21</f>
        <v>0</v>
      </c>
      <c r="J21" s="5">
        <f>F21*(1+H21)</f>
        <v>1.061746999575309</v>
      </c>
      <c r="K21" s="4">
        <v>1.061746999575309</v>
      </c>
      <c r="L21" s="5">
        <f>K21-J21</f>
        <v>0</v>
      </c>
      <c r="M21" s="4">
        <v>1.987</v>
      </c>
      <c r="N21" s="4">
        <v>1.981</v>
      </c>
      <c r="O21" s="5">
        <f>M21/$M$3</f>
        <v>1.0148110316649643</v>
      </c>
      <c r="P21" s="5">
        <f>N21/$M$3</f>
        <v>1.0117466802860062</v>
      </c>
      <c r="Q21" s="7">
        <f>IFERROR(N21/M21-1,0)</f>
        <v>-0.003019627579265216</v>
      </c>
      <c r="R21" s="5">
        <f>SUM(IF(BQ21="lease",CB21,0),IF(CS21="lease",DD21,0),IF(DU21="lease",EF21,0),IF(EW21="lease",FH21,0),IF(FY21="lease",GJ21,0),IF(HA21="lease",HL21,0),IF(IC21="lease",IN21,0),IF(JE21="lease",JP21,0),IF(KG21="lease",KR21,0),IF(LI21="lease",LT21,0))</f>
        <v>1.0634140482856598</v>
      </c>
      <c r="S21" s="5">
        <f>SUM(IF(BQ21="lease",CI21,0),IF(CS21="lease",DK21,0),IF(DU21="lease",EM21,0),IF(EW21="lease",FO21,0),IF(FY21="lease",GQ21,0),IF(HA21="lease",HS21,0),IF(IC21="lease",IU21,0),IF(JE21="lease",JW21,0),IF(KG21="lease",KY21,0),IF(LI21="lease",MA21,0))</f>
        <v>1.0617469995753088</v>
      </c>
      <c r="T21" s="5">
        <f>SUM(IF(BQ21="keep",CB21,0),IF(CS21="keep",DD21,0),IF(DU21="keep",EF21,0),IF(EW21="keep",FH21,0),IF(FY21="keep",GJ21,0),IF(HA21="keep",HL21,0),IF(IC21="keep",IN21,0),IF(JE21="keep",JP21,0),IF(KG21="keep",KR21,0),IF(LI21="keep",LT21,0))</f>
        <v>0</v>
      </c>
      <c r="U21" s="5">
        <f>SUM(IF(BQ21="keep",CI21,0),IF(CS21="keep",DK21,0),IF(DU21="keep",EM21,0),IF(EW21="keep",FO21,0),IF(FY21="keep",GQ21,0),IF(HA21="keep",HS21,0),IF(IC21="keep",IU21,0),IF(JE21="keep",JW21,0),IF(KG21="keep",KY21,0),IF(LI21="keep",MA21,0))</f>
        <v>0</v>
      </c>
      <c r="V21" s="5">
        <f>R21/O21</f>
        <v>1.0478936620751493</v>
      </c>
      <c r="W21" s="5">
        <f>S21/P21</f>
        <v>1.0494198006907898</v>
      </c>
      <c r="X21" s="5">
        <f>T21/O21</f>
        <v>0</v>
      </c>
      <c r="Y21" s="5">
        <f>U21/P21</f>
        <v>0</v>
      </c>
      <c r="Z21" s="5">
        <f>V21+X21</f>
        <v>1.0478936620751493</v>
      </c>
      <c r="AA21" s="7">
        <f>IFERROR(W21/V21-1,0)</f>
        <v>0.001456386912979557</v>
      </c>
      <c r="AB21" s="7">
        <f>IFERROR((W21-V21)/Z21,0)</f>
        <v>0.0014563869129795265</v>
      </c>
      <c r="AC21" s="7">
        <f>IFERROR(Y21/X21-1,0)</f>
        <v>0</v>
      </c>
      <c r="AD21" s="7">
        <f>IFERROR((Y21-X21)/Z21,0)</f>
        <v>0</v>
      </c>
      <c r="AE21" s="7">
        <f>AB21+AD21</f>
        <v>0.0014563869129795265</v>
      </c>
      <c r="AF21" s="7">
        <f>(1+Q21)*(1+AE21)-1</f>
        <v>-0.0015676384123741727</v>
      </c>
      <c r="AG21" s="7">
        <f>G21-AF21</f>
        <v>2.3505503099485736e-16</v>
      </c>
      <c r="AH21" s="5">
        <f>SUM(IF(BQ21="lease",CE21,0),IF(CS21="lease",DG21,0),IF(DU21="lease",EI21,0),IF(EW21="lease",FK21,0),IF(FY21="lease",GM21,0),IF(HA21="lease",HO21,0),IF(IC21="lease",IQ21,0),IF(JE21="lease",JS21,0),IF(KG21="lease",KU21,0),IF(LI21="lease",LW21,0))</f>
        <v>-0.0016670487103506734</v>
      </c>
      <c r="AI21" s="5">
        <f>SUM(IF(BQ21="keep",CE21,0),IF(CS21="keep",DG21,0),IF(DU21="keep",EI21,0),IF(EW21="keep",FK21,0),IF(FY21="keep",GM21,0),IF(HA21="keep",HO21,0),IF(IC21="keep",IQ21,0),IF(JE21="keep",JS21,0),IF(KG21="keep",KU21,0),IF(LI21="keep",LW21,0))</f>
        <v>0</v>
      </c>
      <c r="AJ21" s="5">
        <f>SUM(IF(BQ21="lease",CH21,0),IF(CS21="lease",DJ21,0),IF(DU21="lease",EL21,0),IF(EW21="lease",FN21,0),IF(FY21="lease",GP21,0),IF(HA21="lease",HR21,0),IF(IC21="lease",IT21,0),IF(JE21="lease",JV21,0),IF(KG21="lease",KX21,0),IF(LI21="lease",LZ21,0))</f>
        <v>0</v>
      </c>
      <c r="AK21" s="5">
        <f>SUM(IF(BQ21="keep",CH21,0),IF(CS21="keep",DJ21,0),IF(DU21="keep",EL21,0),IF(EW21="keep",FN21,0),IF(FY21="keep",GP21,0),IF(HA21="keep",HR21,0),IF(IC21="keep",IT21,0),IF(JE21="keep",JV21,0),IF(KG21="keep",KX21,0),IF(LI21="keep",LZ21,0))</f>
        <v>0</v>
      </c>
      <c r="AL21" s="5">
        <f>R21-S20</f>
        <v>-2.220446049250313e-16</v>
      </c>
      <c r="AM21" s="5">
        <f>T21-U20</f>
        <v>0</v>
      </c>
      <c r="AN21" s="5">
        <f>AN20</f>
        <v>1</v>
      </c>
      <c r="AO21" s="5">
        <f>AO20+AH21</f>
        <v>0.061746999575309325</v>
      </c>
      <c r="AP21" s="5">
        <f>AP20+AL21</f>
        <v>-6.661338147750939e-16</v>
      </c>
      <c r="AQ21" s="5">
        <f>AN21+AO21+AP21</f>
        <v>1.0617469995753086</v>
      </c>
      <c r="AR21" s="5">
        <f>S21-AQ21</f>
        <v>2.220446049250313e-16</v>
      </c>
      <c r="AS21" s="5">
        <f>AS20</f>
        <v>0</v>
      </c>
      <c r="AT21" s="5">
        <f>AT20+AI21</f>
        <v>0</v>
      </c>
      <c r="AU21" s="5">
        <f>AU20+AM21</f>
        <v>0</v>
      </c>
      <c r="AV21" s="5">
        <f>AS21+AT21+AU21</f>
        <v>0</v>
      </c>
      <c r="AW21" s="5">
        <f>U21-AV21</f>
        <v>0</v>
      </c>
      <c r="AX21" s="4">
        <v>1.0634140482856598</v>
      </c>
      <c r="AY21" s="4">
        <v>1.061746999575309</v>
      </c>
      <c r="AZ21" s="5">
        <f>S21-AY21</f>
        <v>-2.220446049250313e-16</v>
      </c>
      <c r="BA21" s="4">
        <v>0</v>
      </c>
      <c r="BB21" s="4">
        <v>0</v>
      </c>
      <c r="BC21" s="5">
        <f>U21-BB21</f>
        <v>0</v>
      </c>
      <c r="BD21" s="7">
        <f>SUM(IF(BP21="direct",CC21/F21,0),IF(CR21="direct",DE21/F21,0),IF(DT21="direct",EG21/F21,0),IF(EV21="direct",FI21/F21,0),IF(FX21="direct",GK21/F21,0),IF(GZ21="direct",HM21/F21,0),IF(IB21="direct",IO21/F21,0),IF(JD21="direct",JQ21/F21,0),IF(KF21="direct",KS21/F21,0),IF(LH21="direct",LU21/F21,0))</f>
        <v>-0.001970838739120103</v>
      </c>
      <c r="BE21" s="7">
        <f>-SUM(IF(BP21="direct",CD21/F21,0),IF(CR21="direct",DF21/F21,0),IF(DT21="direct",EH21/F21,0),IF(EV21="direct",FJ21/F21,0),IF(FX21="direct",GL21/F21,0),IF(GZ21="direct",HN21/F21,0),IF(IB21="direct",IP21/F21,0),IF(JD21="direct",JR21/F21,0),IF(KF21="direct",KT21/F21,0),IF(LH21="direct",LV21/F21,0))</f>
        <v>-0.00000447038421761603</v>
      </c>
      <c r="BF21" s="7">
        <f>BD21+BE21</f>
        <v>-0.001975309123337719</v>
      </c>
      <c r="BG21" s="7">
        <f>BF21-SUM(IF(BP21="direct",CP21,0),IF(CR21="direct",DR21,0),IF(DT21="direct",ET21,0),IF(EV21="direct",FV21,0),IF(FX21="direct",GX21,0),IF(GZ21="direct",HZ21,0),IF(IB21="direct",JB21,0),IF(JD21="direct",KD21,0),IF(KF21="direct",LF21,0),IF(LH21="direct",MH21,0))</f>
        <v>-6.071532165918825e-18</v>
      </c>
      <c r="BH21" s="7">
        <f>SUM(IF(BP21="treasury",CP21,0),IF(CR21="treasury",DR21,0),IF(DT21="treasury",ET21,0),IF(EV21="treasury",FV21,0),IF(FX21="treasury",GX21,0),IF(GZ21="treasury",HZ21,0),IF(IB21="treasury",JB21,0),IF(JD21="treasury",KD21,0),IF(KF21="treasury",LF21,0),IF(LH21="treasury",MH21,0))</f>
        <v>0.000058616856165612245</v>
      </c>
      <c r="BI21" s="7">
        <f>SUM(IF(BP21="future",CP21,0),IF(CR21="future",DR21,0),IF(DT21="future",ET21,0),IF(EV21="future",FV21,0),IF(FX21="future",GX21,0),IF(GZ21="future",HZ21,0),IF(IB21="future",JB21,0),IF(JD21="future",KD21,0),IF(KF21="future",LF21,0),IF(LH21="future",MH21,0))</f>
        <v>0.00034905385479816286</v>
      </c>
      <c r="BJ21" s="7">
        <f>SUM(IF(BP21="cash",CP21,0),IF(CR21="cash",DR21,0),IF(DT21="cash",ET21,0),IF(EV21="cash",FV21,0),IF(FX21="cash",GX21,0),IF(GZ21="cash",HZ21,0),IF(IB21="cash",JB21,0),IF(JD21="cash",KD21,0),IF(KF21="cash",LF21,0),IF(LH21="cash",MH21,0))</f>
        <v>0</v>
      </c>
      <c r="BK21" s="7">
        <f>SUM(BF21,BH21,BI21,BJ21)</f>
        <v>-0.001567638412373938</v>
      </c>
      <c r="BL21" s="7">
        <f>G21-BK21</f>
        <v>4.336808689942018e-19</v>
      </c>
      <c r="BM21" s="5">
        <f>MAX(ABS(CG21),ABS(DI21),ABS(EK21),ABS(FM21),ABS(GO21),ABS(HQ21),ABS(IS21),ABS(JU21),ABS(KW21),ABS(LY21))</f>
        <v>2.041010589703962e-17</v>
      </c>
      <c r="BN21" s="9">
        <f>COUNTA(BO21,CQ21,DS21,EU21,FW21,GY21,IA21,JC21,KE21,LG21)</f>
        <v>6</v>
      </c>
      <c r="BO21" t="inlineStr">
        <is>
          <t xml:space="preserve">Direct commodity holding</t>
        </is>
      </c>
      <c r="BP21" t="inlineStr">
        <is>
          <t xml:space="preserve">direct</t>
        </is>
      </c>
      <c r="BQ21" t="inlineStr">
        <is>
          <t xml:space="preserve">lease</t>
        </is>
      </c>
      <c r="BR21" t="inlineStr">
        <is>
          <t xml:space="preserve">long</t>
        </is>
      </c>
      <c r="BS21"/>
      <c r="BT21" s="4">
        <v>1.987</v>
      </c>
      <c r="BU21" s="4">
        <v>1.981</v>
      </c>
      <c r="BV21" s="6">
        <v>0.0025</v>
      </c>
      <c r="BW21" s="4">
        <v>0.3493029336809854</v>
      </c>
      <c r="BX21" s="5">
        <f>IF(BP21="direct",IFERROR(CD21/BU21,0),0)</f>
        <v>0.000002399732144496408</v>
      </c>
      <c r="BY21" s="5">
        <f>IF(BP21="direct",BW21-BX21,IF(BP21="cash",CI21,BW21))</f>
        <v>0.3493005339488409</v>
      </c>
      <c r="BZ21" s="6">
        <v>0.6526760957719404</v>
      </c>
      <c r="CA21" s="4">
        <v>0.6940649292241181</v>
      </c>
      <c r="CB21" s="4">
        <v>0.6940649292241181</v>
      </c>
      <c r="CC21" s="5">
        <f>IF(BP21="direct",BW21*(BU21-BT21),CF21)</f>
        <v>-0.0020958176020859144</v>
      </c>
      <c r="CD21" s="5">
        <f>IF(BP21="direct",CB21*BV21*C21/365,0)</f>
        <v>0.0000047538693782473845</v>
      </c>
      <c r="CE21" s="5">
        <f>CC21-CD21</f>
        <v>-0.002100571471464155</v>
      </c>
      <c r="CF21" s="4">
        <v>-0.002100571471464155</v>
      </c>
      <c r="CG21" s="5">
        <f>CF21-CE21</f>
        <v>6.844026213814747e-18</v>
      </c>
      <c r="CH21" s="4">
        <v>0</v>
      </c>
      <c r="CI21" s="4">
        <v>0.6919643577526539</v>
      </c>
      <c r="CJ21" s="4">
        <v>1.987</v>
      </c>
      <c r="CK21" s="4">
        <v>1.981</v>
      </c>
      <c r="CL21" s="6"/>
      <c r="CM21" s="6"/>
      <c r="CN21" s="6"/>
      <c r="CO21" s="9"/>
      <c r="CP21" s="7">
        <f>IFERROR(CE21/F21,0)</f>
        <v>-0.001975309123337713</v>
      </c>
      <c r="CQ21" t="inlineStr">
        <is>
          <t xml:space="preserve">Treasury collateral</t>
        </is>
      </c>
      <c r="CR21" t="inlineStr">
        <is>
          <t xml:space="preserve">treasury</t>
        </is>
      </c>
      <c r="CS21" t="inlineStr">
        <is>
          <t xml:space="preserve">lease</t>
        </is>
      </c>
      <c r="CT21" t="inlineStr">
        <is>
          <t xml:space="preserve">long</t>
        </is>
      </c>
      <c r="CU21"/>
      <c r="CV21" s="4">
        <v>100.43748655136946</v>
      </c>
      <c r="CW21" s="4">
        <v>100.45443709704497</v>
      </c>
      <c r="CX21" s="6"/>
      <c r="CY21" s="4">
        <v>0.003677403046845815</v>
      </c>
      <c r="CZ21" s="5">
        <f>IF(CR21="direct",IFERROR(DF21/CW21,0),0)</f>
        <v>0</v>
      </c>
      <c r="DA21" s="5">
        <f>IF(CR21="direct",CY21-CZ21,IF(CR21="cash",DK21,CY21))</f>
        <v>0.003677403046845815</v>
      </c>
      <c r="DB21" s="6">
        <v>0.3473239042280596</v>
      </c>
      <c r="DC21" s="4">
        <v>0.3693491190615416</v>
      </c>
      <c r="DD21" s="4">
        <v>0.3693491190615416</v>
      </c>
      <c r="DE21" s="5">
        <f>IF(CR21="direct",CY21*(CW21-CV21),DH21)</f>
        <v>0.00006233398831283154</v>
      </c>
      <c r="DF21" s="5">
        <f>IF(CR21="direct",DD21*CX21*C21/365,0)</f>
        <v>0</v>
      </c>
      <c r="DG21" s="5">
        <f>DE21-DF21</f>
        <v>0.00006233398831285195</v>
      </c>
      <c r="DH21" s="4">
        <v>0.00006233398831285195</v>
      </c>
      <c r="DI21" s="5">
        <f>DH21-DG21</f>
        <v>2.041010589703962e-17</v>
      </c>
      <c r="DJ21" s="4">
        <v>-5.976664475826343e-18</v>
      </c>
      <c r="DK21" s="4">
        <v>0.36941145304985445</v>
      </c>
      <c r="DL21" s="4">
        <v>1.987</v>
      </c>
      <c r="DM21" s="4">
        <v>1.981</v>
      </c>
      <c r="DN21" s="6"/>
      <c r="DO21" s="6"/>
      <c r="DP21" s="6"/>
      <c r="DQ21" s="9">
        <v>58</v>
      </c>
      <c r="DR21" s="7">
        <f>IFERROR(DG21/F21,0)</f>
        <v>0.000058616856165612245</v>
      </c>
      <c r="DS21" t="inlineStr">
        <is>
          <t xml:space="preserve">SI69H</t>
        </is>
      </c>
      <c r="DT21" t="inlineStr">
        <is>
          <t xml:space="preserve">future</t>
        </is>
      </c>
      <c r="DU21" t="inlineStr">
        <is>
          <t xml:space="preserve">lease</t>
        </is>
      </c>
      <c r="DV21" t="inlineStr">
        <is>
          <t xml:space="preserve">long</t>
        </is>
      </c>
      <c r="DW21" t="inlineStr">
        <is>
          <t xml:space="preserve">regular</t>
        </is>
      </c>
      <c r="DX21" s="4">
        <v>1.99</v>
      </c>
      <c r="DY21" s="4">
        <v>1.992</v>
      </c>
      <c r="DZ21" s="6"/>
      <c r="EA21" s="4">
        <v>0.1855864938979234</v>
      </c>
      <c r="EB21" s="5">
        <f>IF(DT21="direct",IFERROR(EH21/DY21,0),0)</f>
        <v>0</v>
      </c>
      <c r="EC21" s="5">
        <f>IF(DT21="direct",EA21-EB21,IF(DT21="cash",EM21,EA21))</f>
        <v>0.1855864938979234</v>
      </c>
      <c r="ED21" s="6">
        <v>0.3472938160373632</v>
      </c>
      <c r="EE21" s="4">
        <v>0.3693171228568676</v>
      </c>
      <c r="EF21" s="4">
        <v>0</v>
      </c>
      <c r="EG21" s="5">
        <f>IF(DT21="direct",EA21*(DY21-DX21),EJ21)</f>
        <v>0.00037117298779585663</v>
      </c>
      <c r="EH21" s="5">
        <f>IF(DT21="direct",EF21*DZ21*C21/365,0)</f>
        <v>0</v>
      </c>
      <c r="EI21" s="5">
        <f>EG21-EH21</f>
        <v>0.00037117298779585663</v>
      </c>
      <c r="EJ21" s="4">
        <v>0.00037117298779585663</v>
      </c>
      <c r="EK21" s="5">
        <f>EJ21-EI21</f>
        <v>0</v>
      </c>
      <c r="EL21" s="4">
        <v>-0.00037117298779585663</v>
      </c>
      <c r="EM21" s="4">
        <v>0</v>
      </c>
      <c r="EN21" s="4">
        <v>1.987</v>
      </c>
      <c r="EO21" s="4">
        <v>1.981</v>
      </c>
      <c r="EP21" s="6">
        <v>0.0015098137896325525</v>
      </c>
      <c r="EQ21" s="6">
        <v>0.0616</v>
      </c>
      <c r="ER21" s="6">
        <v>0.05209858563420894</v>
      </c>
      <c r="ES21" s="9">
        <v>58</v>
      </c>
      <c r="ET21" s="7">
        <f>IFERROR(EI21/F21,0)</f>
        <v>0.00034903901109283655</v>
      </c>
      <c r="EU21" t="inlineStr">
        <is>
          <t xml:space="preserve">SI69K</t>
        </is>
      </c>
      <c r="EV21" t="inlineStr">
        <is>
          <t xml:space="preserve">future</t>
        </is>
      </c>
      <c r="EW21" t="inlineStr">
        <is>
          <t xml:space="preserve">lease</t>
        </is>
      </c>
      <c r="EX21" t="inlineStr">
        <is>
          <t xml:space="preserve">long</t>
        </is>
      </c>
      <c r="EY21" t="inlineStr">
        <is>
          <t xml:space="preserve">regular</t>
        </is>
      </c>
      <c r="EZ21" s="4">
        <v>2.0269999999999997</v>
      </c>
      <c r="FA21" s="4">
        <v>2.028</v>
      </c>
      <c r="FB21" s="6"/>
      <c r="FC21" s="4">
        <v>0.000015785004772578856</v>
      </c>
      <c r="FD21" s="5">
        <f>IF(EV21="direct",IFERROR(FJ21/FA21,0),0)</f>
        <v>0</v>
      </c>
      <c r="FE21" s="5">
        <f>IF(EV21="direct",FC21-FD21,IF(EV21="cash",FO21,FC21))</f>
        <v>0.000015785004772578856</v>
      </c>
      <c r="FF21" s="6">
        <v>0.000030088190696369615</v>
      </c>
      <c r="FG21" s="4">
        <v>0.000031996204674017335</v>
      </c>
      <c r="FH21" s="4">
        <v>0</v>
      </c>
      <c r="FI21" s="5">
        <f>IF(EV21="direct",FC21*(FA21-EZ21),FL21)</f>
        <v>1.578500477258609e-8</v>
      </c>
      <c r="FJ21" s="5">
        <f>IF(EV21="direct",FH21*FB21*C21/365,0)</f>
        <v>0</v>
      </c>
      <c r="FK21" s="5">
        <f>FI21-FJ21</f>
        <v>1.578500477258609e-8</v>
      </c>
      <c r="FL21" s="4">
        <v>1.578500477258609e-8</v>
      </c>
      <c r="FM21" s="5">
        <f>FL21-FK21</f>
        <v>0</v>
      </c>
      <c r="FN21" s="4">
        <v>-1.578500477258609e-8</v>
      </c>
      <c r="FO21" s="4">
        <v>0</v>
      </c>
      <c r="FP21" s="4">
        <v>1.987</v>
      </c>
      <c r="FQ21" s="4">
        <v>1.981</v>
      </c>
      <c r="FR21" s="6">
        <v>0.020130850528434552</v>
      </c>
      <c r="FS21" s="6">
        <v>0.06185494505494505</v>
      </c>
      <c r="FT21" s="6">
        <v>0.0006236080309566308</v>
      </c>
      <c r="FU21" s="9">
        <v>120</v>
      </c>
      <c r="FV21" s="7">
        <f>IFERROR(FK21/F21,0)</f>
        <v>1.4843705326286831e-8</v>
      </c>
      <c r="FW21" t="inlineStr">
        <is>
          <t xml:space="preserve">Lease cash / margin / financing</t>
        </is>
      </c>
      <c r="FX21" t="inlineStr">
        <is>
          <t xml:space="preserve">cash</t>
        </is>
      </c>
      <c r="FY21" t="inlineStr">
        <is>
          <t xml:space="preserve">lease</t>
        </is>
      </c>
      <c r="FZ21" t="inlineStr">
        <is>
          <t xml:space="preserve">cash</t>
        </is>
      </c>
      <c r="GA21"/>
      <c r="GB21" s="4">
        <v>1</v>
      </c>
      <c r="GC21" s="4">
        <v>1</v>
      </c>
      <c r="GD21" s="6"/>
      <c r="GE21" s="4">
        <v>0</v>
      </c>
      <c r="GF21" s="5">
        <f>IF(FX21="direct",IFERROR(GL21/GC21,0),0)</f>
        <v>0</v>
      </c>
      <c r="GG21" s="5">
        <f>IF(FX21="direct",GE21-GF21,IF(FX21="cash",GQ21,GE21))</f>
        <v>0.00037118877280063517</v>
      </c>
      <c r="GH21" s="6"/>
      <c r="GI21" s="4">
        <v>0</v>
      </c>
      <c r="GJ21" s="4">
        <v>0</v>
      </c>
      <c r="GK21" s="5">
        <f>IF(FX21="direct",GE21*(GC21-GB21),GN21)</f>
        <v>0</v>
      </c>
      <c r="GL21" s="5">
        <f>IF(FX21="direct",GJ21*GD21*C21/365,0)</f>
        <v>0</v>
      </c>
      <c r="GM21" s="5">
        <f>GK21-GL21</f>
        <v>0</v>
      </c>
      <c r="GN21" s="4">
        <v>0</v>
      </c>
      <c r="GO21" s="5">
        <f>GN21-GM21</f>
        <v>0</v>
      </c>
      <c r="GP21" s="4">
        <v>0.00037118877280063517</v>
      </c>
      <c r="GQ21" s="4">
        <v>0.00037118877280063517</v>
      </c>
      <c r="GR21" s="4">
        <v>1.987</v>
      </c>
      <c r="GS21" s="4">
        <v>1.981</v>
      </c>
      <c r="GT21" s="6"/>
      <c r="GU21" s="6"/>
      <c r="GV21" s="6"/>
      <c r="GW21" s="9"/>
      <c r="GX21" s="7">
        <f>IFERROR(GM21/F21,0)</f>
        <v>0</v>
      </c>
      <c r="GY21" t="inlineStr">
        <is>
          <t xml:space="preserve">Keep cash / margin / financing</t>
        </is>
      </c>
      <c r="GZ21" t="inlineStr">
        <is>
          <t xml:space="preserve">cash</t>
        </is>
      </c>
      <c r="HA21" t="inlineStr">
        <is>
          <t xml:space="preserve">keep</t>
        </is>
      </c>
      <c r="HB21" t="inlineStr">
        <is>
          <t xml:space="preserve">cash</t>
        </is>
      </c>
      <c r="HC21"/>
      <c r="HD21" s="4">
        <v>1</v>
      </c>
      <c r="HE21" s="4">
        <v>1</v>
      </c>
      <c r="HF21" s="6"/>
      <c r="HG21" s="4">
        <v>0</v>
      </c>
      <c r="HH21" s="5">
        <f>IF(GZ21="direct",IFERROR(HN21/HE21,0),0)</f>
        <v>0</v>
      </c>
      <c r="HI21" s="5">
        <f>IF(GZ21="direct",HG21-HH21,IF(GZ21="cash",HS21,HG21))</f>
        <v>0</v>
      </c>
      <c r="HJ21" s="6"/>
      <c r="HK21" s="4">
        <v>0</v>
      </c>
      <c r="HL21" s="4">
        <v>0</v>
      </c>
      <c r="HM21" s="5">
        <f>IF(GZ21="direct",HG21*(HE21-HD21),HP21)</f>
        <v>0</v>
      </c>
      <c r="HN21" s="5">
        <f>IF(GZ21="direct",HL21*HF21*C21/365,0)</f>
        <v>0</v>
      </c>
      <c r="HO21" s="5">
        <f>HM21-HN21</f>
        <v>0</v>
      </c>
      <c r="HP21" s="4">
        <v>0</v>
      </c>
      <c r="HQ21" s="5">
        <f>HP21-HO21</f>
        <v>0</v>
      </c>
      <c r="HR21" s="4">
        <v>0</v>
      </c>
      <c r="HS21" s="4">
        <v>0</v>
      </c>
      <c r="HT21" s="4">
        <v>1.987</v>
      </c>
      <c r="HU21" s="4">
        <v>1.981</v>
      </c>
      <c r="HV21" s="6"/>
      <c r="HW21" s="6"/>
      <c r="HX21" s="6"/>
      <c r="HY21" s="9"/>
      <c r="HZ21" s="7">
        <f>IFERROR(HO21/F21,0)</f>
        <v>0</v>
      </c>
      <c r="IA21"/>
      <c r="IB21"/>
      <c r="IC21"/>
      <c r="ID21"/>
      <c r="IE21"/>
      <c r="IF21" s="4"/>
      <c r="IG21" s="4"/>
      <c r="IH21" s="6"/>
      <c r="II21" s="4"/>
      <c r="IJ21" s="5">
        <v>0</v>
      </c>
      <c r="IK21" s="5"/>
      <c r="IL21" s="6"/>
      <c r="IM21" s="4"/>
      <c r="IN21" s="4"/>
      <c r="IO21" s="5">
        <v>0</v>
      </c>
      <c r="IP21" s="5">
        <v>0</v>
      </c>
      <c r="IQ21" s="5"/>
      <c r="IR21" s="4"/>
      <c r="IS21" s="5">
        <v>0</v>
      </c>
      <c r="IT21" s="4"/>
      <c r="IU21" s="4"/>
      <c r="IV21" s="4"/>
      <c r="IW21" s="4"/>
      <c r="IX21" s="6"/>
      <c r="IY21" s="6"/>
      <c r="IZ21" s="6"/>
      <c r="JA21" s="9"/>
      <c r="JB21"/>
      <c r="JC21"/>
      <c r="JD21"/>
      <c r="JE21"/>
      <c r="JF21"/>
      <c r="JG21"/>
      <c r="JH21" s="4"/>
      <c r="JI21" s="4"/>
      <c r="JJ21" s="6"/>
      <c r="JK21" s="4"/>
      <c r="JL21" s="5">
        <v>0</v>
      </c>
      <c r="JM21" s="5"/>
      <c r="JN21" s="6"/>
      <c r="JO21" s="4"/>
      <c r="JP21" s="4"/>
      <c r="JQ21" s="5">
        <v>0</v>
      </c>
      <c r="JR21" s="5">
        <v>0</v>
      </c>
      <c r="JS21" s="5"/>
      <c r="JT21" s="4"/>
      <c r="JU21" s="5">
        <v>0</v>
      </c>
      <c r="JV21" s="4"/>
      <c r="JW21" s="4"/>
      <c r="JX21" s="4"/>
      <c r="JY21" s="4"/>
      <c r="JZ21" s="6"/>
      <c r="KA21" s="6"/>
      <c r="KB21" s="6"/>
      <c r="KC21" s="9"/>
      <c r="KD21"/>
      <c r="KE21"/>
      <c r="KF21"/>
      <c r="KG21"/>
      <c r="KH21"/>
      <c r="KI21"/>
      <c r="KJ21" s="4"/>
      <c r="KK21" s="4"/>
      <c r="KL21" s="6"/>
      <c r="KM21" s="4"/>
      <c r="KN21" s="5">
        <v>0</v>
      </c>
      <c r="KO21" s="5"/>
      <c r="KP21" s="6"/>
      <c r="KQ21" s="4"/>
      <c r="KR21" s="4"/>
      <c r="KS21" s="5">
        <v>0</v>
      </c>
      <c r="KT21" s="5">
        <v>0</v>
      </c>
      <c r="KU21" s="5"/>
      <c r="KV21" s="4"/>
      <c r="KW21" s="5">
        <v>0</v>
      </c>
      <c r="KX21" s="4"/>
      <c r="KY21" s="4"/>
      <c r="KZ21" s="4"/>
      <c r="LA21" s="4"/>
      <c r="LB21" s="6"/>
      <c r="LC21" s="6"/>
      <c r="LD21" s="6"/>
      <c r="LE21" s="9"/>
      <c r="LF21"/>
      <c r="LG21"/>
      <c r="LH21"/>
      <c r="LI21"/>
      <c r="LJ21"/>
      <c r="LK21"/>
      <c r="LL21" s="4"/>
      <c r="LM21" s="4"/>
      <c r="LN21" s="6"/>
      <c r="LO21" s="4"/>
      <c r="LP21" s="5">
        <v>0</v>
      </c>
      <c r="LQ21" s="5"/>
      <c r="LR21" s="6"/>
      <c r="LS21" s="4"/>
      <c r="LT21" s="4"/>
      <c r="LU21" s="5">
        <v>0</v>
      </c>
      <c r="LV21" s="5">
        <v>0</v>
      </c>
      <c r="LW21" s="5"/>
      <c r="LX21" s="4"/>
      <c r="LY21" s="5">
        <v>0</v>
      </c>
      <c r="LZ21" s="4"/>
      <c r="MA21" s="4"/>
      <c r="MB21" s="4"/>
      <c r="MC21" s="4"/>
      <c r="MD21" s="6"/>
      <c r="ME21" s="6"/>
      <c r="MF21" s="6"/>
      <c r="MG21" s="9"/>
      <c r="MH21"/>
    </row>
    <row r="22">
      <c r="A22" s="8">
        <v>25232</v>
      </c>
      <c r="B22" s="8">
        <v>25233</v>
      </c>
      <c r="C22" s="9">
        <f>B22-A22</f>
        <v>1</v>
      </c>
      <c r="D22" s="8">
        <v>25232</v>
      </c>
      <c r="E22" t="inlineStr">
        <is>
          <t xml:space="preserve">positive</t>
        </is>
      </c>
      <c r="F22" s="4">
        <v>1.061746999575309</v>
      </c>
      <c r="G22" s="6">
        <v>0.00949976457127024</v>
      </c>
      <c r="H22" s="7">
        <f>SUM(CP22,DR22,ET22,FV22,GX22,HZ22,JB22,KD22,LF22,MH22)</f>
        <v>0.009499764571270239</v>
      </c>
      <c r="I22" s="7">
        <f>G22-H22</f>
        <v>1.734723475976807e-18</v>
      </c>
      <c r="J22" s="5">
        <f>F22*(1+H22)</f>
        <v>1.071833346105527</v>
      </c>
      <c r="K22" s="4">
        <v>1.071833346105527</v>
      </c>
      <c r="L22" s="5">
        <f>K22-J22</f>
        <v>0</v>
      </c>
      <c r="M22" s="4">
        <v>1.981</v>
      </c>
      <c r="N22" s="4">
        <v>2.001</v>
      </c>
      <c r="O22" s="5">
        <f>M22/$M$3</f>
        <v>1.0117466802860062</v>
      </c>
      <c r="P22" s="5">
        <f>N22/$M$3</f>
        <v>1.0219611848825332</v>
      </c>
      <c r="Q22" s="7">
        <f>IFERROR(N22/M22-1,0)</f>
        <v>0.01009591115598174</v>
      </c>
      <c r="R22" s="5">
        <f>SUM(IF(BQ22="lease",CB22,0),IF(CS22="lease",DD22,0),IF(DU22="lease",EF22,0),IF(EW22="lease",FH22,0),IF(FY22="lease",GJ22,0),IF(HA22="lease",HL22,0),IF(IC22="lease",IN22,0),IF(JE22="lease",JP22,0),IF(KG22="lease",KR22,0),IF(LI22="lease",LT22,0))</f>
        <v>1.061746999575309</v>
      </c>
      <c r="S22" s="5">
        <f>SUM(IF(BQ22="lease",CI22,0),IF(CS22="lease",DK22,0),IF(DU22="lease",EM22,0),IF(EW22="lease",FO22,0),IF(FY22="lease",GQ22,0),IF(HA22="lease",HS22,0),IF(IC22="lease",IU22,0),IF(JE22="lease",JW22,0),IF(KG22="lease",KY22,0),IF(LI22="lease",MA22,0))</f>
        <v>1.071833346105527</v>
      </c>
      <c r="T22" s="5">
        <f>SUM(IF(BQ22="keep",CB22,0),IF(CS22="keep",DD22,0),IF(DU22="keep",EF22,0),IF(EW22="keep",FH22,0),IF(FY22="keep",GJ22,0),IF(HA22="keep",HL22,0),IF(IC22="keep",IN22,0),IF(JE22="keep",JP22,0),IF(KG22="keep",KR22,0),IF(LI22="keep",LT22,0))</f>
        <v>0</v>
      </c>
      <c r="U22" s="5">
        <f>SUM(IF(BQ22="keep",CI22,0),IF(CS22="keep",DK22,0),IF(DU22="keep",EM22,0),IF(EW22="keep",FO22,0),IF(FY22="keep",GQ22,0),IF(HA22="keep",HS22,0),IF(IC22="keep",IU22,0),IF(JE22="keep",JW22,0),IF(KG22="keep",KY22,0),IF(LI22="keep",MA22,0))</f>
        <v>0</v>
      </c>
      <c r="V22" s="5">
        <f>R22/O22</f>
        <v>1.04941980069079</v>
      </c>
      <c r="W22" s="5">
        <f>S22/P22</f>
        <v>1.0488004456145037</v>
      </c>
      <c r="X22" s="5">
        <f>T22/O22</f>
        <v>0</v>
      </c>
      <c r="Y22" s="5">
        <f>U22/P22</f>
        <v>0</v>
      </c>
      <c r="Z22" s="5">
        <f>V22+X22</f>
        <v>1.04941980069079</v>
      </c>
      <c r="AA22" s="7">
        <f>IFERROR(W22/V22-1,0)</f>
        <v>-0.0005901880981077356</v>
      </c>
      <c r="AB22" s="7">
        <f>IFERROR((W22-V22)/Z22,0)</f>
        <v>-0.0005901880981077379</v>
      </c>
      <c r="AC22" s="7">
        <f>IFERROR(Y22/X22-1,0)</f>
        <v>0</v>
      </c>
      <c r="AD22" s="7">
        <f>IFERROR((Y22-X22)/Z22,0)</f>
        <v>0</v>
      </c>
      <c r="AE22" s="7">
        <f>AB22+AD22</f>
        <v>-0.0005901880981077379</v>
      </c>
      <c r="AF22" s="7">
        <f>(1+Q22)*(1+AE22)-1</f>
        <v>0.00949976457127022</v>
      </c>
      <c r="AG22" s="7">
        <f>G22-AF22</f>
        <v>2.0816681711721685e-17</v>
      </c>
      <c r="AH22" s="5">
        <f>SUM(IF(BQ22="lease",CE22,0),IF(CS22="lease",DG22,0),IF(DU22="lease",EI22,0),IF(EW22="lease",FK22,0),IF(FY22="lease",GM22,0),IF(HA22="lease",HO22,0),IF(IC22="lease",IQ22,0),IF(JE22="lease",JS22,0),IF(KG22="lease",KU22,0),IF(LI22="lease",LW22,0))</f>
        <v>0.010086346530217997</v>
      </c>
      <c r="AI22" s="5">
        <f>SUM(IF(BQ22="keep",CE22,0),IF(CS22="keep",DG22,0),IF(DU22="keep",EI22,0),IF(EW22="keep",FK22,0),IF(FY22="keep",GM22,0),IF(HA22="keep",HO22,0),IF(IC22="keep",IQ22,0),IF(JE22="keep",JS22,0),IF(KG22="keep",KU22,0),IF(LI22="keep",LW22,0))</f>
        <v>0</v>
      </c>
      <c r="AJ22" s="5">
        <f>SUM(IF(BQ22="lease",CH22,0),IF(CS22="lease",DJ22,0),IF(DU22="lease",EL22,0),IF(EW22="lease",FN22,0),IF(FY22="lease",GP22,0),IF(HA22="lease",HR22,0),IF(IC22="lease",IT22,0),IF(JE22="lease",JV22,0),IF(KG22="lease",KX22,0),IF(LI22="lease",LZ22,0))</f>
        <v>0</v>
      </c>
      <c r="AK22" s="5">
        <f>SUM(IF(BQ22="keep",CH22,0),IF(CS22="keep",DJ22,0),IF(DU22="keep",EL22,0),IF(EW22="keep",FN22,0),IF(FY22="keep",GP22,0),IF(HA22="keep",HR22,0),IF(IC22="keep",IT22,0),IF(JE22="keep",JV22,0),IF(KG22="keep",KX22,0),IF(LI22="keep",LZ22,0))</f>
        <v>0</v>
      </c>
      <c r="AL22" s="5">
        <f>R22-S21</f>
        <v>2.220446049250313e-16</v>
      </c>
      <c r="AM22" s="5">
        <f>T22-U21</f>
        <v>0</v>
      </c>
      <c r="AN22" s="5">
        <f>AN21</f>
        <v>1</v>
      </c>
      <c r="AO22" s="5">
        <f>AO21+AH22</f>
        <v>0.07183334610552733</v>
      </c>
      <c r="AP22" s="5">
        <f>AP21+AL22</f>
        <v>-4.440892098500626e-16</v>
      </c>
      <c r="AQ22" s="5">
        <f>AN22+AO22+AP22</f>
        <v>1.071833346105527</v>
      </c>
      <c r="AR22" s="5">
        <f>S22-AQ22</f>
        <v>0</v>
      </c>
      <c r="AS22" s="5">
        <f>AS21</f>
        <v>0</v>
      </c>
      <c r="AT22" s="5">
        <f>AT21+AI22</f>
        <v>0</v>
      </c>
      <c r="AU22" s="5">
        <f>AU21+AM22</f>
        <v>0</v>
      </c>
      <c r="AV22" s="5">
        <f>AS22+AT22+AU22</f>
        <v>0</v>
      </c>
      <c r="AW22" s="5">
        <f>U22-AV22</f>
        <v>0</v>
      </c>
      <c r="AX22" s="4">
        <v>1.061746999575309</v>
      </c>
      <c r="AY22" s="4">
        <v>1.071833346105527</v>
      </c>
      <c r="AZ22" s="5">
        <f>S22-AY22</f>
        <v>0</v>
      </c>
      <c r="BA22" s="4">
        <v>0</v>
      </c>
      <c r="BB22" s="4">
        <v>0</v>
      </c>
      <c r="BC22" s="5">
        <f>U22-BB22</f>
        <v>0</v>
      </c>
      <c r="BD22" s="7">
        <f>SUM(IF(BP22="direct",CC22/F22,0),IF(CR22="direct",DE22/F22,0),IF(DT22="direct",EG22/F22,0),IF(EV22="direct",FI22/F22,0),IF(FX22="direct",GK22/F22,0),IF(GZ22="direct",HM22/F22,0),IF(IB22="direct",IO22/F22,0),IF(JD22="direct",JQ22/F22,0),IF(KF22="direct",KS22/F22,0),IF(LH22="direct",LU22/F22,0))</f>
        <v>0.008343065159439568</v>
      </c>
      <c r="BE22" s="7">
        <f>-SUM(IF(BP22="direct",CD22/F22,0),IF(CR22="direct",DF22/F22,0),IF(DT22="direct",EH22/F22,0),IF(EV22="direct",FJ22/F22,0),IF(FX22="direct",GL22/F22,0),IF(GZ22="direct",HN22/F22,0),IF(IB22="direct",IP22/F22,0),IF(JD22="direct",JR22/F22,0),IF(KF22="direct",KT22/F22,0),IF(LH22="direct",LV22/F22,0))</f>
        <v>-0.00000566014112357875</v>
      </c>
      <c r="BF22" s="7">
        <f>BD22+BE22</f>
        <v>0.008337405018315988</v>
      </c>
      <c r="BG22" s="7">
        <f>BF22-SUM(IF(BP22="direct",CP22,0),IF(CR22="direct",DR22,0),IF(DT22="direct",ET22,0),IF(EV22="direct",FV22,0),IF(FX22="direct",GX22,0),IF(GZ22="direct",HZ22,0),IF(IB22="direct",JB22,0),IF(JD22="direct",KD22,0),IF(KF22="direct",LF22,0),IF(LH22="direct",MH22,0))</f>
        <v>-1.214306433183765e-17</v>
      </c>
      <c r="BH22" s="7">
        <f>SUM(IF(BP22="treasury",CP22,0),IF(CR22="treasury",DR22,0),IF(DT22="treasury",ET22,0),IF(EV22="treasury",FV22,0),IF(FX22="treasury",GX22,0),IF(GZ22="treasury",HZ22,0),IF(IB22="treasury",JB22,0),IF(JD22="treasury",KD22,0),IF(KF22="treasury",LF22,0),IF(LH22="treasury",MH22,0))</f>
        <v>0.000029301246002690823</v>
      </c>
      <c r="BI22" s="7">
        <f>SUM(IF(BP22="future",CP22,0),IF(CR22="future",DR22,0),IF(DT22="future",ET22,0),IF(EV22="future",FV22,0),IF(FX22="future",GX22,0),IF(GZ22="future",HZ22,0),IF(IB22="future",JB22,0),IF(JD22="future",KD22,0),IF(KF22="future",LF22,0),IF(LH22="future",MH22,0))</f>
        <v>0.0011330583069515477</v>
      </c>
      <c r="BJ22" s="7">
        <f>SUM(IF(BP22="cash",CP22,0),IF(CR22="cash",DR22,0),IF(DT22="cash",ET22,0),IF(EV22="cash",FV22,0),IF(FX22="cash",GX22,0),IF(GZ22="cash",HZ22,0),IF(IB22="cash",JB22,0),IF(JD22="cash",KD22,0),IF(KF22="cash",LF22,0),IF(LH22="cash",MH22,0))</f>
        <v>0</v>
      </c>
      <c r="BK22" s="7">
        <f>SUM(BF22,BH22,BI22,BJ22)</f>
        <v>0.00949976457127024</v>
      </c>
      <c r="BL22" s="7">
        <f>G22-BK22</f>
        <v>0</v>
      </c>
      <c r="BM22" s="5">
        <f>MAX(ABS(CG22),ABS(DI22),ABS(EK22),ABS(FM22),ABS(GO22),ABS(HQ22),ABS(IS22),ABS(JU22),ABS(KW22),ABS(LY22))</f>
        <v>2.1358782797964437e-17</v>
      </c>
      <c r="BN22" s="9">
        <f>COUNTA(BO22,CQ22,DS22,EU22,FW22,GY22,IA22,JC22,KE22,LG22)</f>
        <v>5</v>
      </c>
      <c r="BO22" t="inlineStr">
        <is>
          <t xml:space="preserve">Direct commodity holding</t>
        </is>
      </c>
      <c r="BP22" t="inlineStr">
        <is>
          <t xml:space="preserve">direct</t>
        </is>
      </c>
      <c r="BQ22" t="inlineStr">
        <is>
          <t xml:space="preserve">lease</t>
        </is>
      </c>
      <c r="BR22" t="inlineStr">
        <is>
          <t xml:space="preserve">long</t>
        </is>
      </c>
      <c r="BS22"/>
      <c r="BT22" s="4">
        <v>1.981</v>
      </c>
      <c r="BU22" s="4">
        <v>2.001</v>
      </c>
      <c r="BV22" s="6">
        <v>0.0025</v>
      </c>
      <c r="BW22" s="4">
        <v>0.44291122001481736</v>
      </c>
      <c r="BX22" s="5">
        <f>IF(BP22="direct",IFERROR(CD22/BU22,0),0)</f>
        <v>0.0000030033172689318125</v>
      </c>
      <c r="BY22" s="5">
        <f>IF(BP22="direct",BW22-BX22,IF(BP22="cash",CI22,BW22))</f>
        <v>0.44290821669754843</v>
      </c>
      <c r="BZ22" s="6">
        <v>0.8263806040424976</v>
      </c>
      <c r="CA22" s="4">
        <v>0.8774071268493533</v>
      </c>
      <c r="CB22" s="4">
        <v>0.8774071268493533</v>
      </c>
      <c r="CC22" s="5">
        <f>IF(BP22="direct",BW22*(BU22-BT22),CF22)</f>
        <v>0.008858224400296258</v>
      </c>
      <c r="CD22" s="5">
        <f>IF(BP22="direct",CB22*BV22*C22/365,0)</f>
        <v>0.000006009637855132556</v>
      </c>
      <c r="CE22" s="5">
        <f>CC22-CD22</f>
        <v>0.008852214762441139</v>
      </c>
      <c r="CF22" s="4">
        <v>0.008852214762441139</v>
      </c>
      <c r="CG22" s="5">
        <f>CF22-CE22</f>
        <v>1.3610125396482098e-17</v>
      </c>
      <c r="CH22" s="4">
        <v>0</v>
      </c>
      <c r="CI22" s="4">
        <v>0.8862593416117943</v>
      </c>
      <c r="CJ22" s="4">
        <v>1.981</v>
      </c>
      <c r="CK22" s="4">
        <v>2.001</v>
      </c>
      <c r="CL22" s="6"/>
      <c r="CM22" s="6"/>
      <c r="CN22" s="6"/>
      <c r="CO22" s="9"/>
      <c r="CP22" s="7">
        <f>IFERROR(CE22/F22,0)</f>
        <v>0.008337405018316</v>
      </c>
      <c r="CQ22" t="inlineStr">
        <is>
          <t xml:space="preserve">Treasury collateral</t>
        </is>
      </c>
      <c r="CR22" t="inlineStr">
        <is>
          <t xml:space="preserve">treasury</t>
        </is>
      </c>
      <c r="CS22" t="inlineStr">
        <is>
          <t xml:space="preserve">lease</t>
        </is>
      </c>
      <c r="CT22" t="inlineStr">
        <is>
          <t xml:space="preserve">long</t>
        </is>
      </c>
      <c r="CU22"/>
      <c r="CV22" s="4">
        <v>100.45443709704497</v>
      </c>
      <c r="CW22" s="4">
        <v>100.47139050341534</v>
      </c>
      <c r="CX22" s="6"/>
      <c r="CY22" s="4">
        <v>0.0018350595359752247</v>
      </c>
      <c r="CZ22" s="5">
        <f>IF(CR22="direct",IFERROR(DF22/CW22,0),0)</f>
        <v>0</v>
      </c>
      <c r="DA22" s="5">
        <f>IF(CR22="direct",CY22-CZ22,IF(CR22="cash",DK22,CY22))</f>
        <v>0.0018350595359752247</v>
      </c>
      <c r="DB22" s="6">
        <v>0.17361939595750242</v>
      </c>
      <c r="DC22" s="4">
        <v>0.18433987272595576</v>
      </c>
      <c r="DD22" s="4">
        <v>0.18433987272595576</v>
      </c>
      <c r="DE22" s="5">
        <f>IF(CR22="direct",CY22*(CW22-CV22),DH22)</f>
        <v>0.00003111051002719636</v>
      </c>
      <c r="DF22" s="5">
        <f>IF(CR22="direct",DD22*CX22*C22/365,0)</f>
        <v>0</v>
      </c>
      <c r="DG22" s="5">
        <f>DE22-DF22</f>
        <v>0.000031110510027175</v>
      </c>
      <c r="DH22" s="4">
        <v>0.000031110510027175</v>
      </c>
      <c r="DI22" s="5">
        <f>DH22-DG22</f>
        <v>-2.1358782797964437e-17</v>
      </c>
      <c r="DJ22" s="4">
        <v>1.3010426069826053e-17</v>
      </c>
      <c r="DK22" s="4">
        <v>0.18437098323598294</v>
      </c>
      <c r="DL22" s="4">
        <v>1.981</v>
      </c>
      <c r="DM22" s="4">
        <v>2.001</v>
      </c>
      <c r="DN22" s="6"/>
      <c r="DO22" s="6"/>
      <c r="DP22" s="6"/>
      <c r="DQ22" s="9">
        <v>57</v>
      </c>
      <c r="DR22" s="7">
        <f>IFERROR(DG22/F22,0)</f>
        <v>0.000029301246002690823</v>
      </c>
      <c r="DS22" t="inlineStr">
        <is>
          <t xml:space="preserve">SI69H</t>
        </is>
      </c>
      <c r="DT22" t="inlineStr">
        <is>
          <t xml:space="preserve">future</t>
        </is>
      </c>
      <c r="DU22" t="inlineStr">
        <is>
          <t xml:space="preserve">lease</t>
        </is>
      </c>
      <c r="DV22" t="inlineStr">
        <is>
          <t xml:space="preserve">long</t>
        </is>
      </c>
      <c r="DW22" t="inlineStr">
        <is>
          <t xml:space="preserve">regular</t>
        </is>
      </c>
      <c r="DX22" s="4">
        <v>1.992</v>
      </c>
      <c r="DY22" s="4">
        <v>2.005</v>
      </c>
      <c r="DZ22" s="6"/>
      <c r="EA22" s="4">
        <v>0.09254009674997779</v>
      </c>
      <c r="EB22" s="5">
        <f>IF(DT22="direct",IFERROR(EH22/DY22,0),0)</f>
        <v>0</v>
      </c>
      <c r="EC22" s="5">
        <f>IF(DT22="direct",EA22-EB22,IF(DT22="cash",EM22,EA22))</f>
        <v>0.09254009674997779</v>
      </c>
      <c r="ED22" s="6">
        <v>0.17361939595750242</v>
      </c>
      <c r="EE22" s="4">
        <v>0.18433987272595576</v>
      </c>
      <c r="EF22" s="4">
        <v>0</v>
      </c>
      <c r="EG22" s="5">
        <f>IF(DT22="direct",EA22*(DY22-DX22),EJ22)</f>
        <v>0.0012030212577496852</v>
      </c>
      <c r="EH22" s="5">
        <f>IF(DT22="direct",EF22*DZ22*C22/365,0)</f>
        <v>0</v>
      </c>
      <c r="EI22" s="5">
        <f>EG22-EH22</f>
        <v>0.0012030212577496852</v>
      </c>
      <c r="EJ22" s="4">
        <v>0.0012030212577496852</v>
      </c>
      <c r="EK22" s="5">
        <f>EJ22-EI22</f>
        <v>0</v>
      </c>
      <c r="EL22" s="4">
        <v>-0.0012030212577496852</v>
      </c>
      <c r="EM22" s="4">
        <v>0</v>
      </c>
      <c r="EN22" s="4">
        <v>1.981</v>
      </c>
      <c r="EO22" s="4">
        <v>2.001</v>
      </c>
      <c r="EP22" s="6">
        <v>0.005552751135790013</v>
      </c>
      <c r="EQ22" s="6">
        <v>0.0616</v>
      </c>
      <c r="ER22" s="6">
        <v>0.026042909393625364</v>
      </c>
      <c r="ES22" s="9">
        <v>57</v>
      </c>
      <c r="ET22" s="7">
        <f>IFERROR(EI22/F22,0)</f>
        <v>0.0011330583069515477</v>
      </c>
      <c r="EU22" t="inlineStr">
        <is>
          <t xml:space="preserve">Lease cash / margin / financing</t>
        </is>
      </c>
      <c r="EV22" t="inlineStr">
        <is>
          <t xml:space="preserve">cash</t>
        </is>
      </c>
      <c r="EW22" t="inlineStr">
        <is>
          <t xml:space="preserve">lease</t>
        </is>
      </c>
      <c r="EX22" t="inlineStr">
        <is>
          <t xml:space="preserve">cash</t>
        </is>
      </c>
      <c r="EY22"/>
      <c r="EZ22" s="4">
        <v>1</v>
      </c>
      <c r="FA22" s="4">
        <v>1</v>
      </c>
      <c r="FB22" s="6"/>
      <c r="FC22" s="4">
        <v>0</v>
      </c>
      <c r="FD22" s="5">
        <f>IF(EV22="direct",IFERROR(FJ22/FA22,0),0)</f>
        <v>0</v>
      </c>
      <c r="FE22" s="5">
        <f>IF(EV22="direct",FC22-FD22,IF(EV22="cash",FO22,FC22))</f>
        <v>0.0012030212577496722</v>
      </c>
      <c r="FF22" s="6"/>
      <c r="FG22" s="4">
        <v>0</v>
      </c>
      <c r="FH22" s="4">
        <v>0</v>
      </c>
      <c r="FI22" s="5">
        <f>IF(EV22="direct",FC22*(FA22-EZ22),FL22)</f>
        <v>0</v>
      </c>
      <c r="FJ22" s="5">
        <f>IF(EV22="direct",FH22*FB22*C22/365,0)</f>
        <v>0</v>
      </c>
      <c r="FK22" s="5">
        <f>FI22-FJ22</f>
        <v>0</v>
      </c>
      <c r="FL22" s="4">
        <v>0</v>
      </c>
      <c r="FM22" s="5">
        <f>FL22-FK22</f>
        <v>0</v>
      </c>
      <c r="FN22" s="4">
        <v>0.0012030212577496722</v>
      </c>
      <c r="FO22" s="4">
        <v>0.0012030212577496722</v>
      </c>
      <c r="FP22" s="4">
        <v>1.981</v>
      </c>
      <c r="FQ22" s="4">
        <v>2.001</v>
      </c>
      <c r="FR22" s="6"/>
      <c r="FS22" s="6"/>
      <c r="FT22" s="6"/>
      <c r="FU22" s="9"/>
      <c r="FV22" s="7">
        <f>IFERROR(FK22/F22,0)</f>
        <v>0</v>
      </c>
      <c r="FW22" t="inlineStr">
        <is>
          <t xml:space="preserve">Keep cash / margin / financing</t>
        </is>
      </c>
      <c r="FX22" t="inlineStr">
        <is>
          <t xml:space="preserve">cash</t>
        </is>
      </c>
      <c r="FY22" t="inlineStr">
        <is>
          <t xml:space="preserve">keep</t>
        </is>
      </c>
      <c r="FZ22" t="inlineStr">
        <is>
          <t xml:space="preserve">cash</t>
        </is>
      </c>
      <c r="GA22"/>
      <c r="GB22" s="4">
        <v>1</v>
      </c>
      <c r="GC22" s="4">
        <v>1</v>
      </c>
      <c r="GD22" s="6"/>
      <c r="GE22" s="4">
        <v>0</v>
      </c>
      <c r="GF22" s="5">
        <f>IF(FX22="direct",IFERROR(GL22/GC22,0),0)</f>
        <v>0</v>
      </c>
      <c r="GG22" s="5">
        <f>IF(FX22="direct",GE22-GF22,IF(FX22="cash",GQ22,GE22))</f>
        <v>0</v>
      </c>
      <c r="GH22" s="6"/>
      <c r="GI22" s="4">
        <v>0</v>
      </c>
      <c r="GJ22" s="4">
        <v>0</v>
      </c>
      <c r="GK22" s="5">
        <f>IF(FX22="direct",GE22*(GC22-GB22),GN22)</f>
        <v>0</v>
      </c>
      <c r="GL22" s="5">
        <f>IF(FX22="direct",GJ22*GD22*C22/365,0)</f>
        <v>0</v>
      </c>
      <c r="GM22" s="5">
        <f>GK22-GL22</f>
        <v>0</v>
      </c>
      <c r="GN22" s="4">
        <v>0</v>
      </c>
      <c r="GO22" s="5">
        <f>GN22-GM22</f>
        <v>0</v>
      </c>
      <c r="GP22" s="4">
        <v>0</v>
      </c>
      <c r="GQ22" s="4">
        <v>0</v>
      </c>
      <c r="GR22" s="4">
        <v>1.981</v>
      </c>
      <c r="GS22" s="4">
        <v>2.001</v>
      </c>
      <c r="GT22" s="6"/>
      <c r="GU22" s="6"/>
      <c r="GV22" s="6"/>
      <c r="GW22" s="9"/>
      <c r="GX22" s="7">
        <f>IFERROR(GM22/F22,0)</f>
        <v>0</v>
      </c>
      <c r="GY22"/>
      <c r="GZ22"/>
      <c r="HA22"/>
      <c r="HB22"/>
      <c r="HC22"/>
      <c r="HD22" s="4"/>
      <c r="HE22" s="4"/>
      <c r="HF22" s="6"/>
      <c r="HG22" s="4"/>
      <c r="HH22" s="5">
        <v>0</v>
      </c>
      <c r="HI22" s="5"/>
      <c r="HJ22" s="6"/>
      <c r="HK22" s="4"/>
      <c r="HL22" s="4"/>
      <c r="HM22" s="5">
        <v>0</v>
      </c>
      <c r="HN22" s="5">
        <v>0</v>
      </c>
      <c r="HO22" s="5"/>
      <c r="HP22" s="4"/>
      <c r="HQ22" s="5">
        <v>0</v>
      </c>
      <c r="HR22" s="4"/>
      <c r="HS22" s="4"/>
      <c r="HT22" s="4"/>
      <c r="HU22" s="4"/>
      <c r="HV22" s="6"/>
      <c r="HW22" s="6"/>
      <c r="HX22" s="6"/>
      <c r="HY22" s="9"/>
      <c r="HZ22"/>
      <c r="IA22"/>
      <c r="IB22"/>
      <c r="IC22"/>
      <c r="ID22"/>
      <c r="IE22"/>
      <c r="IF22" s="4"/>
      <c r="IG22" s="4"/>
      <c r="IH22" s="6"/>
      <c r="II22" s="4"/>
      <c r="IJ22" s="5">
        <v>0</v>
      </c>
      <c r="IK22" s="5"/>
      <c r="IL22" s="6"/>
      <c r="IM22" s="4"/>
      <c r="IN22" s="4"/>
      <c r="IO22" s="5">
        <v>0</v>
      </c>
      <c r="IP22" s="5">
        <v>0</v>
      </c>
      <c r="IQ22" s="5"/>
      <c r="IR22" s="4"/>
      <c r="IS22" s="5">
        <v>0</v>
      </c>
      <c r="IT22" s="4"/>
      <c r="IU22" s="4"/>
      <c r="IV22" s="4"/>
      <c r="IW22" s="4"/>
      <c r="IX22" s="6"/>
      <c r="IY22" s="6"/>
      <c r="IZ22" s="6"/>
      <c r="JA22" s="9"/>
      <c r="JB22"/>
      <c r="JC22"/>
      <c r="JD22"/>
      <c r="JE22"/>
      <c r="JF22"/>
      <c r="JG22"/>
      <c r="JH22" s="4"/>
      <c r="JI22" s="4"/>
      <c r="JJ22" s="6"/>
      <c r="JK22" s="4"/>
      <c r="JL22" s="5">
        <v>0</v>
      </c>
      <c r="JM22" s="5"/>
      <c r="JN22" s="6"/>
      <c r="JO22" s="4"/>
      <c r="JP22" s="4"/>
      <c r="JQ22" s="5">
        <v>0</v>
      </c>
      <c r="JR22" s="5">
        <v>0</v>
      </c>
      <c r="JS22" s="5"/>
      <c r="JT22" s="4"/>
      <c r="JU22" s="5">
        <v>0</v>
      </c>
      <c r="JV22" s="4"/>
      <c r="JW22" s="4"/>
      <c r="JX22" s="4"/>
      <c r="JY22" s="4"/>
      <c r="JZ22" s="6"/>
      <c r="KA22" s="6"/>
      <c r="KB22" s="6"/>
      <c r="KC22" s="9"/>
      <c r="KD22"/>
      <c r="KE22"/>
      <c r="KF22"/>
      <c r="KG22"/>
      <c r="KH22"/>
      <c r="KI22"/>
      <c r="KJ22" s="4"/>
      <c r="KK22" s="4"/>
      <c r="KL22" s="6"/>
      <c r="KM22" s="4"/>
      <c r="KN22" s="5">
        <v>0</v>
      </c>
      <c r="KO22" s="5"/>
      <c r="KP22" s="6"/>
      <c r="KQ22" s="4"/>
      <c r="KR22" s="4"/>
      <c r="KS22" s="5">
        <v>0</v>
      </c>
      <c r="KT22" s="5">
        <v>0</v>
      </c>
      <c r="KU22" s="5"/>
      <c r="KV22" s="4"/>
      <c r="KW22" s="5">
        <v>0</v>
      </c>
      <c r="KX22" s="4"/>
      <c r="KY22" s="4"/>
      <c r="KZ22" s="4"/>
      <c r="LA22" s="4"/>
      <c r="LB22" s="6"/>
      <c r="LC22" s="6"/>
      <c r="LD22" s="6"/>
      <c r="LE22" s="9"/>
      <c r="LF22"/>
      <c r="LG22"/>
      <c r="LH22"/>
      <c r="LI22"/>
      <c r="LJ22"/>
      <c r="LK22"/>
      <c r="LL22" s="4"/>
      <c r="LM22" s="4"/>
      <c r="LN22" s="6"/>
      <c r="LO22" s="4"/>
      <c r="LP22" s="5">
        <v>0</v>
      </c>
      <c r="LQ22" s="5"/>
      <c r="LR22" s="6"/>
      <c r="LS22" s="4"/>
      <c r="LT22" s="4"/>
      <c r="LU22" s="5">
        <v>0</v>
      </c>
      <c r="LV22" s="5">
        <v>0</v>
      </c>
      <c r="LW22" s="5"/>
      <c r="LX22" s="4"/>
      <c r="LY22" s="5">
        <v>0</v>
      </c>
      <c r="LZ22" s="4"/>
      <c r="MA22" s="4"/>
      <c r="MB22" s="4"/>
      <c r="MC22" s="4"/>
      <c r="MD22" s="6"/>
      <c r="ME22" s="6"/>
      <c r="MF22" s="6"/>
      <c r="MG22" s="9"/>
      <c r="MH22"/>
    </row>
    <row r="23">
      <c r="A23" s="8">
        <v>25233</v>
      </c>
      <c r="B23" s="8">
        <v>25234</v>
      </c>
      <c r="C23" s="9">
        <f>B23-A23</f>
        <v>1</v>
      </c>
      <c r="D23" s="8">
        <v>25233</v>
      </c>
      <c r="E23" t="inlineStr">
        <is>
          <t xml:space="preserve">positive</t>
        </is>
      </c>
      <c r="F23" s="4">
        <v>1.071833346105527</v>
      </c>
      <c r="G23" s="6">
        <v>-0.0005971034912389655</v>
      </c>
      <c r="H23" s="7">
        <f>SUM(CP23,DR23,ET23,FV23,GX23,HZ23,JB23,KD23,LF23,MH23)</f>
        <v>-0.0005971034912389655</v>
      </c>
      <c r="I23" s="7">
        <f>G23-H23</f>
        <v>0</v>
      </c>
      <c r="J23" s="5">
        <f>F23*(1+H23)</f>
        <v>1.071193350672541</v>
      </c>
      <c r="K23" s="4">
        <v>1.071193350672541</v>
      </c>
      <c r="L23" s="5">
        <f>K23-J23</f>
        <v>0</v>
      </c>
      <c r="M23" s="4">
        <v>2.001</v>
      </c>
      <c r="N23" s="4">
        <v>2.001</v>
      </c>
      <c r="O23" s="5">
        <f>M23/$M$3</f>
        <v>1.0219611848825332</v>
      </c>
      <c r="P23" s="5">
        <f>N23/$M$3</f>
        <v>1.0219611848825332</v>
      </c>
      <c r="Q23" s="7">
        <f>IFERROR(N23/M23-1,0)</f>
        <v>0</v>
      </c>
      <c r="R23" s="5">
        <f>SUM(IF(BQ23="lease",CB23,0),IF(CS23="lease",DD23,0),IF(DU23="lease",EF23,0),IF(EW23="lease",FH23,0),IF(FY23="lease",GJ23,0),IF(HA23="lease",HL23,0),IF(IC23="lease",IN23,0),IF(JE23="lease",JP23,0),IF(KG23="lease",KR23,0),IF(LI23="lease",LT23,0))</f>
        <v>1.071833346105527</v>
      </c>
      <c r="S23" s="5">
        <f>SUM(IF(BQ23="lease",CI23,0),IF(CS23="lease",DK23,0),IF(DU23="lease",EM23,0),IF(EW23="lease",FO23,0),IF(FY23="lease",GQ23,0),IF(HA23="lease",HS23,0),IF(IC23="lease",IU23,0),IF(JE23="lease",JW23,0),IF(KG23="lease",KY23,0),IF(LI23="lease",MA23,0))</f>
        <v>1.071193350672541</v>
      </c>
      <c r="T23" s="5">
        <f>SUM(IF(BQ23="keep",CB23,0),IF(CS23="keep",DD23,0),IF(DU23="keep",EF23,0),IF(EW23="keep",FH23,0),IF(FY23="keep",GJ23,0),IF(HA23="keep",HL23,0),IF(IC23="keep",IN23,0),IF(JE23="keep",JP23,0),IF(KG23="keep",KR23,0),IF(LI23="keep",LT23,0))</f>
        <v>0</v>
      </c>
      <c r="U23" s="5">
        <f>SUM(IF(BQ23="keep",CI23,0),IF(CS23="keep",DK23,0),IF(DU23="keep",EM23,0),IF(EW23="keep",FO23,0),IF(FY23="keep",GQ23,0),IF(HA23="keep",HS23,0),IF(IC23="keep",IU23,0),IF(JE23="keep",JW23,0),IF(KG23="keep",KY23,0),IF(LI23="keep",MA23,0))</f>
        <v>0</v>
      </c>
      <c r="V23" s="5">
        <f>R23/O23</f>
        <v>1.0488004456145037</v>
      </c>
      <c r="W23" s="5">
        <f>S23/P23</f>
        <v>1.0481742032068144</v>
      </c>
      <c r="X23" s="5">
        <f>T23/O23</f>
        <v>0</v>
      </c>
      <c r="Y23" s="5">
        <f>U23/P23</f>
        <v>0</v>
      </c>
      <c r="Z23" s="5">
        <f>V23+X23</f>
        <v>1.0488004456145037</v>
      </c>
      <c r="AA23" s="7">
        <f>IFERROR(W23/V23-1,0)</f>
        <v>-0.0005971034912388706</v>
      </c>
      <c r="AB23" s="7">
        <f>IFERROR((W23-V23)/Z23,0)</f>
        <v>-0.0005971034912388391</v>
      </c>
      <c r="AC23" s="7">
        <f>IFERROR(Y23/X23-1,0)</f>
        <v>0</v>
      </c>
      <c r="AD23" s="7">
        <f>IFERROR((Y23-X23)/Z23,0)</f>
        <v>0</v>
      </c>
      <c r="AE23" s="7">
        <f>AB23+AD23</f>
        <v>-0.0005971034912388391</v>
      </c>
      <c r="AF23" s="7">
        <f>(1+Q23)*(1+AE23)-1</f>
        <v>-0.0005971034912388706</v>
      </c>
      <c r="AG23" s="7">
        <f>G23-AF23</f>
        <v>-9.486769009248164e-17</v>
      </c>
      <c r="AH23" s="5">
        <f>SUM(IF(BQ23="lease",CE23,0),IF(CS23="lease",DG23,0),IF(DU23="lease",EI23,0),IF(EW23="lease",FK23,0),IF(FY23="lease",GM23,0),IF(HA23="lease",HO23,0),IF(IC23="lease",IQ23,0),IF(JE23="lease",JS23,0),IF(KG23="lease",KU23,0),IF(LI23="lease",LW23,0))</f>
        <v>-0.0006399954329859526</v>
      </c>
      <c r="AI23" s="5">
        <f>SUM(IF(BQ23="keep",CE23,0),IF(CS23="keep",DG23,0),IF(DU23="keep",EI23,0),IF(EW23="keep",FK23,0),IF(FY23="keep",GM23,0),IF(HA23="keep",HO23,0),IF(IC23="keep",IQ23,0),IF(JE23="keep",JS23,0),IF(KG23="keep",KU23,0),IF(LI23="keep",LW23,0))</f>
        <v>0</v>
      </c>
      <c r="AJ23" s="5">
        <f>SUM(IF(BQ23="lease",CH23,0),IF(CS23="lease",DJ23,0),IF(DU23="lease",EL23,0),IF(EW23="lease",FN23,0),IF(FY23="lease",GP23,0),IF(HA23="lease",HR23,0),IF(IC23="lease",IT23,0),IF(JE23="lease",JV23,0),IF(KG23="lease",KX23,0),IF(LI23="lease",LZ23,0))</f>
        <v>0</v>
      </c>
      <c r="AK23" s="5">
        <f>SUM(IF(BQ23="keep",CH23,0),IF(CS23="keep",DJ23,0),IF(DU23="keep",EL23,0),IF(EW23="keep",FN23,0),IF(FY23="keep",GP23,0),IF(HA23="keep",HR23,0),IF(IC23="keep",IT23,0),IF(JE23="keep",JV23,0),IF(KG23="keep",KX23,0),IF(LI23="keep",LZ23,0))</f>
        <v>0</v>
      </c>
      <c r="AL23" s="5">
        <f>R23-S22</f>
        <v>0</v>
      </c>
      <c r="AM23" s="5">
        <f>T23-U22</f>
        <v>0</v>
      </c>
      <c r="AN23" s="5">
        <f>AN22</f>
        <v>1</v>
      </c>
      <c r="AO23" s="5">
        <f>AO22+AH23</f>
        <v>0.07119335067254137</v>
      </c>
      <c r="AP23" s="5">
        <f>AP22+AL23</f>
        <v>-4.440892098500626e-16</v>
      </c>
      <c r="AQ23" s="5">
        <f>AN23+AO23+AP23</f>
        <v>1.0711933506725408</v>
      </c>
      <c r="AR23" s="5">
        <f>S23-AQ23</f>
        <v>2.220446049250313e-16</v>
      </c>
      <c r="AS23" s="5">
        <f>AS22</f>
        <v>0</v>
      </c>
      <c r="AT23" s="5">
        <f>AT22+AI23</f>
        <v>0</v>
      </c>
      <c r="AU23" s="5">
        <f>AU22+AM23</f>
        <v>0</v>
      </c>
      <c r="AV23" s="5">
        <f>AS23+AT23+AU23</f>
        <v>0</v>
      </c>
      <c r="AW23" s="5">
        <f>U23-AV23</f>
        <v>0</v>
      </c>
      <c r="AX23" s="4">
        <v>1.071833346105527</v>
      </c>
      <c r="AY23" s="4">
        <v>1.071193350672541</v>
      </c>
      <c r="AZ23" s="5">
        <f>S23-AY23</f>
        <v>0</v>
      </c>
      <c r="BA23" s="4">
        <v>0</v>
      </c>
      <c r="BB23" s="4">
        <v>0</v>
      </c>
      <c r="BC23" s="5">
        <f>U23-BB23</f>
        <v>0</v>
      </c>
      <c r="BD23" s="7">
        <f>SUM(IF(BP23="direct",CC23/F23,0),IF(CR23="direct",DE23/F23,0),IF(DT23="direct",EG23/F23,0),IF(EV23="direct",FI23/F23,0),IF(FX23="direct",GK23/F23,0),IF(GZ23="direct",HM23/F23,0),IF(IB23="direct",IO23/F23,0),IF(JD23="direct",JQ23/F23,0),IF(KF23="direct",KS23/F23,0),IF(LH23="direct",LU23/F23,0))</f>
        <v>0</v>
      </c>
      <c r="BE23" s="7">
        <f>-SUM(IF(BP23="direct",CD23/F23,0),IF(CR23="direct",DF23/F23,0),IF(DT23="direct",EH23/F23,0),IF(EV23="direct",FJ23/F23,0),IF(FX23="direct",GL23/F23,0),IF(GZ23="direct",HN23/F23,0),IF(IB23="direct",IP23/F23,0),IF(JD23="direct",JR23/F23,0),IF(KF23="direct",KT23/F23,0),IF(LH23="direct",LV23/F23,0))</f>
        <v>-0.000004626904095245261</v>
      </c>
      <c r="BF23" s="7">
        <f>BD23+BE23</f>
        <v>-0.000004626904095245261</v>
      </c>
      <c r="BG23" s="7">
        <f>BF23-SUM(IF(BP23="direct",CP23,0),IF(CR23="direct",DR23,0),IF(DT23="direct",ET23,0),IF(EV23="direct",FV23,0),IF(FX23="direct",GX23,0),IF(GZ23="direct",HZ23,0),IF(IB23="direct",JB23,0),IF(JD23="direct",KD23,0),IF(KF23="direct",LF23,0),IF(LH23="direct",MH23,0))</f>
        <v>-8.470329472543003e-22</v>
      </c>
      <c r="BH23" s="7">
        <f>SUM(IF(BP23="treasury",CP23,0),IF(CR23="treasury",DR23,0),IF(DT23="treasury",ET23,0),IF(EV23="treasury",FV23,0),IF(FX23="treasury",GX23,0),IF(GZ23="treasury",HZ23,0),IF(IB23="treasury",JB23,0),IF(JD23="treasury",KD23,0),IF(KF23="treasury",LF23,0),IF(LH23="treasury",MH23,0))</f>
        <v>0.00005484910281975793</v>
      </c>
      <c r="BI23" s="7">
        <f>SUM(IF(BP23="future",CP23,0),IF(CR23="future",DR23,0),IF(DT23="future",ET23,0),IF(EV23="future",FV23,0),IF(FX23="future",GX23,0),IF(GZ23="future",HZ23,0),IF(IB23="future",JB23,0),IF(JD23="future",KD23,0),IF(KF23="future",LF23,0),IF(LH23="future",MH23,0))</f>
        <v>-0.0006473256899634782</v>
      </c>
      <c r="BJ23" s="7">
        <f>SUM(IF(BP23="cash",CP23,0),IF(CR23="cash",DR23,0),IF(DT23="cash",ET23,0),IF(EV23="cash",FV23,0),IF(FX23="cash",GX23,0),IF(GZ23="cash",HZ23,0),IF(IB23="cash",JB23,0),IF(JD23="cash",KD23,0),IF(KF23="cash",LF23,0),IF(LH23="cash",MH23,0))</f>
        <v>0</v>
      </c>
      <c r="BK23" s="7">
        <f>SUM(BF23,BH23,BI23,BJ23)</f>
        <v>-0.0005971034912389655</v>
      </c>
      <c r="BL23" s="7">
        <f>G23-BK23</f>
        <v>0</v>
      </c>
      <c r="BM23" s="5">
        <f>MAX(ABS(CG23),ABS(DI23),ABS(EK23),ABS(FM23),ABS(GO23),ABS(HQ23),ABS(IS23),ABS(JU23),ABS(KW23),ABS(LY23))</f>
        <v>5.878408653944844e-17</v>
      </c>
      <c r="BN23" s="9">
        <f>COUNTA(BO23,CQ23,DS23,EU23,FW23,GY23,IA23,JC23,KE23,LG23)</f>
        <v>5</v>
      </c>
      <c r="BO23" t="inlineStr">
        <is>
          <t xml:space="preserve">Direct commodity holding</t>
        </is>
      </c>
      <c r="BP23" t="inlineStr">
        <is>
          <t xml:space="preserve">direct</t>
        </is>
      </c>
      <c r="BQ23" t="inlineStr">
        <is>
          <t xml:space="preserve">lease</t>
        </is>
      </c>
      <c r="BR23" t="inlineStr">
        <is>
          <t xml:space="preserve">long</t>
        </is>
      </c>
      <c r="BS23"/>
      <c r="BT23" s="4">
        <v>2.001</v>
      </c>
      <c r="BU23" s="4">
        <v>2.001</v>
      </c>
      <c r="BV23" s="6">
        <v>0.0025</v>
      </c>
      <c r="BW23" s="4">
        <v>0.36184579429452757</v>
      </c>
      <c r="BX23" s="5">
        <f>IF(BP23="direct",IFERROR(CD23/BU23,0),0)</f>
        <v>0.000002478395851332381</v>
      </c>
      <c r="BY23" s="5">
        <f>IF(BP23="direct",BW23-BX23,IF(BP23="cash",CI23,BW23))</f>
        <v>0.36184331589867624</v>
      </c>
      <c r="BZ23" s="6">
        <v>0.675527997905808</v>
      </c>
      <c r="CA23" s="4">
        <v>0.7240534343833496</v>
      </c>
      <c r="CB23" s="4">
        <v>0.7240534343833496</v>
      </c>
      <c r="CC23" s="5">
        <f>IF(BP23="direct",BW23*(BU23-BT23),CF23)</f>
        <v>0</v>
      </c>
      <c r="CD23" s="5">
        <f>IF(BP23="direct",CB23*BV23*C23/365,0)</f>
        <v>0.000004959270098516094</v>
      </c>
      <c r="CE23" s="5">
        <f>CC23-CD23</f>
        <v>-0.000004959270098516093</v>
      </c>
      <c r="CF23" s="4">
        <v>-0.000004959270098516093</v>
      </c>
      <c r="CG23" s="5">
        <f>CF23-CE23</f>
        <v>8.470329472543003e-22</v>
      </c>
      <c r="CH23" s="4">
        <v>0</v>
      </c>
      <c r="CI23" s="4">
        <v>0.7240484751132511</v>
      </c>
      <c r="CJ23" s="4">
        <v>2.001</v>
      </c>
      <c r="CK23" s="4">
        <v>2.001</v>
      </c>
      <c r="CL23" s="6"/>
      <c r="CM23" s="6"/>
      <c r="CN23" s="6"/>
      <c r="CO23" s="9"/>
      <c r="CP23" s="7">
        <f>IFERROR(CE23/F23,0)</f>
        <v>-0.00000462690409524526</v>
      </c>
      <c r="CQ23" t="inlineStr">
        <is>
          <t xml:space="preserve">Treasury collateral</t>
        </is>
      </c>
      <c r="CR23" t="inlineStr">
        <is>
          <t xml:space="preserve">treasury</t>
        </is>
      </c>
      <c r="CS23" t="inlineStr">
        <is>
          <t xml:space="preserve">lease</t>
        </is>
      </c>
      <c r="CT23" t="inlineStr">
        <is>
          <t xml:space="preserve">long</t>
        </is>
      </c>
      <c r="CU23"/>
      <c r="CV23" s="4">
        <v>100.47139050341534</v>
      </c>
      <c r="CW23" s="4">
        <v>100.48837429737165</v>
      </c>
      <c r="CX23" s="6"/>
      <c r="CY23" s="4">
        <v>0.0034614820197034616</v>
      </c>
      <c r="CZ23" s="5">
        <f>IF(CR23="direct",IFERROR(DF23/CW23,0),0)</f>
        <v>0</v>
      </c>
      <c r="DA23" s="5">
        <f>IF(CR23="direct",CY23-CZ23,IF(CR23="cash",DK23,CY23))</f>
        <v>0.0034614820197034616</v>
      </c>
      <c r="DB23" s="6">
        <v>0.3244720020941919</v>
      </c>
      <c r="DC23" s="4">
        <v>0.3477799117221773</v>
      </c>
      <c r="DD23" s="4">
        <v>0.3477799117221773</v>
      </c>
      <c r="DE23" s="5">
        <f>IF(CR23="direct",CY23*(CW23-CV23),DH23)</f>
        <v>0.000058789097406128454</v>
      </c>
      <c r="DF23" s="5">
        <f>IF(CR23="direct",DD23*CX23*C23/365,0)</f>
        <v>0</v>
      </c>
      <c r="DG23" s="5">
        <f>DE23-DF23</f>
        <v>0.00005878909740618724</v>
      </c>
      <c r="DH23" s="4">
        <v>0.00005878909740618724</v>
      </c>
      <c r="DI23" s="5">
        <f>DH23-DG23</f>
        <v>5.878408653944844e-17</v>
      </c>
      <c r="DJ23" s="4">
        <v>-4.4994390158148434e-17</v>
      </c>
      <c r="DK23" s="4">
        <v>0.34783870081958346</v>
      </c>
      <c r="DL23" s="4">
        <v>2.001</v>
      </c>
      <c r="DM23" s="4">
        <v>2.001</v>
      </c>
      <c r="DN23" s="6"/>
      <c r="DO23" s="6"/>
      <c r="DP23" s="6"/>
      <c r="DQ23" s="9">
        <v>56</v>
      </c>
      <c r="DR23" s="7">
        <f>IFERROR(DG23/F23,0)</f>
        <v>0.00005484910281975793</v>
      </c>
      <c r="DS23" t="inlineStr">
        <is>
          <t xml:space="preserve">SI69H</t>
        </is>
      </c>
      <c r="DT23" t="inlineStr">
        <is>
          <t xml:space="preserve">future</t>
        </is>
      </c>
      <c r="DU23" t="inlineStr">
        <is>
          <t xml:space="preserve">lease</t>
        </is>
      </c>
      <c r="DV23" t="inlineStr">
        <is>
          <t xml:space="preserve">long</t>
        </is>
      </c>
      <c r="DW23" t="inlineStr">
        <is>
          <t xml:space="preserve">regular</t>
        </is>
      </c>
      <c r="DX23" s="4">
        <v>2.005</v>
      </c>
      <c r="DY23" s="4">
        <v>2.001</v>
      </c>
      <c r="DZ23" s="6"/>
      <c r="EA23" s="4">
        <v>0.17345631507340514</v>
      </c>
      <c r="EB23" s="5">
        <f>IF(DT23="direct",IFERROR(EH23/DY23,0),0)</f>
        <v>0</v>
      </c>
      <c r="EC23" s="5">
        <f>IF(DT23="direct",EA23-EB23,IF(DT23="cash",EM23,EA23))</f>
        <v>0.17345631507340514</v>
      </c>
      <c r="ED23" s="6">
        <v>0.3244720020941919</v>
      </c>
      <c r="EE23" s="4">
        <v>0.3477799117221773</v>
      </c>
      <c r="EF23" s="4">
        <v>0</v>
      </c>
      <c r="EG23" s="5">
        <f>IF(DT23="direct",EA23*(DY23-DX23),EJ23)</f>
        <v>-0.0006938252602936238</v>
      </c>
      <c r="EH23" s="5">
        <f>IF(DT23="direct",EF23*DZ23*C23/365,0)</f>
        <v>0</v>
      </c>
      <c r="EI23" s="5">
        <f>EG23-EH23</f>
        <v>-0.0006938252602936238</v>
      </c>
      <c r="EJ23" s="4">
        <v>-0.0006938252602936238</v>
      </c>
      <c r="EK23" s="5">
        <f>EJ23-EI23</f>
        <v>0</v>
      </c>
      <c r="EL23" s="4">
        <v>0.0006938252602936238</v>
      </c>
      <c r="EM23" s="4">
        <v>0</v>
      </c>
      <c r="EN23" s="4">
        <v>2.001</v>
      </c>
      <c r="EO23" s="4">
        <v>2.001</v>
      </c>
      <c r="EP23" s="6">
        <v>0.001999000499750103</v>
      </c>
      <c r="EQ23" s="6">
        <v>0.0617</v>
      </c>
      <c r="ER23" s="6">
        <v>0.04867080031412879</v>
      </c>
      <c r="ES23" s="9">
        <v>56</v>
      </c>
      <c r="ET23" s="7">
        <f>IFERROR(EI23/F23,0)</f>
        <v>-0.0006473256899634782</v>
      </c>
      <c r="EU23" t="inlineStr">
        <is>
          <t xml:space="preserve">Lease cash / margin / financing</t>
        </is>
      </c>
      <c r="EV23" t="inlineStr">
        <is>
          <t xml:space="preserve">cash</t>
        </is>
      </c>
      <c r="EW23" t="inlineStr">
        <is>
          <t xml:space="preserve">lease</t>
        </is>
      </c>
      <c r="EX23" t="inlineStr">
        <is>
          <t xml:space="preserve">cash</t>
        </is>
      </c>
      <c r="EY23"/>
      <c r="EZ23" s="4">
        <v>1</v>
      </c>
      <c r="FA23" s="4">
        <v>1</v>
      </c>
      <c r="FB23" s="6"/>
      <c r="FC23" s="4">
        <v>0</v>
      </c>
      <c r="FD23" s="5">
        <f>IF(EV23="direct",IFERROR(FJ23/FA23,0),0)</f>
        <v>0</v>
      </c>
      <c r="FE23" s="5">
        <f>IF(EV23="direct",FC23-FD23,IF(EV23="cash",FO23,FC23))</f>
        <v>-0.0006938252602935788</v>
      </c>
      <c r="FF23" s="6"/>
      <c r="FG23" s="4">
        <v>0</v>
      </c>
      <c r="FH23" s="4">
        <v>0</v>
      </c>
      <c r="FI23" s="5">
        <f>IF(EV23="direct",FC23*(FA23-EZ23),FL23)</f>
        <v>0</v>
      </c>
      <c r="FJ23" s="5">
        <f>IF(EV23="direct",FH23*FB23*C23/365,0)</f>
        <v>0</v>
      </c>
      <c r="FK23" s="5">
        <f>FI23-FJ23</f>
        <v>0</v>
      </c>
      <c r="FL23" s="4">
        <v>0</v>
      </c>
      <c r="FM23" s="5">
        <f>FL23-FK23</f>
        <v>0</v>
      </c>
      <c r="FN23" s="4">
        <v>-0.0006938252602935788</v>
      </c>
      <c r="FO23" s="4">
        <v>-0.0006938252602935788</v>
      </c>
      <c r="FP23" s="4">
        <v>2.001</v>
      </c>
      <c r="FQ23" s="4">
        <v>2.001</v>
      </c>
      <c r="FR23" s="6"/>
      <c r="FS23" s="6"/>
      <c r="FT23" s="6"/>
      <c r="FU23" s="9"/>
      <c r="FV23" s="7">
        <f>IFERROR(FK23/F23,0)</f>
        <v>0</v>
      </c>
      <c r="FW23" t="inlineStr">
        <is>
          <t xml:space="preserve">Keep cash / margin / financing</t>
        </is>
      </c>
      <c r="FX23" t="inlineStr">
        <is>
          <t xml:space="preserve">cash</t>
        </is>
      </c>
      <c r="FY23" t="inlineStr">
        <is>
          <t xml:space="preserve">keep</t>
        </is>
      </c>
      <c r="FZ23" t="inlineStr">
        <is>
          <t xml:space="preserve">cash</t>
        </is>
      </c>
      <c r="GA23"/>
      <c r="GB23" s="4">
        <v>1</v>
      </c>
      <c r="GC23" s="4">
        <v>1</v>
      </c>
      <c r="GD23" s="6"/>
      <c r="GE23" s="4">
        <v>0</v>
      </c>
      <c r="GF23" s="5">
        <f>IF(FX23="direct",IFERROR(GL23/GC23,0),0)</f>
        <v>0</v>
      </c>
      <c r="GG23" s="5">
        <f>IF(FX23="direct",GE23-GF23,IF(FX23="cash",GQ23,GE23))</f>
        <v>0</v>
      </c>
      <c r="GH23" s="6"/>
      <c r="GI23" s="4">
        <v>0</v>
      </c>
      <c r="GJ23" s="4">
        <v>0</v>
      </c>
      <c r="GK23" s="5">
        <f>IF(FX23="direct",GE23*(GC23-GB23),GN23)</f>
        <v>0</v>
      </c>
      <c r="GL23" s="5">
        <f>IF(FX23="direct",GJ23*GD23*C23/365,0)</f>
        <v>0</v>
      </c>
      <c r="GM23" s="5">
        <f>GK23-GL23</f>
        <v>0</v>
      </c>
      <c r="GN23" s="4">
        <v>0</v>
      </c>
      <c r="GO23" s="5">
        <f>GN23-GM23</f>
        <v>0</v>
      </c>
      <c r="GP23" s="4">
        <v>0</v>
      </c>
      <c r="GQ23" s="4">
        <v>0</v>
      </c>
      <c r="GR23" s="4">
        <v>2.001</v>
      </c>
      <c r="GS23" s="4">
        <v>2.001</v>
      </c>
      <c r="GT23" s="6"/>
      <c r="GU23" s="6"/>
      <c r="GV23" s="6"/>
      <c r="GW23" s="9"/>
      <c r="GX23" s="7">
        <f>IFERROR(GM23/F23,0)</f>
        <v>0</v>
      </c>
      <c r="GY23"/>
      <c r="GZ23"/>
      <c r="HA23"/>
      <c r="HB23"/>
      <c r="HC23"/>
      <c r="HD23" s="4"/>
      <c r="HE23" s="4"/>
      <c r="HF23" s="6"/>
      <c r="HG23" s="4"/>
      <c r="HH23" s="5">
        <v>0</v>
      </c>
      <c r="HI23" s="5"/>
      <c r="HJ23" s="6"/>
      <c r="HK23" s="4"/>
      <c r="HL23" s="4"/>
      <c r="HM23" s="5">
        <v>0</v>
      </c>
      <c r="HN23" s="5">
        <v>0</v>
      </c>
      <c r="HO23" s="5"/>
      <c r="HP23" s="4"/>
      <c r="HQ23" s="5">
        <v>0</v>
      </c>
      <c r="HR23" s="4"/>
      <c r="HS23" s="4"/>
      <c r="HT23" s="4"/>
      <c r="HU23" s="4"/>
      <c r="HV23" s="6"/>
      <c r="HW23" s="6"/>
      <c r="HX23" s="6"/>
      <c r="HY23" s="9"/>
      <c r="HZ23"/>
      <c r="IA23"/>
      <c r="IB23"/>
      <c r="IC23"/>
      <c r="ID23"/>
      <c r="IE23"/>
      <c r="IF23" s="4"/>
      <c r="IG23" s="4"/>
      <c r="IH23" s="6"/>
      <c r="II23" s="4"/>
      <c r="IJ23" s="5">
        <v>0</v>
      </c>
      <c r="IK23" s="5"/>
      <c r="IL23" s="6"/>
      <c r="IM23" s="4"/>
      <c r="IN23" s="4"/>
      <c r="IO23" s="5">
        <v>0</v>
      </c>
      <c r="IP23" s="5">
        <v>0</v>
      </c>
      <c r="IQ23" s="5"/>
      <c r="IR23" s="4"/>
      <c r="IS23" s="5">
        <v>0</v>
      </c>
      <c r="IT23" s="4"/>
      <c r="IU23" s="4"/>
      <c r="IV23" s="4"/>
      <c r="IW23" s="4"/>
      <c r="IX23" s="6"/>
      <c r="IY23" s="6"/>
      <c r="IZ23" s="6"/>
      <c r="JA23" s="9"/>
      <c r="JB23"/>
      <c r="JC23"/>
      <c r="JD23"/>
      <c r="JE23"/>
      <c r="JF23"/>
      <c r="JG23"/>
      <c r="JH23" s="4"/>
      <c r="JI23" s="4"/>
      <c r="JJ23" s="6"/>
      <c r="JK23" s="4"/>
      <c r="JL23" s="5">
        <v>0</v>
      </c>
      <c r="JM23" s="5"/>
      <c r="JN23" s="6"/>
      <c r="JO23" s="4"/>
      <c r="JP23" s="4"/>
      <c r="JQ23" s="5">
        <v>0</v>
      </c>
      <c r="JR23" s="5">
        <v>0</v>
      </c>
      <c r="JS23" s="5"/>
      <c r="JT23" s="4"/>
      <c r="JU23" s="5">
        <v>0</v>
      </c>
      <c r="JV23" s="4"/>
      <c r="JW23" s="4"/>
      <c r="JX23" s="4"/>
      <c r="JY23" s="4"/>
      <c r="JZ23" s="6"/>
      <c r="KA23" s="6"/>
      <c r="KB23" s="6"/>
      <c r="KC23" s="9"/>
      <c r="KD23"/>
      <c r="KE23"/>
      <c r="KF23"/>
      <c r="KG23"/>
      <c r="KH23"/>
      <c r="KI23"/>
      <c r="KJ23" s="4"/>
      <c r="KK23" s="4"/>
      <c r="KL23" s="6"/>
      <c r="KM23" s="4"/>
      <c r="KN23" s="5">
        <v>0</v>
      </c>
      <c r="KO23" s="5"/>
      <c r="KP23" s="6"/>
      <c r="KQ23" s="4"/>
      <c r="KR23" s="4"/>
      <c r="KS23" s="5">
        <v>0</v>
      </c>
      <c r="KT23" s="5">
        <v>0</v>
      </c>
      <c r="KU23" s="5"/>
      <c r="KV23" s="4"/>
      <c r="KW23" s="5">
        <v>0</v>
      </c>
      <c r="KX23" s="4"/>
      <c r="KY23" s="4"/>
      <c r="KZ23" s="4"/>
      <c r="LA23" s="4"/>
      <c r="LB23" s="6"/>
      <c r="LC23" s="6"/>
      <c r="LD23" s="6"/>
      <c r="LE23" s="9"/>
      <c r="LF23"/>
      <c r="LG23"/>
      <c r="LH23"/>
      <c r="LI23"/>
      <c r="LJ23"/>
      <c r="LK23"/>
      <c r="LL23" s="4"/>
      <c r="LM23" s="4"/>
      <c r="LN23" s="6"/>
      <c r="LO23" s="4"/>
      <c r="LP23" s="5">
        <v>0</v>
      </c>
      <c r="LQ23" s="5"/>
      <c r="LR23" s="6"/>
      <c r="LS23" s="4"/>
      <c r="LT23" s="4"/>
      <c r="LU23" s="5">
        <v>0</v>
      </c>
      <c r="LV23" s="5">
        <v>0</v>
      </c>
      <c r="LW23" s="5"/>
      <c r="LX23" s="4"/>
      <c r="LY23" s="5">
        <v>0</v>
      </c>
      <c r="LZ23" s="4"/>
      <c r="MA23" s="4"/>
      <c r="MB23" s="4"/>
      <c r="MC23" s="4"/>
      <c r="MD23" s="6"/>
      <c r="ME23" s="6"/>
      <c r="MF23" s="6"/>
      <c r="MG23" s="9"/>
      <c r="MH23"/>
    </row>
    <row r="24">
      <c r="A24" s="8">
        <v>25234</v>
      </c>
      <c r="B24" s="8">
        <v>25237</v>
      </c>
      <c r="C24" s="9">
        <f>B24-A24</f>
        <v>3</v>
      </c>
      <c r="D24" s="8">
        <v>25234</v>
      </c>
      <c r="E24" t="inlineStr">
        <is>
          <t xml:space="preserve">positive</t>
        </is>
      </c>
      <c r="F24" s="4">
        <v>1.071193350672541</v>
      </c>
      <c r="G24" s="6">
        <v>-0.0053550074818298</v>
      </c>
      <c r="H24" s="7">
        <f>SUM(CP24,DR24,ET24,FV24,GX24,HZ24,JB24,KD24,LF24,MH24)</f>
        <v>-0.0053550074818298</v>
      </c>
      <c r="I24" s="7">
        <f>G24-H24</f>
        <v>0</v>
      </c>
      <c r="J24" s="5">
        <f>F24*(1+H24)</f>
        <v>1.0654571022652033</v>
      </c>
      <c r="K24" s="4">
        <v>1.0654571022652033</v>
      </c>
      <c r="L24" s="5">
        <f>K24-J24</f>
        <v>0</v>
      </c>
      <c r="M24" s="4">
        <v>2.001</v>
      </c>
      <c r="N24" s="4">
        <v>1.987</v>
      </c>
      <c r="O24" s="5">
        <f>M24/$M$3</f>
        <v>1.0219611848825332</v>
      </c>
      <c r="P24" s="5">
        <f>N24/$M$3</f>
        <v>1.0148110316649643</v>
      </c>
      <c r="Q24" s="7">
        <f>IFERROR(N24/M24-1,0)</f>
        <v>-0.006996501749125361</v>
      </c>
      <c r="R24" s="5">
        <f>SUM(IF(BQ24="lease",CB24,0),IF(CS24="lease",DD24,0),IF(DU24="lease",EF24,0),IF(EW24="lease",FH24,0),IF(FY24="lease",GJ24,0),IF(HA24="lease",HL24,0),IF(IC24="lease",IN24,0),IF(JE24="lease",JP24,0),IF(KG24="lease",KR24,0),IF(LI24="lease",LT24,0))</f>
        <v>1.071193350672541</v>
      </c>
      <c r="S24" s="5">
        <f>SUM(IF(BQ24="lease",CI24,0),IF(CS24="lease",DK24,0),IF(DU24="lease",EM24,0),IF(EW24="lease",FO24,0),IF(FY24="lease",GQ24,0),IF(HA24="lease",HS24,0),IF(IC24="lease",IU24,0),IF(JE24="lease",JW24,0),IF(KG24="lease",KY24,0),IF(LI24="lease",MA24,0))</f>
        <v>1.0654571022652033</v>
      </c>
      <c r="T24" s="5">
        <f>SUM(IF(BQ24="keep",CB24,0),IF(CS24="keep",DD24,0),IF(DU24="keep",EF24,0),IF(EW24="keep",FH24,0),IF(FY24="keep",GJ24,0),IF(HA24="keep",HL24,0),IF(IC24="keep",IN24,0),IF(JE24="keep",JP24,0),IF(KG24="keep",KR24,0),IF(LI24="keep",LT24,0))</f>
        <v>0</v>
      </c>
      <c r="U24" s="5">
        <f>SUM(IF(BQ24="keep",CI24,0),IF(CS24="keep",DK24,0),IF(DU24="keep",EM24,0),IF(EW24="keep",FO24,0),IF(FY24="keep",GQ24,0),IF(HA24="keep",HS24,0),IF(IC24="keep",IU24,0),IF(JE24="keep",JW24,0),IF(KG24="keep",KY24,0),IF(LI24="keep",MA24,0))</f>
        <v>0</v>
      </c>
      <c r="V24" s="5">
        <f>R24/O24</f>
        <v>1.0481742032068144</v>
      </c>
      <c r="W24" s="5">
        <f>S24/P24</f>
        <v>1.0499068979543371</v>
      </c>
      <c r="X24" s="5">
        <f>T24/O24</f>
        <v>0</v>
      </c>
      <c r="Y24" s="5">
        <f>U24/P24</f>
        <v>0</v>
      </c>
      <c r="Z24" s="5">
        <f>V24+X24</f>
        <v>1.0481742032068144</v>
      </c>
      <c r="AA24" s="7">
        <f>IFERROR(W24/V24-1,0)</f>
        <v>0.0016530599038038218</v>
      </c>
      <c r="AB24" s="7">
        <f>IFERROR((W24-V24)/Z24,0)</f>
        <v>0.0016530599038038077</v>
      </c>
      <c r="AC24" s="7">
        <f>IFERROR(Y24/X24-1,0)</f>
        <v>0</v>
      </c>
      <c r="AD24" s="7">
        <f>IFERROR((Y24-X24)/Z24,0)</f>
        <v>0</v>
      </c>
      <c r="AE24" s="7">
        <f>AB24+AD24</f>
        <v>0.0016530599038038077</v>
      </c>
      <c r="AF24" s="7">
        <f>(1+Q24)*(1+AE24)-1</f>
        <v>-0.005355007481829932</v>
      </c>
      <c r="AG24" s="7">
        <f>G24-AF24</f>
        <v>1.3183898417423734e-16</v>
      </c>
      <c r="AH24" s="5">
        <f>SUM(IF(BQ24="lease",CE24,0),IF(CS24="lease",DG24,0),IF(DU24="lease",EI24,0),IF(EW24="lease",FK24,0),IF(FY24="lease",GM24,0),IF(HA24="lease",HO24,0),IF(IC24="lease",IQ24,0),IF(JE24="lease",JS24,0),IF(KG24="lease",KU24,0),IF(LI24="lease",LW24,0))</f>
        <v>-0.0057362484073377904</v>
      </c>
      <c r="AI24" s="5">
        <f>SUM(IF(BQ24="keep",CE24,0),IF(CS24="keep",DG24,0),IF(DU24="keep",EI24,0),IF(EW24="keep",FK24,0),IF(FY24="keep",GM24,0),IF(HA24="keep",HO24,0),IF(IC24="keep",IQ24,0),IF(JE24="keep",JS24,0),IF(KG24="keep",KU24,0),IF(LI24="keep",LW24,0))</f>
        <v>0</v>
      </c>
      <c r="AJ24" s="5">
        <f>SUM(IF(BQ24="lease",CH24,0),IF(CS24="lease",DJ24,0),IF(DU24="lease",EL24,0),IF(EW24="lease",FN24,0),IF(FY24="lease",GP24,0),IF(HA24="lease",HR24,0),IF(IC24="lease",IT24,0),IF(JE24="lease",JV24,0),IF(KG24="lease",KX24,0),IF(LI24="lease",LZ24,0))</f>
        <v>0</v>
      </c>
      <c r="AK24" s="5">
        <f>SUM(IF(BQ24="keep",CH24,0),IF(CS24="keep",DJ24,0),IF(DU24="keep",EL24,0),IF(EW24="keep",FN24,0),IF(FY24="keep",GP24,0),IF(HA24="keep",HR24,0),IF(IC24="keep",IT24,0),IF(JE24="keep",JV24,0),IF(KG24="keep",KX24,0),IF(LI24="keep",LZ24,0))</f>
        <v>0</v>
      </c>
      <c r="AL24" s="5">
        <f>R24-S23</f>
        <v>0</v>
      </c>
      <c r="AM24" s="5">
        <f>T24-U23</f>
        <v>0</v>
      </c>
      <c r="AN24" s="5">
        <f>AN23</f>
        <v>1</v>
      </c>
      <c r="AO24" s="5">
        <f>AO23+AH24</f>
        <v>0.06545710226520358</v>
      </c>
      <c r="AP24" s="5">
        <f>AP23+AL24</f>
        <v>-4.440892098500626e-16</v>
      </c>
      <c r="AQ24" s="5">
        <f>AN24+AO24+AP24</f>
        <v>1.065457102265203</v>
      </c>
      <c r="AR24" s="5">
        <f>S24-AQ24</f>
        <v>2.220446049250313e-16</v>
      </c>
      <c r="AS24" s="5">
        <f>AS23</f>
        <v>0</v>
      </c>
      <c r="AT24" s="5">
        <f>AT23+AI24</f>
        <v>0</v>
      </c>
      <c r="AU24" s="5">
        <f>AU23+AM24</f>
        <v>0</v>
      </c>
      <c r="AV24" s="5">
        <f>AS24+AT24+AU24</f>
        <v>0</v>
      </c>
      <c r="AW24" s="5">
        <f>U24-AV24</f>
        <v>0</v>
      </c>
      <c r="AX24" s="4">
        <v>1.071193350672541</v>
      </c>
      <c r="AY24" s="4">
        <v>1.0654571022652033</v>
      </c>
      <c r="AZ24" s="5">
        <f>S24-AY24</f>
        <v>0</v>
      </c>
      <c r="BA24" s="4">
        <v>0</v>
      </c>
      <c r="BB24" s="4">
        <v>0</v>
      </c>
      <c r="BC24" s="5">
        <f>U24-BB24</f>
        <v>0</v>
      </c>
      <c r="BD24" s="7">
        <f>SUM(IF(BP24="direct",CC24/F24,0),IF(CR24="direct",DE24/F24,0),IF(DT24="direct",EG24/F24,0),IF(EV24="direct",FI24/F24,0),IF(FX24="direct",GK24/F24,0),IF(GZ24="direct",HM24/F24,0),IF(IB24="direct",IO24/F24,0),IF(JD24="direct",JQ24/F24,0),IF(KF24="direct",KS24/F24,0),IF(LH24="direct",LU24/F24,0))</f>
        <v>-0.004109278693986278</v>
      </c>
      <c r="BE24" s="7">
        <f>-SUM(IF(BP24="direct",CD24/F24,0),IF(CR24="direct",DF24/F24,0),IF(DT24="direct",EH24/F24,0),IF(EV24="direct",FJ24/F24,0),IF(FX24="direct",GL24/F24,0),IF(GZ24="direct",HN24/F24,0),IF(IB24="direct",IP24/F24,0),IF(JD24="direct",JR24/F24,0),IF(KF24="direct",KT24/F24,0),IF(LH24="direct",LV24/F24,0))</f>
        <v>-0.00001206849315068493</v>
      </c>
      <c r="BF24" s="7">
        <f>BD24+BE24</f>
        <v>-0.004121347187136963</v>
      </c>
      <c r="BG24" s="7">
        <f>BF24-SUM(IF(BP24="direct",CP24,0),IF(CR24="direct",DR24,0),IF(DT24="direct",ET24,0),IF(EV24="direct",FV24,0),IF(FX24="direct",GX24,0),IF(GZ24="direct",HZ24,0),IF(IB24="direct",JB24,0),IF(JD24="direct",KD24,0),IF(KF24="direct",LF24,0),IF(LH24="direct",MH24,0))</f>
        <v>1.6479873021779667e-17</v>
      </c>
      <c r="BH24" s="7">
        <f>SUM(IF(BP24="treasury",CP24,0),IF(CR24="treasury",DR24,0),IF(DT24="treasury",ET24,0),IF(EV24="treasury",FV24,0),IF(FX24="treasury",GX24,0),IF(GZ24="treasury",HZ24,0),IF(IB24="treasury",JB24,0),IF(JD24="treasury",KD24,0),IF(KF24="treasury",LF24,0),IF(LH24="treasury",MH24,0))</f>
        <v>0.00020995123287671232</v>
      </c>
      <c r="BI24" s="7">
        <f>SUM(IF(BP24="future",CP24,0),IF(CR24="future",DR24,0),IF(DT24="future",ET24,0),IF(EV24="future",FV24,0),IF(FX24="future",GX24,0),IF(GZ24="future",HZ24,0),IF(IB24="future",JB24,0),IF(JD24="future",KD24,0),IF(KF24="future",LF24,0),IF(LH24="future",MH24,0))</f>
        <v>-0.001443611527569533</v>
      </c>
      <c r="BJ24" s="7">
        <f>SUM(IF(BP24="cash",CP24,0),IF(CR24="cash",DR24,0),IF(DT24="cash",ET24,0),IF(EV24="cash",FV24,0),IF(FX24="cash",GX24,0),IF(GZ24="cash",HZ24,0),IF(IB24="cash",JB24,0),IF(JD24="cash",KD24,0),IF(KF24="cash",LF24,0),IF(LH24="cash",MH24,0))</f>
        <v>0</v>
      </c>
      <c r="BK24" s="7">
        <f>SUM(BF24,BH24,BI24,BJ24)</f>
        <v>-0.0053550074818298</v>
      </c>
      <c r="BL24" s="7">
        <f>G24-BK24</f>
        <v>0</v>
      </c>
      <c r="BM24" s="5">
        <f>MAX(ABS(CG24),ABS(DI24),ABS(EK24),ABS(FM24),ABS(GO24),ABS(HQ24),ABS(IS24),ABS(JU24),ABS(KW24),ABS(LY24))</f>
        <v>4.8843307870471975e-17</v>
      </c>
      <c r="BN24" s="9">
        <f>COUNTA(BO24,CQ24,DS24,EU24,FW24,GY24,IA24,JC24,KE24,LG24)</f>
        <v>5</v>
      </c>
      <c r="BO24" t="inlineStr">
        <is>
          <t xml:space="preserve">Direct commodity holding</t>
        </is>
      </c>
      <c r="BP24" t="inlineStr">
        <is>
          <t xml:space="preserve">direct</t>
        </is>
      </c>
      <c r="BQ24" t="inlineStr">
        <is>
          <t xml:space="preserve">lease</t>
        </is>
      </c>
      <c r="BR24" t="inlineStr">
        <is>
          <t xml:space="preserve">long</t>
        </is>
      </c>
      <c r="BS24"/>
      <c r="BT24" s="4">
        <v>2.001</v>
      </c>
      <c r="BU24" s="4">
        <v>1.987</v>
      </c>
      <c r="BV24" s="6">
        <v>0.0025</v>
      </c>
      <c r="BW24" s="4">
        <v>0.3144165723613222</v>
      </c>
      <c r="BX24" s="5">
        <f>IF(BP24="direct",IFERROR(CD24/BU24,0),0)</f>
        <v>0.000006506134683266634</v>
      </c>
      <c r="BY24" s="5">
        <f>IF(BP24="direct",BW24-BX24,IF(BP24="cash",CI24,BW24))</f>
        <v>0.3144100662266389</v>
      </c>
      <c r="BZ24" s="6">
        <v>0.5873333333333333</v>
      </c>
      <c r="CA24" s="4">
        <v>0.6291475612950057</v>
      </c>
      <c r="CB24" s="4">
        <v>0.6291475612950057</v>
      </c>
      <c r="CC24" s="5">
        <f>IF(BP24="direct",BW24*(BU24-BT24),CF24)</f>
        <v>-0.004401832013058445</v>
      </c>
      <c r="CD24" s="5">
        <f>IF(BP24="direct",CB24*BV24*C24/365,0)</f>
        <v>0.000012927689615650803</v>
      </c>
      <c r="CE24" s="5">
        <f>CC24-CD24</f>
        <v>-0.004414759702674113</v>
      </c>
      <c r="CF24" s="4">
        <v>-0.004414759702674113</v>
      </c>
      <c r="CG24" s="5">
        <f>CF24-CE24</f>
        <v>-1.7836819803281057e-17</v>
      </c>
      <c r="CH24" s="4">
        <v>0</v>
      </c>
      <c r="CI24" s="4">
        <v>0.6247328015923316</v>
      </c>
      <c r="CJ24" s="4">
        <v>2.001</v>
      </c>
      <c r="CK24" s="4">
        <v>1.987</v>
      </c>
      <c r="CL24" s="6"/>
      <c r="CM24" s="6"/>
      <c r="CN24" s="6"/>
      <c r="CO24" s="9"/>
      <c r="CP24" s="7">
        <f>IFERROR(CE24/F24,0)</f>
        <v>-0.0041213471871369796</v>
      </c>
      <c r="CQ24" t="inlineStr">
        <is>
          <t xml:space="preserve">Treasury collateral</t>
        </is>
      </c>
      <c r="CR24" t="inlineStr">
        <is>
          <t xml:space="preserve">treasury</t>
        </is>
      </c>
      <c r="CS24" t="inlineStr">
        <is>
          <t xml:space="preserve">lease</t>
        </is>
      </c>
      <c r="CT24" t="inlineStr">
        <is>
          <t xml:space="preserve">long</t>
        </is>
      </c>
      <c r="CU24"/>
      <c r="CV24" s="4">
        <v>100.48837429737165</v>
      </c>
      <c r="CW24" s="4">
        <v>100.53949947848679</v>
      </c>
      <c r="CX24" s="6"/>
      <c r="CY24" s="4">
        <v>0.004398974433295189</v>
      </c>
      <c r="CZ24" s="5">
        <f>IF(CR24="direct",IFERROR(DF24/CW24,0),0)</f>
        <v>0</v>
      </c>
      <c r="DA24" s="5">
        <f>IF(CR24="direct",CY24-CZ24,IF(CR24="cash",DK24,CY24))</f>
        <v>0.004398974433295189</v>
      </c>
      <c r="DB24" s="6">
        <v>0.4126666666666667</v>
      </c>
      <c r="DC24" s="4">
        <v>0.4420457893775353</v>
      </c>
      <c r="DD24" s="4">
        <v>0.4420457893775353</v>
      </c>
      <c r="DE24" s="5">
        <f>IF(CR24="direct",CY24*(CW24-CV24),DH24)</f>
        <v>0.0002248983646230853</v>
      </c>
      <c r="DF24" s="5">
        <f>IF(CR24="direct",DD24*CX24*C24/365,0)</f>
        <v>0</v>
      </c>
      <c r="DG24" s="5">
        <f>DE24-DF24</f>
        <v>0.00022489836462303645</v>
      </c>
      <c r="DH24" s="4">
        <v>0.00022489836462303645</v>
      </c>
      <c r="DI24" s="5">
        <f>DH24-DG24</f>
        <v>-4.8843307870471975e-17</v>
      </c>
      <c r="DJ24" s="4">
        <v>-9.0801931945661e-18</v>
      </c>
      <c r="DK24" s="4">
        <v>0.44227068774215833</v>
      </c>
      <c r="DL24" s="4">
        <v>2.001</v>
      </c>
      <c r="DM24" s="4">
        <v>1.987</v>
      </c>
      <c r="DN24" s="6"/>
      <c r="DO24" s="6"/>
      <c r="DP24" s="6"/>
      <c r="DQ24" s="9">
        <v>55</v>
      </c>
      <c r="DR24" s="7">
        <f>IFERROR(DG24/F24,0)</f>
        <v>0.00020995123287671232</v>
      </c>
      <c r="DS24" t="inlineStr">
        <is>
          <t xml:space="preserve">SI69H</t>
        </is>
      </c>
      <c r="DT24" t="inlineStr">
        <is>
          <t xml:space="preserve">future</t>
        </is>
      </c>
      <c r="DU24" t="inlineStr">
        <is>
          <t xml:space="preserve">lease</t>
        </is>
      </c>
      <c r="DV24" t="inlineStr">
        <is>
          <t xml:space="preserve">long</t>
        </is>
      </c>
      <c r="DW24" t="inlineStr">
        <is>
          <t xml:space="preserve">regular</t>
        </is>
      </c>
      <c r="DX24" s="4">
        <v>2.001</v>
      </c>
      <c r="DY24" s="4">
        <v>1.994</v>
      </c>
      <c r="DZ24" s="6"/>
      <c r="EA24" s="4">
        <v>0.2209124384695329</v>
      </c>
      <c r="EB24" s="5">
        <f>IF(DT24="direct",IFERROR(EH24/DY24,0),0)</f>
        <v>0</v>
      </c>
      <c r="EC24" s="5">
        <f>IF(DT24="direct",EA24-EB24,IF(DT24="cash",EM24,EA24))</f>
        <v>0.2209124384695329</v>
      </c>
      <c r="ED24" s="6">
        <v>0.4126666666666667</v>
      </c>
      <c r="EE24" s="4">
        <v>0.4420457893775353</v>
      </c>
      <c r="EF24" s="4">
        <v>0</v>
      </c>
      <c r="EG24" s="5">
        <f>IF(DT24="direct",EA24*(DY24-DX24),EJ24)</f>
        <v>-0.0015463870692867135</v>
      </c>
      <c r="EH24" s="5">
        <f>IF(DT24="direct",EF24*DZ24*C24/365,0)</f>
        <v>0</v>
      </c>
      <c r="EI24" s="5">
        <f>EG24-EH24</f>
        <v>-0.0015463870692867135</v>
      </c>
      <c r="EJ24" s="4">
        <v>-0.0015463870692867135</v>
      </c>
      <c r="EK24" s="5">
        <f>EJ24-EI24</f>
        <v>0</v>
      </c>
      <c r="EL24" s="4">
        <v>0.0015463870692867135</v>
      </c>
      <c r="EM24" s="4">
        <v>0</v>
      </c>
      <c r="EN24" s="4">
        <v>2.001</v>
      </c>
      <c r="EO24" s="4">
        <v>1.987</v>
      </c>
      <c r="EP24" s="6">
        <v>0</v>
      </c>
      <c r="EQ24" s="6">
        <v>0.0619</v>
      </c>
      <c r="ER24" s="6">
        <v>0.061900000000000004</v>
      </c>
      <c r="ES24" s="9">
        <v>55</v>
      </c>
      <c r="ET24" s="7">
        <f>IFERROR(EI24/F24,0)</f>
        <v>-0.001443611527569533</v>
      </c>
      <c r="EU24" t="inlineStr">
        <is>
          <t xml:space="preserve">Lease cash / margin / financing</t>
        </is>
      </c>
      <c r="EV24" t="inlineStr">
        <is>
          <t xml:space="preserve">cash</t>
        </is>
      </c>
      <c r="EW24" t="inlineStr">
        <is>
          <t xml:space="preserve">lease</t>
        </is>
      </c>
      <c r="EX24" t="inlineStr">
        <is>
          <t xml:space="preserve">cash</t>
        </is>
      </c>
      <c r="EY24"/>
      <c r="EZ24" s="4">
        <v>1</v>
      </c>
      <c r="FA24" s="4">
        <v>1</v>
      </c>
      <c r="FB24" s="6"/>
      <c r="FC24" s="4">
        <v>0</v>
      </c>
      <c r="FD24" s="5">
        <f>IF(EV24="direct",IFERROR(FJ24/FA24,0),0)</f>
        <v>0</v>
      </c>
      <c r="FE24" s="5">
        <f>IF(EV24="direct",FC24-FD24,IF(EV24="cash",FO24,FC24))</f>
        <v>-0.0015463870692867044</v>
      </c>
      <c r="FF24" s="6"/>
      <c r="FG24" s="4">
        <v>0</v>
      </c>
      <c r="FH24" s="4">
        <v>0</v>
      </c>
      <c r="FI24" s="5">
        <f>IF(EV24="direct",FC24*(FA24-EZ24),FL24)</f>
        <v>0</v>
      </c>
      <c r="FJ24" s="5">
        <f>IF(EV24="direct",FH24*FB24*C24/365,0)</f>
        <v>0</v>
      </c>
      <c r="FK24" s="5">
        <f>FI24-FJ24</f>
        <v>0</v>
      </c>
      <c r="FL24" s="4">
        <v>0</v>
      </c>
      <c r="FM24" s="5">
        <f>FL24-FK24</f>
        <v>0</v>
      </c>
      <c r="FN24" s="4">
        <v>-0.0015463870692867044</v>
      </c>
      <c r="FO24" s="4">
        <v>-0.0015463870692867044</v>
      </c>
      <c r="FP24" s="4">
        <v>2.001</v>
      </c>
      <c r="FQ24" s="4">
        <v>1.987</v>
      </c>
      <c r="FR24" s="6"/>
      <c r="FS24" s="6"/>
      <c r="FT24" s="6"/>
      <c r="FU24" s="9"/>
      <c r="FV24" s="7">
        <f>IFERROR(FK24/F24,0)</f>
        <v>0</v>
      </c>
      <c r="FW24" t="inlineStr">
        <is>
          <t xml:space="preserve">Keep cash / margin / financing</t>
        </is>
      </c>
      <c r="FX24" t="inlineStr">
        <is>
          <t xml:space="preserve">cash</t>
        </is>
      </c>
      <c r="FY24" t="inlineStr">
        <is>
          <t xml:space="preserve">keep</t>
        </is>
      </c>
      <c r="FZ24" t="inlineStr">
        <is>
          <t xml:space="preserve">cash</t>
        </is>
      </c>
      <c r="GA24"/>
      <c r="GB24" s="4">
        <v>1</v>
      </c>
      <c r="GC24" s="4">
        <v>1</v>
      </c>
      <c r="GD24" s="6"/>
      <c r="GE24" s="4">
        <v>0</v>
      </c>
      <c r="GF24" s="5">
        <f>IF(FX24="direct",IFERROR(GL24/GC24,0),0)</f>
        <v>0</v>
      </c>
      <c r="GG24" s="5">
        <f>IF(FX24="direct",GE24-GF24,IF(FX24="cash",GQ24,GE24))</f>
        <v>0</v>
      </c>
      <c r="GH24" s="6"/>
      <c r="GI24" s="4">
        <v>0</v>
      </c>
      <c r="GJ24" s="4">
        <v>0</v>
      </c>
      <c r="GK24" s="5">
        <f>IF(FX24="direct",GE24*(GC24-GB24),GN24)</f>
        <v>0</v>
      </c>
      <c r="GL24" s="5">
        <f>IF(FX24="direct",GJ24*GD24*C24/365,0)</f>
        <v>0</v>
      </c>
      <c r="GM24" s="5">
        <f>GK24-GL24</f>
        <v>0</v>
      </c>
      <c r="GN24" s="4">
        <v>0</v>
      </c>
      <c r="GO24" s="5">
        <f>GN24-GM24</f>
        <v>0</v>
      </c>
      <c r="GP24" s="4">
        <v>0</v>
      </c>
      <c r="GQ24" s="4">
        <v>0</v>
      </c>
      <c r="GR24" s="4">
        <v>2.001</v>
      </c>
      <c r="GS24" s="4">
        <v>1.987</v>
      </c>
      <c r="GT24" s="6"/>
      <c r="GU24" s="6"/>
      <c r="GV24" s="6"/>
      <c r="GW24" s="9"/>
      <c r="GX24" s="7">
        <f>IFERROR(GM24/F24,0)</f>
        <v>0</v>
      </c>
      <c r="GY24"/>
      <c r="GZ24"/>
      <c r="HA24"/>
      <c r="HB24"/>
      <c r="HC24"/>
      <c r="HD24" s="4"/>
      <c r="HE24" s="4"/>
      <c r="HF24" s="6"/>
      <c r="HG24" s="4"/>
      <c r="HH24" s="5">
        <v>0</v>
      </c>
      <c r="HI24" s="5"/>
      <c r="HJ24" s="6"/>
      <c r="HK24" s="4"/>
      <c r="HL24" s="4"/>
      <c r="HM24" s="5">
        <v>0</v>
      </c>
      <c r="HN24" s="5">
        <v>0</v>
      </c>
      <c r="HO24" s="5"/>
      <c r="HP24" s="4"/>
      <c r="HQ24" s="5">
        <v>0</v>
      </c>
      <c r="HR24" s="4"/>
      <c r="HS24" s="4"/>
      <c r="HT24" s="4"/>
      <c r="HU24" s="4"/>
      <c r="HV24" s="6"/>
      <c r="HW24" s="6"/>
      <c r="HX24" s="6"/>
      <c r="HY24" s="9"/>
      <c r="HZ24"/>
      <c r="IA24"/>
      <c r="IB24"/>
      <c r="IC24"/>
      <c r="ID24"/>
      <c r="IE24"/>
      <c r="IF24" s="4"/>
      <c r="IG24" s="4"/>
      <c r="IH24" s="6"/>
      <c r="II24" s="4"/>
      <c r="IJ24" s="5">
        <v>0</v>
      </c>
      <c r="IK24" s="5"/>
      <c r="IL24" s="6"/>
      <c r="IM24" s="4"/>
      <c r="IN24" s="4"/>
      <c r="IO24" s="5">
        <v>0</v>
      </c>
      <c r="IP24" s="5">
        <v>0</v>
      </c>
      <c r="IQ24" s="5"/>
      <c r="IR24" s="4"/>
      <c r="IS24" s="5">
        <v>0</v>
      </c>
      <c r="IT24" s="4"/>
      <c r="IU24" s="4"/>
      <c r="IV24" s="4"/>
      <c r="IW24" s="4"/>
      <c r="IX24" s="6"/>
      <c r="IY24" s="6"/>
      <c r="IZ24" s="6"/>
      <c r="JA24" s="9"/>
      <c r="JB24"/>
      <c r="JC24"/>
      <c r="JD24"/>
      <c r="JE24"/>
      <c r="JF24"/>
      <c r="JG24"/>
      <c r="JH24" s="4"/>
      <c r="JI24" s="4"/>
      <c r="JJ24" s="6"/>
      <c r="JK24" s="4"/>
      <c r="JL24" s="5">
        <v>0</v>
      </c>
      <c r="JM24" s="5"/>
      <c r="JN24" s="6"/>
      <c r="JO24" s="4"/>
      <c r="JP24" s="4"/>
      <c r="JQ24" s="5">
        <v>0</v>
      </c>
      <c r="JR24" s="5">
        <v>0</v>
      </c>
      <c r="JS24" s="5"/>
      <c r="JT24" s="4"/>
      <c r="JU24" s="5">
        <v>0</v>
      </c>
      <c r="JV24" s="4"/>
      <c r="JW24" s="4"/>
      <c r="JX24" s="4"/>
      <c r="JY24" s="4"/>
      <c r="JZ24" s="6"/>
      <c r="KA24" s="6"/>
      <c r="KB24" s="6"/>
      <c r="KC24" s="9"/>
      <c r="KD24"/>
      <c r="KE24"/>
      <c r="KF24"/>
      <c r="KG24"/>
      <c r="KH24"/>
      <c r="KI24"/>
      <c r="KJ24" s="4"/>
      <c r="KK24" s="4"/>
      <c r="KL24" s="6"/>
      <c r="KM24" s="4"/>
      <c r="KN24" s="5">
        <v>0</v>
      </c>
      <c r="KO24" s="5"/>
      <c r="KP24" s="6"/>
      <c r="KQ24" s="4"/>
      <c r="KR24" s="4"/>
      <c r="KS24" s="5">
        <v>0</v>
      </c>
      <c r="KT24" s="5">
        <v>0</v>
      </c>
      <c r="KU24" s="5"/>
      <c r="KV24" s="4"/>
      <c r="KW24" s="5">
        <v>0</v>
      </c>
      <c r="KX24" s="4"/>
      <c r="KY24" s="4"/>
      <c r="KZ24" s="4"/>
      <c r="LA24" s="4"/>
      <c r="LB24" s="6"/>
      <c r="LC24" s="6"/>
      <c r="LD24" s="6"/>
      <c r="LE24" s="9"/>
      <c r="LF24"/>
      <c r="LG24"/>
      <c r="LH24"/>
      <c r="LI24"/>
      <c r="LJ24"/>
      <c r="LK24"/>
      <c r="LL24" s="4"/>
      <c r="LM24" s="4"/>
      <c r="LN24" s="6"/>
      <c r="LO24" s="4"/>
      <c r="LP24" s="5">
        <v>0</v>
      </c>
      <c r="LQ24" s="5"/>
      <c r="LR24" s="6"/>
      <c r="LS24" s="4"/>
      <c r="LT24" s="4"/>
      <c r="LU24" s="5">
        <v>0</v>
      </c>
      <c r="LV24" s="5">
        <v>0</v>
      </c>
      <c r="LW24" s="5"/>
      <c r="LX24" s="4"/>
      <c r="LY24" s="5">
        <v>0</v>
      </c>
      <c r="LZ24" s="4"/>
      <c r="MA24" s="4"/>
      <c r="MB24" s="4"/>
      <c r="MC24" s="4"/>
      <c r="MD24" s="6"/>
      <c r="ME24" s="6"/>
      <c r="MF24" s="6"/>
      <c r="MG24" s="9"/>
      <c r="MH24"/>
    </row>
    <row r="25">
      <c r="A25" s="8">
        <v>25237</v>
      </c>
      <c r="B25" s="8">
        <v>25238</v>
      </c>
      <c r="C25" s="9">
        <f>B25-A25</f>
        <v>1</v>
      </c>
      <c r="D25" s="8">
        <v>25237</v>
      </c>
      <c r="E25" t="inlineStr">
        <is>
          <t xml:space="preserve">positive</t>
        </is>
      </c>
      <c r="F25" s="4">
        <v>1.0654571022652033</v>
      </c>
      <c r="G25" s="6">
        <v>0.00018401759921005492</v>
      </c>
      <c r="H25" s="7">
        <f>SUM(CP25,DR25,ET25,FV25,GX25,HZ25,JB25,KD25,LF25,MH25)</f>
        <v>0.00018401759921005508</v>
      </c>
      <c r="I25" s="7">
        <f>G25-H25</f>
        <v>-1.6263032587282567e-19</v>
      </c>
      <c r="J25" s="5">
        <f>F25*(1+H25)</f>
        <v>1.0656531651232235</v>
      </c>
      <c r="K25" s="4">
        <v>1.0656531651232235</v>
      </c>
      <c r="L25" s="5">
        <f>K25-J25</f>
        <v>0</v>
      </c>
      <c r="M25" s="4">
        <v>1.987</v>
      </c>
      <c r="N25" s="4">
        <v>1.991</v>
      </c>
      <c r="O25" s="5">
        <f>M25/$M$3</f>
        <v>1.0148110316649643</v>
      </c>
      <c r="P25" s="5">
        <f>N25/$M$3</f>
        <v>1.0168539325842698</v>
      </c>
      <c r="Q25" s="7">
        <f>IFERROR(N25/M25-1,0)</f>
        <v>0.0020130850528434774</v>
      </c>
      <c r="R25" s="5">
        <f>SUM(IF(BQ25="lease",CB25,0),IF(CS25="lease",DD25,0),IF(DU25="lease",EF25,0),IF(EW25="lease",FH25,0),IF(FY25="lease",GJ25,0),IF(HA25="lease",HL25,0),IF(IC25="lease",IN25,0),IF(JE25="lease",JP25,0),IF(KG25="lease",KR25,0),IF(LI25="lease",LT25,0))</f>
        <v>1.0654571022652033</v>
      </c>
      <c r="S25" s="5">
        <f>SUM(IF(BQ25="lease",CI25,0),IF(CS25="lease",DK25,0),IF(DU25="lease",EM25,0),IF(EW25="lease",FO25,0),IF(FY25="lease",GQ25,0),IF(HA25="lease",HS25,0),IF(IC25="lease",IU25,0),IF(JE25="lease",JW25,0),IF(KG25="lease",KY25,0),IF(LI25="lease",MA25,0))</f>
        <v>1.0656531651232235</v>
      </c>
      <c r="T25" s="5">
        <f>SUM(IF(BQ25="keep",CB25,0),IF(CS25="keep",DD25,0),IF(DU25="keep",EF25,0),IF(EW25="keep",FH25,0),IF(FY25="keep",GJ25,0),IF(HA25="keep",HL25,0),IF(IC25="keep",IN25,0),IF(JE25="keep",JP25,0),IF(KG25="keep",KR25,0),IF(LI25="keep",LT25,0))</f>
        <v>0</v>
      </c>
      <c r="U25" s="5">
        <f>SUM(IF(BQ25="keep",CI25,0),IF(CS25="keep",DK25,0),IF(DU25="keep",EM25,0),IF(EW25="keep",FO25,0),IF(FY25="keep",GQ25,0),IF(HA25="keep",HS25,0),IF(IC25="keep",IU25,0),IF(JE25="keep",JW25,0),IF(KG25="keep",KY25,0),IF(LI25="keep",MA25,0))</f>
        <v>0</v>
      </c>
      <c r="V25" s="5">
        <f>R25/O25</f>
        <v>1.0499068979543371</v>
      </c>
      <c r="W25" s="5">
        <f>S25/P25</f>
        <v>1.047990405480297</v>
      </c>
      <c r="X25" s="5">
        <f>T25/O25</f>
        <v>0</v>
      </c>
      <c r="Y25" s="5">
        <f>U25/P25</f>
        <v>0</v>
      </c>
      <c r="Z25" s="5">
        <f>V25+X25</f>
        <v>1.0499068979543371</v>
      </c>
      <c r="AA25" s="7">
        <f>IFERROR(W25/V25-1,0)</f>
        <v>-0.0018253927827068805</v>
      </c>
      <c r="AB25" s="7">
        <f>IFERROR((W25-V25)/Z25,0)</f>
        <v>-0.0018253927827068853</v>
      </c>
      <c r="AC25" s="7">
        <f>IFERROR(Y25/X25-1,0)</f>
        <v>0</v>
      </c>
      <c r="AD25" s="7">
        <f>IFERROR((Y25-X25)/Z25,0)</f>
        <v>0</v>
      </c>
      <c r="AE25" s="7">
        <f>AB25+AD25</f>
        <v>-0.0018253927827068853</v>
      </c>
      <c r="AF25" s="7">
        <f>(1+Q25)*(1+AE25)-1</f>
        <v>0.00018401759921005123</v>
      </c>
      <c r="AG25" s="7">
        <f>G25-AF25</f>
        <v>3.686287386450715e-18</v>
      </c>
      <c r="AH25" s="5">
        <f>SUM(IF(BQ25="lease",CE25,0),IF(CS25="lease",DG25,0),IF(DU25="lease",EI25,0),IF(EW25="lease",FK25,0),IF(FY25="lease",GM25,0),IF(HA25="lease",HO25,0),IF(IC25="lease",IQ25,0),IF(JE25="lease",JS25,0),IF(KG25="lease",KU25,0),IF(LI25="lease",LW25,0))</f>
        <v>0.00019606285802014484</v>
      </c>
      <c r="AI25" s="5">
        <f>SUM(IF(BQ25="keep",CE25,0),IF(CS25="keep",DG25,0),IF(DU25="keep",EI25,0),IF(EW25="keep",FK25,0),IF(FY25="keep",GM25,0),IF(HA25="keep",HO25,0),IF(IC25="keep",IQ25,0),IF(JE25="keep",JS25,0),IF(KG25="keep",KU25,0),IF(LI25="keep",LW25,0))</f>
        <v>0</v>
      </c>
      <c r="AJ25" s="5">
        <f>SUM(IF(BQ25="lease",CH25,0),IF(CS25="lease",DJ25,0),IF(DU25="lease",EL25,0),IF(EW25="lease",FN25,0),IF(FY25="lease",GP25,0),IF(HA25="lease",HR25,0),IF(IC25="lease",IT25,0),IF(JE25="lease",JV25,0),IF(KG25="lease",KX25,0),IF(LI25="lease",LZ25,0))</f>
        <v>0</v>
      </c>
      <c r="AK25" s="5">
        <f>SUM(IF(BQ25="keep",CH25,0),IF(CS25="keep",DJ25,0),IF(DU25="keep",EL25,0),IF(EW25="keep",FN25,0),IF(FY25="keep",GP25,0),IF(HA25="keep",HR25,0),IF(IC25="keep",IT25,0),IF(JE25="keep",JV25,0),IF(KG25="keep",KX25,0),IF(LI25="keep",LZ25,0))</f>
        <v>0</v>
      </c>
      <c r="AL25" s="5">
        <f>R25-S24</f>
        <v>0</v>
      </c>
      <c r="AM25" s="5">
        <f>T25-U24</f>
        <v>0</v>
      </c>
      <c r="AN25" s="5">
        <f>AN24</f>
        <v>1</v>
      </c>
      <c r="AO25" s="5">
        <f>AO24+AH25</f>
        <v>0.06565316512322372</v>
      </c>
      <c r="AP25" s="5">
        <f>AP24+AL25</f>
        <v>-4.440892098500626e-16</v>
      </c>
      <c r="AQ25" s="5">
        <f>AN25+AO25+AP25</f>
        <v>1.0656531651232233</v>
      </c>
      <c r="AR25" s="5">
        <f>S25-AQ25</f>
        <v>2.220446049250313e-16</v>
      </c>
      <c r="AS25" s="5">
        <f>AS24</f>
        <v>0</v>
      </c>
      <c r="AT25" s="5">
        <f>AT24+AI25</f>
        <v>0</v>
      </c>
      <c r="AU25" s="5">
        <f>AU24+AM25</f>
        <v>0</v>
      </c>
      <c r="AV25" s="5">
        <f>AS25+AT25+AU25</f>
        <v>0</v>
      </c>
      <c r="AW25" s="5">
        <f>U25-AV25</f>
        <v>0</v>
      </c>
      <c r="AX25" s="4">
        <v>1.0654571022652033</v>
      </c>
      <c r="AY25" s="4">
        <v>1.0656531651232235</v>
      </c>
      <c r="AZ25" s="5">
        <f>S25-AY25</f>
        <v>0</v>
      </c>
      <c r="BA25" s="4">
        <v>0</v>
      </c>
      <c r="BB25" s="4">
        <v>0</v>
      </c>
      <c r="BC25" s="5">
        <f>U25-BB25</f>
        <v>0</v>
      </c>
      <c r="BD25" s="7">
        <f>SUM(IF(BP25="direct",CC25/F25,0),IF(CR25="direct",DE25/F25,0),IF(DT25="direct",EG25/F25,0),IF(EV25="direct",FI25/F25,0),IF(FX25="direct",GK25/F25,0),IF(GZ25="direct",HM25/F25,0),IF(IB25="direct",IO25/F25,0),IF(JD25="direct",JQ25/F25,0),IF(KF25="direct",KS25/F25,0),IF(LH25="direct",LU25/F25,0))</f>
        <v>0.00151421627179326</v>
      </c>
      <c r="BE25" s="7">
        <f>-SUM(IF(BP25="direct",CD25/F25,0),IF(CR25="direct",DF25/F25,0),IF(DT25="direct",EH25/F25,0),IF(EV25="direct",FJ25/F25,0),IF(FX25="direct",GL25/F25,0),IF(GZ25="direct",HN25/F25,0),IF(IB25="direct",IP25/F25,0),IF(JD25="direct",JR25/F25,0),IF(KF25="direct",KT25/F25,0),IF(LH25="direct",LV25/F25,0))</f>
        <v>-0.000005151965294611653</v>
      </c>
      <c r="BF25" s="7">
        <f>BD25+BE25</f>
        <v>0.0015090643064986484</v>
      </c>
      <c r="BG25" s="7">
        <f>BF25-SUM(IF(BP25="direct",CP25,0),IF(CR25="direct",DR25,0),IF(DT25="direct",ET25,0),IF(EV25="direct",FV25,0),IF(FX25="direct",GX25,0),IF(GZ25="direct",HZ25,0),IF(IB25="direct",JB25,0),IF(JD25="direct",KD25,0),IF(KF25="direct",LF25,0),IF(LH25="direct",MH25,0))</f>
        <v>5.204170427930421e-18</v>
      </c>
      <c r="BH25" s="7">
        <f>SUM(IF(BP25="treasury",CP25,0),IF(CR25="treasury",DR25,0),IF(DT25="treasury",ET25,0),IF(EV25="treasury",FV25,0),IF(FX25="treasury",GX25,0),IF(GZ25="treasury",HZ25,0),IF(IB25="treasury",JB25,0),IF(JD25="treasury",KD25,0),IF(KF25="treasury",LF25,0),IF(LH25="treasury",MH25,0))</f>
        <v>0.00004202638040130588</v>
      </c>
      <c r="BI25" s="7">
        <f>SUM(IF(BP25="future",CP25,0),IF(CR25="future",DR25,0),IF(DT25="future",ET25,0),IF(EV25="future",FV25,0),IF(FX25="future",GX25,0),IF(GZ25="future",HZ25,0),IF(IB25="future",JB25,0),IF(JD25="future",KD25,0),IF(KF25="future",LF25,0),IF(LH25="future",MH25,0))</f>
        <v>-0.001367073087689894</v>
      </c>
      <c r="BJ25" s="7">
        <f>SUM(IF(BP25="cash",CP25,0),IF(CR25="cash",DR25,0),IF(DT25="cash",ET25,0),IF(EV25="cash",FV25,0),IF(FX25="cash",GX25,0),IF(GZ25="cash",HZ25,0),IF(IB25="cash",JB25,0),IF(JD25="cash",KD25,0),IF(KF25="cash",LF25,0),IF(LH25="cash",MH25,0))</f>
        <v>0</v>
      </c>
      <c r="BK25" s="7">
        <f>SUM(BF25,BH25,BI25,BJ25)</f>
        <v>0.00018401759921005492</v>
      </c>
      <c r="BL25" s="7">
        <f>G25-BK25</f>
        <v>0</v>
      </c>
      <c r="BM25" s="5">
        <f>MAX(ABS(CG25),ABS(DI25),ABS(EK25),ABS(FM25),ABS(GO25),ABS(HQ25),ABS(IS25),ABS(JU25),ABS(KW25),ABS(LY25))</f>
        <v>4.855870480019453e-17</v>
      </c>
      <c r="BN25" s="9">
        <f>COUNTA(BO25,CQ25,DS25,EU25,FW25,GY25,IA25,JC25,KE25,LG25)</f>
        <v>5</v>
      </c>
      <c r="BO25" t="inlineStr">
        <is>
          <t xml:space="preserve">Direct commodity holding</t>
        </is>
      </c>
      <c r="BP25" t="inlineStr">
        <is>
          <t xml:space="preserve">direct</t>
        </is>
      </c>
      <c r="BQ25" t="inlineStr">
        <is>
          <t xml:space="preserve">lease</t>
        </is>
      </c>
      <c r="BR25" t="inlineStr">
        <is>
          <t xml:space="preserve">long</t>
        </is>
      </c>
      <c r="BS25"/>
      <c r="BT25" s="4">
        <v>1.987</v>
      </c>
      <c r="BU25" s="4">
        <v>1.991</v>
      </c>
      <c r="BV25" s="6">
        <v>0.0025</v>
      </c>
      <c r="BW25" s="4">
        <v>0.4033331202869162</v>
      </c>
      <c r="BX25" s="5">
        <f>IF(BP25="direct",IFERROR(CD25/BU25,0),0)</f>
        <v>0.000002757005531776909</v>
      </c>
      <c r="BY25" s="5">
        <f>IF(BP25="direct",BW25-BX25,IF(BP25="cash",CI25,BW25))</f>
        <v>0.40333036328138444</v>
      </c>
      <c r="BZ25" s="6">
        <v>0.7521869330133013</v>
      </c>
      <c r="CA25" s="4">
        <v>0.8014229100101026</v>
      </c>
      <c r="CB25" s="4">
        <v>0.8014229100101026</v>
      </c>
      <c r="CC25" s="5">
        <f>IF(BP25="direct",BW25*(BU25-BT25),CF25)</f>
        <v>0.0016133324811476663</v>
      </c>
      <c r="CD25" s="5">
        <f>IF(BP25="direct",CB25*BV25*C25/365,0)</f>
        <v>0.000005489198013767826</v>
      </c>
      <c r="CE25" s="5">
        <f>CC25-CD25</f>
        <v>0.001607843283133893</v>
      </c>
      <c r="CF25" s="4">
        <v>0.001607843283133893</v>
      </c>
      <c r="CG25" s="5">
        <f>CF25-CE25</f>
        <v>-5.535360310306853e-18</v>
      </c>
      <c r="CH25" s="4">
        <v>0</v>
      </c>
      <c r="CI25" s="4">
        <v>0.8030307532932365</v>
      </c>
      <c r="CJ25" s="4">
        <v>1.987</v>
      </c>
      <c r="CK25" s="4">
        <v>1.991</v>
      </c>
      <c r="CL25" s="6"/>
      <c r="CM25" s="6"/>
      <c r="CN25" s="6"/>
      <c r="CO25" s="9"/>
      <c r="CP25" s="7">
        <f>IFERROR(CE25/F25,0)</f>
        <v>0.0015090643064986432</v>
      </c>
      <c r="CQ25" t="inlineStr">
        <is>
          <t xml:space="preserve">Treasury collateral</t>
        </is>
      </c>
      <c r="CR25" t="inlineStr">
        <is>
          <t xml:space="preserve">treasury</t>
        </is>
      </c>
      <c r="CS25" t="inlineStr">
        <is>
          <t xml:space="preserve">lease</t>
        </is>
      </c>
      <c r="CT25" t="inlineStr">
        <is>
          <t xml:space="preserve">long</t>
        </is>
      </c>
      <c r="CU25"/>
      <c r="CV25" s="4">
        <v>100.53949947848679</v>
      </c>
      <c r="CW25" s="4">
        <v>100.55654987579562</v>
      </c>
      <c r="CX25" s="6"/>
      <c r="CY25" s="4">
        <v>0.0026261737289790077</v>
      </c>
      <c r="CZ25" s="5">
        <f>IF(CR25="direct",IFERROR(DF25/CW25,0),0)</f>
        <v>0</v>
      </c>
      <c r="DA25" s="5">
        <f>IF(CR25="direct",CY25-CZ25,IF(CR25="cash",DK25,CY25))</f>
        <v>0.0026261737289790077</v>
      </c>
      <c r="DB25" s="6">
        <v>0.24781306698669867</v>
      </c>
      <c r="DC25" s="4">
        <v>0.26403419225510066</v>
      </c>
      <c r="DD25" s="4">
        <v>0.26403419225510066</v>
      </c>
      <c r="DE25" s="5">
        <f>IF(CR25="direct",CY25*(CW25-CV25),DH25)</f>
        <v>0.000044777305481119054</v>
      </c>
      <c r="DF25" s="5">
        <f>IF(CR25="direct",DD25*CX25*C25/365,0)</f>
        <v>0</v>
      </c>
      <c r="DG25" s="5">
        <f>DE25-DF25</f>
        <v>0.000044777305481070495</v>
      </c>
      <c r="DH25" s="4">
        <v>0.000044777305481070495</v>
      </c>
      <c r="DI25" s="5">
        <f>DH25-DG25</f>
        <v>-4.855870480019453e-17</v>
      </c>
      <c r="DJ25" s="4">
        <v>1.0225381739253914e-17</v>
      </c>
      <c r="DK25" s="4">
        <v>0.26407896956058174</v>
      </c>
      <c r="DL25" s="4">
        <v>1.987</v>
      </c>
      <c r="DM25" s="4">
        <v>1.991</v>
      </c>
      <c r="DN25" s="6"/>
      <c r="DO25" s="6"/>
      <c r="DP25" s="6"/>
      <c r="DQ25" s="9">
        <v>52</v>
      </c>
      <c r="DR25" s="7">
        <f>IFERROR(DG25/F25,0)</f>
        <v>0.00004202638040130588</v>
      </c>
      <c r="DS25" t="inlineStr">
        <is>
          <t xml:space="preserve">SI69H</t>
        </is>
      </c>
      <c r="DT25" t="inlineStr">
        <is>
          <t xml:space="preserve">future</t>
        </is>
      </c>
      <c r="DU25" t="inlineStr">
        <is>
          <t xml:space="preserve">lease</t>
        </is>
      </c>
      <c r="DV25" t="inlineStr">
        <is>
          <t xml:space="preserve">long</t>
        </is>
      </c>
      <c r="DW25" t="inlineStr">
        <is>
          <t xml:space="preserve">regular</t>
        </is>
      </c>
      <c r="DX25" s="4">
        <v>1.994</v>
      </c>
      <c r="DY25" s="4">
        <v>1.983</v>
      </c>
      <c r="DZ25" s="6"/>
      <c r="EA25" s="4">
        <v>0.1324143391449853</v>
      </c>
      <c r="EB25" s="5">
        <f>IF(DT25="direct",IFERROR(EH25/DY25,0),0)</f>
        <v>0</v>
      </c>
      <c r="EC25" s="5">
        <f>IF(DT25="direct",EA25-EB25,IF(DT25="cash",EM25,EA25))</f>
        <v>0.1324143391449853</v>
      </c>
      <c r="ED25" s="6">
        <v>0.24781306698669867</v>
      </c>
      <c r="EE25" s="4">
        <v>0.26403419225510066</v>
      </c>
      <c r="EF25" s="4">
        <v>0</v>
      </c>
      <c r="EG25" s="5">
        <f>IF(DT25="direct",EA25*(DY25-DX25),EJ25)</f>
        <v>-0.0014565577305948186</v>
      </c>
      <c r="EH25" s="5">
        <f>IF(DT25="direct",EF25*DZ25*C25/365,0)</f>
        <v>0</v>
      </c>
      <c r="EI25" s="5">
        <f>EG25-EH25</f>
        <v>-0.0014565577305948186</v>
      </c>
      <c r="EJ25" s="4">
        <v>-0.0014565577305948186</v>
      </c>
      <c r="EK25" s="5">
        <f>EJ25-EI25</f>
        <v>0</v>
      </c>
      <c r="EL25" s="4">
        <v>0.0014565577305948186</v>
      </c>
      <c r="EM25" s="4">
        <v>0</v>
      </c>
      <c r="EN25" s="4">
        <v>1.987</v>
      </c>
      <c r="EO25" s="4">
        <v>1.991</v>
      </c>
      <c r="EP25" s="6">
        <v>0.00352289884247603</v>
      </c>
      <c r="EQ25" s="6">
        <v>0.0619</v>
      </c>
      <c r="ER25" s="6">
        <v>0.0371719600480048</v>
      </c>
      <c r="ES25" s="9">
        <v>52</v>
      </c>
      <c r="ET25" s="7">
        <f>IFERROR(EI25/F25,0)</f>
        <v>-0.001367073087689894</v>
      </c>
      <c r="EU25" t="inlineStr">
        <is>
          <t xml:space="preserve">Lease cash / margin / financing</t>
        </is>
      </c>
      <c r="EV25" t="inlineStr">
        <is>
          <t xml:space="preserve">cash</t>
        </is>
      </c>
      <c r="EW25" t="inlineStr">
        <is>
          <t xml:space="preserve">lease</t>
        </is>
      </c>
      <c r="EX25" t="inlineStr">
        <is>
          <t xml:space="preserve">cash</t>
        </is>
      </c>
      <c r="EY25"/>
      <c r="EZ25" s="4">
        <v>1</v>
      </c>
      <c r="FA25" s="4">
        <v>1</v>
      </c>
      <c r="FB25" s="6"/>
      <c r="FC25" s="4">
        <v>0</v>
      </c>
      <c r="FD25" s="5">
        <f>IF(EV25="direct",IFERROR(FJ25/FA25,0),0)</f>
        <v>0</v>
      </c>
      <c r="FE25" s="5">
        <f>IF(EV25="direct",FC25-FD25,IF(EV25="cash",FO25,FC25))</f>
        <v>-0.0014565577305948288</v>
      </c>
      <c r="FF25" s="6"/>
      <c r="FG25" s="4">
        <v>0</v>
      </c>
      <c r="FH25" s="4">
        <v>0</v>
      </c>
      <c r="FI25" s="5">
        <f>IF(EV25="direct",FC25*(FA25-EZ25),FL25)</f>
        <v>0</v>
      </c>
      <c r="FJ25" s="5">
        <f>IF(EV25="direct",FH25*FB25*C25/365,0)</f>
        <v>0</v>
      </c>
      <c r="FK25" s="5">
        <f>FI25-FJ25</f>
        <v>0</v>
      </c>
      <c r="FL25" s="4">
        <v>0</v>
      </c>
      <c r="FM25" s="5">
        <f>FL25-FK25</f>
        <v>0</v>
      </c>
      <c r="FN25" s="4">
        <v>-0.0014565577305948288</v>
      </c>
      <c r="FO25" s="4">
        <v>-0.0014565577305948288</v>
      </c>
      <c r="FP25" s="4">
        <v>1.987</v>
      </c>
      <c r="FQ25" s="4">
        <v>1.991</v>
      </c>
      <c r="FR25" s="6"/>
      <c r="FS25" s="6"/>
      <c r="FT25" s="6"/>
      <c r="FU25" s="9"/>
      <c r="FV25" s="7">
        <f>IFERROR(FK25/F25,0)</f>
        <v>0</v>
      </c>
      <c r="FW25" t="inlineStr">
        <is>
          <t xml:space="preserve">Keep cash / margin / financing</t>
        </is>
      </c>
      <c r="FX25" t="inlineStr">
        <is>
          <t xml:space="preserve">cash</t>
        </is>
      </c>
      <c r="FY25" t="inlineStr">
        <is>
          <t xml:space="preserve">keep</t>
        </is>
      </c>
      <c r="FZ25" t="inlineStr">
        <is>
          <t xml:space="preserve">cash</t>
        </is>
      </c>
      <c r="GA25"/>
      <c r="GB25" s="4">
        <v>1</v>
      </c>
      <c r="GC25" s="4">
        <v>1</v>
      </c>
      <c r="GD25" s="6"/>
      <c r="GE25" s="4">
        <v>0</v>
      </c>
      <c r="GF25" s="5">
        <f>IF(FX25="direct",IFERROR(GL25/GC25,0),0)</f>
        <v>0</v>
      </c>
      <c r="GG25" s="5">
        <f>IF(FX25="direct",GE25-GF25,IF(FX25="cash",GQ25,GE25))</f>
        <v>0</v>
      </c>
      <c r="GH25" s="6"/>
      <c r="GI25" s="4">
        <v>0</v>
      </c>
      <c r="GJ25" s="4">
        <v>0</v>
      </c>
      <c r="GK25" s="5">
        <f>IF(FX25="direct",GE25*(GC25-GB25),GN25)</f>
        <v>0</v>
      </c>
      <c r="GL25" s="5">
        <f>IF(FX25="direct",GJ25*GD25*C25/365,0)</f>
        <v>0</v>
      </c>
      <c r="GM25" s="5">
        <f>GK25-GL25</f>
        <v>0</v>
      </c>
      <c r="GN25" s="4">
        <v>0</v>
      </c>
      <c r="GO25" s="5">
        <f>GN25-GM25</f>
        <v>0</v>
      </c>
      <c r="GP25" s="4">
        <v>0</v>
      </c>
      <c r="GQ25" s="4">
        <v>0</v>
      </c>
      <c r="GR25" s="4">
        <v>1.987</v>
      </c>
      <c r="GS25" s="4">
        <v>1.991</v>
      </c>
      <c r="GT25" s="6"/>
      <c r="GU25" s="6"/>
      <c r="GV25" s="6"/>
      <c r="GW25" s="9"/>
      <c r="GX25" s="7">
        <f>IFERROR(GM25/F25,0)</f>
        <v>0</v>
      </c>
      <c r="GY25"/>
      <c r="GZ25"/>
      <c r="HA25"/>
      <c r="HB25"/>
      <c r="HC25"/>
      <c r="HD25" s="4"/>
      <c r="HE25" s="4"/>
      <c r="HF25" s="6"/>
      <c r="HG25" s="4"/>
      <c r="HH25" s="5">
        <v>0</v>
      </c>
      <c r="HI25" s="5"/>
      <c r="HJ25" s="6"/>
      <c r="HK25" s="4"/>
      <c r="HL25" s="4"/>
      <c r="HM25" s="5">
        <v>0</v>
      </c>
      <c r="HN25" s="5">
        <v>0</v>
      </c>
      <c r="HO25" s="5"/>
      <c r="HP25" s="4"/>
      <c r="HQ25" s="5">
        <v>0</v>
      </c>
      <c r="HR25" s="4"/>
      <c r="HS25" s="4"/>
      <c r="HT25" s="4"/>
      <c r="HU25" s="4"/>
      <c r="HV25" s="6"/>
      <c r="HW25" s="6"/>
      <c r="HX25" s="6"/>
      <c r="HY25" s="9"/>
      <c r="HZ25"/>
      <c r="IA25"/>
      <c r="IB25"/>
      <c r="IC25"/>
      <c r="ID25"/>
      <c r="IE25"/>
      <c r="IF25" s="4"/>
      <c r="IG25" s="4"/>
      <c r="IH25" s="6"/>
      <c r="II25" s="4"/>
      <c r="IJ25" s="5">
        <v>0</v>
      </c>
      <c r="IK25" s="5"/>
      <c r="IL25" s="6"/>
      <c r="IM25" s="4"/>
      <c r="IN25" s="4"/>
      <c r="IO25" s="5">
        <v>0</v>
      </c>
      <c r="IP25" s="5">
        <v>0</v>
      </c>
      <c r="IQ25" s="5"/>
      <c r="IR25" s="4"/>
      <c r="IS25" s="5">
        <v>0</v>
      </c>
      <c r="IT25" s="4"/>
      <c r="IU25" s="4"/>
      <c r="IV25" s="4"/>
      <c r="IW25" s="4"/>
      <c r="IX25" s="6"/>
      <c r="IY25" s="6"/>
      <c r="IZ25" s="6"/>
      <c r="JA25" s="9"/>
      <c r="JB25"/>
      <c r="JC25"/>
      <c r="JD25"/>
      <c r="JE25"/>
      <c r="JF25"/>
      <c r="JG25"/>
      <c r="JH25" s="4"/>
      <c r="JI25" s="4"/>
      <c r="JJ25" s="6"/>
      <c r="JK25" s="4"/>
      <c r="JL25" s="5">
        <v>0</v>
      </c>
      <c r="JM25" s="5"/>
      <c r="JN25" s="6"/>
      <c r="JO25" s="4"/>
      <c r="JP25" s="4"/>
      <c r="JQ25" s="5">
        <v>0</v>
      </c>
      <c r="JR25" s="5">
        <v>0</v>
      </c>
      <c r="JS25" s="5"/>
      <c r="JT25" s="4"/>
      <c r="JU25" s="5">
        <v>0</v>
      </c>
      <c r="JV25" s="4"/>
      <c r="JW25" s="4"/>
      <c r="JX25" s="4"/>
      <c r="JY25" s="4"/>
      <c r="JZ25" s="6"/>
      <c r="KA25" s="6"/>
      <c r="KB25" s="6"/>
      <c r="KC25" s="9"/>
      <c r="KD25"/>
      <c r="KE25"/>
      <c r="KF25"/>
      <c r="KG25"/>
      <c r="KH25"/>
      <c r="KI25"/>
      <c r="KJ25" s="4"/>
      <c r="KK25" s="4"/>
      <c r="KL25" s="6"/>
      <c r="KM25" s="4"/>
      <c r="KN25" s="5">
        <v>0</v>
      </c>
      <c r="KO25" s="5"/>
      <c r="KP25" s="6"/>
      <c r="KQ25" s="4"/>
      <c r="KR25" s="4"/>
      <c r="KS25" s="5">
        <v>0</v>
      </c>
      <c r="KT25" s="5">
        <v>0</v>
      </c>
      <c r="KU25" s="5"/>
      <c r="KV25" s="4"/>
      <c r="KW25" s="5">
        <v>0</v>
      </c>
      <c r="KX25" s="4"/>
      <c r="KY25" s="4"/>
      <c r="KZ25" s="4"/>
      <c r="LA25" s="4"/>
      <c r="LB25" s="6"/>
      <c r="LC25" s="6"/>
      <c r="LD25" s="6"/>
      <c r="LE25" s="9"/>
      <c r="LF25"/>
      <c r="LG25"/>
      <c r="LH25"/>
      <c r="LI25"/>
      <c r="LJ25"/>
      <c r="LK25"/>
      <c r="LL25" s="4"/>
      <c r="LM25" s="4"/>
      <c r="LN25" s="6"/>
      <c r="LO25" s="4"/>
      <c r="LP25" s="5">
        <v>0</v>
      </c>
      <c r="LQ25" s="5"/>
      <c r="LR25" s="6"/>
      <c r="LS25" s="4"/>
      <c r="LT25" s="4"/>
      <c r="LU25" s="5">
        <v>0</v>
      </c>
      <c r="LV25" s="5">
        <v>0</v>
      </c>
      <c r="LW25" s="5"/>
      <c r="LX25" s="4"/>
      <c r="LY25" s="5">
        <v>0</v>
      </c>
      <c r="LZ25" s="4"/>
      <c r="MA25" s="4"/>
      <c r="MB25" s="4"/>
      <c r="MC25" s="4"/>
      <c r="MD25" s="6"/>
      <c r="ME25" s="6"/>
      <c r="MF25" s="6"/>
      <c r="MG25" s="9"/>
      <c r="MH25"/>
    </row>
    <row r="26">
      <c r="A26" s="8">
        <v>25238</v>
      </c>
      <c r="B26" s="8">
        <v>25239</v>
      </c>
      <c r="C26" s="9">
        <f>B26-A26</f>
        <v>1</v>
      </c>
      <c r="D26" s="8">
        <v>25238</v>
      </c>
      <c r="E26" t="inlineStr">
        <is>
          <t xml:space="preserve">positive</t>
        </is>
      </c>
      <c r="F26" s="4">
        <v>1.0656531651232235</v>
      </c>
      <c r="G26" s="6">
        <v>-0.03260875593782632</v>
      </c>
      <c r="H26" s="7">
        <f>SUM(CP26,DR26,ET26,FV26,GX26,HZ26,JB26,KD26,LF26,MH26)</f>
        <v>-0.03260875593782632</v>
      </c>
      <c r="I26" s="7">
        <f>G26-H26</f>
        <v>0</v>
      </c>
      <c r="J26" s="5">
        <f>F26*(1+H26)</f>
        <v>1.0309035411473482</v>
      </c>
      <c r="K26" s="4">
        <v>1.0309035411473482</v>
      </c>
      <c r="L26" s="5">
        <f>K26-J26</f>
        <v>0</v>
      </c>
      <c r="M26" s="4">
        <v>1.991</v>
      </c>
      <c r="N26" s="4">
        <v>1.983</v>
      </c>
      <c r="O26" s="5">
        <f>M26/$M$3</f>
        <v>1.0168539325842698</v>
      </c>
      <c r="P26" s="5">
        <f>N26/$M$3</f>
        <v>1.0127681307456589</v>
      </c>
      <c r="Q26" s="7">
        <f>IFERROR(N26/M26-1,0)</f>
        <v>-0.004018081366147674</v>
      </c>
      <c r="R26" s="5">
        <f>SUM(IF(BQ26="lease",CB26,0),IF(CS26="lease",DD26,0),IF(DU26="lease",EF26,0),IF(EW26="lease",FH26,0),IF(FY26="lease",GJ26,0),IF(HA26="lease",HL26,0),IF(IC26="lease",IN26,0),IF(JE26="lease",JP26,0),IF(KG26="lease",KR26,0),IF(LI26="lease",LT26,0))</f>
        <v>1.0656531651232235</v>
      </c>
      <c r="S26" s="5">
        <f>SUM(IF(BQ26="lease",CI26,0),IF(CS26="lease",DK26,0),IF(DU26="lease",EM26,0),IF(EW26="lease",FO26,0),IF(FY26="lease",GQ26,0),IF(HA26="lease",HS26,0),IF(IC26="lease",IU26,0),IF(JE26="lease",JW26,0),IF(KG26="lease",KY26,0),IF(LI26="lease",MA26,0))</f>
        <v>1.0309035411473482</v>
      </c>
      <c r="T26" s="5">
        <f>SUM(IF(BQ26="keep",CB26,0),IF(CS26="keep",DD26,0),IF(DU26="keep",EF26,0),IF(EW26="keep",FH26,0),IF(FY26="keep",GJ26,0),IF(HA26="keep",HL26,0),IF(IC26="keep",IN26,0),IF(JE26="keep",JP26,0),IF(KG26="keep",KR26,0),IF(LI26="keep",LT26,0))</f>
        <v>0</v>
      </c>
      <c r="U26" s="5">
        <f>SUM(IF(BQ26="keep",CI26,0),IF(CS26="keep",DK26,0),IF(DU26="keep",EM26,0),IF(EW26="keep",FO26,0),IF(FY26="keep",GQ26,0),IF(HA26="keep",HS26,0),IF(IC26="keep",IU26,0),IF(JE26="keep",JW26,0),IF(KG26="keep",KY26,0),IF(LI26="keep",MA26,0))</f>
        <v>0</v>
      </c>
      <c r="V26" s="5">
        <f>R26/O26</f>
        <v>1.047990405480297</v>
      </c>
      <c r="W26" s="5">
        <f>S26/P26</f>
        <v>1.0179067743653594</v>
      </c>
      <c r="X26" s="5">
        <f>T26/O26</f>
        <v>0</v>
      </c>
      <c r="Y26" s="5">
        <f>U26/P26</f>
        <v>0</v>
      </c>
      <c r="Z26" s="5">
        <f>V26+X26</f>
        <v>1.047990405480297</v>
      </c>
      <c r="AA26" s="7">
        <f>IFERROR(W26/V26-1,0)</f>
        <v>-0.028706017686440877</v>
      </c>
      <c r="AB26" s="7">
        <f>IFERROR((W26-V26)/Z26,0)</f>
        <v>-0.02870601768644085</v>
      </c>
      <c r="AC26" s="7">
        <f>IFERROR(Y26/X26-1,0)</f>
        <v>0</v>
      </c>
      <c r="AD26" s="7">
        <f>IFERROR((Y26-X26)/Z26,0)</f>
        <v>0</v>
      </c>
      <c r="AE26" s="7">
        <f>AB26+AD26</f>
        <v>-0.02870601768644085</v>
      </c>
      <c r="AF26" s="7">
        <f>(1+Q26)*(1+AE26)-1</f>
        <v>-0.032608755937826306</v>
      </c>
      <c r="AG26" s="7">
        <f>G26-AF26</f>
        <v>-1.3877787807814457e-17</v>
      </c>
      <c r="AH26" s="5">
        <f>SUM(IF(BQ26="lease",CE26,0),IF(CS26="lease",DG26,0),IF(DU26="lease",EI26,0),IF(EW26="lease",FK26,0),IF(FY26="lease",GM26,0),IF(HA26="lease",HO26,0),IF(IC26="lease",IQ26,0),IF(JE26="lease",JS26,0),IF(KG26="lease",KU26,0),IF(LI26="lease",LW26,0))</f>
        <v>-0.034749623975875325</v>
      </c>
      <c r="AI26" s="5">
        <f>SUM(IF(BQ26="keep",CE26,0),IF(CS26="keep",DG26,0),IF(DU26="keep",EI26,0),IF(EW26="keep",FK26,0),IF(FY26="keep",GM26,0),IF(HA26="keep",HO26,0),IF(IC26="keep",IQ26,0),IF(JE26="keep",JS26,0),IF(KG26="keep",KU26,0),IF(LI26="keep",LW26,0))</f>
        <v>0</v>
      </c>
      <c r="AJ26" s="5">
        <f>SUM(IF(BQ26="lease",CH26,0),IF(CS26="lease",DJ26,0),IF(DU26="lease",EL26,0),IF(EW26="lease",FN26,0),IF(FY26="lease",GP26,0),IF(HA26="lease",HR26,0),IF(IC26="lease",IT26,0),IF(JE26="lease",JV26,0),IF(KG26="lease",KX26,0),IF(LI26="lease",LZ26,0))</f>
        <v>0</v>
      </c>
      <c r="AK26" s="5">
        <f>SUM(IF(BQ26="keep",CH26,0),IF(CS26="keep",DJ26,0),IF(DU26="keep",EL26,0),IF(EW26="keep",FN26,0),IF(FY26="keep",GP26,0),IF(HA26="keep",HR26,0),IF(IC26="keep",IT26,0),IF(JE26="keep",JV26,0),IF(KG26="keep",KX26,0),IF(LI26="keep",LZ26,0))</f>
        <v>0</v>
      </c>
      <c r="AL26" s="5">
        <f>R26-S25</f>
        <v>0</v>
      </c>
      <c r="AM26" s="5">
        <f>T26-U25</f>
        <v>0</v>
      </c>
      <c r="AN26" s="5">
        <f>AN25</f>
        <v>1</v>
      </c>
      <c r="AO26" s="5">
        <f>AO25+AH26</f>
        <v>0.030903541147348397</v>
      </c>
      <c r="AP26" s="5">
        <f>AP25+AL26</f>
        <v>-4.440892098500626e-16</v>
      </c>
      <c r="AQ26" s="5">
        <f>AN26+AO26+AP26</f>
        <v>1.030903541147348</v>
      </c>
      <c r="AR26" s="5">
        <f>S26-AQ26</f>
        <v>2.220446049250313e-16</v>
      </c>
      <c r="AS26" s="5">
        <f>AS25</f>
        <v>0</v>
      </c>
      <c r="AT26" s="5">
        <f>AT25+AI26</f>
        <v>0</v>
      </c>
      <c r="AU26" s="5">
        <f>AU25+AM26</f>
        <v>0</v>
      </c>
      <c r="AV26" s="5">
        <f>AS26+AT26+AU26</f>
        <v>0</v>
      </c>
      <c r="AW26" s="5">
        <f>U26-AV26</f>
        <v>0</v>
      </c>
      <c r="AX26" s="4">
        <v>1.0656531651232235</v>
      </c>
      <c r="AY26" s="4">
        <v>1.0309035411473482</v>
      </c>
      <c r="AZ26" s="5">
        <f>S26-AY26</f>
        <v>0</v>
      </c>
      <c r="BA26" s="4">
        <v>0</v>
      </c>
      <c r="BB26" s="4">
        <v>0</v>
      </c>
      <c r="BC26" s="5">
        <f>U26-BB26</f>
        <v>0</v>
      </c>
      <c r="BD26" s="7">
        <f>SUM(IF(BP26="direct",CC26/F26,0),IF(CR26="direct",DE26/F26,0),IF(DT26="direct",EG26/F26,0),IF(EV26="direct",FI26/F26,0),IF(FX26="direct",GK26/F26,0),IF(GZ26="direct",HM26/F26,0),IF(IB26="direct",IO26/F26,0),IF(JD26="direct",JQ26/F26,0),IF(KF26="direct",KS26/F26,0),IF(LH26="direct",LU26/F26,0))</f>
        <v>-0.0015869584641244297</v>
      </c>
      <c r="BE26" s="7">
        <f>-SUM(IF(BP26="direct",CD26/F26,0),IF(CR26="direct",DF26/F26,0),IF(DT26="direct",EH26/F26,0),IF(EV26="direct",FJ26/F26,0),IF(FX26="direct",GL26/F26,0),IF(GZ26="direct",HN26/F26,0),IF(IB26="direct",IP26/F26,0),IF(JD26="direct",JR26/F26,0),IF(KF26="direct",KT26/F26,0),IF(LH26="direct",LV26/F26,0))</f>
        <v>-0.0000027051663545134736</v>
      </c>
      <c r="BF26" s="7">
        <f>BD26+BE26</f>
        <v>-0.0015896636304789432</v>
      </c>
      <c r="BG26" s="7">
        <f>BF26-SUM(IF(BP26="direct",CP26,0),IF(CR26="direct",DR26,0),IF(DT26="direct",ET26,0),IF(EV26="direct",FV26,0),IF(FX26="direct",GX26,0),IF(GZ26="direct",HZ26,0),IF(IB26="direct",JB26,0),IF(JD26="direct",KD26,0),IF(KF26="direct",LF26,0),IF(LH26="direct",MH26,0))</f>
        <v>2.6020852139652106e-18</v>
      </c>
      <c r="BH26" s="7">
        <f>SUM(IF(BP26="treasury",CP26,0),IF(CR26="treasury",DR26,0),IF(DT26="treasury",ET26,0),IF(EV26="treasury",FV26,0),IF(FX26="treasury",GX26,0),IF(GZ26="treasury",HZ26,0),IF(IB26="treasury",JB26,0),IF(JD26="treasury",KD26,0),IF(KF26="treasury",LF26,0),IF(LH26="treasury",MH26,0))</f>
        <v>0.00010277488810669599</v>
      </c>
      <c r="BI26" s="7">
        <f>SUM(IF(BP26="future",CP26,0),IF(CR26="future",DR26,0),IF(DT26="future",ET26,0),IF(EV26="future",FV26,0),IF(FX26="future",GX26,0),IF(GZ26="future",HZ26,0),IF(IB26="future",JB26,0),IF(JD26="future",KD26,0),IF(KF26="future",LF26,0),IF(LH26="future",MH26,0))</f>
        <v>-0.031121867195454067</v>
      </c>
      <c r="BJ26" s="7">
        <f>SUM(IF(BP26="cash",CP26,0),IF(CR26="cash",DR26,0),IF(DT26="cash",ET26,0),IF(EV26="cash",FV26,0),IF(FX26="cash",GX26,0),IF(GZ26="cash",HZ26,0),IF(IB26="cash",JB26,0),IF(JD26="cash",KD26,0),IF(KF26="cash",LF26,0),IF(LH26="cash",MH26,0))</f>
        <v>0</v>
      </c>
      <c r="BK26" s="7">
        <f>SUM(BF26,BH26,BI26,BJ26)</f>
        <v>-0.03260875593782632</v>
      </c>
      <c r="BL26" s="7">
        <f>G26-BK26</f>
        <v>0</v>
      </c>
      <c r="BM26" s="5">
        <f>MAX(ABS(CG26),ABS(DI26),ABS(EK26),ABS(FM26),ABS(GO26),ABS(HQ26),ABS(IS26),ABS(JU26),ABS(KW26),ABS(LY26))</f>
        <v>4.0969289592796e-17</v>
      </c>
      <c r="BN26" s="9">
        <f>COUNTA(BO26,CQ26,DS26,EU26,FW26,GY26,IA26,JC26,KE26,LG26)</f>
        <v>5</v>
      </c>
      <c r="BO26" t="inlineStr">
        <is>
          <t xml:space="preserve">Direct commodity holding</t>
        </is>
      </c>
      <c r="BP26" t="inlineStr">
        <is>
          <t xml:space="preserve">direct</t>
        </is>
      </c>
      <c r="BQ26" t="inlineStr">
        <is>
          <t xml:space="preserve">lease</t>
        </is>
      </c>
      <c r="BR26" t="inlineStr">
        <is>
          <t xml:space="preserve">long</t>
        </is>
      </c>
      <c r="BS26"/>
      <c r="BT26" s="4">
        <v>1.991</v>
      </c>
      <c r="BU26" s="4">
        <v>1.983</v>
      </c>
      <c r="BV26" s="6">
        <v>0.0025</v>
      </c>
      <c r="BW26" s="4">
        <v>0.21139341377666082</v>
      </c>
      <c r="BX26" s="5">
        <f>IF(BP26="direct",IFERROR(CD26/BU26,0),0)</f>
        <v>0.000001453741345371727</v>
      </c>
      <c r="BY26" s="5">
        <f>IF(BP26="direct",BW26-BX26,IF(BP26="cash",CI26,BW26))</f>
        <v>0.21139196003531546</v>
      </c>
      <c r="BZ26" s="6">
        <v>0.3949542877589671</v>
      </c>
      <c r="CA26" s="4">
        <v>0.4208842868293317</v>
      </c>
      <c r="CB26" s="4">
        <v>0.4208842868293317</v>
      </c>
      <c r="CC26" s="5">
        <f>IF(BP26="direct",BW26*(BU26-BT26),CF26)</f>
        <v>-0.001691147310213288</v>
      </c>
      <c r="CD26" s="5">
        <f>IF(BP26="direct",CB26*BV26*C26/365,0)</f>
        <v>0.000002882769087872135</v>
      </c>
      <c r="CE26" s="5">
        <f>CC26-CD26</f>
        <v>-0.0016940300793011629</v>
      </c>
      <c r="CF26" s="4">
        <v>-0.0016940300793011629</v>
      </c>
      <c r="CG26" s="5">
        <f>CF26-CE26</f>
        <v>-2.6889060910587764e-18</v>
      </c>
      <c r="CH26" s="4">
        <v>0</v>
      </c>
      <c r="CI26" s="4">
        <v>0.4191902567500306</v>
      </c>
      <c r="CJ26" s="4">
        <v>1.991</v>
      </c>
      <c r="CK26" s="4">
        <v>1.983</v>
      </c>
      <c r="CL26" s="6"/>
      <c r="CM26" s="6"/>
      <c r="CN26" s="6"/>
      <c r="CO26" s="9"/>
      <c r="CP26" s="7">
        <f>IFERROR(CE26/F26,0)</f>
        <v>-0.0015896636304789458</v>
      </c>
      <c r="CQ26" t="inlineStr">
        <is>
          <t xml:space="preserve">Treasury collateral</t>
        </is>
      </c>
      <c r="CR26" t="inlineStr">
        <is>
          <t xml:space="preserve">treasury</t>
        </is>
      </c>
      <c r="CS26" t="inlineStr">
        <is>
          <t xml:space="preserve">lease</t>
        </is>
      </c>
      <c r="CT26" t="inlineStr">
        <is>
          <t xml:space="preserve">long</t>
        </is>
      </c>
      <c r="CU26"/>
      <c r="CV26" s="4">
        <v>100.55654987579562</v>
      </c>
      <c r="CW26" s="4">
        <v>100.57363071440466</v>
      </c>
      <c r="CX26" s="6"/>
      <c r="CY26" s="4">
        <v>0.006412002789378619</v>
      </c>
      <c r="CZ26" s="5">
        <f>IF(CR26="direct",IFERROR(DF26/CW26,0),0)</f>
        <v>0</v>
      </c>
      <c r="DA26" s="5">
        <f>IF(CR26="direct",CY26-CZ26,IF(CR26="cash",DK26,CY26))</f>
        <v>0.006412002789378619</v>
      </c>
      <c r="DB26" s="6">
        <v>0.6050457122410329</v>
      </c>
      <c r="DC26" s="4">
        <v>0.6447688782938917</v>
      </c>
      <c r="DD26" s="4">
        <v>0.6447688782938917</v>
      </c>
      <c r="DE26" s="5">
        <f>IF(CR26="direct",CY26*(CW26-CV26),DH26)</f>
        <v>0.00010952238480604475</v>
      </c>
      <c r="DF26" s="5">
        <f>IF(CR26="direct",DD26*CX26*C26/365,0)</f>
        <v>0</v>
      </c>
      <c r="DG26" s="5">
        <f>DE26-DF26</f>
        <v>0.00010952238480608572</v>
      </c>
      <c r="DH26" s="4">
        <v>0.00010952238480608572</v>
      </c>
      <c r="DI26" s="5">
        <f>DH26-DG26</f>
        <v>4.0969289592796e-17</v>
      </c>
      <c r="DJ26" s="4">
        <v>1.871604000253102e-17</v>
      </c>
      <c r="DK26" s="4">
        <v>0.6448784006786978</v>
      </c>
      <c r="DL26" s="4">
        <v>1.991</v>
      </c>
      <c r="DM26" s="4">
        <v>1.983</v>
      </c>
      <c r="DN26" s="6"/>
      <c r="DO26" s="6"/>
      <c r="DP26" s="6"/>
      <c r="DQ26" s="9">
        <v>51</v>
      </c>
      <c r="DR26" s="7">
        <f>IFERROR(DG26/F26,0)</f>
        <v>0.00010277488810669599</v>
      </c>
      <c r="DS26" t="inlineStr">
        <is>
          <t xml:space="preserve">SI69H</t>
        </is>
      </c>
      <c r="DT26" t="inlineStr">
        <is>
          <t xml:space="preserve">future</t>
        </is>
      </c>
      <c r="DU26" t="inlineStr">
        <is>
          <t xml:space="preserve">lease</t>
        </is>
      </c>
      <c r="DV26" t="inlineStr">
        <is>
          <t xml:space="preserve">long</t>
        </is>
      </c>
      <c r="DW26" t="inlineStr">
        <is>
          <t xml:space="preserve">regular</t>
        </is>
      </c>
      <c r="DX26" s="4">
        <v>1.983</v>
      </c>
      <c r="DY26" s="4">
        <v>1.881</v>
      </c>
      <c r="DZ26" s="6"/>
      <c r="EA26" s="4">
        <v>0.32514819883706086</v>
      </c>
      <c r="EB26" s="5">
        <f>IF(DT26="direct",IFERROR(EH26/DY26,0),0)</f>
        <v>0</v>
      </c>
      <c r="EC26" s="5">
        <f>IF(DT26="direct",EA26-EB26,IF(DT26="cash",EM26,EA26))</f>
        <v>0.32514819883706086</v>
      </c>
      <c r="ED26" s="6">
        <v>0.6050457122410329</v>
      </c>
      <c r="EE26" s="4">
        <v>0.6447688782938917</v>
      </c>
      <c r="EF26" s="4">
        <v>0</v>
      </c>
      <c r="EG26" s="5">
        <f>IF(DT26="direct",EA26*(DY26-DX26),EJ26)</f>
        <v>-0.03316511628138025</v>
      </c>
      <c r="EH26" s="5">
        <f>IF(DT26="direct",EF26*DZ26*C26/365,0)</f>
        <v>0</v>
      </c>
      <c r="EI26" s="5">
        <f>EG26-EH26</f>
        <v>-0.03316511628138025</v>
      </c>
      <c r="EJ26" s="4">
        <v>-0.03316511628138025</v>
      </c>
      <c r="EK26" s="5">
        <f>EJ26-EI26</f>
        <v>0</v>
      </c>
      <c r="EL26" s="4">
        <v>0.03316511628138025</v>
      </c>
      <c r="EM26" s="4">
        <v>0</v>
      </c>
      <c r="EN26" s="4">
        <v>1.991</v>
      </c>
      <c r="EO26" s="4">
        <v>1.983</v>
      </c>
      <c r="EP26" s="6">
        <v>-0.004018081366147674</v>
      </c>
      <c r="EQ26" s="6">
        <v>0.062</v>
      </c>
      <c r="ER26" s="6">
        <v>0.09075685683615492</v>
      </c>
      <c r="ES26" s="9">
        <v>51</v>
      </c>
      <c r="ET26" s="7">
        <f>IFERROR(EI26/F26,0)</f>
        <v>-0.031121867195454067</v>
      </c>
      <c r="EU26" t="inlineStr">
        <is>
          <t xml:space="preserve">Lease cash / margin / financing</t>
        </is>
      </c>
      <c r="EV26" t="inlineStr">
        <is>
          <t xml:space="preserve">cash</t>
        </is>
      </c>
      <c r="EW26" t="inlineStr">
        <is>
          <t xml:space="preserve">lease</t>
        </is>
      </c>
      <c r="EX26" t="inlineStr">
        <is>
          <t xml:space="preserve">cash</t>
        </is>
      </c>
      <c r="EY26"/>
      <c r="EZ26" s="4">
        <v>1</v>
      </c>
      <c r="FA26" s="4">
        <v>1</v>
      </c>
      <c r="FB26" s="6"/>
      <c r="FC26" s="4">
        <v>0</v>
      </c>
      <c r="FD26" s="5">
        <f>IF(EV26="direct",IFERROR(FJ26/FA26,0),0)</f>
        <v>0</v>
      </c>
      <c r="FE26" s="5">
        <f>IF(EV26="direct",FC26-FD26,IF(EV26="cash",FO26,FC26))</f>
        <v>-0.03316511628138027</v>
      </c>
      <c r="FF26" s="6"/>
      <c r="FG26" s="4">
        <v>0</v>
      </c>
      <c r="FH26" s="4">
        <v>0</v>
      </c>
      <c r="FI26" s="5">
        <f>IF(EV26="direct",FC26*(FA26-EZ26),FL26)</f>
        <v>0</v>
      </c>
      <c r="FJ26" s="5">
        <f>IF(EV26="direct",FH26*FB26*C26/365,0)</f>
        <v>0</v>
      </c>
      <c r="FK26" s="5">
        <f>FI26-FJ26</f>
        <v>0</v>
      </c>
      <c r="FL26" s="4">
        <v>0</v>
      </c>
      <c r="FM26" s="5">
        <f>FL26-FK26</f>
        <v>0</v>
      </c>
      <c r="FN26" s="4">
        <v>-0.03316511628138027</v>
      </c>
      <c r="FO26" s="4">
        <v>-0.03316511628138027</v>
      </c>
      <c r="FP26" s="4">
        <v>1.991</v>
      </c>
      <c r="FQ26" s="4">
        <v>1.983</v>
      </c>
      <c r="FR26" s="6"/>
      <c r="FS26" s="6"/>
      <c r="FT26" s="6"/>
      <c r="FU26" s="9"/>
      <c r="FV26" s="7">
        <f>IFERROR(FK26/F26,0)</f>
        <v>0</v>
      </c>
      <c r="FW26" t="inlineStr">
        <is>
          <t xml:space="preserve">Keep cash / margin / financing</t>
        </is>
      </c>
      <c r="FX26" t="inlineStr">
        <is>
          <t xml:space="preserve">cash</t>
        </is>
      </c>
      <c r="FY26" t="inlineStr">
        <is>
          <t xml:space="preserve">keep</t>
        </is>
      </c>
      <c r="FZ26" t="inlineStr">
        <is>
          <t xml:space="preserve">cash</t>
        </is>
      </c>
      <c r="GA26"/>
      <c r="GB26" s="4">
        <v>1</v>
      </c>
      <c r="GC26" s="4">
        <v>1</v>
      </c>
      <c r="GD26" s="6"/>
      <c r="GE26" s="4">
        <v>0</v>
      </c>
      <c r="GF26" s="5">
        <f>IF(FX26="direct",IFERROR(GL26/GC26,0),0)</f>
        <v>0</v>
      </c>
      <c r="GG26" s="5">
        <f>IF(FX26="direct",GE26-GF26,IF(FX26="cash",GQ26,GE26))</f>
        <v>0</v>
      </c>
      <c r="GH26" s="6"/>
      <c r="GI26" s="4">
        <v>0</v>
      </c>
      <c r="GJ26" s="4">
        <v>0</v>
      </c>
      <c r="GK26" s="5">
        <f>IF(FX26="direct",GE26*(GC26-GB26),GN26)</f>
        <v>0</v>
      </c>
      <c r="GL26" s="5">
        <f>IF(FX26="direct",GJ26*GD26*C26/365,0)</f>
        <v>0</v>
      </c>
      <c r="GM26" s="5">
        <f>GK26-GL26</f>
        <v>0</v>
      </c>
      <c r="GN26" s="4">
        <v>0</v>
      </c>
      <c r="GO26" s="5">
        <f>GN26-GM26</f>
        <v>0</v>
      </c>
      <c r="GP26" s="4">
        <v>0</v>
      </c>
      <c r="GQ26" s="4">
        <v>0</v>
      </c>
      <c r="GR26" s="4">
        <v>1.991</v>
      </c>
      <c r="GS26" s="4">
        <v>1.983</v>
      </c>
      <c r="GT26" s="6"/>
      <c r="GU26" s="6"/>
      <c r="GV26" s="6"/>
      <c r="GW26" s="9"/>
      <c r="GX26" s="7">
        <f>IFERROR(GM26/F26,0)</f>
        <v>0</v>
      </c>
      <c r="GY26"/>
      <c r="GZ26"/>
      <c r="HA26"/>
      <c r="HB26"/>
      <c r="HC26"/>
      <c r="HD26" s="4"/>
      <c r="HE26" s="4"/>
      <c r="HF26" s="6"/>
      <c r="HG26" s="4"/>
      <c r="HH26" s="5">
        <v>0</v>
      </c>
      <c r="HI26" s="5"/>
      <c r="HJ26" s="6"/>
      <c r="HK26" s="4"/>
      <c r="HL26" s="4"/>
      <c r="HM26" s="5">
        <v>0</v>
      </c>
      <c r="HN26" s="5">
        <v>0</v>
      </c>
      <c r="HO26" s="5"/>
      <c r="HP26" s="4"/>
      <c r="HQ26" s="5">
        <v>0</v>
      </c>
      <c r="HR26" s="4"/>
      <c r="HS26" s="4"/>
      <c r="HT26" s="4"/>
      <c r="HU26" s="4"/>
      <c r="HV26" s="6"/>
      <c r="HW26" s="6"/>
      <c r="HX26" s="6"/>
      <c r="HY26" s="9"/>
      <c r="HZ26"/>
      <c r="IA26"/>
      <c r="IB26"/>
      <c r="IC26"/>
      <c r="ID26"/>
      <c r="IE26"/>
      <c r="IF26" s="4"/>
      <c r="IG26" s="4"/>
      <c r="IH26" s="6"/>
      <c r="II26" s="4"/>
      <c r="IJ26" s="5">
        <v>0</v>
      </c>
      <c r="IK26" s="5"/>
      <c r="IL26" s="6"/>
      <c r="IM26" s="4"/>
      <c r="IN26" s="4"/>
      <c r="IO26" s="5">
        <v>0</v>
      </c>
      <c r="IP26" s="5">
        <v>0</v>
      </c>
      <c r="IQ26" s="5"/>
      <c r="IR26" s="4"/>
      <c r="IS26" s="5">
        <v>0</v>
      </c>
      <c r="IT26" s="4"/>
      <c r="IU26" s="4"/>
      <c r="IV26" s="4"/>
      <c r="IW26" s="4"/>
      <c r="IX26" s="6"/>
      <c r="IY26" s="6"/>
      <c r="IZ26" s="6"/>
      <c r="JA26" s="9"/>
      <c r="JB26"/>
      <c r="JC26"/>
      <c r="JD26"/>
      <c r="JE26"/>
      <c r="JF26"/>
      <c r="JG26"/>
      <c r="JH26" s="4"/>
      <c r="JI26" s="4"/>
      <c r="JJ26" s="6"/>
      <c r="JK26" s="4"/>
      <c r="JL26" s="5">
        <v>0</v>
      </c>
      <c r="JM26" s="5"/>
      <c r="JN26" s="6"/>
      <c r="JO26" s="4"/>
      <c r="JP26" s="4"/>
      <c r="JQ26" s="5">
        <v>0</v>
      </c>
      <c r="JR26" s="5">
        <v>0</v>
      </c>
      <c r="JS26" s="5"/>
      <c r="JT26" s="4"/>
      <c r="JU26" s="5">
        <v>0</v>
      </c>
      <c r="JV26" s="4"/>
      <c r="JW26" s="4"/>
      <c r="JX26" s="4"/>
      <c r="JY26" s="4"/>
      <c r="JZ26" s="6"/>
      <c r="KA26" s="6"/>
      <c r="KB26" s="6"/>
      <c r="KC26" s="9"/>
      <c r="KD26"/>
      <c r="KE26"/>
      <c r="KF26"/>
      <c r="KG26"/>
      <c r="KH26"/>
      <c r="KI26"/>
      <c r="KJ26" s="4"/>
      <c r="KK26" s="4"/>
      <c r="KL26" s="6"/>
      <c r="KM26" s="4"/>
      <c r="KN26" s="5">
        <v>0</v>
      </c>
      <c r="KO26" s="5"/>
      <c r="KP26" s="6"/>
      <c r="KQ26" s="4"/>
      <c r="KR26" s="4"/>
      <c r="KS26" s="5">
        <v>0</v>
      </c>
      <c r="KT26" s="5">
        <v>0</v>
      </c>
      <c r="KU26" s="5"/>
      <c r="KV26" s="4"/>
      <c r="KW26" s="5">
        <v>0</v>
      </c>
      <c r="KX26" s="4"/>
      <c r="KY26" s="4"/>
      <c r="KZ26" s="4"/>
      <c r="LA26" s="4"/>
      <c r="LB26" s="6"/>
      <c r="LC26" s="6"/>
      <c r="LD26" s="6"/>
      <c r="LE26" s="9"/>
      <c r="LF26"/>
      <c r="LG26"/>
      <c r="LH26"/>
      <c r="LI26"/>
      <c r="LJ26"/>
      <c r="LK26"/>
      <c r="LL26" s="4"/>
      <c r="LM26" s="4"/>
      <c r="LN26" s="6"/>
      <c r="LO26" s="4"/>
      <c r="LP26" s="5">
        <v>0</v>
      </c>
      <c r="LQ26" s="5"/>
      <c r="LR26" s="6"/>
      <c r="LS26" s="4"/>
      <c r="LT26" s="4"/>
      <c r="LU26" s="5">
        <v>0</v>
      </c>
      <c r="LV26" s="5">
        <v>0</v>
      </c>
      <c r="LW26" s="5"/>
      <c r="LX26" s="4"/>
      <c r="LY26" s="5">
        <v>0</v>
      </c>
      <c r="LZ26" s="4"/>
      <c r="MA26" s="4"/>
      <c r="MB26" s="4"/>
      <c r="MC26" s="4"/>
      <c r="MD26" s="6"/>
      <c r="ME26" s="6"/>
      <c r="MF26" s="6"/>
      <c r="MG26" s="9"/>
      <c r="MH26"/>
    </row>
    <row r="27">
      <c r="A27" s="8">
        <v>25239</v>
      </c>
      <c r="B27" s="8">
        <v>25240</v>
      </c>
      <c r="C27" s="9">
        <f>B27-A27</f>
        <v>1</v>
      </c>
      <c r="D27" s="8">
        <v>25239</v>
      </c>
      <c r="E27" t="inlineStr">
        <is>
          <t xml:space="preserve">positive</t>
        </is>
      </c>
      <c r="F27" s="4">
        <v>1.0309035411473482</v>
      </c>
      <c r="G27" s="6">
        <v>-0.02428521407295743</v>
      </c>
      <c r="H27" s="7">
        <f>SUM(CP27,DR27,ET27,FV27,GX27,HZ27,JB27,KD27,LF27,MH27)</f>
        <v>-0.02428521407295743</v>
      </c>
      <c r="I27" s="7">
        <f>G27-H27</f>
        <v>0</v>
      </c>
      <c r="J27" s="5">
        <f>F27*(1+H27)</f>
        <v>1.0058678279620148</v>
      </c>
      <c r="K27" s="4">
        <v>1.0058678279620148</v>
      </c>
      <c r="L27" s="5">
        <f>K27-J27</f>
        <v>0</v>
      </c>
      <c r="M27" s="4">
        <v>1.983</v>
      </c>
      <c r="N27" s="4">
        <v>1.922</v>
      </c>
      <c r="O27" s="5">
        <f>M27/$M$3</f>
        <v>1.0127681307456589</v>
      </c>
      <c r="P27" s="5">
        <f>N27/$M$3</f>
        <v>0.9816138917262512</v>
      </c>
      <c r="Q27" s="7">
        <f>IFERROR(N27/M27-1,0)</f>
        <v>-0.030761472516389388</v>
      </c>
      <c r="R27" s="5">
        <f>SUM(IF(BQ27="lease",CB27,0),IF(CS27="lease",DD27,0),IF(DU27="lease",EF27,0),IF(EW27="lease",FH27,0),IF(FY27="lease",GJ27,0),IF(HA27="lease",HL27,0),IF(IC27="lease",IN27,0),IF(JE27="lease",JP27,0),IF(KG27="lease",KR27,0),IF(LI27="lease",LT27,0))</f>
        <v>1.0309035411473482</v>
      </c>
      <c r="S27" s="5">
        <f>SUM(IF(BQ27="lease",CI27,0),IF(CS27="lease",DK27,0),IF(DU27="lease",EM27,0),IF(EW27="lease",FO27,0),IF(FY27="lease",GQ27,0),IF(HA27="lease",HS27,0),IF(IC27="lease",IU27,0),IF(JE27="lease",JW27,0),IF(KG27="lease",KY27,0),IF(LI27="lease",MA27,0))</f>
        <v>1.005867827962015</v>
      </c>
      <c r="T27" s="5">
        <f>SUM(IF(BQ27="keep",CB27,0),IF(CS27="keep",DD27,0),IF(DU27="keep",EF27,0),IF(EW27="keep",FH27,0),IF(FY27="keep",GJ27,0),IF(HA27="keep",HL27,0),IF(IC27="keep",IN27,0),IF(JE27="keep",JP27,0),IF(KG27="keep",KR27,0),IF(LI27="keep",LT27,0))</f>
        <v>0</v>
      </c>
      <c r="U27" s="5">
        <f>SUM(IF(BQ27="keep",CI27,0),IF(CS27="keep",DK27,0),IF(DU27="keep",EM27,0),IF(EW27="keep",FO27,0),IF(FY27="keep",GQ27,0),IF(HA27="keep",HS27,0),IF(IC27="keep",IU27,0),IF(JE27="keep",JW27,0),IF(KG27="keep",KY27,0),IF(LI27="keep",MA27,0))</f>
        <v>0</v>
      </c>
      <c r="V27" s="5">
        <f>R27/O27</f>
        <v>1.0179067743653594</v>
      </c>
      <c r="W27" s="5">
        <f>S27/P27</f>
        <v>1.0247082243234265</v>
      </c>
      <c r="X27" s="5">
        <f>T27/O27</f>
        <v>0</v>
      </c>
      <c r="Y27" s="5">
        <f>U27/P27</f>
        <v>0</v>
      </c>
      <c r="Z27" s="5">
        <f>V27+X27</f>
        <v>1.0179067743653594</v>
      </c>
      <c r="AA27" s="7">
        <f>IFERROR(W27/V27-1,0)</f>
        <v>0.006681800464789722</v>
      </c>
      <c r="AB27" s="7">
        <f>IFERROR((W27-V27)/Z27,0)</f>
        <v>0.006681800464789742</v>
      </c>
      <c r="AC27" s="7">
        <f>IFERROR(Y27/X27-1,0)</f>
        <v>0</v>
      </c>
      <c r="AD27" s="7">
        <f>IFERROR((Y27-X27)/Z27,0)</f>
        <v>0</v>
      </c>
      <c r="AE27" s="7">
        <f>AB27+AD27</f>
        <v>0.006681800464789742</v>
      </c>
      <c r="AF27" s="7">
        <f>(1+Q27)*(1+AE27)-1</f>
        <v>-0.02428521407295725</v>
      </c>
      <c r="AG27" s="7">
        <f>G27-AF27</f>
        <v>-1.8041124150158794e-16</v>
      </c>
      <c r="AH27" s="5">
        <f>SUM(IF(BQ27="lease",CE27,0),IF(CS27="lease",DG27,0),IF(DU27="lease",EI27,0),IF(EW27="lease",FK27,0),IF(FY27="lease",GM27,0),IF(HA27="lease",HO27,0),IF(IC27="lease",IQ27,0),IF(JE27="lease",JS27,0),IF(KG27="lease",KU27,0),IF(LI27="lease",LW27,0))</f>
        <v>-0.02503571318533323</v>
      </c>
      <c r="AI27" s="5">
        <f>SUM(IF(BQ27="keep",CE27,0),IF(CS27="keep",DG27,0),IF(DU27="keep",EI27,0),IF(EW27="keep",FK27,0),IF(FY27="keep",GM27,0),IF(HA27="keep",HO27,0),IF(IC27="keep",IQ27,0),IF(JE27="keep",JS27,0),IF(KG27="keep",KU27,0),IF(LI27="keep",LW27,0))</f>
        <v>0</v>
      </c>
      <c r="AJ27" s="5">
        <f>SUM(IF(BQ27="lease",CH27,0),IF(CS27="lease",DJ27,0),IF(DU27="lease",EL27,0),IF(EW27="lease",FN27,0),IF(FY27="lease",GP27,0),IF(HA27="lease",HR27,0),IF(IC27="lease",IT27,0),IF(JE27="lease",JV27,0),IF(KG27="lease",KX27,0),IF(LI27="lease",LZ27,0))</f>
        <v>0</v>
      </c>
      <c r="AK27" s="5">
        <f>SUM(IF(BQ27="keep",CH27,0),IF(CS27="keep",DJ27,0),IF(DU27="keep",EL27,0),IF(EW27="keep",FN27,0),IF(FY27="keep",GP27,0),IF(HA27="keep",HR27,0),IF(IC27="keep",IT27,0),IF(JE27="keep",JV27,0),IF(KG27="keep",KX27,0),IF(LI27="keep",LZ27,0))</f>
        <v>0</v>
      </c>
      <c r="AL27" s="5">
        <f>R27-S26</f>
        <v>0</v>
      </c>
      <c r="AM27" s="5">
        <f>T27-U26</f>
        <v>0</v>
      </c>
      <c r="AN27" s="5">
        <f>AN26</f>
        <v>1</v>
      </c>
      <c r="AO27" s="5">
        <f>AO26+AH27</f>
        <v>0.005867827962015168</v>
      </c>
      <c r="AP27" s="5">
        <f>AP26+AL27</f>
        <v>-4.440892098500626e-16</v>
      </c>
      <c r="AQ27" s="5">
        <f>AN27+AO27+AP27</f>
        <v>1.0058678279620148</v>
      </c>
      <c r="AR27" s="5">
        <f>S27-AQ27</f>
        <v>2.220446049250313e-16</v>
      </c>
      <c r="AS27" s="5">
        <f>AS26</f>
        <v>0</v>
      </c>
      <c r="AT27" s="5">
        <f>AT26+AI27</f>
        <v>0</v>
      </c>
      <c r="AU27" s="5">
        <f>AU26+AM27</f>
        <v>0</v>
      </c>
      <c r="AV27" s="5">
        <f>AS27+AT27+AU27</f>
        <v>0</v>
      </c>
      <c r="AW27" s="5">
        <f>U27-AV27</f>
        <v>0</v>
      </c>
      <c r="AX27" s="4">
        <v>1.0309035411473482</v>
      </c>
      <c r="AY27" s="4">
        <v>1.005867827962015</v>
      </c>
      <c r="AZ27" s="5">
        <f>S27-AY27</f>
        <v>0</v>
      </c>
      <c r="BA27" s="4">
        <v>0</v>
      </c>
      <c r="BB27" s="4">
        <v>0</v>
      </c>
      <c r="BC27" s="5">
        <f>U27-BB27</f>
        <v>0</v>
      </c>
      <c r="BD27" s="7">
        <f>SUM(IF(BP27="direct",CC27/F27,0),IF(CR27="direct",DE27/F27,0),IF(DT27="direct",EG27/F27,0),IF(EV27="direct",FI27/F27,0),IF(FX27="direct",GK27/F27,0),IF(GZ27="direct",HM27/F27,0),IF(IB27="direct",IO27/F27,0),IF(JD27="direct",JQ27/F27,0),IF(KF27="direct",KS27/F27,0),IF(LH27="direct",LU27/F27,0))</f>
        <v>0</v>
      </c>
      <c r="BE27" s="7">
        <f>-SUM(IF(BP27="direct",CD27/F27,0),IF(CR27="direct",DF27/F27,0),IF(DT27="direct",EH27/F27,0),IF(EV27="direct",FJ27/F27,0),IF(FX27="direct",GL27/F27,0),IF(GZ27="direct",HN27/F27,0),IF(IB27="direct",IP27/F27,0),IF(JD27="direct",JR27/F27,0),IF(KF27="direct",KT27/F27,0),IF(LH27="direct",LV27/F27,0))</f>
        <v>0</v>
      </c>
      <c r="BF27" s="7">
        <f>BD27+BE27</f>
        <v>0</v>
      </c>
      <c r="BG27" s="7">
        <f>BF27-SUM(IF(BP27="direct",CP27,0),IF(CR27="direct",DR27,0),IF(DT27="direct",ET27,0),IF(EV27="direct",FV27,0),IF(FX27="direct",GX27,0),IF(GZ27="direct",HZ27,0),IF(IB27="direct",JB27,0),IF(JD27="direct",KD27,0),IF(KF27="direct",LF27,0),IF(LH27="direct",MH27,0))</f>
        <v>0</v>
      </c>
      <c r="BH27" s="7">
        <f>SUM(IF(BP27="treasury",CP27,0),IF(CR27="treasury",DR27,0),IF(DT27="treasury",ET27,0),IF(EV27="treasury",FV27,0),IF(FX27="treasury",GX27,0),IF(GZ27="treasury",HZ27,0),IF(IB27="treasury",JB27,0),IF(JD27="treasury",KD27,0),IF(KF27="treasury",LF27,0),IF(LH27="treasury",MH27,0))</f>
        <v>0.00016986301369863014</v>
      </c>
      <c r="BI27" s="7">
        <f>SUM(IF(BP27="future",CP27,0),IF(CR27="future",DR27,0),IF(DT27="future",ET27,0),IF(EV27="future",FV27,0),IF(FX27="future",GX27,0),IF(GZ27="future",HZ27,0),IF(IB27="future",JB27,0),IF(JD27="future",KD27,0),IF(KF27="future",LF27,0),IF(LH27="future",MH27,0))</f>
        <v>-0.024455077086656063</v>
      </c>
      <c r="BJ27" s="7">
        <f>SUM(IF(BP27="cash",CP27,0),IF(CR27="cash",DR27,0),IF(DT27="cash",ET27,0),IF(EV27="cash",FV27,0),IF(FX27="cash",GX27,0),IF(GZ27="cash",HZ27,0),IF(IB27="cash",JB27,0),IF(JD27="cash",KD27,0),IF(KF27="cash",LF27,0),IF(LH27="cash",MH27,0))</f>
        <v>0</v>
      </c>
      <c r="BK27" s="7">
        <f>SUM(BF27,BH27,BI27,BJ27)</f>
        <v>-0.02428521407295743</v>
      </c>
      <c r="BL27" s="7">
        <f>G27-BK27</f>
        <v>0</v>
      </c>
      <c r="BM27" s="5">
        <f>MAX(ABS(CG27),ABS(DI27),ABS(EK27),ABS(FM27),ABS(GO27),ABS(HQ27),ABS(IS27),ABS(JU27),ABS(KW27),ABS(LY27))</f>
        <v>5.748982019604387e-17</v>
      </c>
      <c r="BN27" s="9">
        <f>COUNTA(BO27,CQ27,DS27,EU27,FW27,GY27,IA27,JC27,KE27,LG27)</f>
        <v>4</v>
      </c>
      <c r="BO27" t="inlineStr">
        <is>
          <t xml:space="preserve">Treasury collateral</t>
        </is>
      </c>
      <c r="BP27" t="inlineStr">
        <is>
          <t xml:space="preserve">treasury</t>
        </is>
      </c>
      <c r="BQ27" t="inlineStr">
        <is>
          <t xml:space="preserve">lease</t>
        </is>
      </c>
      <c r="BR27" t="inlineStr">
        <is>
          <t xml:space="preserve">long</t>
        </is>
      </c>
      <c r="BS27"/>
      <c r="BT27" s="4">
        <v>100.57363071440466</v>
      </c>
      <c r="BU27" s="4">
        <v>100.59071445441641</v>
      </c>
      <c r="BV27" s="6"/>
      <c r="BW27" s="4">
        <v>0.010250236904291226</v>
      </c>
      <c r="BX27" s="5">
        <f>IF(BP27="direct",IFERROR(CD27/BU27,0),0)</f>
        <v>0</v>
      </c>
      <c r="BY27" s="5">
        <f>IF(BP27="direct",BW27-BX27,IF(BP27="cash",CI27,BW27))</f>
        <v>0.010250236904291226</v>
      </c>
      <c r="BZ27" s="6">
        <v>1</v>
      </c>
      <c r="CA27" s="4">
        <v>1.0309035411473482</v>
      </c>
      <c r="CB27" s="4">
        <v>1.0309035411473482</v>
      </c>
      <c r="CC27" s="5">
        <f>IF(BP27="direct",BW27*(BU27-BT27),CF27)</f>
        <v>0.00017511238233182083</v>
      </c>
      <c r="CD27" s="5">
        <f>IF(BP27="direct",CB27*BV27*C27/365,0)</f>
        <v>0</v>
      </c>
      <c r="CE27" s="5">
        <f>CC27-CD27</f>
        <v>0.00017511238233187831</v>
      </c>
      <c r="CF27" s="4">
        <v>0.00017511238233187831</v>
      </c>
      <c r="CG27" s="5">
        <f>CF27-CE27</f>
        <v>5.748982019604387e-17</v>
      </c>
      <c r="CH27" s="4">
        <v>4.285309086748956e-17</v>
      </c>
      <c r="CI27" s="4">
        <v>1.03107865352968</v>
      </c>
      <c r="CJ27" s="4">
        <v>1.983</v>
      </c>
      <c r="CK27" s="4">
        <v>1.922</v>
      </c>
      <c r="CL27" s="6"/>
      <c r="CM27" s="6"/>
      <c r="CN27" s="6"/>
      <c r="CO27" s="9">
        <v>50</v>
      </c>
      <c r="CP27" s="7">
        <f>IFERROR(CE27/F27,0)</f>
        <v>0.00016986301369863014</v>
      </c>
      <c r="CQ27" t="inlineStr">
        <is>
          <t xml:space="preserve">SI69H</t>
        </is>
      </c>
      <c r="CR27" t="inlineStr">
        <is>
          <t xml:space="preserve">future</t>
        </is>
      </c>
      <c r="CS27" t="inlineStr">
        <is>
          <t xml:space="preserve">lease</t>
        </is>
      </c>
      <c r="CT27" t="inlineStr">
        <is>
          <t xml:space="preserve">long</t>
        </is>
      </c>
      <c r="CU27" t="inlineStr">
        <is>
          <t xml:space="preserve">regular</t>
        </is>
      </c>
      <c r="CV27" s="4">
        <v>1.881</v>
      </c>
      <c r="CW27" s="4">
        <v>1.835</v>
      </c>
      <c r="CX27" s="6"/>
      <c r="CY27" s="4">
        <v>0.5480614253840235</v>
      </c>
      <c r="CZ27" s="5">
        <f>IF(CR27="direct",IFERROR(DF27/CW27,0),0)</f>
        <v>0</v>
      </c>
      <c r="DA27" s="5">
        <f>IF(CR27="direct",CY27-CZ27,IF(CR27="cash",DK27,CY27))</f>
        <v>0.5480614253840235</v>
      </c>
      <c r="DB27" s="6">
        <v>1</v>
      </c>
      <c r="DC27" s="4">
        <v>1.0309035411473482</v>
      </c>
      <c r="DD27" s="4">
        <v>0</v>
      </c>
      <c r="DE27" s="5">
        <f>IF(CR27="direct",CY27*(CW27-CV27),DH27)</f>
        <v>-0.02521082556766511</v>
      </c>
      <c r="DF27" s="5">
        <f>IF(CR27="direct",DD27*CX27*C27/365,0)</f>
        <v>0</v>
      </c>
      <c r="DG27" s="5">
        <f>DE27-DF27</f>
        <v>-0.02521082556766511</v>
      </c>
      <c r="DH27" s="4">
        <v>-0.02521082556766511</v>
      </c>
      <c r="DI27" s="5">
        <f>DH27-DG27</f>
        <v>0</v>
      </c>
      <c r="DJ27" s="4">
        <v>0.02521082556766511</v>
      </c>
      <c r="DK27" s="4">
        <v>0</v>
      </c>
      <c r="DL27" s="4">
        <v>1.983</v>
      </c>
      <c r="DM27" s="4">
        <v>1.922</v>
      </c>
      <c r="DN27" s="6">
        <v>-0.05143721633888054</v>
      </c>
      <c r="DO27" s="6">
        <v>0.062</v>
      </c>
      <c r="DP27" s="6">
        <v>0.437491679273828</v>
      </c>
      <c r="DQ27" s="9">
        <v>50</v>
      </c>
      <c r="DR27" s="7">
        <f>IFERROR(DG27/F27,0)</f>
        <v>-0.024455077086656063</v>
      </c>
      <c r="DS27" t="inlineStr">
        <is>
          <t xml:space="preserve">Lease cash / margin / financing</t>
        </is>
      </c>
      <c r="DT27" t="inlineStr">
        <is>
          <t xml:space="preserve">cash</t>
        </is>
      </c>
      <c r="DU27" t="inlineStr">
        <is>
          <t xml:space="preserve">lease</t>
        </is>
      </c>
      <c r="DV27" t="inlineStr">
        <is>
          <t xml:space="preserve">cash</t>
        </is>
      </c>
      <c r="DW27"/>
      <c r="DX27" s="4">
        <v>1</v>
      </c>
      <c r="DY27" s="4">
        <v>1</v>
      </c>
      <c r="DZ27" s="6"/>
      <c r="EA27" s="4">
        <v>0</v>
      </c>
      <c r="EB27" s="5">
        <f>IF(DT27="direct",IFERROR(EH27/DY27,0),0)</f>
        <v>0</v>
      </c>
      <c r="EC27" s="5">
        <f>IF(DT27="direct",EA27-EB27,IF(DT27="cash",EM27,EA27))</f>
        <v>-0.02521082556766515</v>
      </c>
      <c r="ED27" s="6"/>
      <c r="EE27" s="4">
        <v>0</v>
      </c>
      <c r="EF27" s="4">
        <v>0</v>
      </c>
      <c r="EG27" s="5">
        <f>IF(DT27="direct",EA27*(DY27-DX27),EJ27)</f>
        <v>0</v>
      </c>
      <c r="EH27" s="5">
        <f>IF(DT27="direct",EF27*DZ27*C27/365,0)</f>
        <v>0</v>
      </c>
      <c r="EI27" s="5">
        <f>EG27-EH27</f>
        <v>0</v>
      </c>
      <c r="EJ27" s="4">
        <v>0</v>
      </c>
      <c r="EK27" s="5">
        <f>EJ27-EI27</f>
        <v>0</v>
      </c>
      <c r="EL27" s="4">
        <v>-0.02521082556766515</v>
      </c>
      <c r="EM27" s="4">
        <v>-0.02521082556766515</v>
      </c>
      <c r="EN27" s="4">
        <v>1.983</v>
      </c>
      <c r="EO27" s="4">
        <v>1.922</v>
      </c>
      <c r="EP27" s="6"/>
      <c r="EQ27" s="6"/>
      <c r="ER27" s="6"/>
      <c r="ES27" s="9"/>
      <c r="ET27" s="7">
        <f>IFERROR(EI27/F27,0)</f>
        <v>0</v>
      </c>
      <c r="EU27" t="inlineStr">
        <is>
          <t xml:space="preserve">Keep cash / margin / financing</t>
        </is>
      </c>
      <c r="EV27" t="inlineStr">
        <is>
          <t xml:space="preserve">cash</t>
        </is>
      </c>
      <c r="EW27" t="inlineStr">
        <is>
          <t xml:space="preserve">keep</t>
        </is>
      </c>
      <c r="EX27" t="inlineStr">
        <is>
          <t xml:space="preserve">cash</t>
        </is>
      </c>
      <c r="EY27"/>
      <c r="EZ27" s="4">
        <v>1</v>
      </c>
      <c r="FA27" s="4">
        <v>1</v>
      </c>
      <c r="FB27" s="6"/>
      <c r="FC27" s="4">
        <v>0</v>
      </c>
      <c r="FD27" s="5">
        <f>IF(EV27="direct",IFERROR(FJ27/FA27,0),0)</f>
        <v>0</v>
      </c>
      <c r="FE27" s="5">
        <f>IF(EV27="direct",FC27-FD27,IF(EV27="cash",FO27,FC27))</f>
        <v>0</v>
      </c>
      <c r="FF27" s="6"/>
      <c r="FG27" s="4">
        <v>0</v>
      </c>
      <c r="FH27" s="4">
        <v>0</v>
      </c>
      <c r="FI27" s="5">
        <f>IF(EV27="direct",FC27*(FA27-EZ27),FL27)</f>
        <v>0</v>
      </c>
      <c r="FJ27" s="5">
        <f>IF(EV27="direct",FH27*FB27*C27/365,0)</f>
        <v>0</v>
      </c>
      <c r="FK27" s="5">
        <f>FI27-FJ27</f>
        <v>0</v>
      </c>
      <c r="FL27" s="4">
        <v>0</v>
      </c>
      <c r="FM27" s="5">
        <f>FL27-FK27</f>
        <v>0</v>
      </c>
      <c r="FN27" s="4">
        <v>0</v>
      </c>
      <c r="FO27" s="4">
        <v>0</v>
      </c>
      <c r="FP27" s="4">
        <v>1.983</v>
      </c>
      <c r="FQ27" s="4">
        <v>1.922</v>
      </c>
      <c r="FR27" s="6"/>
      <c r="FS27" s="6"/>
      <c r="FT27" s="6"/>
      <c r="FU27" s="9"/>
      <c r="FV27" s="7">
        <f>IFERROR(FK27/F27,0)</f>
        <v>0</v>
      </c>
      <c r="FW27"/>
      <c r="FX27"/>
      <c r="FY27"/>
      <c r="FZ27"/>
      <c r="GA27"/>
      <c r="GB27" s="4"/>
      <c r="GC27" s="4"/>
      <c r="GD27" s="6"/>
      <c r="GE27" s="4"/>
      <c r="GF27" s="5">
        <v>0</v>
      </c>
      <c r="GG27" s="5"/>
      <c r="GH27" s="6"/>
      <c r="GI27" s="4"/>
      <c r="GJ27" s="4"/>
      <c r="GK27" s="5">
        <v>0</v>
      </c>
      <c r="GL27" s="5">
        <v>0</v>
      </c>
      <c r="GM27" s="5"/>
      <c r="GN27" s="4"/>
      <c r="GO27" s="5">
        <v>0</v>
      </c>
      <c r="GP27" s="4"/>
      <c r="GQ27" s="4"/>
      <c r="GR27" s="4"/>
      <c r="GS27" s="4"/>
      <c r="GT27" s="6"/>
      <c r="GU27" s="6"/>
      <c r="GV27" s="6"/>
      <c r="GW27" s="9"/>
      <c r="GX27"/>
      <c r="GY27"/>
      <c r="GZ27"/>
      <c r="HA27"/>
      <c r="HB27"/>
      <c r="HC27"/>
      <c r="HD27" s="4"/>
      <c r="HE27" s="4"/>
      <c r="HF27" s="6"/>
      <c r="HG27" s="4"/>
      <c r="HH27" s="5">
        <v>0</v>
      </c>
      <c r="HI27" s="5"/>
      <c r="HJ27" s="6"/>
      <c r="HK27" s="4"/>
      <c r="HL27" s="4"/>
      <c r="HM27" s="5">
        <v>0</v>
      </c>
      <c r="HN27" s="5">
        <v>0</v>
      </c>
      <c r="HO27" s="5"/>
      <c r="HP27" s="4"/>
      <c r="HQ27" s="5">
        <v>0</v>
      </c>
      <c r="HR27" s="4"/>
      <c r="HS27" s="4"/>
      <c r="HT27" s="4"/>
      <c r="HU27" s="4"/>
      <c r="HV27" s="6"/>
      <c r="HW27" s="6"/>
      <c r="HX27" s="6"/>
      <c r="HY27" s="9"/>
      <c r="HZ27"/>
      <c r="IA27"/>
      <c r="IB27"/>
      <c r="IC27"/>
      <c r="ID27"/>
      <c r="IE27"/>
      <c r="IF27" s="4"/>
      <c r="IG27" s="4"/>
      <c r="IH27" s="6"/>
      <c r="II27" s="4"/>
      <c r="IJ27" s="5">
        <v>0</v>
      </c>
      <c r="IK27" s="5"/>
      <c r="IL27" s="6"/>
      <c r="IM27" s="4"/>
      <c r="IN27" s="4"/>
      <c r="IO27" s="5">
        <v>0</v>
      </c>
      <c r="IP27" s="5">
        <v>0</v>
      </c>
      <c r="IQ27" s="5"/>
      <c r="IR27" s="4"/>
      <c r="IS27" s="5">
        <v>0</v>
      </c>
      <c r="IT27" s="4"/>
      <c r="IU27" s="4"/>
      <c r="IV27" s="4"/>
      <c r="IW27" s="4"/>
      <c r="IX27" s="6"/>
      <c r="IY27" s="6"/>
      <c r="IZ27" s="6"/>
      <c r="JA27" s="9"/>
      <c r="JB27"/>
      <c r="JC27"/>
      <c r="JD27"/>
      <c r="JE27"/>
      <c r="JF27"/>
      <c r="JG27"/>
      <c r="JH27" s="4"/>
      <c r="JI27" s="4"/>
      <c r="JJ27" s="6"/>
      <c r="JK27" s="4"/>
      <c r="JL27" s="5">
        <v>0</v>
      </c>
      <c r="JM27" s="5"/>
      <c r="JN27" s="6"/>
      <c r="JO27" s="4"/>
      <c r="JP27" s="4"/>
      <c r="JQ27" s="5">
        <v>0</v>
      </c>
      <c r="JR27" s="5">
        <v>0</v>
      </c>
      <c r="JS27" s="5"/>
      <c r="JT27" s="4"/>
      <c r="JU27" s="5">
        <v>0</v>
      </c>
      <c r="JV27" s="4"/>
      <c r="JW27" s="4"/>
      <c r="JX27" s="4"/>
      <c r="JY27" s="4"/>
      <c r="JZ27" s="6"/>
      <c r="KA27" s="6"/>
      <c r="KB27" s="6"/>
      <c r="KC27" s="9"/>
      <c r="KD27"/>
      <c r="KE27"/>
      <c r="KF27"/>
      <c r="KG27"/>
      <c r="KH27"/>
      <c r="KI27"/>
      <c r="KJ27" s="4"/>
      <c r="KK27" s="4"/>
      <c r="KL27" s="6"/>
      <c r="KM27" s="4"/>
      <c r="KN27" s="5">
        <v>0</v>
      </c>
      <c r="KO27" s="5"/>
      <c r="KP27" s="6"/>
      <c r="KQ27" s="4"/>
      <c r="KR27" s="4"/>
      <c r="KS27" s="5">
        <v>0</v>
      </c>
      <c r="KT27" s="5">
        <v>0</v>
      </c>
      <c r="KU27" s="5"/>
      <c r="KV27" s="4"/>
      <c r="KW27" s="5">
        <v>0</v>
      </c>
      <c r="KX27" s="4"/>
      <c r="KY27" s="4"/>
      <c r="KZ27" s="4"/>
      <c r="LA27" s="4"/>
      <c r="LB27" s="6"/>
      <c r="LC27" s="6"/>
      <c r="LD27" s="6"/>
      <c r="LE27" s="9"/>
      <c r="LF27"/>
      <c r="LG27"/>
      <c r="LH27"/>
      <c r="LI27"/>
      <c r="LJ27"/>
      <c r="LK27"/>
      <c r="LL27" s="4"/>
      <c r="LM27" s="4"/>
      <c r="LN27" s="6"/>
      <c r="LO27" s="4"/>
      <c r="LP27" s="5">
        <v>0</v>
      </c>
      <c r="LQ27" s="5"/>
      <c r="LR27" s="6"/>
      <c r="LS27" s="4"/>
      <c r="LT27" s="4"/>
      <c r="LU27" s="5">
        <v>0</v>
      </c>
      <c r="LV27" s="5">
        <v>0</v>
      </c>
      <c r="LW27" s="5"/>
      <c r="LX27" s="4"/>
      <c r="LY27" s="5">
        <v>0</v>
      </c>
      <c r="LZ27" s="4"/>
      <c r="MA27" s="4"/>
      <c r="MB27" s="4"/>
      <c r="MC27" s="4"/>
      <c r="MD27" s="6"/>
      <c r="ME27" s="6"/>
      <c r="MF27" s="6"/>
      <c r="MG27" s="9"/>
      <c r="MH27"/>
    </row>
    <row r="28">
      <c r="A28" s="8">
        <v>25240</v>
      </c>
      <c r="B28" s="8">
        <v>25241</v>
      </c>
      <c r="C28" s="9">
        <f>B28-A28</f>
        <v>1</v>
      </c>
      <c r="D28" s="8">
        <v>25240</v>
      </c>
      <c r="E28" t="inlineStr">
        <is>
          <t xml:space="preserve">positive</t>
        </is>
      </c>
      <c r="F28" s="4">
        <v>1.0058678279620148</v>
      </c>
      <c r="G28" s="6">
        <v>0.00016986301369863014</v>
      </c>
      <c r="H28" s="7">
        <f>SUM(CP28,DR28,ET28,FV28,GX28,HZ28,JB28,KD28,LF28,MH28)</f>
        <v>0.00016986301369863014</v>
      </c>
      <c r="I28" s="7">
        <f>G28-H28</f>
        <v>0</v>
      </c>
      <c r="J28" s="5">
        <f>F28*(1+H28)</f>
        <v>1.0060386877026548</v>
      </c>
      <c r="K28" s="4">
        <v>1.0060386877026548</v>
      </c>
      <c r="L28" s="5">
        <f>K28-J28</f>
        <v>0</v>
      </c>
      <c r="M28" s="4">
        <v>1.922</v>
      </c>
      <c r="N28" s="4">
        <v>1.885</v>
      </c>
      <c r="O28" s="5">
        <f>M28/$M$3</f>
        <v>0.9816138917262512</v>
      </c>
      <c r="P28" s="5">
        <f>N28/$M$3</f>
        <v>0.9627170582226762</v>
      </c>
      <c r="Q28" s="7">
        <f>IFERROR(N28/M28-1,0)</f>
        <v>-0.019250780437044757</v>
      </c>
      <c r="R28" s="5">
        <f>SUM(IF(BQ28="lease",CB28,0),IF(CS28="lease",DD28,0),IF(DU28="lease",EF28,0),IF(EW28="lease",FH28,0),IF(FY28="lease",GJ28,0),IF(HA28="lease",HL28,0),IF(IC28="lease",IN28,0),IF(JE28="lease",JP28,0),IF(KG28="lease",KR28,0),IF(LI28="lease",LT28,0))</f>
        <v>1.005867827962015</v>
      </c>
      <c r="S28" s="5">
        <f>SUM(IF(BQ28="lease",CI28,0),IF(CS28="lease",DK28,0),IF(DU28="lease",EM28,0),IF(EW28="lease",FO28,0),IF(FY28="lease",GQ28,0),IF(HA28="lease",HS28,0),IF(IC28="lease",IU28,0),IF(JE28="lease",JW28,0),IF(KG28="lease",KY28,0),IF(LI28="lease",MA28,0))</f>
        <v>1.006038687702655</v>
      </c>
      <c r="T28" s="5">
        <f>SUM(IF(BQ28="keep",CB28,0),IF(CS28="keep",DD28,0),IF(DU28="keep",EF28,0),IF(EW28="keep",FH28,0),IF(FY28="keep",GJ28,0),IF(HA28="keep",HL28,0),IF(IC28="keep",IN28,0),IF(JE28="keep",JP28,0),IF(KG28="keep",KR28,0),IF(LI28="keep",LT28,0))</f>
        <v>0</v>
      </c>
      <c r="U28" s="5">
        <f>SUM(IF(BQ28="keep",CI28,0),IF(CS28="keep",DK28,0),IF(DU28="keep",EM28,0),IF(EW28="keep",FO28,0),IF(FY28="keep",GQ28,0),IF(HA28="keep",HS28,0),IF(IC28="keep",IU28,0),IF(JE28="keep",JW28,0),IF(KG28="keep",KY28,0),IF(LI28="keep",MA28,0))</f>
        <v>0</v>
      </c>
      <c r="V28" s="5">
        <f>R28/O28</f>
        <v>1.0247082243234265</v>
      </c>
      <c r="W28" s="5">
        <f>S28/P28</f>
        <v>1.0449993371468427</v>
      </c>
      <c r="X28" s="5">
        <f>T28/O28</f>
        <v>0</v>
      </c>
      <c r="Y28" s="5">
        <f>U28/P28</f>
        <v>0</v>
      </c>
      <c r="Z28" s="5">
        <f>V28+X28</f>
        <v>1.0247082243234265</v>
      </c>
      <c r="AA28" s="7">
        <f>IFERROR(W28/V28-1,0)</f>
        <v>0.019801844409723213</v>
      </c>
      <c r="AB28" s="7">
        <f>IFERROR((W28-V28)/Z28,0)</f>
        <v>0.019801844409723195</v>
      </c>
      <c r="AC28" s="7">
        <f>IFERROR(Y28/X28-1,0)</f>
        <v>0</v>
      </c>
      <c r="AD28" s="7">
        <f>IFERROR((Y28-X28)/Z28,0)</f>
        <v>0</v>
      </c>
      <c r="AE28" s="7">
        <f>AB28+AD28</f>
        <v>0.019801844409723195</v>
      </c>
      <c r="AF28" s="7">
        <f>(1+Q28)*(1+AE28)-1</f>
        <v>0.0001698630136983681</v>
      </c>
      <c r="AG28" s="7">
        <f>G28-AF28</f>
        <v>2.620516650897464e-16</v>
      </c>
      <c r="AH28" s="5">
        <f>SUM(IF(BQ28="lease",CE28,0),IF(CS28="lease",DG28,0),IF(DU28="lease",EI28,0),IF(EW28="lease",FK28,0),IF(FY28="lease",GM28,0),IF(HA28="lease",HO28,0),IF(IC28="lease",IQ28,0),IF(JE28="lease",JS28,0),IF(KG28="lease",KU28,0),IF(LI28="lease",LW28,0))</f>
        <v>0.00017085974064012306</v>
      </c>
      <c r="AI28" s="5">
        <f>SUM(IF(BQ28="keep",CE28,0),IF(CS28="keep",DG28,0),IF(DU28="keep",EI28,0),IF(EW28="keep",FK28,0),IF(FY28="keep",GM28,0),IF(HA28="keep",HO28,0),IF(IC28="keep",IQ28,0),IF(JE28="keep",JS28,0),IF(KG28="keep",KU28,0),IF(LI28="keep",LW28,0))</f>
        <v>0</v>
      </c>
      <c r="AJ28" s="5">
        <f>SUM(IF(BQ28="lease",CH28,0),IF(CS28="lease",DJ28,0),IF(DU28="lease",EL28,0),IF(EW28="lease",FN28,0),IF(FY28="lease",GP28,0),IF(HA28="lease",HR28,0),IF(IC28="lease",IT28,0),IF(JE28="lease",JV28,0),IF(KG28="lease",KX28,0),IF(LI28="lease",LZ28,0))</f>
        <v>0</v>
      </c>
      <c r="AK28" s="5">
        <f>SUM(IF(BQ28="keep",CH28,0),IF(CS28="keep",DJ28,0),IF(DU28="keep",EL28,0),IF(EW28="keep",FN28,0),IF(FY28="keep",GP28,0),IF(HA28="keep",HR28,0),IF(IC28="keep",IT28,0),IF(JE28="keep",JV28,0),IF(KG28="keep",KX28,0),IF(LI28="keep",LZ28,0))</f>
        <v>0</v>
      </c>
      <c r="AL28" s="5">
        <f>R28-S27</f>
        <v>0</v>
      </c>
      <c r="AM28" s="5">
        <f>T28-U27</f>
        <v>0</v>
      </c>
      <c r="AN28" s="5">
        <f>AN27</f>
        <v>1</v>
      </c>
      <c r="AO28" s="5">
        <f>AO27+AH28</f>
        <v>0.006038687702655291</v>
      </c>
      <c r="AP28" s="5">
        <f>AP27+AL28</f>
        <v>-4.440892098500626e-16</v>
      </c>
      <c r="AQ28" s="5">
        <f>AN28+AO28+AP28</f>
        <v>1.0060386877026548</v>
      </c>
      <c r="AR28" s="5">
        <f>S28-AQ28</f>
        <v>2.220446049250313e-16</v>
      </c>
      <c r="AS28" s="5">
        <f>AS27</f>
        <v>0</v>
      </c>
      <c r="AT28" s="5">
        <f>AT27+AI28</f>
        <v>0</v>
      </c>
      <c r="AU28" s="5">
        <f>AU27+AM28</f>
        <v>0</v>
      </c>
      <c r="AV28" s="5">
        <f>AS28+AT28+AU28</f>
        <v>0</v>
      </c>
      <c r="AW28" s="5">
        <f>U28-AV28</f>
        <v>0</v>
      </c>
      <c r="AX28" s="4">
        <v>1.005867827962015</v>
      </c>
      <c r="AY28" s="4">
        <v>1.006038687702655</v>
      </c>
      <c r="AZ28" s="5">
        <f>S28-AY28</f>
        <v>0</v>
      </c>
      <c r="BA28" s="4">
        <v>0</v>
      </c>
      <c r="BB28" s="4">
        <v>0</v>
      </c>
      <c r="BC28" s="5">
        <f>U28-BB28</f>
        <v>0</v>
      </c>
      <c r="BD28" s="7">
        <f>SUM(IF(BP28="direct",CC28/F28,0),IF(CR28="direct",DE28/F28,0),IF(DT28="direct",EG28/F28,0),IF(EV28="direct",FI28/F28,0),IF(FX28="direct",GK28/F28,0),IF(GZ28="direct",HM28/F28,0),IF(IB28="direct",IO28/F28,0),IF(JD28="direct",JQ28/F28,0),IF(KF28="direct",KS28/F28,0),IF(LH28="direct",LU28/F28,0))</f>
        <v>0</v>
      </c>
      <c r="BE28" s="7">
        <f>-SUM(IF(BP28="direct",CD28/F28,0),IF(CR28="direct",DF28/F28,0),IF(DT28="direct",EH28/F28,0),IF(EV28="direct",FJ28/F28,0),IF(FX28="direct",GL28/F28,0),IF(GZ28="direct",HN28/F28,0),IF(IB28="direct",IP28/F28,0),IF(JD28="direct",JR28/F28,0),IF(KF28="direct",KT28/F28,0),IF(LH28="direct",LV28/F28,0))</f>
        <v>0</v>
      </c>
      <c r="BF28" s="7">
        <f>BD28+BE28</f>
        <v>0</v>
      </c>
      <c r="BG28" s="7">
        <f>BF28-SUM(IF(BP28="direct",CP28,0),IF(CR28="direct",DR28,0),IF(DT28="direct",ET28,0),IF(EV28="direct",FV28,0),IF(FX28="direct",GX28,0),IF(GZ28="direct",HZ28,0),IF(IB28="direct",JB28,0),IF(JD28="direct",KD28,0),IF(KF28="direct",LF28,0),IF(LH28="direct",MH28,0))</f>
        <v>0</v>
      </c>
      <c r="BH28" s="7">
        <f>SUM(IF(BP28="treasury",CP28,0),IF(CR28="treasury",DR28,0),IF(DT28="treasury",ET28,0),IF(EV28="treasury",FV28,0),IF(FX28="treasury",GX28,0),IF(GZ28="treasury",HZ28,0),IF(IB28="treasury",JB28,0),IF(JD28="treasury",KD28,0),IF(KF28="treasury",LF28,0),IF(LH28="treasury",MH28,0))</f>
        <v>0.00016986301369863014</v>
      </c>
      <c r="BI28" s="7">
        <f>SUM(IF(BP28="future",CP28,0),IF(CR28="future",DR28,0),IF(DT28="future",ET28,0),IF(EV28="future",FV28,0),IF(FX28="future",GX28,0),IF(GZ28="future",HZ28,0),IF(IB28="future",JB28,0),IF(JD28="future",KD28,0),IF(KF28="future",LF28,0),IF(LH28="future",MH28,0))</f>
        <v>0</v>
      </c>
      <c r="BJ28" s="7">
        <f>SUM(IF(BP28="cash",CP28,0),IF(CR28="cash",DR28,0),IF(DT28="cash",ET28,0),IF(EV28="cash",FV28,0),IF(FX28="cash",GX28,0),IF(GZ28="cash",HZ28,0),IF(IB28="cash",JB28,0),IF(JD28="cash",KD28,0),IF(KF28="cash",LF28,0),IF(LH28="cash",MH28,0))</f>
        <v>0</v>
      </c>
      <c r="BK28" s="7">
        <f>SUM(BF28,BH28,BI28,BJ28)</f>
        <v>0.00016986301369863014</v>
      </c>
      <c r="BL28" s="7">
        <f>G28-BK28</f>
        <v>0</v>
      </c>
      <c r="BM28" s="5">
        <f>MAX(ABS(CG28),ABS(DI28),ABS(EK28),ABS(FM28),ABS(GO28),ABS(HQ28),ABS(IS28),ABS(JU28),ABS(KW28),ABS(LY28))</f>
        <v>1.339802834648962e-16</v>
      </c>
      <c r="BN28" s="9">
        <f>COUNTA(BO28,CQ28,DS28,EU28,FW28,GY28,IA28,JC28,KE28,LG28)</f>
        <v>4</v>
      </c>
      <c r="BO28" t="inlineStr">
        <is>
          <t xml:space="preserve">Treasury collateral</t>
        </is>
      </c>
      <c r="BP28" t="inlineStr">
        <is>
          <t xml:space="preserve">treasury</t>
        </is>
      </c>
      <c r="BQ28" t="inlineStr">
        <is>
          <t xml:space="preserve">lease</t>
        </is>
      </c>
      <c r="BR28" t="inlineStr">
        <is>
          <t xml:space="preserve">long</t>
        </is>
      </c>
      <c r="BS28"/>
      <c r="BT28" s="4">
        <v>100.59071445441641</v>
      </c>
      <c r="BU28" s="4">
        <v>100.60780109632373</v>
      </c>
      <c r="BV28" s="6"/>
      <c r="BW28" s="4">
        <v>0.009999609143027142</v>
      </c>
      <c r="BX28" s="5">
        <f>IF(BP28="direct",IFERROR(CD28/BU28,0),0)</f>
        <v>0</v>
      </c>
      <c r="BY28" s="5">
        <f>IF(BP28="direct",BW28-BX28,IF(BP28="cash",CI28,BW28))</f>
        <v>0.009999609143027142</v>
      </c>
      <c r="BZ28" s="6">
        <v>1</v>
      </c>
      <c r="CA28" s="4">
        <v>1.0058678279620148</v>
      </c>
      <c r="CB28" s="4">
        <v>1.0058678279620148</v>
      </c>
      <c r="CC28" s="5">
        <f>IF(BP28="direct",BW28*(BU28-BT28),CF28)</f>
        <v>0.00017085974063998907</v>
      </c>
      <c r="CD28" s="5">
        <f>IF(BP28="direct",CB28*BV28*C28/365,0)</f>
        <v>0</v>
      </c>
      <c r="CE28" s="5">
        <f>CC28-CD28</f>
        <v>0.00017085974064012306</v>
      </c>
      <c r="CF28" s="4">
        <v>0.00017085974064012306</v>
      </c>
      <c r="CG28" s="5">
        <f>CF28-CE28</f>
        <v>1.339802834648962e-16</v>
      </c>
      <c r="CH28" s="4">
        <v>-1.0608918257770661e-16</v>
      </c>
      <c r="CI28" s="4">
        <v>1.0060386877026548</v>
      </c>
      <c r="CJ28" s="4">
        <v>1.922</v>
      </c>
      <c r="CK28" s="4">
        <v>1.885</v>
      </c>
      <c r="CL28" s="6"/>
      <c r="CM28" s="6"/>
      <c r="CN28" s="6"/>
      <c r="CO28" s="9">
        <v>49</v>
      </c>
      <c r="CP28" s="7">
        <f>IFERROR(CE28/F28,0)</f>
        <v>0.00016986301369863014</v>
      </c>
      <c r="CQ28" t="inlineStr">
        <is>
          <t xml:space="preserve">SI69H</t>
        </is>
      </c>
      <c r="CR28" t="inlineStr">
        <is>
          <t xml:space="preserve">future</t>
        </is>
      </c>
      <c r="CS28" t="inlineStr">
        <is>
          <t xml:space="preserve">lease</t>
        </is>
      </c>
      <c r="CT28" t="inlineStr">
        <is>
          <t xml:space="preserve">long</t>
        </is>
      </c>
      <c r="CU28" t="inlineStr">
        <is>
          <t xml:space="preserve">regular</t>
        </is>
      </c>
      <c r="CV28" s="4">
        <v>1.835</v>
      </c>
      <c r="CW28" s="4">
        <v>1.835</v>
      </c>
      <c r="CX28" s="6"/>
      <c r="CY28" s="4">
        <v>0.5481568544752125</v>
      </c>
      <c r="CZ28" s="5">
        <f>IF(CR28="direct",IFERROR(DF28/CW28,0),0)</f>
        <v>0</v>
      </c>
      <c r="DA28" s="5">
        <f>IF(CR28="direct",CY28-CZ28,IF(CR28="cash",DK28,CY28))</f>
        <v>0.5481568544752125</v>
      </c>
      <c r="DB28" s="6">
        <v>1</v>
      </c>
      <c r="DC28" s="4">
        <v>1.0058678279620148</v>
      </c>
      <c r="DD28" s="4">
        <v>0</v>
      </c>
      <c r="DE28" s="5">
        <f>IF(CR28="direct",CY28*(CW28-CV28),DH28)</f>
        <v>0</v>
      </c>
      <c r="DF28" s="5">
        <f>IF(CR28="direct",DD28*CX28*C28/365,0)</f>
        <v>0</v>
      </c>
      <c r="DG28" s="5">
        <f>DE28-DF28</f>
        <v>0</v>
      </c>
      <c r="DH28" s="4">
        <v>0</v>
      </c>
      <c r="DI28" s="5">
        <f>DH28-DG28</f>
        <v>0</v>
      </c>
      <c r="DJ28" s="4">
        <v>0</v>
      </c>
      <c r="DK28" s="4">
        <v>0</v>
      </c>
      <c r="DL28" s="4">
        <v>1.922</v>
      </c>
      <c r="DM28" s="4">
        <v>1.885</v>
      </c>
      <c r="DN28" s="6">
        <v>-0.04526534859521325</v>
      </c>
      <c r="DO28" s="6">
        <v>0.062</v>
      </c>
      <c r="DP28" s="6">
        <v>0.39918065790311913</v>
      </c>
      <c r="DQ28" s="9">
        <v>49</v>
      </c>
      <c r="DR28" s="7">
        <f>IFERROR(DG28/F28,0)</f>
        <v>0</v>
      </c>
      <c r="DS28" t="inlineStr">
        <is>
          <t xml:space="preserve">Lease cash / margin / financing</t>
        </is>
      </c>
      <c r="DT28" t="inlineStr">
        <is>
          <t xml:space="preserve">cash</t>
        </is>
      </c>
      <c r="DU28" t="inlineStr">
        <is>
          <t xml:space="preserve">lease</t>
        </is>
      </c>
      <c r="DV28" t="inlineStr">
        <is>
          <t xml:space="preserve">cash</t>
        </is>
      </c>
      <c r="DW28"/>
      <c r="DX28" s="4">
        <v>1</v>
      </c>
      <c r="DY28" s="4">
        <v>1</v>
      </c>
      <c r="DZ28" s="6"/>
      <c r="EA28" s="4">
        <v>2.220446049250313e-16</v>
      </c>
      <c r="EB28" s="5">
        <f>IF(DT28="direct",IFERROR(EH28/DY28,0),0)</f>
        <v>0</v>
      </c>
      <c r="EC28" s="5">
        <f>IF(DT28="direct",EA28-EB28,IF(DT28="cash",EM28,EA28))</f>
        <v>3.281337875027379e-16</v>
      </c>
      <c r="ED28" s="6"/>
      <c r="EE28" s="4">
        <v>2.220446049250313e-16</v>
      </c>
      <c r="EF28" s="4">
        <v>2.220446049250313e-16</v>
      </c>
      <c r="EG28" s="5">
        <f>IF(DT28="direct",EA28*(DY28-DX28),EJ28)</f>
        <v>0</v>
      </c>
      <c r="EH28" s="5">
        <f>IF(DT28="direct",EF28*DZ28*C28/365,0)</f>
        <v>0</v>
      </c>
      <c r="EI28" s="5">
        <f>EG28-EH28</f>
        <v>0</v>
      </c>
      <c r="EJ28" s="4">
        <v>0</v>
      </c>
      <c r="EK28" s="5">
        <f>EJ28-EI28</f>
        <v>0</v>
      </c>
      <c r="EL28" s="4">
        <v>1.0608918257770661e-16</v>
      </c>
      <c r="EM28" s="4">
        <v>3.281337875027379e-16</v>
      </c>
      <c r="EN28" s="4">
        <v>1.922</v>
      </c>
      <c r="EO28" s="4">
        <v>1.885</v>
      </c>
      <c r="EP28" s="6"/>
      <c r="EQ28" s="6"/>
      <c r="ER28" s="6"/>
      <c r="ES28" s="9"/>
      <c r="ET28" s="7">
        <f>IFERROR(EI28/F28,0)</f>
        <v>0</v>
      </c>
      <c r="EU28" t="inlineStr">
        <is>
          <t xml:space="preserve">Keep cash / margin / financing</t>
        </is>
      </c>
      <c r="EV28" t="inlineStr">
        <is>
          <t xml:space="preserve">cash</t>
        </is>
      </c>
      <c r="EW28" t="inlineStr">
        <is>
          <t xml:space="preserve">keep</t>
        </is>
      </c>
      <c r="EX28" t="inlineStr">
        <is>
          <t xml:space="preserve">cash</t>
        </is>
      </c>
      <c r="EY28"/>
      <c r="EZ28" s="4">
        <v>1</v>
      </c>
      <c r="FA28" s="4">
        <v>1</v>
      </c>
      <c r="FB28" s="6"/>
      <c r="FC28" s="4">
        <v>0</v>
      </c>
      <c r="FD28" s="5">
        <f>IF(EV28="direct",IFERROR(FJ28/FA28,0),0)</f>
        <v>0</v>
      </c>
      <c r="FE28" s="5">
        <f>IF(EV28="direct",FC28-FD28,IF(EV28="cash",FO28,FC28))</f>
        <v>0</v>
      </c>
      <c r="FF28" s="6"/>
      <c r="FG28" s="4">
        <v>0</v>
      </c>
      <c r="FH28" s="4">
        <v>0</v>
      </c>
      <c r="FI28" s="5">
        <f>IF(EV28="direct",FC28*(FA28-EZ28),FL28)</f>
        <v>0</v>
      </c>
      <c r="FJ28" s="5">
        <f>IF(EV28="direct",FH28*FB28*C28/365,0)</f>
        <v>0</v>
      </c>
      <c r="FK28" s="5">
        <f>FI28-FJ28</f>
        <v>0</v>
      </c>
      <c r="FL28" s="4">
        <v>0</v>
      </c>
      <c r="FM28" s="5">
        <f>FL28-FK28</f>
        <v>0</v>
      </c>
      <c r="FN28" s="4">
        <v>0</v>
      </c>
      <c r="FO28" s="4">
        <v>0</v>
      </c>
      <c r="FP28" s="4">
        <v>1.922</v>
      </c>
      <c r="FQ28" s="4">
        <v>1.885</v>
      </c>
      <c r="FR28" s="6"/>
      <c r="FS28" s="6"/>
      <c r="FT28" s="6"/>
      <c r="FU28" s="9"/>
      <c r="FV28" s="7">
        <f>IFERROR(FK28/F28,0)</f>
        <v>0</v>
      </c>
      <c r="FW28"/>
      <c r="FX28"/>
      <c r="FY28"/>
      <c r="FZ28"/>
      <c r="GA28"/>
      <c r="GB28" s="4"/>
      <c r="GC28" s="4"/>
      <c r="GD28" s="6"/>
      <c r="GE28" s="4"/>
      <c r="GF28" s="5">
        <v>0</v>
      </c>
      <c r="GG28" s="5"/>
      <c r="GH28" s="6"/>
      <c r="GI28" s="4"/>
      <c r="GJ28" s="4"/>
      <c r="GK28" s="5">
        <v>0</v>
      </c>
      <c r="GL28" s="5">
        <v>0</v>
      </c>
      <c r="GM28" s="5"/>
      <c r="GN28" s="4"/>
      <c r="GO28" s="5">
        <v>0</v>
      </c>
      <c r="GP28" s="4"/>
      <c r="GQ28" s="4"/>
      <c r="GR28" s="4"/>
      <c r="GS28" s="4"/>
      <c r="GT28" s="6"/>
      <c r="GU28" s="6"/>
      <c r="GV28" s="6"/>
      <c r="GW28" s="9"/>
      <c r="GX28"/>
      <c r="GY28"/>
      <c r="GZ28"/>
      <c r="HA28"/>
      <c r="HB28"/>
      <c r="HC28"/>
      <c r="HD28" s="4"/>
      <c r="HE28" s="4"/>
      <c r="HF28" s="6"/>
      <c r="HG28" s="4"/>
      <c r="HH28" s="5">
        <v>0</v>
      </c>
      <c r="HI28" s="5"/>
      <c r="HJ28" s="6"/>
      <c r="HK28" s="4"/>
      <c r="HL28" s="4"/>
      <c r="HM28" s="5">
        <v>0</v>
      </c>
      <c r="HN28" s="5">
        <v>0</v>
      </c>
      <c r="HO28" s="5"/>
      <c r="HP28" s="4"/>
      <c r="HQ28" s="5">
        <v>0</v>
      </c>
      <c r="HR28" s="4"/>
      <c r="HS28" s="4"/>
      <c r="HT28" s="4"/>
      <c r="HU28" s="4"/>
      <c r="HV28" s="6"/>
      <c r="HW28" s="6"/>
      <c r="HX28" s="6"/>
      <c r="HY28" s="9"/>
      <c r="HZ28"/>
      <c r="IA28"/>
      <c r="IB28"/>
      <c r="IC28"/>
      <c r="ID28"/>
      <c r="IE28"/>
      <c r="IF28" s="4"/>
      <c r="IG28" s="4"/>
      <c r="IH28" s="6"/>
      <c r="II28" s="4"/>
      <c r="IJ28" s="5">
        <v>0</v>
      </c>
      <c r="IK28" s="5"/>
      <c r="IL28" s="6"/>
      <c r="IM28" s="4"/>
      <c r="IN28" s="4"/>
      <c r="IO28" s="5">
        <v>0</v>
      </c>
      <c r="IP28" s="5">
        <v>0</v>
      </c>
      <c r="IQ28" s="5"/>
      <c r="IR28" s="4"/>
      <c r="IS28" s="5">
        <v>0</v>
      </c>
      <c r="IT28" s="4"/>
      <c r="IU28" s="4"/>
      <c r="IV28" s="4"/>
      <c r="IW28" s="4"/>
      <c r="IX28" s="6"/>
      <c r="IY28" s="6"/>
      <c r="IZ28" s="6"/>
      <c r="JA28" s="9"/>
      <c r="JB28"/>
      <c r="JC28"/>
      <c r="JD28"/>
      <c r="JE28"/>
      <c r="JF28"/>
      <c r="JG28"/>
      <c r="JH28" s="4"/>
      <c r="JI28" s="4"/>
      <c r="JJ28" s="6"/>
      <c r="JK28" s="4"/>
      <c r="JL28" s="5">
        <v>0</v>
      </c>
      <c r="JM28" s="5"/>
      <c r="JN28" s="6"/>
      <c r="JO28" s="4"/>
      <c r="JP28" s="4"/>
      <c r="JQ28" s="5">
        <v>0</v>
      </c>
      <c r="JR28" s="5">
        <v>0</v>
      </c>
      <c r="JS28" s="5"/>
      <c r="JT28" s="4"/>
      <c r="JU28" s="5">
        <v>0</v>
      </c>
      <c r="JV28" s="4"/>
      <c r="JW28" s="4"/>
      <c r="JX28" s="4"/>
      <c r="JY28" s="4"/>
      <c r="JZ28" s="6"/>
      <c r="KA28" s="6"/>
      <c r="KB28" s="6"/>
      <c r="KC28" s="9"/>
      <c r="KD28"/>
      <c r="KE28"/>
      <c r="KF28"/>
      <c r="KG28"/>
      <c r="KH28"/>
      <c r="KI28"/>
      <c r="KJ28" s="4"/>
      <c r="KK28" s="4"/>
      <c r="KL28" s="6"/>
      <c r="KM28" s="4"/>
      <c r="KN28" s="5">
        <v>0</v>
      </c>
      <c r="KO28" s="5"/>
      <c r="KP28" s="6"/>
      <c r="KQ28" s="4"/>
      <c r="KR28" s="4"/>
      <c r="KS28" s="5">
        <v>0</v>
      </c>
      <c r="KT28" s="5">
        <v>0</v>
      </c>
      <c r="KU28" s="5"/>
      <c r="KV28" s="4"/>
      <c r="KW28" s="5">
        <v>0</v>
      </c>
      <c r="KX28" s="4"/>
      <c r="KY28" s="4"/>
      <c r="KZ28" s="4"/>
      <c r="LA28" s="4"/>
      <c r="LB28" s="6"/>
      <c r="LC28" s="6"/>
      <c r="LD28" s="6"/>
      <c r="LE28" s="9"/>
      <c r="LF28"/>
      <c r="LG28"/>
      <c r="LH28"/>
      <c r="LI28"/>
      <c r="LJ28"/>
      <c r="LK28"/>
      <c r="LL28" s="4"/>
      <c r="LM28" s="4"/>
      <c r="LN28" s="6"/>
      <c r="LO28" s="4"/>
      <c r="LP28" s="5">
        <v>0</v>
      </c>
      <c r="LQ28" s="5"/>
      <c r="LR28" s="6"/>
      <c r="LS28" s="4"/>
      <c r="LT28" s="4"/>
      <c r="LU28" s="5">
        <v>0</v>
      </c>
      <c r="LV28" s="5">
        <v>0</v>
      </c>
      <c r="LW28" s="5"/>
      <c r="LX28" s="4"/>
      <c r="LY28" s="5">
        <v>0</v>
      </c>
      <c r="LZ28" s="4"/>
      <c r="MA28" s="4"/>
      <c r="MB28" s="4"/>
      <c r="MC28" s="4"/>
      <c r="MD28" s="6"/>
      <c r="ME28" s="6"/>
      <c r="MF28" s="6"/>
      <c r="MG28" s="9"/>
      <c r="MH28"/>
    </row>
    <row r="29">
      <c r="A29" s="8">
        <v>25241</v>
      </c>
      <c r="B29" s="8">
        <v>25245</v>
      </c>
      <c r="C29" s="9">
        <f>B29-A29</f>
        <v>4</v>
      </c>
      <c r="D29" s="8">
        <v>25241</v>
      </c>
      <c r="E29" t="inlineStr">
        <is>
          <t xml:space="preserve">positive</t>
        </is>
      </c>
      <c r="F29" s="4">
        <v>1.0060386877026548</v>
      </c>
      <c r="G29" s="6">
        <v>0.0017638908588705324</v>
      </c>
      <c r="H29" s="7">
        <f>SUM(CP29,DR29,ET29,FV29,GX29,HZ29,JB29,KD29,LF29,MH29)</f>
        <v>0.0017638908588705324</v>
      </c>
      <c r="I29" s="7">
        <f>G29-H29</f>
        <v>0</v>
      </c>
      <c r="J29" s="5">
        <f>F29*(1+H29)</f>
        <v>1.0078132301475637</v>
      </c>
      <c r="K29" s="4">
        <v>1.0078132301475637</v>
      </c>
      <c r="L29" s="5">
        <f>K29-J29</f>
        <v>0</v>
      </c>
      <c r="M29" s="4">
        <v>1.885</v>
      </c>
      <c r="N29" s="4">
        <v>1.883</v>
      </c>
      <c r="O29" s="5">
        <f>M29/$M$3</f>
        <v>0.9627170582226762</v>
      </c>
      <c r="P29" s="5">
        <f>N29/$M$3</f>
        <v>0.9616956077630235</v>
      </c>
      <c r="Q29" s="7">
        <f>IFERROR(N29/M29-1,0)</f>
        <v>-0.001061007957559701</v>
      </c>
      <c r="R29" s="5">
        <f>SUM(IF(BQ29="lease",CB29,0),IF(CS29="lease",DD29,0),IF(DU29="lease",EF29,0),IF(EW29="lease",FH29,0),IF(FY29="lease",GJ29,0),IF(HA29="lease",HL29,0),IF(IC29="lease",IN29,0),IF(JE29="lease",JP29,0),IF(KG29="lease",KR29,0),IF(LI29="lease",LT29,0))</f>
        <v>1.006038687702655</v>
      </c>
      <c r="S29" s="5">
        <f>SUM(IF(BQ29="lease",CI29,0),IF(CS29="lease",DK29,0),IF(DU29="lease",EM29,0),IF(EW29="lease",FO29,0),IF(FY29="lease",GQ29,0),IF(HA29="lease",HS29,0),IF(IC29="lease",IU29,0),IF(JE29="lease",JW29,0),IF(KG29="lease",KY29,0),IF(LI29="lease",MA29,0))</f>
        <v>1.0078132301475637</v>
      </c>
      <c r="T29" s="5">
        <f>SUM(IF(BQ29="keep",CB29,0),IF(CS29="keep",DD29,0),IF(DU29="keep",EF29,0),IF(EW29="keep",FH29,0),IF(FY29="keep",GJ29,0),IF(HA29="keep",HL29,0),IF(IC29="keep",IN29,0),IF(JE29="keep",JP29,0),IF(KG29="keep",KR29,0),IF(LI29="keep",LT29,0))</f>
        <v>0</v>
      </c>
      <c r="U29" s="5">
        <f>SUM(IF(BQ29="keep",CI29,0),IF(CS29="keep",DK29,0),IF(DU29="keep",EM29,0),IF(EW29="keep",FO29,0),IF(FY29="keep",GQ29,0),IF(HA29="keep",HS29,0),IF(IC29="keep",IU29,0),IF(JE29="keep",JW29,0),IF(KG29="keep",KY29,0),IF(LI29="keep",MA29,0))</f>
        <v>0</v>
      </c>
      <c r="V29" s="5">
        <f>R29/O29</f>
        <v>1.0449993371468427</v>
      </c>
      <c r="W29" s="5">
        <f>S29/P29</f>
        <v>1.047954489978189</v>
      </c>
      <c r="X29" s="5">
        <f>T29/O29</f>
        <v>0</v>
      </c>
      <c r="Y29" s="5">
        <f>U29/P29</f>
        <v>0</v>
      </c>
      <c r="Z29" s="5">
        <f>V29+X29</f>
        <v>1.0449993371468427</v>
      </c>
      <c r="AA29" s="7">
        <f>IFERROR(W29/V29-1,0)</f>
        <v>0.002827899240027021</v>
      </c>
      <c r="AB29" s="7">
        <f>IFERROR((W29-V29)/Z29,0)</f>
        <v>0.0028278992400270105</v>
      </c>
      <c r="AC29" s="7">
        <f>IFERROR(Y29/X29-1,0)</f>
        <v>0</v>
      </c>
      <c r="AD29" s="7">
        <f>IFERROR((Y29-X29)/Z29,0)</f>
        <v>0</v>
      </c>
      <c r="AE29" s="7">
        <f>AB29+AD29</f>
        <v>0.0028278992400270105</v>
      </c>
      <c r="AF29" s="7">
        <f>(1+Q29)*(1+AE29)-1</f>
        <v>0.0017638908588704094</v>
      </c>
      <c r="AG29" s="7">
        <f>G29-AF29</f>
        <v>1.229485263598562e-16</v>
      </c>
      <c r="AH29" s="5">
        <f>SUM(IF(BQ29="lease",CE29,0),IF(CS29="lease",DG29,0),IF(DU29="lease",EI29,0),IF(EW29="lease",FK29,0),IF(FY29="lease",GM29,0),IF(HA29="lease",HO29,0),IF(IC29="lease",IQ29,0),IF(JE29="lease",JS29,0),IF(KG29="lease",KU29,0),IF(LI29="lease",LW29,0))</f>
        <v>0.001774542444908819</v>
      </c>
      <c r="AI29" s="5">
        <f>SUM(IF(BQ29="keep",CE29,0),IF(CS29="keep",DG29,0),IF(DU29="keep",EI29,0),IF(EW29="keep",FK29,0),IF(FY29="keep",GM29,0),IF(HA29="keep",HO29,0),IF(IC29="keep",IQ29,0),IF(JE29="keep",JS29,0),IF(KG29="keep",KU29,0),IF(LI29="keep",LW29,0))</f>
        <v>0</v>
      </c>
      <c r="AJ29" s="5">
        <f>SUM(IF(BQ29="lease",CH29,0),IF(CS29="lease",DJ29,0),IF(DU29="lease",EL29,0),IF(EW29="lease",FN29,0),IF(FY29="lease",GP29,0),IF(HA29="lease",HR29,0),IF(IC29="lease",IT29,0),IF(JE29="lease",JV29,0),IF(KG29="lease",KX29,0),IF(LI29="lease",LZ29,0))</f>
        <v>0</v>
      </c>
      <c r="AK29" s="5">
        <f>SUM(IF(BQ29="keep",CH29,0),IF(CS29="keep",DJ29,0),IF(DU29="keep",EL29,0),IF(EW29="keep",FN29,0),IF(FY29="keep",GP29,0),IF(HA29="keep",HR29,0),IF(IC29="keep",IT29,0),IF(JE29="keep",JV29,0),IF(KG29="keep",KX29,0),IF(LI29="keep",LZ29,0))</f>
        <v>0</v>
      </c>
      <c r="AL29" s="5">
        <f>R29-S28</f>
        <v>0</v>
      </c>
      <c r="AM29" s="5">
        <f>T29-U28</f>
        <v>0</v>
      </c>
      <c r="AN29" s="5">
        <f>AN28</f>
        <v>1</v>
      </c>
      <c r="AO29" s="5">
        <f>AO28+AH29</f>
        <v>0.00781323014756411</v>
      </c>
      <c r="AP29" s="5">
        <f>AP28+AL29</f>
        <v>-4.440892098500626e-16</v>
      </c>
      <c r="AQ29" s="5">
        <f>AN29+AO29+AP29</f>
        <v>1.0078132301475637</v>
      </c>
      <c r="AR29" s="5">
        <f>S29-AQ29</f>
        <v>0</v>
      </c>
      <c r="AS29" s="5">
        <f>AS28</f>
        <v>0</v>
      </c>
      <c r="AT29" s="5">
        <f>AT28+AI29</f>
        <v>0</v>
      </c>
      <c r="AU29" s="5">
        <f>AU28+AM29</f>
        <v>0</v>
      </c>
      <c r="AV29" s="5">
        <f>AS29+AT29+AU29</f>
        <v>0</v>
      </c>
      <c r="AW29" s="5">
        <f>U29-AV29</f>
        <v>0</v>
      </c>
      <c r="AX29" s="4">
        <v>1.006038687702655</v>
      </c>
      <c r="AY29" s="4">
        <v>1.0078132301475637</v>
      </c>
      <c r="AZ29" s="5">
        <f>S29-AY29</f>
        <v>0</v>
      </c>
      <c r="BA29" s="4">
        <v>0</v>
      </c>
      <c r="BB29" s="4">
        <v>0</v>
      </c>
      <c r="BC29" s="5">
        <f>U29-BB29</f>
        <v>0</v>
      </c>
      <c r="BD29" s="7">
        <f>SUM(IF(BP29="direct",CC29/F29,0),IF(CR29="direct",DE29/F29,0),IF(DT29="direct",EG29/F29,0),IF(EV29="direct",FI29/F29,0),IF(FX29="direct",GK29/F29,0),IF(GZ29="direct",HM29/F29,0),IF(IB29="direct",IO29/F29,0),IF(JD29="direct",JQ29/F29,0),IF(KF29="direct",KS29/F29,0),IF(LH29="direct",LU29/F29,0))</f>
        <v>0</v>
      </c>
      <c r="BE29" s="7">
        <f>-SUM(IF(BP29="direct",CD29/F29,0),IF(CR29="direct",DF29/F29,0),IF(DT29="direct",EH29/F29,0),IF(EV29="direct",FJ29/F29,0),IF(FX29="direct",GL29/F29,0),IF(GZ29="direct",HN29/F29,0),IF(IB29="direct",IP29/F29,0),IF(JD29="direct",JR29/F29,0),IF(KF29="direct",KT29/F29,0),IF(LH29="direct",LV29/F29,0))</f>
        <v>0</v>
      </c>
      <c r="BF29" s="7">
        <f>BD29+BE29</f>
        <v>0</v>
      </c>
      <c r="BG29" s="7">
        <f>BF29-SUM(IF(BP29="direct",CP29,0),IF(CR29="direct",DR29,0),IF(DT29="direct",ET29,0),IF(EV29="direct",FV29,0),IF(FX29="direct",GX29,0),IF(GZ29="direct",HZ29,0),IF(IB29="direct",JB29,0),IF(JD29="direct",KD29,0),IF(KF29="direct",LF29,0),IF(LH29="direct",MH29,0))</f>
        <v>0</v>
      </c>
      <c r="BH29" s="7">
        <f>SUM(IF(BP29="treasury",CP29,0),IF(CR29="treasury",DR29,0),IF(DT29="treasury",ET29,0),IF(EV29="treasury",FV29,0),IF(FX29="treasury",GX29,0),IF(GZ29="treasury",HZ29,0),IF(IB29="treasury",JB29,0),IF(JD29="treasury",KD29,0),IF(KF29="treasury",LF29,0),IF(LH29="treasury",MH29,0))</f>
        <v>0.0006739726027397261</v>
      </c>
      <c r="BI29" s="7">
        <f>SUM(IF(BP29="future",CP29,0),IF(CR29="future",DR29,0),IF(DT29="future",ET29,0),IF(EV29="future",FV29,0),IF(FX29="future",GX29,0),IF(GZ29="future",HZ29,0),IF(IB29="future",JB29,0),IF(JD29="future",KD29,0),IF(KF29="future",LF29,0),IF(LH29="future",MH29,0))</f>
        <v>0.0010899182561308063</v>
      </c>
      <c r="BJ29" s="7">
        <f>SUM(IF(BP29="cash",CP29,0),IF(CR29="cash",DR29,0),IF(DT29="cash",ET29,0),IF(EV29="cash",FV29,0),IF(FX29="cash",GX29,0),IF(GZ29="cash",HZ29,0),IF(IB29="cash",JB29,0),IF(JD29="cash",KD29,0),IF(KF29="cash",LF29,0),IF(LH29="cash",MH29,0))</f>
        <v>0</v>
      </c>
      <c r="BK29" s="7">
        <f>SUM(BF29,BH29,BI29,BJ29)</f>
        <v>0.0017638908588705324</v>
      </c>
      <c r="BL29" s="7">
        <f>G29-BK29</f>
        <v>0</v>
      </c>
      <c r="BM29" s="5">
        <f>MAX(ABS(CG29),ABS(DI29),ABS(EK29),ABS(FM29),ABS(GO29),ABS(HQ29),ABS(IS29),ABS(JU29),ABS(KW29),ABS(LY29))</f>
        <v>1.8724171518824662e-16</v>
      </c>
      <c r="BN29" s="9">
        <f>COUNTA(BO29,CQ29,DS29,EU29,FW29,GY29,IA29,JC29,KE29,LG29)</f>
        <v>4</v>
      </c>
      <c r="BO29" t="inlineStr">
        <is>
          <t xml:space="preserve">Treasury collateral</t>
        </is>
      </c>
      <c r="BP29" t="inlineStr">
        <is>
          <t xml:space="preserve">treasury</t>
        </is>
      </c>
      <c r="BQ29" t="inlineStr">
        <is>
          <t xml:space="preserve">lease</t>
        </is>
      </c>
      <c r="BR29" t="inlineStr">
        <is>
          <t xml:space="preserve">long</t>
        </is>
      </c>
      <c r="BS29"/>
      <c r="BT29" s="4">
        <v>100.60780109632373</v>
      </c>
      <c r="BU29" s="4">
        <v>100.67560799788455</v>
      </c>
      <c r="BV29" s="6"/>
      <c r="BW29" s="4">
        <v>0.009999609143027142</v>
      </c>
      <c r="BX29" s="5">
        <f>IF(BP29="direct",IFERROR(CD29/BU29,0),0)</f>
        <v>0</v>
      </c>
      <c r="BY29" s="5">
        <f>IF(BP29="direct",BW29-BX29,IF(BP29="cash",CI29,BW29))</f>
        <v>0.009999609143027142</v>
      </c>
      <c r="BZ29" s="6">
        <v>1</v>
      </c>
      <c r="CA29" s="4">
        <v>1.0060386877026548</v>
      </c>
      <c r="CB29" s="4">
        <v>1.0060386877026548</v>
      </c>
      <c r="CC29" s="5">
        <f>IF(BP29="direct",BW29*(BU29-BT29),CF29)</f>
        <v>0.000678042512808004</v>
      </c>
      <c r="CD29" s="5">
        <f>IF(BP29="direct",CB29*BV29*C29/365,0)</f>
        <v>0</v>
      </c>
      <c r="CE29" s="5">
        <f>CC29-CD29</f>
        <v>0.0006780425128078167</v>
      </c>
      <c r="CF29" s="4">
        <v>0.0006780425128078167</v>
      </c>
      <c r="CG29" s="5">
        <f>CF29-CE29</f>
        <v>-1.8724171518824662e-16</v>
      </c>
      <c r="CH29" s="4">
        <v>3.023839859062072e-16</v>
      </c>
      <c r="CI29" s="4">
        <v>1.006716730215463</v>
      </c>
      <c r="CJ29" s="4">
        <v>1.885</v>
      </c>
      <c r="CK29" s="4">
        <v>1.883</v>
      </c>
      <c r="CL29" s="6"/>
      <c r="CM29" s="6"/>
      <c r="CN29" s="6"/>
      <c r="CO29" s="9">
        <v>48</v>
      </c>
      <c r="CP29" s="7">
        <f>IFERROR(CE29/F29,0)</f>
        <v>0.0006739726027397261</v>
      </c>
      <c r="CQ29" t="inlineStr">
        <is>
          <t xml:space="preserve">SI69H</t>
        </is>
      </c>
      <c r="CR29" t="inlineStr">
        <is>
          <t xml:space="preserve">future</t>
        </is>
      </c>
      <c r="CS29" t="inlineStr">
        <is>
          <t xml:space="preserve">lease</t>
        </is>
      </c>
      <c r="CT29" t="inlineStr">
        <is>
          <t xml:space="preserve">long</t>
        </is>
      </c>
      <c r="CU29" t="inlineStr">
        <is>
          <t xml:space="preserve">regular</t>
        </is>
      </c>
      <c r="CV29" s="4">
        <v>1.835</v>
      </c>
      <c r="CW29" s="4">
        <v>1.837</v>
      </c>
      <c r="CX29" s="6"/>
      <c r="CY29" s="4">
        <v>0.5482499660504931</v>
      </c>
      <c r="CZ29" s="5">
        <f>IF(CR29="direct",IFERROR(DF29/CW29,0),0)</f>
        <v>0</v>
      </c>
      <c r="DA29" s="5">
        <f>IF(CR29="direct",CY29-CZ29,IF(CR29="cash",DK29,CY29))</f>
        <v>0.5482499660504931</v>
      </c>
      <c r="DB29" s="6">
        <v>1</v>
      </c>
      <c r="DC29" s="4">
        <v>1.0060386877026548</v>
      </c>
      <c r="DD29" s="4">
        <v>0</v>
      </c>
      <c r="DE29" s="5">
        <f>IF(CR29="direct",CY29*(CW29-CV29),DH29)</f>
        <v>0.0010964999321010024</v>
      </c>
      <c r="DF29" s="5">
        <f>IF(CR29="direct",DD29*CX29*C29/365,0)</f>
        <v>0</v>
      </c>
      <c r="DG29" s="5">
        <f>DE29-DF29</f>
        <v>0.0010964999321010024</v>
      </c>
      <c r="DH29" s="4">
        <v>0.0010964999321010024</v>
      </c>
      <c r="DI29" s="5">
        <f>DH29-DG29</f>
        <v>0</v>
      </c>
      <c r="DJ29" s="4">
        <v>-0.0010964999321010024</v>
      </c>
      <c r="DK29" s="4">
        <v>0</v>
      </c>
      <c r="DL29" s="4">
        <v>1.885</v>
      </c>
      <c r="DM29" s="4">
        <v>1.883</v>
      </c>
      <c r="DN29" s="6">
        <v>-0.02652519893899208</v>
      </c>
      <c r="DO29" s="6">
        <v>0.061500000000000006</v>
      </c>
      <c r="DP29" s="6">
        <v>0.2632020335985856</v>
      </c>
      <c r="DQ29" s="9">
        <v>48</v>
      </c>
      <c r="DR29" s="7">
        <f>IFERROR(DG29/F29,0)</f>
        <v>0.0010899182561308063</v>
      </c>
      <c r="DS29" t="inlineStr">
        <is>
          <t xml:space="preserve">Lease cash / margin / financing</t>
        </is>
      </c>
      <c r="DT29" t="inlineStr">
        <is>
          <t xml:space="preserve">cash</t>
        </is>
      </c>
      <c r="DU29" t="inlineStr">
        <is>
          <t xml:space="preserve">lease</t>
        </is>
      </c>
      <c r="DV29" t="inlineStr">
        <is>
          <t xml:space="preserve">cash</t>
        </is>
      </c>
      <c r="DW29"/>
      <c r="DX29" s="4">
        <v>1</v>
      </c>
      <c r="DY29" s="4">
        <v>1</v>
      </c>
      <c r="DZ29" s="6"/>
      <c r="EA29" s="4">
        <v>2.220446049250313e-16</v>
      </c>
      <c r="EB29" s="5">
        <f>IF(DT29="direct",IFERROR(EH29/DY29,0),0)</f>
        <v>0</v>
      </c>
      <c r="EC29" s="5">
        <f>IF(DT29="direct",EA29-EB29,IF(DT29="cash",EM29,EA29))</f>
        <v>0.001096499932100922</v>
      </c>
      <c r="ED29" s="6"/>
      <c r="EE29" s="4">
        <v>2.220446049250313e-16</v>
      </c>
      <c r="EF29" s="4">
        <v>2.220446049250313e-16</v>
      </c>
      <c r="EG29" s="5">
        <f>IF(DT29="direct",EA29*(DY29-DX29),EJ29)</f>
        <v>0</v>
      </c>
      <c r="EH29" s="5">
        <f>IF(DT29="direct",EF29*DZ29*C29/365,0)</f>
        <v>0</v>
      </c>
      <c r="EI29" s="5">
        <f>EG29-EH29</f>
        <v>0</v>
      </c>
      <c r="EJ29" s="4">
        <v>0</v>
      </c>
      <c r="EK29" s="5">
        <f>EJ29-EI29</f>
        <v>0</v>
      </c>
      <c r="EL29" s="4">
        <v>0.0010964999321007</v>
      </c>
      <c r="EM29" s="4">
        <v>0.001096499932100922</v>
      </c>
      <c r="EN29" s="4">
        <v>1.885</v>
      </c>
      <c r="EO29" s="4">
        <v>1.883</v>
      </c>
      <c r="EP29" s="6"/>
      <c r="EQ29" s="6"/>
      <c r="ER29" s="6"/>
      <c r="ES29" s="9"/>
      <c r="ET29" s="7">
        <f>IFERROR(EI29/F29,0)</f>
        <v>0</v>
      </c>
      <c r="EU29" t="inlineStr">
        <is>
          <t xml:space="preserve">Keep cash / margin / financing</t>
        </is>
      </c>
      <c r="EV29" t="inlineStr">
        <is>
          <t xml:space="preserve">cash</t>
        </is>
      </c>
      <c r="EW29" t="inlineStr">
        <is>
          <t xml:space="preserve">keep</t>
        </is>
      </c>
      <c r="EX29" t="inlineStr">
        <is>
          <t xml:space="preserve">cash</t>
        </is>
      </c>
      <c r="EY29"/>
      <c r="EZ29" s="4">
        <v>1</v>
      </c>
      <c r="FA29" s="4">
        <v>1</v>
      </c>
      <c r="FB29" s="6"/>
      <c r="FC29" s="4">
        <v>0</v>
      </c>
      <c r="FD29" s="5">
        <f>IF(EV29="direct",IFERROR(FJ29/FA29,0),0)</f>
        <v>0</v>
      </c>
      <c r="FE29" s="5">
        <f>IF(EV29="direct",FC29-FD29,IF(EV29="cash",FO29,FC29))</f>
        <v>0</v>
      </c>
      <c r="FF29" s="6"/>
      <c r="FG29" s="4">
        <v>0</v>
      </c>
      <c r="FH29" s="4">
        <v>0</v>
      </c>
      <c r="FI29" s="5">
        <f>IF(EV29="direct",FC29*(FA29-EZ29),FL29)</f>
        <v>0</v>
      </c>
      <c r="FJ29" s="5">
        <f>IF(EV29="direct",FH29*FB29*C29/365,0)</f>
        <v>0</v>
      </c>
      <c r="FK29" s="5">
        <f>FI29-FJ29</f>
        <v>0</v>
      </c>
      <c r="FL29" s="4">
        <v>0</v>
      </c>
      <c r="FM29" s="5">
        <f>FL29-FK29</f>
        <v>0</v>
      </c>
      <c r="FN29" s="4">
        <v>0</v>
      </c>
      <c r="FO29" s="4">
        <v>0</v>
      </c>
      <c r="FP29" s="4">
        <v>1.885</v>
      </c>
      <c r="FQ29" s="4">
        <v>1.883</v>
      </c>
      <c r="FR29" s="6"/>
      <c r="FS29" s="6"/>
      <c r="FT29" s="6"/>
      <c r="FU29" s="9"/>
      <c r="FV29" s="7">
        <f>IFERROR(FK29/F29,0)</f>
        <v>0</v>
      </c>
      <c r="FW29"/>
      <c r="FX29"/>
      <c r="FY29"/>
      <c r="FZ29"/>
      <c r="GA29"/>
      <c r="GB29" s="4"/>
      <c r="GC29" s="4"/>
      <c r="GD29" s="6"/>
      <c r="GE29" s="4"/>
      <c r="GF29" s="5">
        <v>0</v>
      </c>
      <c r="GG29" s="5"/>
      <c r="GH29" s="6"/>
      <c r="GI29" s="4"/>
      <c r="GJ29" s="4"/>
      <c r="GK29" s="5">
        <v>0</v>
      </c>
      <c r="GL29" s="5">
        <v>0</v>
      </c>
      <c r="GM29" s="5"/>
      <c r="GN29" s="4"/>
      <c r="GO29" s="5">
        <v>0</v>
      </c>
      <c r="GP29" s="4"/>
      <c r="GQ29" s="4"/>
      <c r="GR29" s="4"/>
      <c r="GS29" s="4"/>
      <c r="GT29" s="6"/>
      <c r="GU29" s="6"/>
      <c r="GV29" s="6"/>
      <c r="GW29" s="9"/>
      <c r="GX29"/>
      <c r="GY29"/>
      <c r="GZ29"/>
      <c r="HA29"/>
      <c r="HB29"/>
      <c r="HC29"/>
      <c r="HD29" s="4"/>
      <c r="HE29" s="4"/>
      <c r="HF29" s="6"/>
      <c r="HG29" s="4"/>
      <c r="HH29" s="5">
        <v>0</v>
      </c>
      <c r="HI29" s="5"/>
      <c r="HJ29" s="6"/>
      <c r="HK29" s="4"/>
      <c r="HL29" s="4"/>
      <c r="HM29" s="5">
        <v>0</v>
      </c>
      <c r="HN29" s="5">
        <v>0</v>
      </c>
      <c r="HO29" s="5"/>
      <c r="HP29" s="4"/>
      <c r="HQ29" s="5">
        <v>0</v>
      </c>
      <c r="HR29" s="4"/>
      <c r="HS29" s="4"/>
      <c r="HT29" s="4"/>
      <c r="HU29" s="4"/>
      <c r="HV29" s="6"/>
      <c r="HW29" s="6"/>
      <c r="HX29" s="6"/>
      <c r="HY29" s="9"/>
      <c r="HZ29"/>
      <c r="IA29"/>
      <c r="IB29"/>
      <c r="IC29"/>
      <c r="ID29"/>
      <c r="IE29"/>
      <c r="IF29" s="4"/>
      <c r="IG29" s="4"/>
      <c r="IH29" s="6"/>
      <c r="II29" s="4"/>
      <c r="IJ29" s="5">
        <v>0</v>
      </c>
      <c r="IK29" s="5"/>
      <c r="IL29" s="6"/>
      <c r="IM29" s="4"/>
      <c r="IN29" s="4"/>
      <c r="IO29" s="5">
        <v>0</v>
      </c>
      <c r="IP29" s="5">
        <v>0</v>
      </c>
      <c r="IQ29" s="5"/>
      <c r="IR29" s="4"/>
      <c r="IS29" s="5">
        <v>0</v>
      </c>
      <c r="IT29" s="4"/>
      <c r="IU29" s="4"/>
      <c r="IV29" s="4"/>
      <c r="IW29" s="4"/>
      <c r="IX29" s="6"/>
      <c r="IY29" s="6"/>
      <c r="IZ29" s="6"/>
      <c r="JA29" s="9"/>
      <c r="JB29"/>
      <c r="JC29"/>
      <c r="JD29"/>
      <c r="JE29"/>
      <c r="JF29"/>
      <c r="JG29"/>
      <c r="JH29" s="4"/>
      <c r="JI29" s="4"/>
      <c r="JJ29" s="6"/>
      <c r="JK29" s="4"/>
      <c r="JL29" s="5">
        <v>0</v>
      </c>
      <c r="JM29" s="5"/>
      <c r="JN29" s="6"/>
      <c r="JO29" s="4"/>
      <c r="JP29" s="4"/>
      <c r="JQ29" s="5">
        <v>0</v>
      </c>
      <c r="JR29" s="5">
        <v>0</v>
      </c>
      <c r="JS29" s="5"/>
      <c r="JT29" s="4"/>
      <c r="JU29" s="5">
        <v>0</v>
      </c>
      <c r="JV29" s="4"/>
      <c r="JW29" s="4"/>
      <c r="JX29" s="4"/>
      <c r="JY29" s="4"/>
      <c r="JZ29" s="6"/>
      <c r="KA29" s="6"/>
      <c r="KB29" s="6"/>
      <c r="KC29" s="9"/>
      <c r="KD29"/>
      <c r="KE29"/>
      <c r="KF29"/>
      <c r="KG29"/>
      <c r="KH29"/>
      <c r="KI29"/>
      <c r="KJ29" s="4"/>
      <c r="KK29" s="4"/>
      <c r="KL29" s="6"/>
      <c r="KM29" s="4"/>
      <c r="KN29" s="5">
        <v>0</v>
      </c>
      <c r="KO29" s="5"/>
      <c r="KP29" s="6"/>
      <c r="KQ29" s="4"/>
      <c r="KR29" s="4"/>
      <c r="KS29" s="5">
        <v>0</v>
      </c>
      <c r="KT29" s="5">
        <v>0</v>
      </c>
      <c r="KU29" s="5"/>
      <c r="KV29" s="4"/>
      <c r="KW29" s="5">
        <v>0</v>
      </c>
      <c r="KX29" s="4"/>
      <c r="KY29" s="4"/>
      <c r="KZ29" s="4"/>
      <c r="LA29" s="4"/>
      <c r="LB29" s="6"/>
      <c r="LC29" s="6"/>
      <c r="LD29" s="6"/>
      <c r="LE29" s="9"/>
      <c r="LF29"/>
      <c r="LG29"/>
      <c r="LH29"/>
      <c r="LI29"/>
      <c r="LJ29"/>
      <c r="LK29"/>
      <c r="LL29" s="4"/>
      <c r="LM29" s="4"/>
      <c r="LN29" s="6"/>
      <c r="LO29" s="4"/>
      <c r="LP29" s="5">
        <v>0</v>
      </c>
      <c r="LQ29" s="5"/>
      <c r="LR29" s="6"/>
      <c r="LS29" s="4"/>
      <c r="LT29" s="4"/>
      <c r="LU29" s="5">
        <v>0</v>
      </c>
      <c r="LV29" s="5">
        <v>0</v>
      </c>
      <c r="LW29" s="5"/>
      <c r="LX29" s="4"/>
      <c r="LY29" s="5">
        <v>0</v>
      </c>
      <c r="LZ29" s="4"/>
      <c r="MA29" s="4"/>
      <c r="MB29" s="4"/>
      <c r="MC29" s="4"/>
      <c r="MD29" s="6"/>
      <c r="ME29" s="6"/>
      <c r="MF29" s="6"/>
      <c r="MG29" s="9"/>
      <c r="MH29"/>
    </row>
    <row r="30">
      <c r="A30" s="8">
        <v>25245</v>
      </c>
      <c r="B30" s="8">
        <v>25247</v>
      </c>
      <c r="C30" s="9">
        <f>B30-A30</f>
        <v>2</v>
      </c>
      <c r="D30" s="8">
        <v>25245</v>
      </c>
      <c r="E30" t="inlineStr">
        <is>
          <t xml:space="preserve">positive</t>
        </is>
      </c>
      <c r="F30" s="4">
        <v>1.0078132301475637</v>
      </c>
      <c r="G30" s="6">
        <v>-0.05410343069775775</v>
      </c>
      <c r="H30" s="7">
        <f>SUM(CP30,DR30,ET30,FV30,GX30,HZ30,JB30,KD30,LF30,MH30)</f>
        <v>-0.05410343069775775</v>
      </c>
      <c r="I30" s="7">
        <f>G30-H30</f>
        <v>0</v>
      </c>
      <c r="J30" s="5">
        <f>F30*(1+H30)</f>
        <v>0.9532870768939917</v>
      </c>
      <c r="K30" s="4">
        <v>0.9532870768939917</v>
      </c>
      <c r="L30" s="5">
        <f>K30-J30</f>
        <v>0</v>
      </c>
      <c r="M30" s="4">
        <v>1.883</v>
      </c>
      <c r="N30" s="4">
        <v>1.833</v>
      </c>
      <c r="O30" s="5">
        <f>M30/$M$3</f>
        <v>0.9616956077630235</v>
      </c>
      <c r="P30" s="5">
        <f>N30/$M$3</f>
        <v>0.9361593462717058</v>
      </c>
      <c r="Q30" s="7">
        <f>IFERROR(N30/M30-1,0)</f>
        <v>-0.026553372278279364</v>
      </c>
      <c r="R30" s="5">
        <f>SUM(IF(BQ30="lease",CB30,0),IF(CS30="lease",DD30,0),IF(DU30="lease",EF30,0),IF(EW30="lease",FH30,0),IF(FY30="lease",GJ30,0),IF(HA30="lease",HL30,0),IF(IC30="lease",IN30,0),IF(JE30="lease",JP30,0),IF(KG30="lease",KR30,0),IF(LI30="lease",LT30,0))</f>
        <v>1.0078132301475637</v>
      </c>
      <c r="S30" s="5">
        <f>SUM(IF(BQ30="lease",CI30,0),IF(CS30="lease",DK30,0),IF(DU30="lease",EM30,0),IF(EW30="lease",FO30,0),IF(FY30="lease",GQ30,0),IF(HA30="lease",HS30,0),IF(IC30="lease",IU30,0),IF(JE30="lease",JW30,0),IF(KG30="lease",KY30,0),IF(LI30="lease",MA30,0))</f>
        <v>0.9532870768939916</v>
      </c>
      <c r="T30" s="5">
        <f>SUM(IF(BQ30="keep",CB30,0),IF(CS30="keep",DD30,0),IF(DU30="keep",EF30,0),IF(EW30="keep",FH30,0),IF(FY30="keep",GJ30,0),IF(HA30="keep",HL30,0),IF(IC30="keep",IN30,0),IF(JE30="keep",JP30,0),IF(KG30="keep",KR30,0),IF(LI30="keep",LT30,0))</f>
        <v>0</v>
      </c>
      <c r="U30" s="5">
        <f>SUM(IF(BQ30="keep",CI30,0),IF(CS30="keep",DK30,0),IF(DU30="keep",EM30,0),IF(EW30="keep",FO30,0),IF(FY30="keep",GQ30,0),IF(HA30="keep",HS30,0),IF(IC30="keep",IU30,0),IF(JE30="keep",JW30,0),IF(KG30="keep",KY30,0),IF(LI30="keep",MA30,0))</f>
        <v>0</v>
      </c>
      <c r="V30" s="5">
        <f>R30/O30</f>
        <v>1.047954489978189</v>
      </c>
      <c r="W30" s="5">
        <f>S30/P30</f>
        <v>1.0182957428032928</v>
      </c>
      <c r="X30" s="5">
        <f>T30/O30</f>
        <v>0</v>
      </c>
      <c r="Y30" s="5">
        <f>U30/P30</f>
        <v>0</v>
      </c>
      <c r="Z30" s="5">
        <f>V30+X30</f>
        <v>1.047954489978189</v>
      </c>
      <c r="AA30" s="7">
        <f>IFERROR(W30/V30-1,0)</f>
        <v>-0.02830156028580344</v>
      </c>
      <c r="AB30" s="7">
        <f>IFERROR((W30-V30)/Z30,0)</f>
        <v>-0.028301560285803464</v>
      </c>
      <c r="AC30" s="7">
        <f>IFERROR(Y30/X30-1,0)</f>
        <v>0</v>
      </c>
      <c r="AD30" s="7">
        <f>IFERROR((Y30-X30)/Z30,0)</f>
        <v>0</v>
      </c>
      <c r="AE30" s="7">
        <f>AB30+AD30</f>
        <v>-0.028301560285803464</v>
      </c>
      <c r="AF30" s="7">
        <f>(1+Q30)*(1+AE30)-1</f>
        <v>-0.05410343069775769</v>
      </c>
      <c r="AG30" s="7">
        <f>G30-AF30</f>
        <v>-5.551115123125783e-17</v>
      </c>
      <c r="AH30" s="5">
        <f>SUM(IF(BQ30="lease",CE30,0),IF(CS30="lease",DG30,0),IF(DU30="lease",EI30,0),IF(EW30="lease",FK30,0),IF(FY30="lease",GM30,0),IF(HA30="lease",HO30,0),IF(IC30="lease",IQ30,0),IF(JE30="lease",JS30,0),IF(KG30="lease",KU30,0),IF(LI30="lease",LW30,0))</f>
        <v>-0.054526153253572095</v>
      </c>
      <c r="AI30" s="5">
        <f>SUM(IF(BQ30="keep",CE30,0),IF(CS30="keep",DG30,0),IF(DU30="keep",EI30,0),IF(EW30="keep",FK30,0),IF(FY30="keep",GM30,0),IF(HA30="keep",HO30,0),IF(IC30="keep",IQ30,0),IF(JE30="keep",JS30,0),IF(KG30="keep",KU30,0),IF(LI30="keep",LW30,0))</f>
        <v>0</v>
      </c>
      <c r="AJ30" s="5">
        <f>SUM(IF(BQ30="lease",CH30,0),IF(CS30="lease",DJ30,0),IF(DU30="lease",EL30,0),IF(EW30="lease",FN30,0),IF(FY30="lease",GP30,0),IF(HA30="lease",HR30,0),IF(IC30="lease",IT30,0),IF(JE30="lease",JV30,0),IF(KG30="lease",KX30,0),IF(LI30="lease",LZ30,0))</f>
        <v>0</v>
      </c>
      <c r="AK30" s="5">
        <f>SUM(IF(BQ30="keep",CH30,0),IF(CS30="keep",DJ30,0),IF(DU30="keep",EL30,0),IF(EW30="keep",FN30,0),IF(FY30="keep",GP30,0),IF(HA30="keep",HR30,0),IF(IC30="keep",IT30,0),IF(JE30="keep",JV30,0),IF(KG30="keep",KX30,0),IF(LI30="keep",LZ30,0))</f>
        <v>0</v>
      </c>
      <c r="AL30" s="5">
        <f>R30-S29</f>
        <v>0</v>
      </c>
      <c r="AM30" s="5">
        <f>T30-U29</f>
        <v>0</v>
      </c>
      <c r="AN30" s="5">
        <f>AN29</f>
        <v>1</v>
      </c>
      <c r="AO30" s="5">
        <f>AO29+AH30</f>
        <v>-0.046712923106007984</v>
      </c>
      <c r="AP30" s="5">
        <f>AP29+AL30</f>
        <v>-4.440892098500626e-16</v>
      </c>
      <c r="AQ30" s="5">
        <f>AN30+AO30+AP30</f>
        <v>0.9532870768939916</v>
      </c>
      <c r="AR30" s="5">
        <f>S30-AQ30</f>
        <v>0</v>
      </c>
      <c r="AS30" s="5">
        <f>AS29</f>
        <v>0</v>
      </c>
      <c r="AT30" s="5">
        <f>AT29+AI30</f>
        <v>0</v>
      </c>
      <c r="AU30" s="5">
        <f>AU29+AM30</f>
        <v>0</v>
      </c>
      <c r="AV30" s="5">
        <f>AS30+AT30+AU30</f>
        <v>0</v>
      </c>
      <c r="AW30" s="5">
        <f>U30-AV30</f>
        <v>0</v>
      </c>
      <c r="AX30" s="4">
        <v>1.0078132301475637</v>
      </c>
      <c r="AY30" s="4">
        <v>0.9532870768939916</v>
      </c>
      <c r="AZ30" s="5">
        <f>S30-AY30</f>
        <v>0</v>
      </c>
      <c r="BA30" s="4">
        <v>0</v>
      </c>
      <c r="BB30" s="4">
        <v>0</v>
      </c>
      <c r="BC30" s="5">
        <f>U30-BB30</f>
        <v>0</v>
      </c>
      <c r="BD30" s="7">
        <f>SUM(IF(BP30="direct",CC30/F30,0),IF(CR30="direct",DE30/F30,0),IF(DT30="direct",EG30/F30,0),IF(EV30="direct",FI30/F30,0),IF(FX30="direct",GK30/F30,0),IF(GZ30="direct",HM30/F30,0),IF(IB30="direct",IO30/F30,0),IF(JD30="direct",JQ30/F30,0),IF(KF30="direct",KS30/F30,0),IF(LH30="direct",LU30/F30,0))</f>
        <v>0</v>
      </c>
      <c r="BE30" s="7">
        <f>-SUM(IF(BP30="direct",CD30/F30,0),IF(CR30="direct",DF30/F30,0),IF(DT30="direct",EH30/F30,0),IF(EV30="direct",FJ30/F30,0),IF(FX30="direct",GL30/F30,0),IF(GZ30="direct",HN30/F30,0),IF(IB30="direct",IP30/F30,0),IF(JD30="direct",JR30/F30,0),IF(KF30="direct",KT30/F30,0),IF(LH30="direct",LV30/F30,0))</f>
        <v>0</v>
      </c>
      <c r="BF30" s="7">
        <f>BD30+BE30</f>
        <v>0</v>
      </c>
      <c r="BG30" s="7">
        <f>BF30-SUM(IF(BP30="direct",CP30,0),IF(CR30="direct",DR30,0),IF(DT30="direct",ET30,0),IF(EV30="direct",FV30,0),IF(FX30="direct",GX30,0),IF(GZ30="direct",HZ30,0),IF(IB30="direct",JB30,0),IF(JD30="direct",KD30,0),IF(KF30="direct",LF30,0),IF(LH30="direct",MH30,0))</f>
        <v>0</v>
      </c>
      <c r="BH30" s="7">
        <f>SUM(IF(BP30="treasury",CP30,0),IF(CR30="treasury",DR30,0),IF(DT30="treasury",ET30,0),IF(EV30="treasury",FV30,0),IF(FX30="treasury",GX30,0),IF(GZ30="treasury",HZ30,0),IF(IB30="treasury",JB30,0),IF(JD30="treasury",KD30,0),IF(KF30="treasury",LF30,0),IF(LH30="treasury",MH30,0))</f>
        <v>0.00033315068493150685</v>
      </c>
      <c r="BI30" s="7">
        <f>SUM(IF(BP30="future",CP30,0),IF(CR30="future",DR30,0),IF(DT30="future",ET30,0),IF(EV30="future",FV30,0),IF(FX30="future",GX30,0),IF(GZ30="future",HZ30,0),IF(IB30="future",JB30,0),IF(JD30="future",KD30,0),IF(KF30="future",LF30,0),IF(LH30="future",MH30,0))</f>
        <v>-0.05443658138268925</v>
      </c>
      <c r="BJ30" s="7">
        <f>SUM(IF(BP30="cash",CP30,0),IF(CR30="cash",DR30,0),IF(DT30="cash",ET30,0),IF(EV30="cash",FV30,0),IF(FX30="cash",GX30,0),IF(GZ30="cash",HZ30,0),IF(IB30="cash",JB30,0),IF(JD30="cash",KD30,0),IF(KF30="cash",LF30,0),IF(LH30="cash",MH30,0))</f>
        <v>0</v>
      </c>
      <c r="BK30" s="7">
        <f>SUM(BF30,BH30,BI30,BJ30)</f>
        <v>-0.05410343069775775</v>
      </c>
      <c r="BL30" s="7">
        <f>G30-BK30</f>
        <v>0</v>
      </c>
      <c r="BM30" s="5">
        <f>MAX(ABS(CG30),ABS(DI30),ABS(EK30),ABS(FM30),ABS(GO30),ABS(HQ30),ABS(IS30),ABS(JU30),ABS(KW30),ABS(LY30))</f>
        <v>1.4029576111962427e-16</v>
      </c>
      <c r="BN30" s="9">
        <f>COUNTA(BO30,CQ30,DS30,EU30,FW30,GY30,IA30,JC30,KE30,LG30)</f>
        <v>4</v>
      </c>
      <c r="BO30" t="inlineStr">
        <is>
          <t xml:space="preserve">Treasury collateral</t>
        </is>
      </c>
      <c r="BP30" t="inlineStr">
        <is>
          <t xml:space="preserve">treasury</t>
        </is>
      </c>
      <c r="BQ30" t="inlineStr">
        <is>
          <t xml:space="preserve">lease</t>
        </is>
      </c>
      <c r="BR30" t="inlineStr">
        <is>
          <t xml:space="preserve">long</t>
        </is>
      </c>
      <c r="BS30"/>
      <c r="BT30" s="4">
        <v>100.67560799788455</v>
      </c>
      <c r="BU30" s="4">
        <v>100.70914814564496</v>
      </c>
      <c r="BV30" s="6"/>
      <c r="BW30" s="4">
        <v>0.01001050055907028</v>
      </c>
      <c r="BX30" s="5">
        <f>IF(BP30="direct",IFERROR(CD30/BU30,0),0)</f>
        <v>0</v>
      </c>
      <c r="BY30" s="5">
        <f>IF(BP30="direct",BW30-BX30,IF(BP30="cash",CI30,BW30))</f>
        <v>0.01001050055907028</v>
      </c>
      <c r="BZ30" s="6">
        <v>1</v>
      </c>
      <c r="CA30" s="4">
        <v>1.0078132301475637</v>
      </c>
      <c r="CB30" s="4">
        <v>1.0078132301475637</v>
      </c>
      <c r="CC30" s="5">
        <f>IF(BP30="direct",BW30*(BU30-BT30),CF30)</f>
        <v>0.0003357536679068355</v>
      </c>
      <c r="CD30" s="5">
        <f>IF(BP30="direct",CB30*BV30*C30/365,0)</f>
        <v>0</v>
      </c>
      <c r="CE30" s="5">
        <f>CC30-CD30</f>
        <v>0.0003357536679066952</v>
      </c>
      <c r="CF30" s="4">
        <v>0.0003357536679066952</v>
      </c>
      <c r="CG30" s="5">
        <f>CF30-CE30</f>
        <v>-1.4029576111962427e-16</v>
      </c>
      <c r="CH30" s="4">
        <v>2.8893987896738693e-17</v>
      </c>
      <c r="CI30" s="4">
        <v>1.0081489838154705</v>
      </c>
      <c r="CJ30" s="4">
        <v>1.883</v>
      </c>
      <c r="CK30" s="4">
        <v>1.833</v>
      </c>
      <c r="CL30" s="6"/>
      <c r="CM30" s="6"/>
      <c r="CN30" s="6"/>
      <c r="CO30" s="9">
        <v>44</v>
      </c>
      <c r="CP30" s="7">
        <f>IFERROR(CE30/F30,0)</f>
        <v>0.00033315068493150685</v>
      </c>
      <c r="CQ30" t="inlineStr">
        <is>
          <t xml:space="preserve">SI69H</t>
        </is>
      </c>
      <c r="CR30" t="inlineStr">
        <is>
          <t xml:space="preserve">future</t>
        </is>
      </c>
      <c r="CS30" t="inlineStr">
        <is>
          <t xml:space="preserve">lease</t>
        </is>
      </c>
      <c r="CT30" t="inlineStr">
        <is>
          <t xml:space="preserve">long</t>
        </is>
      </c>
      <c r="CU30" t="inlineStr">
        <is>
          <t xml:space="preserve">regular</t>
        </is>
      </c>
      <c r="CV30" s="4">
        <v>1.837</v>
      </c>
      <c r="CW30" s="4">
        <v>1.7369999999999999</v>
      </c>
      <c r="CX30" s="6"/>
      <c r="CY30" s="4">
        <v>0.548619069214787</v>
      </c>
      <c r="CZ30" s="5">
        <f>IF(CR30="direct",IFERROR(DF30/CW30,0),0)</f>
        <v>0</v>
      </c>
      <c r="DA30" s="5">
        <f>IF(CR30="direct",CY30-CZ30,IF(CR30="cash",DK30,CY30))</f>
        <v>0.548619069214787</v>
      </c>
      <c r="DB30" s="6">
        <v>1</v>
      </c>
      <c r="DC30" s="4">
        <v>1.0078132301475637</v>
      </c>
      <c r="DD30" s="4">
        <v>0</v>
      </c>
      <c r="DE30" s="5">
        <f>IF(CR30="direct",CY30*(CW30-CV30),DH30)</f>
        <v>-0.05486190692147879</v>
      </c>
      <c r="DF30" s="5">
        <f>IF(CR30="direct",DD30*CX30*C30/365,0)</f>
        <v>0</v>
      </c>
      <c r="DG30" s="5">
        <f>DE30-DF30</f>
        <v>-0.05486190692147879</v>
      </c>
      <c r="DH30" s="4">
        <v>-0.05486190692147879</v>
      </c>
      <c r="DI30" s="5">
        <f>DH30-DG30</f>
        <v>0</v>
      </c>
      <c r="DJ30" s="4">
        <v>0.05486190692147879</v>
      </c>
      <c r="DK30" s="4">
        <v>0</v>
      </c>
      <c r="DL30" s="4">
        <v>1.883</v>
      </c>
      <c r="DM30" s="4">
        <v>1.833</v>
      </c>
      <c r="DN30" s="6">
        <v>-0.02442910249601704</v>
      </c>
      <c r="DO30" s="6">
        <v>0.0608</v>
      </c>
      <c r="DP30" s="6">
        <v>0.2634505093419595</v>
      </c>
      <c r="DQ30" s="9">
        <v>44</v>
      </c>
      <c r="DR30" s="7">
        <f>IFERROR(DG30/F30,0)</f>
        <v>-0.05443658138268925</v>
      </c>
      <c r="DS30" t="inlineStr">
        <is>
          <t xml:space="preserve">Lease cash / margin / financing</t>
        </is>
      </c>
      <c r="DT30" t="inlineStr">
        <is>
          <t xml:space="preserve">cash</t>
        </is>
      </c>
      <c r="DU30" t="inlineStr">
        <is>
          <t xml:space="preserve">lease</t>
        </is>
      </c>
      <c r="DV30" t="inlineStr">
        <is>
          <t xml:space="preserve">cash</t>
        </is>
      </c>
      <c r="DW30"/>
      <c r="DX30" s="4">
        <v>1</v>
      </c>
      <c r="DY30" s="4">
        <v>1</v>
      </c>
      <c r="DZ30" s="6"/>
      <c r="EA30" s="4">
        <v>0</v>
      </c>
      <c r="EB30" s="5">
        <f>IF(DT30="direct",IFERROR(EH30/DY30,0),0)</f>
        <v>0</v>
      </c>
      <c r="EC30" s="5">
        <f>IF(DT30="direct",EA30-EB30,IF(DT30="cash",EM30,EA30))</f>
        <v>-0.05486190692147882</v>
      </c>
      <c r="ED30" s="6"/>
      <c r="EE30" s="4">
        <v>0</v>
      </c>
      <c r="EF30" s="4">
        <v>0</v>
      </c>
      <c r="EG30" s="5">
        <f>IF(DT30="direct",EA30*(DY30-DX30),EJ30)</f>
        <v>0</v>
      </c>
      <c r="EH30" s="5">
        <f>IF(DT30="direct",EF30*DZ30*C30/365,0)</f>
        <v>0</v>
      </c>
      <c r="EI30" s="5">
        <f>EG30-EH30</f>
        <v>0</v>
      </c>
      <c r="EJ30" s="4">
        <v>0</v>
      </c>
      <c r="EK30" s="5">
        <f>EJ30-EI30</f>
        <v>0</v>
      </c>
      <c r="EL30" s="4">
        <v>-0.05486190692147882</v>
      </c>
      <c r="EM30" s="4">
        <v>-0.05486190692147882</v>
      </c>
      <c r="EN30" s="4">
        <v>1.883</v>
      </c>
      <c r="EO30" s="4">
        <v>1.833</v>
      </c>
      <c r="EP30" s="6"/>
      <c r="EQ30" s="6"/>
      <c r="ER30" s="6"/>
      <c r="ES30" s="9"/>
      <c r="ET30" s="7">
        <f>IFERROR(EI30/F30,0)</f>
        <v>0</v>
      </c>
      <c r="EU30" t="inlineStr">
        <is>
          <t xml:space="preserve">Keep cash / margin / financing</t>
        </is>
      </c>
      <c r="EV30" t="inlineStr">
        <is>
          <t xml:space="preserve">cash</t>
        </is>
      </c>
      <c r="EW30" t="inlineStr">
        <is>
          <t xml:space="preserve">keep</t>
        </is>
      </c>
      <c r="EX30" t="inlineStr">
        <is>
          <t xml:space="preserve">cash</t>
        </is>
      </c>
      <c r="EY30"/>
      <c r="EZ30" s="4">
        <v>1</v>
      </c>
      <c r="FA30" s="4">
        <v>1</v>
      </c>
      <c r="FB30" s="6"/>
      <c r="FC30" s="4">
        <v>0</v>
      </c>
      <c r="FD30" s="5">
        <f>IF(EV30="direct",IFERROR(FJ30/FA30,0),0)</f>
        <v>0</v>
      </c>
      <c r="FE30" s="5">
        <f>IF(EV30="direct",FC30-FD30,IF(EV30="cash",FO30,FC30))</f>
        <v>0</v>
      </c>
      <c r="FF30" s="6"/>
      <c r="FG30" s="4">
        <v>0</v>
      </c>
      <c r="FH30" s="4">
        <v>0</v>
      </c>
      <c r="FI30" s="5">
        <f>IF(EV30="direct",FC30*(FA30-EZ30),FL30)</f>
        <v>0</v>
      </c>
      <c r="FJ30" s="5">
        <f>IF(EV30="direct",FH30*FB30*C30/365,0)</f>
        <v>0</v>
      </c>
      <c r="FK30" s="5">
        <f>FI30-FJ30</f>
        <v>0</v>
      </c>
      <c r="FL30" s="4">
        <v>0</v>
      </c>
      <c r="FM30" s="5">
        <f>FL30-FK30</f>
        <v>0</v>
      </c>
      <c r="FN30" s="4">
        <v>0</v>
      </c>
      <c r="FO30" s="4">
        <v>0</v>
      </c>
      <c r="FP30" s="4">
        <v>1.883</v>
      </c>
      <c r="FQ30" s="4">
        <v>1.833</v>
      </c>
      <c r="FR30" s="6"/>
      <c r="FS30" s="6"/>
      <c r="FT30" s="6"/>
      <c r="FU30" s="9"/>
      <c r="FV30" s="7">
        <f>IFERROR(FK30/F30,0)</f>
        <v>0</v>
      </c>
      <c r="FW30"/>
      <c r="FX30"/>
      <c r="FY30"/>
      <c r="FZ30"/>
      <c r="GA30"/>
      <c r="GB30" s="4"/>
      <c r="GC30" s="4"/>
      <c r="GD30" s="6"/>
      <c r="GE30" s="4"/>
      <c r="GF30" s="5">
        <v>0</v>
      </c>
      <c r="GG30" s="5"/>
      <c r="GH30" s="6"/>
      <c r="GI30" s="4"/>
      <c r="GJ30" s="4"/>
      <c r="GK30" s="5">
        <v>0</v>
      </c>
      <c r="GL30" s="5">
        <v>0</v>
      </c>
      <c r="GM30" s="5"/>
      <c r="GN30" s="4"/>
      <c r="GO30" s="5">
        <v>0</v>
      </c>
      <c r="GP30" s="4"/>
      <c r="GQ30" s="4"/>
      <c r="GR30" s="4"/>
      <c r="GS30" s="4"/>
      <c r="GT30" s="6"/>
      <c r="GU30" s="6"/>
      <c r="GV30" s="6"/>
      <c r="GW30" s="9"/>
      <c r="GX30"/>
      <c r="GY30"/>
      <c r="GZ30"/>
      <c r="HA30"/>
      <c r="HB30"/>
      <c r="HC30"/>
      <c r="HD30" s="4"/>
      <c r="HE30" s="4"/>
      <c r="HF30" s="6"/>
      <c r="HG30" s="4"/>
      <c r="HH30" s="5">
        <v>0</v>
      </c>
      <c r="HI30" s="5"/>
      <c r="HJ30" s="6"/>
      <c r="HK30" s="4"/>
      <c r="HL30" s="4"/>
      <c r="HM30" s="5">
        <v>0</v>
      </c>
      <c r="HN30" s="5">
        <v>0</v>
      </c>
      <c r="HO30" s="5"/>
      <c r="HP30" s="4"/>
      <c r="HQ30" s="5">
        <v>0</v>
      </c>
      <c r="HR30" s="4"/>
      <c r="HS30" s="4"/>
      <c r="HT30" s="4"/>
      <c r="HU30" s="4"/>
      <c r="HV30" s="6"/>
      <c r="HW30" s="6"/>
      <c r="HX30" s="6"/>
      <c r="HY30" s="9"/>
      <c r="HZ30"/>
      <c r="IA30"/>
      <c r="IB30"/>
      <c r="IC30"/>
      <c r="ID30"/>
      <c r="IE30"/>
      <c r="IF30" s="4"/>
      <c r="IG30" s="4"/>
      <c r="IH30" s="6"/>
      <c r="II30" s="4"/>
      <c r="IJ30" s="5">
        <v>0</v>
      </c>
      <c r="IK30" s="5"/>
      <c r="IL30" s="6"/>
      <c r="IM30" s="4"/>
      <c r="IN30" s="4"/>
      <c r="IO30" s="5">
        <v>0</v>
      </c>
      <c r="IP30" s="5">
        <v>0</v>
      </c>
      <c r="IQ30" s="5"/>
      <c r="IR30" s="4"/>
      <c r="IS30" s="5">
        <v>0</v>
      </c>
      <c r="IT30" s="4"/>
      <c r="IU30" s="4"/>
      <c r="IV30" s="4"/>
      <c r="IW30" s="4"/>
      <c r="IX30" s="6"/>
      <c r="IY30" s="6"/>
      <c r="IZ30" s="6"/>
      <c r="JA30" s="9"/>
      <c r="JB30"/>
      <c r="JC30"/>
      <c r="JD30"/>
      <c r="JE30"/>
      <c r="JF30"/>
      <c r="JG30"/>
      <c r="JH30" s="4"/>
      <c r="JI30" s="4"/>
      <c r="JJ30" s="6"/>
      <c r="JK30" s="4"/>
      <c r="JL30" s="5">
        <v>0</v>
      </c>
      <c r="JM30" s="5"/>
      <c r="JN30" s="6"/>
      <c r="JO30" s="4"/>
      <c r="JP30" s="4"/>
      <c r="JQ30" s="5">
        <v>0</v>
      </c>
      <c r="JR30" s="5">
        <v>0</v>
      </c>
      <c r="JS30" s="5"/>
      <c r="JT30" s="4"/>
      <c r="JU30" s="5">
        <v>0</v>
      </c>
      <c r="JV30" s="4"/>
      <c r="JW30" s="4"/>
      <c r="JX30" s="4"/>
      <c r="JY30" s="4"/>
      <c r="JZ30" s="6"/>
      <c r="KA30" s="6"/>
      <c r="KB30" s="6"/>
      <c r="KC30" s="9"/>
      <c r="KD30"/>
      <c r="KE30"/>
      <c r="KF30"/>
      <c r="KG30"/>
      <c r="KH30"/>
      <c r="KI30"/>
      <c r="KJ30" s="4"/>
      <c r="KK30" s="4"/>
      <c r="KL30" s="6"/>
      <c r="KM30" s="4"/>
      <c r="KN30" s="5">
        <v>0</v>
      </c>
      <c r="KO30" s="5"/>
      <c r="KP30" s="6"/>
      <c r="KQ30" s="4"/>
      <c r="KR30" s="4"/>
      <c r="KS30" s="5">
        <v>0</v>
      </c>
      <c r="KT30" s="5">
        <v>0</v>
      </c>
      <c r="KU30" s="5"/>
      <c r="KV30" s="4"/>
      <c r="KW30" s="5">
        <v>0</v>
      </c>
      <c r="KX30" s="4"/>
      <c r="KY30" s="4"/>
      <c r="KZ30" s="4"/>
      <c r="LA30" s="4"/>
      <c r="LB30" s="6"/>
      <c r="LC30" s="6"/>
      <c r="LD30" s="6"/>
      <c r="LE30" s="9"/>
      <c r="LF30"/>
      <c r="LG30"/>
      <c r="LH30"/>
      <c r="LI30"/>
      <c r="LJ30"/>
      <c r="LK30"/>
      <c r="LL30" s="4"/>
      <c r="LM30" s="4"/>
      <c r="LN30" s="6"/>
      <c r="LO30" s="4"/>
      <c r="LP30" s="5">
        <v>0</v>
      </c>
      <c r="LQ30" s="5"/>
      <c r="LR30" s="6"/>
      <c r="LS30" s="4"/>
      <c r="LT30" s="4"/>
      <c r="LU30" s="5">
        <v>0</v>
      </c>
      <c r="LV30" s="5">
        <v>0</v>
      </c>
      <c r="LW30" s="5"/>
      <c r="LX30" s="4"/>
      <c r="LY30" s="5">
        <v>0</v>
      </c>
      <c r="LZ30" s="4"/>
      <c r="MA30" s="4"/>
      <c r="MB30" s="4"/>
      <c r="MC30" s="4"/>
      <c r="MD30" s="6"/>
      <c r="ME30" s="6"/>
      <c r="MF30" s="6"/>
      <c r="MG30" s="9"/>
      <c r="MH30"/>
    </row>
    <row r="31">
      <c r="A31" s="8">
        <v>25247</v>
      </c>
      <c r="B31" s="8">
        <v>25248</v>
      </c>
      <c r="C31" s="9">
        <f>B31-A31</f>
        <v>1</v>
      </c>
      <c r="D31" s="8">
        <v>25247</v>
      </c>
      <c r="E31" t="inlineStr">
        <is>
          <t xml:space="preserve">positive</t>
        </is>
      </c>
      <c r="F31" s="4">
        <v>0.9532870768939917</v>
      </c>
      <c r="G31" s="6">
        <v>0.030678953005102566</v>
      </c>
      <c r="H31" s="7">
        <f>SUM(CP31,DR31,ET31,FV31,GX31,HZ31,JB31,KD31,LF31,MH31)</f>
        <v>0.03067895300510257</v>
      </c>
      <c r="I31" s="7">
        <f>G31-H31</f>
        <v>-3.469446951953614e-18</v>
      </c>
      <c r="J31" s="5">
        <f>F31*(1+H31)</f>
        <v>0.9825329263263941</v>
      </c>
      <c r="K31" s="4">
        <v>0.9825329263263941</v>
      </c>
      <c r="L31" s="5">
        <f>K31-J31</f>
        <v>0</v>
      </c>
      <c r="M31" s="4">
        <v>1.833</v>
      </c>
      <c r="N31" s="4">
        <v>1.77</v>
      </c>
      <c r="O31" s="5">
        <f>M31/$M$3</f>
        <v>0.9361593462717058</v>
      </c>
      <c r="P31" s="5">
        <f>N31/$M$3</f>
        <v>0.9039836567926456</v>
      </c>
      <c r="Q31" s="7">
        <f>IFERROR(N31/M31-1,0)</f>
        <v>-0.03436988543371522</v>
      </c>
      <c r="R31" s="5">
        <f>SUM(IF(BQ31="lease",CB31,0),IF(CS31="lease",DD31,0),IF(DU31="lease",EF31,0),IF(EW31="lease",FH31,0),IF(FY31="lease",GJ31,0),IF(HA31="lease",HL31,0),IF(IC31="lease",IN31,0),IF(JE31="lease",JP31,0),IF(KG31="lease",KR31,0),IF(LI31="lease",LT31,0))</f>
        <v>0.9532870768939916</v>
      </c>
      <c r="S31" s="5">
        <f>SUM(IF(BQ31="lease",CI31,0),IF(CS31="lease",DK31,0),IF(DU31="lease",EM31,0),IF(EW31="lease",FO31,0),IF(FY31="lease",GQ31,0),IF(HA31="lease",HS31,0),IF(IC31="lease",IU31,0),IF(JE31="lease",JW31,0),IF(KG31="lease",KY31,0),IF(LI31="lease",MA31,0))</f>
        <v>0.982532926326394</v>
      </c>
      <c r="T31" s="5">
        <f>SUM(IF(BQ31="keep",CB31,0),IF(CS31="keep",DD31,0),IF(DU31="keep",EF31,0),IF(EW31="keep",FH31,0),IF(FY31="keep",GJ31,0),IF(HA31="keep",HL31,0),IF(IC31="keep",IN31,0),IF(JE31="keep",JP31,0),IF(KG31="keep",KR31,0),IF(LI31="keep",LT31,0))</f>
        <v>0</v>
      </c>
      <c r="U31" s="5">
        <f>SUM(IF(BQ31="keep",CI31,0),IF(CS31="keep",DK31,0),IF(DU31="keep",EM31,0),IF(EW31="keep",FO31,0),IF(FY31="keep",GQ31,0),IF(HA31="keep",HS31,0),IF(IC31="keep",IU31,0),IF(JE31="keep",JW31,0),IF(KG31="keep",KY31,0),IF(LI31="keep",MA31,0))</f>
        <v>0</v>
      </c>
      <c r="V31" s="5">
        <f>R31/O31</f>
        <v>1.0182957428032928</v>
      </c>
      <c r="W31" s="5">
        <f>S31/P31</f>
        <v>1.0868923557893104</v>
      </c>
      <c r="X31" s="5">
        <f>T31/O31</f>
        <v>0</v>
      </c>
      <c r="Y31" s="5">
        <f>U31/P31</f>
        <v>0</v>
      </c>
      <c r="Z31" s="5">
        <f>V31+X31</f>
        <v>1.0182957428032928</v>
      </c>
      <c r="AA31" s="7">
        <f>IFERROR(W31/V31-1,0)</f>
        <v>0.06736413607816538</v>
      </c>
      <c r="AB31" s="7">
        <f>IFERROR((W31-V31)/Z31,0)</f>
        <v>0.06736413607816547</v>
      </c>
      <c r="AC31" s="7">
        <f>IFERROR(Y31/X31-1,0)</f>
        <v>0</v>
      </c>
      <c r="AD31" s="7">
        <f>IFERROR((Y31-X31)/Z31,0)</f>
        <v>0</v>
      </c>
      <c r="AE31" s="7">
        <f>AB31+AD31</f>
        <v>0.06736413607816547</v>
      </c>
      <c r="AF31" s="7">
        <f>(1+Q31)*(1+AE31)-1</f>
        <v>0.030678953005102372</v>
      </c>
      <c r="AG31" s="7">
        <f>G31-AF31</f>
        <v>1.942890293094024e-16</v>
      </c>
      <c r="AH31" s="5">
        <f>SUM(IF(BQ31="lease",CE31,0),IF(CS31="lease",DG31,0),IF(DU31="lease",EI31,0),IF(EW31="lease",FK31,0),IF(FY31="lease",GM31,0),IF(HA31="lease",HO31,0),IF(IC31="lease",IQ31,0),IF(JE31="lease",JS31,0),IF(KG31="lease",KU31,0),IF(LI31="lease",LW31,0))</f>
        <v>0.02924584943240237</v>
      </c>
      <c r="AI31" s="5">
        <f>SUM(IF(BQ31="keep",CE31,0),IF(CS31="keep",DG31,0),IF(DU31="keep",EI31,0),IF(EW31="keep",FK31,0),IF(FY31="keep",GM31,0),IF(HA31="keep",HO31,0),IF(IC31="keep",IQ31,0),IF(JE31="keep",JS31,0),IF(KG31="keep",KU31,0),IF(LI31="keep",LW31,0))</f>
        <v>0</v>
      </c>
      <c r="AJ31" s="5">
        <f>SUM(IF(BQ31="lease",CH31,0),IF(CS31="lease",DJ31,0),IF(DU31="lease",EL31,0),IF(EW31="lease",FN31,0),IF(FY31="lease",GP31,0),IF(HA31="lease",HR31,0),IF(IC31="lease",IT31,0),IF(JE31="lease",JV31,0),IF(KG31="lease",KX31,0),IF(LI31="lease",LZ31,0))</f>
        <v>0</v>
      </c>
      <c r="AK31" s="5">
        <f>SUM(IF(BQ31="keep",CH31,0),IF(CS31="keep",DJ31,0),IF(DU31="keep",EL31,0),IF(EW31="keep",FN31,0),IF(FY31="keep",GP31,0),IF(HA31="keep",HR31,0),IF(IC31="keep",IT31,0),IF(JE31="keep",JV31,0),IF(KG31="keep",KX31,0),IF(LI31="keep",LZ31,0))</f>
        <v>0</v>
      </c>
      <c r="AL31" s="5">
        <f>R31-S30</f>
        <v>0</v>
      </c>
      <c r="AM31" s="5">
        <f>T31-U30</f>
        <v>0</v>
      </c>
      <c r="AN31" s="5">
        <f>AN30</f>
        <v>1</v>
      </c>
      <c r="AO31" s="5">
        <f>AO30+AH31</f>
        <v>-0.017467073673605612</v>
      </c>
      <c r="AP31" s="5">
        <f>AP30+AL31</f>
        <v>-4.440892098500626e-16</v>
      </c>
      <c r="AQ31" s="5">
        <f>AN31+AO31+AP31</f>
        <v>0.982532926326394</v>
      </c>
      <c r="AR31" s="5">
        <f>S31-AQ31</f>
        <v>0</v>
      </c>
      <c r="AS31" s="5">
        <f>AS30</f>
        <v>0</v>
      </c>
      <c r="AT31" s="5">
        <f>AT30+AI31</f>
        <v>0</v>
      </c>
      <c r="AU31" s="5">
        <f>AU30+AM31</f>
        <v>0</v>
      </c>
      <c r="AV31" s="5">
        <f>AS31+AT31+AU31</f>
        <v>0</v>
      </c>
      <c r="AW31" s="5">
        <f>U31-AV31</f>
        <v>0</v>
      </c>
      <c r="AX31" s="4">
        <v>0.9532870768939916</v>
      </c>
      <c r="AY31" s="4">
        <v>0.982532926326394</v>
      </c>
      <c r="AZ31" s="5">
        <f>S31-AY31</f>
        <v>0</v>
      </c>
      <c r="BA31" s="4">
        <v>0</v>
      </c>
      <c r="BB31" s="4">
        <v>0</v>
      </c>
      <c r="BC31" s="5">
        <f>U31-BB31</f>
        <v>0</v>
      </c>
      <c r="BD31" s="7">
        <f>SUM(IF(BP31="direct",CC31/F31,0),IF(CR31="direct",DE31/F31,0),IF(DT31="direct",EG31/F31,0),IF(EV31="direct",FI31/F31,0),IF(FX31="direct",GK31/F31,0),IF(GZ31="direct",HM31/F31,0),IF(IB31="direct",IO31/F31,0),IF(JD31="direct",JQ31/F31,0),IF(KF31="direct",KS31/F31,0),IF(LH31="direct",LU31/F31,0))</f>
        <v>0</v>
      </c>
      <c r="BE31" s="7">
        <f>-SUM(IF(BP31="direct",CD31/F31,0),IF(CR31="direct",DF31/F31,0),IF(DT31="direct",EH31/F31,0),IF(EV31="direct",FJ31/F31,0),IF(FX31="direct",GL31/F31,0),IF(GZ31="direct",HN31/F31,0),IF(IB31="direct",IP31/F31,0),IF(JD31="direct",JR31/F31,0),IF(KF31="direct",KT31/F31,0),IF(LH31="direct",LV31/F31,0))</f>
        <v>0</v>
      </c>
      <c r="BF31" s="7">
        <f>BD31+BE31</f>
        <v>0</v>
      </c>
      <c r="BG31" s="7">
        <f>BF31-SUM(IF(BP31="direct",CP31,0),IF(CR31="direct",DR31,0),IF(DT31="direct",ET31,0),IF(EV31="direct",FV31,0),IF(FX31="direct",GX31,0),IF(GZ31="direct",HZ31,0),IF(IB31="direct",JB31,0),IF(JD31="direct",KD31,0),IF(KF31="direct",LF31,0),IF(LH31="direct",MH31,0))</f>
        <v>0</v>
      </c>
      <c r="BH31" s="7">
        <f>SUM(IF(BP31="treasury",CP31,0),IF(CR31="treasury",DR31,0),IF(DT31="treasury",ET31,0),IF(EV31="treasury",FV31,0),IF(FX31="treasury",GX31,0),IF(GZ31="treasury",HZ31,0),IF(IB31="treasury",JB31,0),IF(JD31="treasury",KD31,0),IF(KF31="treasury",LF31,0),IF(LH31="treasury",MH31,0))</f>
        <v>0.00016657534246575342</v>
      </c>
      <c r="BI31" s="7">
        <f>SUM(IF(BP31="future",CP31,0),IF(CR31="future",DR31,0),IF(DT31="future",ET31,0),IF(EV31="future",FV31,0),IF(FX31="future",GX31,0),IF(GZ31="future",HZ31,0),IF(IB31="future",JB31,0),IF(JD31="future",KD31,0),IF(KF31="future",LF31,0),IF(LH31="future",MH31,0))</f>
        <v>0.030512377662636814</v>
      </c>
      <c r="BJ31" s="7">
        <f>SUM(IF(BP31="cash",CP31,0),IF(CR31="cash",DR31,0),IF(DT31="cash",ET31,0),IF(EV31="cash",FV31,0),IF(FX31="cash",GX31,0),IF(GZ31="cash",HZ31,0),IF(IB31="cash",JB31,0),IF(JD31="cash",KD31,0),IF(KF31="cash",LF31,0),IF(LH31="cash",MH31,0))</f>
        <v>0</v>
      </c>
      <c r="BK31" s="7">
        <f>SUM(BF31,BH31,BI31,BJ31)</f>
        <v>0.030678953005102566</v>
      </c>
      <c r="BL31" s="7">
        <f>G31-BK31</f>
        <v>0</v>
      </c>
      <c r="BM31" s="5">
        <f>MAX(ABS(CG31),ABS(DI31),ABS(EK31),ABS(FM31),ABS(GO31),ABS(HQ31),ABS(IS31),ABS(JU31),ABS(KW31),ABS(LY31))</f>
        <v>7.201812930734963e-17</v>
      </c>
      <c r="BN31" s="9">
        <f>COUNTA(BO31,CQ31,DS31,EU31,FW31,GY31,IA31,JC31,KE31,LG31)</f>
        <v>4</v>
      </c>
      <c r="BO31" t="inlineStr">
        <is>
          <t xml:space="preserve">Treasury collateral</t>
        </is>
      </c>
      <c r="BP31" t="inlineStr">
        <is>
          <t xml:space="preserve">treasury</t>
        </is>
      </c>
      <c r="BQ31" t="inlineStr">
        <is>
          <t xml:space="preserve">lease</t>
        </is>
      </c>
      <c r="BR31" t="inlineStr">
        <is>
          <t xml:space="preserve">long</t>
        </is>
      </c>
      <c r="BS31"/>
      <c r="BT31" s="4">
        <v>100.70914814564496</v>
      </c>
      <c r="BU31" s="4">
        <v>100.72592380648675</v>
      </c>
      <c r="BV31" s="6"/>
      <c r="BW31" s="4">
        <v>0.009465744616520375</v>
      </c>
      <c r="BX31" s="5">
        <f>IF(BP31="direct",IFERROR(CD31/BU31,0),0)</f>
        <v>0</v>
      </c>
      <c r="BY31" s="5">
        <f>IF(BP31="direct",BW31-BX31,IF(BP31="cash",CI31,BW31))</f>
        <v>0.009465744616520375</v>
      </c>
      <c r="BZ31" s="6">
        <v>1</v>
      </c>
      <c r="CA31" s="4">
        <v>0.9532870768939917</v>
      </c>
      <c r="CB31" s="4">
        <v>0.9532870768939917</v>
      </c>
      <c r="CC31" s="5">
        <f>IF(BP31="direct",BW31*(BU31-BT31),CF31)</f>
        <v>0.00015879412130172168</v>
      </c>
      <c r="CD31" s="5">
        <f>IF(BP31="direct",CB31*BV31*C31/365,0)</f>
        <v>0</v>
      </c>
      <c r="CE31" s="5">
        <f>CC31-CD31</f>
        <v>0.0001587941213017937</v>
      </c>
      <c r="CF31" s="4">
        <v>0.0001587941213017937</v>
      </c>
      <c r="CG31" s="5">
        <f>CF31-CE31</f>
        <v>7.201812930734963e-17</v>
      </c>
      <c r="CH31" s="4">
        <v>-1.961592780569399e-16</v>
      </c>
      <c r="CI31" s="4">
        <v>0.9534458710152933</v>
      </c>
      <c r="CJ31" s="4">
        <v>1.833</v>
      </c>
      <c r="CK31" s="4">
        <v>1.77</v>
      </c>
      <c r="CL31" s="6"/>
      <c r="CM31" s="6"/>
      <c r="CN31" s="6"/>
      <c r="CO31" s="9">
        <v>42</v>
      </c>
      <c r="CP31" s="7">
        <f>IFERROR(CE31/F31,0)</f>
        <v>0.00016657534246575342</v>
      </c>
      <c r="CQ31" t="inlineStr">
        <is>
          <t xml:space="preserve">SI69H</t>
        </is>
      </c>
      <c r="CR31" t="inlineStr">
        <is>
          <t xml:space="preserve">future</t>
        </is>
      </c>
      <c r="CS31" t="inlineStr">
        <is>
          <t xml:space="preserve">lease</t>
        </is>
      </c>
      <c r="CT31" t="inlineStr">
        <is>
          <t xml:space="preserve">long</t>
        </is>
      </c>
      <c r="CU31" t="inlineStr">
        <is>
          <t xml:space="preserve">regular</t>
        </is>
      </c>
      <c r="CV31" s="4">
        <v>1.7369999999999999</v>
      </c>
      <c r="CW31" s="4">
        <v>1.79</v>
      </c>
      <c r="CX31" s="6"/>
      <c r="CY31" s="4">
        <v>0.5488123643603867</v>
      </c>
      <c r="CZ31" s="5">
        <f>IF(CR31="direct",IFERROR(DF31/CW31,0),0)</f>
        <v>0</v>
      </c>
      <c r="DA31" s="5">
        <f>IF(CR31="direct",CY31-CZ31,IF(CR31="cash",DK31,CY31))</f>
        <v>0.5488123643603867</v>
      </c>
      <c r="DB31" s="6">
        <v>1</v>
      </c>
      <c r="DC31" s="4">
        <v>0.9532870768939917</v>
      </c>
      <c r="DD31" s="4">
        <v>0</v>
      </c>
      <c r="DE31" s="5">
        <f>IF(CR31="direct",CY31*(CW31-CV31),DH31)</f>
        <v>0.029087055311100576</v>
      </c>
      <c r="DF31" s="5">
        <f>IF(CR31="direct",DD31*CX31*C31/365,0)</f>
        <v>0</v>
      </c>
      <c r="DG31" s="5">
        <f>DE31-DF31</f>
        <v>0.029087055311100576</v>
      </c>
      <c r="DH31" s="4">
        <v>0.029087055311100576</v>
      </c>
      <c r="DI31" s="5">
        <f>DH31-DG31</f>
        <v>0</v>
      </c>
      <c r="DJ31" s="4">
        <v>-0.029087055311100576</v>
      </c>
      <c r="DK31" s="4">
        <v>0</v>
      </c>
      <c r="DL31" s="4">
        <v>1.833</v>
      </c>
      <c r="DM31" s="4">
        <v>1.77</v>
      </c>
      <c r="DN31" s="6">
        <v>-0.05237315875613757</v>
      </c>
      <c r="DO31" s="6">
        <v>0.0608</v>
      </c>
      <c r="DP31" s="6">
        <v>0.5159476891902431</v>
      </c>
      <c r="DQ31" s="9">
        <v>42</v>
      </c>
      <c r="DR31" s="7">
        <f>IFERROR(DG31/F31,0)</f>
        <v>0.030512377662636814</v>
      </c>
      <c r="DS31" t="inlineStr">
        <is>
          <t xml:space="preserve">Lease cash / margin / financing</t>
        </is>
      </c>
      <c r="DT31" t="inlineStr">
        <is>
          <t xml:space="preserve">cash</t>
        </is>
      </c>
      <c r="DU31" t="inlineStr">
        <is>
          <t xml:space="preserve">lease</t>
        </is>
      </c>
      <c r="DV31" t="inlineStr">
        <is>
          <t xml:space="preserve">cash</t>
        </is>
      </c>
      <c r="DW31"/>
      <c r="DX31" s="4">
        <v>1</v>
      </c>
      <c r="DY31" s="4">
        <v>1</v>
      </c>
      <c r="DZ31" s="6"/>
      <c r="EA31" s="4">
        <v>-1.1102230246251565e-16</v>
      </c>
      <c r="EB31" s="5">
        <f>IF(DT31="direct",IFERROR(EH31/DY31,0),0)</f>
        <v>0</v>
      </c>
      <c r="EC31" s="5">
        <f>IF(DT31="direct",EA31-EB31,IF(DT31="cash",EM31,EA31))</f>
        <v>0.029087055311100663</v>
      </c>
      <c r="ED31" s="6"/>
      <c r="EE31" s="4">
        <v>-1.1102230246251565e-16</v>
      </c>
      <c r="EF31" s="4">
        <v>-1.1102230246251565e-16</v>
      </c>
      <c r="EG31" s="5">
        <f>IF(DT31="direct",EA31*(DY31-DX31),EJ31)</f>
        <v>0</v>
      </c>
      <c r="EH31" s="5">
        <f>IF(DT31="direct",EF31*DZ31*C31/365,0)</f>
        <v>0</v>
      </c>
      <c r="EI31" s="5">
        <f>EG31-EH31</f>
        <v>0</v>
      </c>
      <c r="EJ31" s="4">
        <v>0</v>
      </c>
      <c r="EK31" s="5">
        <f>EJ31-EI31</f>
        <v>0</v>
      </c>
      <c r="EL31" s="4">
        <v>0.029087055311100774</v>
      </c>
      <c r="EM31" s="4">
        <v>0.029087055311100663</v>
      </c>
      <c r="EN31" s="4">
        <v>1.833</v>
      </c>
      <c r="EO31" s="4">
        <v>1.77</v>
      </c>
      <c r="EP31" s="6"/>
      <c r="EQ31" s="6"/>
      <c r="ER31" s="6"/>
      <c r="ES31" s="9"/>
      <c r="ET31" s="7">
        <f>IFERROR(EI31/F31,0)</f>
        <v>0</v>
      </c>
      <c r="EU31" t="inlineStr">
        <is>
          <t xml:space="preserve">Keep cash / margin / financing</t>
        </is>
      </c>
      <c r="EV31" t="inlineStr">
        <is>
          <t xml:space="preserve">cash</t>
        </is>
      </c>
      <c r="EW31" t="inlineStr">
        <is>
          <t xml:space="preserve">keep</t>
        </is>
      </c>
      <c r="EX31" t="inlineStr">
        <is>
          <t xml:space="preserve">cash</t>
        </is>
      </c>
      <c r="EY31"/>
      <c r="EZ31" s="4">
        <v>1</v>
      </c>
      <c r="FA31" s="4">
        <v>1</v>
      </c>
      <c r="FB31" s="6"/>
      <c r="FC31" s="4">
        <v>0</v>
      </c>
      <c r="FD31" s="5">
        <f>IF(EV31="direct",IFERROR(FJ31/FA31,0),0)</f>
        <v>0</v>
      </c>
      <c r="FE31" s="5">
        <f>IF(EV31="direct",FC31-FD31,IF(EV31="cash",FO31,FC31))</f>
        <v>0</v>
      </c>
      <c r="FF31" s="6"/>
      <c r="FG31" s="4">
        <v>0</v>
      </c>
      <c r="FH31" s="4">
        <v>0</v>
      </c>
      <c r="FI31" s="5">
        <f>IF(EV31="direct",FC31*(FA31-EZ31),FL31)</f>
        <v>0</v>
      </c>
      <c r="FJ31" s="5">
        <f>IF(EV31="direct",FH31*FB31*C31/365,0)</f>
        <v>0</v>
      </c>
      <c r="FK31" s="5">
        <f>FI31-FJ31</f>
        <v>0</v>
      </c>
      <c r="FL31" s="4">
        <v>0</v>
      </c>
      <c r="FM31" s="5">
        <f>FL31-FK31</f>
        <v>0</v>
      </c>
      <c r="FN31" s="4">
        <v>0</v>
      </c>
      <c r="FO31" s="4">
        <v>0</v>
      </c>
      <c r="FP31" s="4">
        <v>1.833</v>
      </c>
      <c r="FQ31" s="4">
        <v>1.77</v>
      </c>
      <c r="FR31" s="6"/>
      <c r="FS31" s="6"/>
      <c r="FT31" s="6"/>
      <c r="FU31" s="9"/>
      <c r="FV31" s="7">
        <f>IFERROR(FK31/F31,0)</f>
        <v>0</v>
      </c>
      <c r="FW31"/>
      <c r="FX31"/>
      <c r="FY31"/>
      <c r="FZ31"/>
      <c r="GA31"/>
      <c r="GB31" s="4"/>
      <c r="GC31" s="4"/>
      <c r="GD31" s="6"/>
      <c r="GE31" s="4"/>
      <c r="GF31" s="5">
        <v>0</v>
      </c>
      <c r="GG31" s="5"/>
      <c r="GH31" s="6"/>
      <c r="GI31" s="4"/>
      <c r="GJ31" s="4"/>
      <c r="GK31" s="5">
        <v>0</v>
      </c>
      <c r="GL31" s="5">
        <v>0</v>
      </c>
      <c r="GM31" s="5"/>
      <c r="GN31" s="4"/>
      <c r="GO31" s="5">
        <v>0</v>
      </c>
      <c r="GP31" s="4"/>
      <c r="GQ31" s="4"/>
      <c r="GR31" s="4"/>
      <c r="GS31" s="4"/>
      <c r="GT31" s="6"/>
      <c r="GU31" s="6"/>
      <c r="GV31" s="6"/>
      <c r="GW31" s="9"/>
      <c r="GX31"/>
      <c r="GY31"/>
      <c r="GZ31"/>
      <c r="HA31"/>
      <c r="HB31"/>
      <c r="HC31"/>
      <c r="HD31" s="4"/>
      <c r="HE31" s="4"/>
      <c r="HF31" s="6"/>
      <c r="HG31" s="4"/>
      <c r="HH31" s="5">
        <v>0</v>
      </c>
      <c r="HI31" s="5"/>
      <c r="HJ31" s="6"/>
      <c r="HK31" s="4"/>
      <c r="HL31" s="4"/>
      <c r="HM31" s="5">
        <v>0</v>
      </c>
      <c r="HN31" s="5">
        <v>0</v>
      </c>
      <c r="HO31" s="5"/>
      <c r="HP31" s="4"/>
      <c r="HQ31" s="5">
        <v>0</v>
      </c>
      <c r="HR31" s="4"/>
      <c r="HS31" s="4"/>
      <c r="HT31" s="4"/>
      <c r="HU31" s="4"/>
      <c r="HV31" s="6"/>
      <c r="HW31" s="6"/>
      <c r="HX31" s="6"/>
      <c r="HY31" s="9"/>
      <c r="HZ31"/>
      <c r="IA31"/>
      <c r="IB31"/>
      <c r="IC31"/>
      <c r="ID31"/>
      <c r="IE31"/>
      <c r="IF31" s="4"/>
      <c r="IG31" s="4"/>
      <c r="IH31" s="6"/>
      <c r="II31" s="4"/>
      <c r="IJ31" s="5">
        <v>0</v>
      </c>
      <c r="IK31" s="5"/>
      <c r="IL31" s="6"/>
      <c r="IM31" s="4"/>
      <c r="IN31" s="4"/>
      <c r="IO31" s="5">
        <v>0</v>
      </c>
      <c r="IP31" s="5">
        <v>0</v>
      </c>
      <c r="IQ31" s="5"/>
      <c r="IR31" s="4"/>
      <c r="IS31" s="5">
        <v>0</v>
      </c>
      <c r="IT31" s="4"/>
      <c r="IU31" s="4"/>
      <c r="IV31" s="4"/>
      <c r="IW31" s="4"/>
      <c r="IX31" s="6"/>
      <c r="IY31" s="6"/>
      <c r="IZ31" s="6"/>
      <c r="JA31" s="9"/>
      <c r="JB31"/>
      <c r="JC31"/>
      <c r="JD31"/>
      <c r="JE31"/>
      <c r="JF31"/>
      <c r="JG31"/>
      <c r="JH31" s="4"/>
      <c r="JI31" s="4"/>
      <c r="JJ31" s="6"/>
      <c r="JK31" s="4"/>
      <c r="JL31" s="5">
        <v>0</v>
      </c>
      <c r="JM31" s="5"/>
      <c r="JN31" s="6"/>
      <c r="JO31" s="4"/>
      <c r="JP31" s="4"/>
      <c r="JQ31" s="5">
        <v>0</v>
      </c>
      <c r="JR31" s="5">
        <v>0</v>
      </c>
      <c r="JS31" s="5"/>
      <c r="JT31" s="4"/>
      <c r="JU31" s="5">
        <v>0</v>
      </c>
      <c r="JV31" s="4"/>
      <c r="JW31" s="4"/>
      <c r="JX31" s="4"/>
      <c r="JY31" s="4"/>
      <c r="JZ31" s="6"/>
      <c r="KA31" s="6"/>
      <c r="KB31" s="6"/>
      <c r="KC31" s="9"/>
      <c r="KD31"/>
      <c r="KE31"/>
      <c r="KF31"/>
      <c r="KG31"/>
      <c r="KH31"/>
      <c r="KI31"/>
      <c r="KJ31" s="4"/>
      <c r="KK31" s="4"/>
      <c r="KL31" s="6"/>
      <c r="KM31" s="4"/>
      <c r="KN31" s="5">
        <v>0</v>
      </c>
      <c r="KO31" s="5"/>
      <c r="KP31" s="6"/>
      <c r="KQ31" s="4"/>
      <c r="KR31" s="4"/>
      <c r="KS31" s="5">
        <v>0</v>
      </c>
      <c r="KT31" s="5">
        <v>0</v>
      </c>
      <c r="KU31" s="5"/>
      <c r="KV31" s="4"/>
      <c r="KW31" s="5">
        <v>0</v>
      </c>
      <c r="KX31" s="4"/>
      <c r="KY31" s="4"/>
      <c r="KZ31" s="4"/>
      <c r="LA31" s="4"/>
      <c r="LB31" s="6"/>
      <c r="LC31" s="6"/>
      <c r="LD31" s="6"/>
      <c r="LE31" s="9"/>
      <c r="LF31"/>
      <c r="LG31"/>
      <c r="LH31"/>
      <c r="LI31"/>
      <c r="LJ31"/>
      <c r="LK31"/>
      <c r="LL31" s="4"/>
      <c r="LM31" s="4"/>
      <c r="LN31" s="6"/>
      <c r="LO31" s="4"/>
      <c r="LP31" s="5">
        <v>0</v>
      </c>
      <c r="LQ31" s="5"/>
      <c r="LR31" s="6"/>
      <c r="LS31" s="4"/>
      <c r="LT31" s="4"/>
      <c r="LU31" s="5">
        <v>0</v>
      </c>
      <c r="LV31" s="5">
        <v>0</v>
      </c>
      <c r="LW31" s="5"/>
      <c r="LX31" s="4"/>
      <c r="LY31" s="5">
        <v>0</v>
      </c>
      <c r="LZ31" s="4"/>
      <c r="MA31" s="4"/>
      <c r="MB31" s="4"/>
      <c r="MC31" s="4"/>
      <c r="MD31" s="6"/>
      <c r="ME31" s="6"/>
      <c r="MF31" s="6"/>
      <c r="MG31" s="9"/>
      <c r="MH31"/>
    </row>
    <row r="32">
      <c r="A32" s="8">
        <v>25248</v>
      </c>
      <c r="B32" s="8">
        <v>25251</v>
      </c>
      <c r="C32" s="9">
        <f>B32-A32</f>
        <v>3</v>
      </c>
      <c r="D32" s="8">
        <v>25248</v>
      </c>
      <c r="E32" t="inlineStr">
        <is>
          <t xml:space="preserve">neutral</t>
        </is>
      </c>
      <c r="F32" s="4">
        <v>0.9825329263263941</v>
      </c>
      <c r="G32" s="6">
        <v>0.048002050924850964</v>
      </c>
      <c r="H32" s="7">
        <f>SUM(CP32,DR32,ET32,FV32,GX32,HZ32,JB32,KD32,LF32,MH32)</f>
        <v>0.048002050924850964</v>
      </c>
      <c r="I32" s="7">
        <f>G32-H32</f>
        <v>0</v>
      </c>
      <c r="J32" s="5">
        <f>F32*(1+H32)</f>
        <v>1.0296965218912564</v>
      </c>
      <c r="K32" s="4">
        <v>1.0296965218912564</v>
      </c>
      <c r="L32" s="5">
        <f>K32-J32</f>
        <v>0</v>
      </c>
      <c r="M32" s="4">
        <v>1.77</v>
      </c>
      <c r="N32" s="4">
        <v>1.855</v>
      </c>
      <c r="O32" s="5">
        <f>M32/$M$3</f>
        <v>0.9039836567926456</v>
      </c>
      <c r="P32" s="5">
        <f>N32/$M$3</f>
        <v>0.9473953013278856</v>
      </c>
      <c r="Q32" s="7">
        <f>IFERROR(N32/M32-1,0)</f>
        <v>0.04802259887005644</v>
      </c>
      <c r="R32" s="5">
        <f>SUM(IF(BQ32="lease",CB32,0),IF(CS32="lease",DD32,0),IF(DU32="lease",EF32,0),IF(EW32="lease",FH32,0),IF(FY32="lease",GJ32,0),IF(HA32="lease",HL32,0),IF(IC32="lease",IN32,0),IF(JE32="lease",JP32,0),IF(KG32="lease",KR32,0),IF(LI32="lease",LT32,0))</f>
        <v>0.982532926326394</v>
      </c>
      <c r="S32" s="5">
        <f>SUM(IF(BQ32="lease",CI32,0),IF(CS32="lease",DK32,0),IF(DU32="lease",EM32,0),IF(EW32="lease",FO32,0),IF(FY32="lease",GQ32,0),IF(HA32="lease",HS32,0),IF(IC32="lease",IU32,0),IF(JE32="lease",JW32,0),IF(KG32="lease",KY32,0),IF(LI32="lease",MA32,0))</f>
        <v>1.0296965218912564</v>
      </c>
      <c r="T32" s="5">
        <f>SUM(IF(BQ32="keep",CB32,0),IF(CS32="keep",DD32,0),IF(DU32="keep",EF32,0),IF(EW32="keep",FH32,0),IF(FY32="keep",GJ32,0),IF(HA32="keep",HL32,0),IF(IC32="keep",IN32,0),IF(JE32="keep",JP32,0),IF(KG32="keep",KR32,0),IF(LI32="keep",LT32,0))</f>
        <v>0</v>
      </c>
      <c r="U32" s="5">
        <f>SUM(IF(BQ32="keep",CI32,0),IF(CS32="keep",DK32,0),IF(DU32="keep",EM32,0),IF(EW32="keep",FO32,0),IF(FY32="keep",GQ32,0),IF(HA32="keep",HS32,0),IF(IC32="keep",IU32,0),IF(JE32="keep",JW32,0),IF(KG32="keep",KY32,0),IF(LI32="keep",MA32,0))</f>
        <v>0</v>
      </c>
      <c r="V32" s="5">
        <f>R32/O32</f>
        <v>1.0868923557893104</v>
      </c>
      <c r="W32" s="5">
        <f>S32/P32</f>
        <v>1.086871045748291</v>
      </c>
      <c r="X32" s="5">
        <f>T32/O32</f>
        <v>0</v>
      </c>
      <c r="Y32" s="5">
        <f>U32/P32</f>
        <v>0</v>
      </c>
      <c r="Z32" s="5">
        <f>V32+X32</f>
        <v>1.0868923557893104</v>
      </c>
      <c r="AA32" s="7">
        <f>IFERROR(W32/V32-1,0)</f>
        <v>-0.000019606395155746803</v>
      </c>
      <c r="AB32" s="7">
        <f>IFERROR((W32-V32)/Z32,0)</f>
        <v>-0.00001960639515573339</v>
      </c>
      <c r="AC32" s="7">
        <f>IFERROR(Y32/X32-1,0)</f>
        <v>0</v>
      </c>
      <c r="AD32" s="7">
        <f>IFERROR((Y32-X32)/Z32,0)</f>
        <v>0</v>
      </c>
      <c r="AE32" s="7">
        <f>AB32+AD32</f>
        <v>-0.00001960639515573339</v>
      </c>
      <c r="AF32" s="7">
        <f>(1+Q32)*(1+AE32)-1</f>
        <v>0.04800205092485088</v>
      </c>
      <c r="AG32" s="7">
        <f>G32-AF32</f>
        <v>8.326672684688674e-17</v>
      </c>
      <c r="AH32" s="5">
        <f>SUM(IF(BQ32="lease",CE32,0),IF(CS32="lease",DG32,0),IF(DU32="lease",EI32,0),IF(EW32="lease",FK32,0),IF(FY32="lease",GM32,0),IF(HA32="lease",HO32,0),IF(IC32="lease",IQ32,0),IF(JE32="lease",JS32,0),IF(KG32="lease",KU32,0),IF(LI32="lease",LW32,0))</f>
        <v>0.04716359556486241</v>
      </c>
      <c r="AI32" s="5">
        <f>SUM(IF(BQ32="keep",CE32,0),IF(CS32="keep",DG32,0),IF(DU32="keep",EI32,0),IF(EW32="keep",FK32,0),IF(FY32="keep",GM32,0),IF(HA32="keep",HO32,0),IF(IC32="keep",IQ32,0),IF(JE32="keep",JS32,0),IF(KG32="keep",KU32,0),IF(LI32="keep",LW32,0))</f>
        <v>0</v>
      </c>
      <c r="AJ32" s="5">
        <f>SUM(IF(BQ32="lease",CH32,0),IF(CS32="lease",DJ32,0),IF(DU32="lease",EL32,0),IF(EW32="lease",FN32,0),IF(FY32="lease",GP32,0),IF(HA32="lease",HR32,0),IF(IC32="lease",IT32,0),IF(JE32="lease",JV32,0),IF(KG32="lease",KX32,0),IF(LI32="lease",LZ32,0))</f>
        <v>0</v>
      </c>
      <c r="AK32" s="5">
        <f>SUM(IF(BQ32="keep",CH32,0),IF(CS32="keep",DJ32,0),IF(DU32="keep",EL32,0),IF(EW32="keep",FN32,0),IF(FY32="keep",GP32,0),IF(HA32="keep",HR32,0),IF(IC32="keep",IT32,0),IF(JE32="keep",JV32,0),IF(KG32="keep",KX32,0),IF(LI32="keep",LZ32,0))</f>
        <v>0</v>
      </c>
      <c r="AL32" s="5">
        <f>R32-S31</f>
        <v>0</v>
      </c>
      <c r="AM32" s="5">
        <f>T32-U31</f>
        <v>0</v>
      </c>
      <c r="AN32" s="5">
        <f>AN31</f>
        <v>1</v>
      </c>
      <c r="AO32" s="5">
        <f>AO31+AH32</f>
        <v>0.029696521891256798</v>
      </c>
      <c r="AP32" s="5">
        <f>AP31+AL32</f>
        <v>-4.440892098500626e-16</v>
      </c>
      <c r="AQ32" s="5">
        <f>AN32+AO32+AP32</f>
        <v>1.0296965218912564</v>
      </c>
      <c r="AR32" s="5">
        <f>S32-AQ32</f>
        <v>0</v>
      </c>
      <c r="AS32" s="5">
        <f>AS31</f>
        <v>0</v>
      </c>
      <c r="AT32" s="5">
        <f>AT31+AI32</f>
        <v>0</v>
      </c>
      <c r="AU32" s="5">
        <f>AU31+AM32</f>
        <v>0</v>
      </c>
      <c r="AV32" s="5">
        <f>AS32+AT32+AU32</f>
        <v>0</v>
      </c>
      <c r="AW32" s="5">
        <f>U32-AV32</f>
        <v>0</v>
      </c>
      <c r="AX32" s="4">
        <v>0.982532926326394</v>
      </c>
      <c r="AY32" s="4">
        <v>1.0296965218912564</v>
      </c>
      <c r="AZ32" s="5">
        <f>S32-AY32</f>
        <v>0</v>
      </c>
      <c r="BA32" s="4">
        <v>0</v>
      </c>
      <c r="BB32" s="4">
        <v>0</v>
      </c>
      <c r="BC32" s="5">
        <f>U32-BB32</f>
        <v>0</v>
      </c>
      <c r="BD32" s="7">
        <f>SUM(IF(BP32="direct",CC32/F32,0),IF(CR32="direct",DE32/F32,0),IF(DT32="direct",EG32/F32,0),IF(EV32="direct",FI32/F32,0),IF(FX32="direct",GK32/F32,0),IF(GZ32="direct",HM32/F32,0),IF(IB32="direct",IO32/F32,0),IF(JD32="direct",JQ32/F32,0),IF(KF32="direct",KS32/F32,0),IF(LH32="direct",LU32/F32,0))</f>
        <v>0.04802259887005648</v>
      </c>
      <c r="BE32" s="7">
        <f>-SUM(IF(BP32="direct",CD32/F32,0),IF(CR32="direct",DF32/F32,0),IF(DT32="direct",EH32/F32,0),IF(EV32="direct",FJ32/F32,0),IF(FX32="direct",GL32/F32,0),IF(GZ32="direct",HN32/F32,0),IF(IB32="direct",IP32/F32,0),IF(JD32="direct",JR32/F32,0),IF(KF32="direct",KT32/F32,0),IF(LH32="direct",LV32/F32,0))</f>
        <v>-0.000020547945205479453</v>
      </c>
      <c r="BF32" s="7">
        <f>BD32+BE32</f>
        <v>0.048002050924851</v>
      </c>
      <c r="BG32" s="7">
        <f>BF32-SUM(IF(BP32="direct",CP32,0),IF(CR32="direct",DR32,0),IF(DT32="direct",ET32,0),IF(EV32="direct",FV32,0),IF(FX32="direct",GX32,0),IF(GZ32="direct",HZ32,0),IF(IB32="direct",JB32,0),IF(JD32="direct",KD32,0),IF(KF32="direct",LF32,0),IF(LH32="direct",MH32,0))</f>
        <v>3.469446951953614e-17</v>
      </c>
      <c r="BH32" s="7">
        <f>SUM(IF(BP32="treasury",CP32,0),IF(CR32="treasury",DR32,0),IF(DT32="treasury",ET32,0),IF(EV32="treasury",FV32,0),IF(FX32="treasury",GX32,0),IF(GZ32="treasury",HZ32,0),IF(IB32="treasury",JB32,0),IF(JD32="treasury",KD32,0),IF(KF32="treasury",LF32,0),IF(LH32="treasury",MH32,0))</f>
        <v>0</v>
      </c>
      <c r="BI32" s="7">
        <f>SUM(IF(BP32="future",CP32,0),IF(CR32="future",DR32,0),IF(DT32="future",ET32,0),IF(EV32="future",FV32,0),IF(FX32="future",GX32,0),IF(GZ32="future",HZ32,0),IF(IB32="future",JB32,0),IF(JD32="future",KD32,0),IF(KF32="future",LF32,0),IF(LH32="future",MH32,0))</f>
        <v>0</v>
      </c>
      <c r="BJ32" s="7">
        <f>SUM(IF(BP32="cash",CP32,0),IF(CR32="cash",DR32,0),IF(DT32="cash",ET32,0),IF(EV32="cash",FV32,0),IF(FX32="cash",GX32,0),IF(GZ32="cash",HZ32,0),IF(IB32="cash",JB32,0),IF(JD32="cash",KD32,0),IF(KF32="cash",LF32,0),IF(LH32="cash",MH32,0))</f>
        <v>0</v>
      </c>
      <c r="BK32" s="7">
        <f>SUM(BF32,BH32,BI32,BJ32)</f>
        <v>0.048002050924850964</v>
      </c>
      <c r="BL32" s="7">
        <f>G32-BK32</f>
        <v>0</v>
      </c>
      <c r="BM32" s="5">
        <f>MAX(ABS(CG32),ABS(DI32),ABS(EK32),ABS(FM32),ABS(GO32),ABS(HQ32),ABS(IS32),ABS(JU32),ABS(KW32),ABS(LY32))</f>
        <v>3.7547276485888625e-17</v>
      </c>
      <c r="BN32" s="9">
        <f>COUNTA(BO32,CQ32,DS32,EU32,FW32,GY32,IA32,JC32,KE32,LG32)</f>
        <v>3</v>
      </c>
      <c r="BO32" t="inlineStr">
        <is>
          <t xml:space="preserve">Direct commodity holding</t>
        </is>
      </c>
      <c r="BP32" t="inlineStr">
        <is>
          <t xml:space="preserve">direct</t>
        </is>
      </c>
      <c r="BQ32" t="inlineStr">
        <is>
          <t xml:space="preserve">lease</t>
        </is>
      </c>
      <c r="BR32" t="inlineStr">
        <is>
          <t xml:space="preserve">long</t>
        </is>
      </c>
      <c r="BS32"/>
      <c r="BT32" s="4">
        <v>1.77</v>
      </c>
      <c r="BU32" s="4">
        <v>1.855</v>
      </c>
      <c r="BV32" s="6">
        <v>0.0025</v>
      </c>
      <c r="BW32" s="4">
        <v>0.5551033482070024</v>
      </c>
      <c r="BX32" s="5">
        <f>IF(BP32="direct",IFERROR(CD32/BU32,0),0)</f>
        <v>0.000010883575597161254</v>
      </c>
      <c r="BY32" s="5">
        <f>IF(BP32="direct",BW32-BX32,IF(BP32="cash",CI32,BW32))</f>
        <v>0.5550924646314052</v>
      </c>
      <c r="BZ32" s="6">
        <v>1</v>
      </c>
      <c r="CA32" s="4">
        <v>0.9825329263263941</v>
      </c>
      <c r="CB32" s="4">
        <v>0.9825329263263941</v>
      </c>
      <c r="CC32" s="5">
        <f>IF(BP32="direct",BW32*(BU32-BT32),CF32)</f>
        <v>0.04718378459759518</v>
      </c>
      <c r="CD32" s="5">
        <f>IF(BP32="direct",CB32*BV32*C32/365,0)</f>
        <v>0.000020189032732734125</v>
      </c>
      <c r="CE32" s="5">
        <f>CC32-CD32</f>
        <v>0.04716359556486241</v>
      </c>
      <c r="CF32" s="4">
        <v>0.04716359556486241</v>
      </c>
      <c r="CG32" s="5">
        <f>CF32-CE32</f>
        <v>-3.7547276485888625e-17</v>
      </c>
      <c r="CH32" s="4">
        <v>0</v>
      </c>
      <c r="CI32" s="4">
        <v>1.0296965218912566</v>
      </c>
      <c r="CJ32" s="4">
        <v>1.77</v>
      </c>
      <c r="CK32" s="4">
        <v>1.855</v>
      </c>
      <c r="CL32" s="6"/>
      <c r="CM32" s="6"/>
      <c r="CN32" s="6"/>
      <c r="CO32" s="9"/>
      <c r="CP32" s="7">
        <f>IFERROR(CE32/F32,0)</f>
        <v>0.048002050924850964</v>
      </c>
      <c r="CQ32" t="inlineStr">
        <is>
          <t xml:space="preserve">Lease cash / margin / financing</t>
        </is>
      </c>
      <c r="CR32" t="inlineStr">
        <is>
          <t xml:space="preserve">cash</t>
        </is>
      </c>
      <c r="CS32" t="inlineStr">
        <is>
          <t xml:space="preserve">lease</t>
        </is>
      </c>
      <c r="CT32" t="inlineStr">
        <is>
          <t xml:space="preserve">cash</t>
        </is>
      </c>
      <c r="CU32"/>
      <c r="CV32" s="4">
        <v>1</v>
      </c>
      <c r="CW32" s="4">
        <v>1</v>
      </c>
      <c r="CX32" s="6"/>
      <c r="CY32" s="4">
        <v>-1.1102230246251565e-16</v>
      </c>
      <c r="CZ32" s="5">
        <f>IF(CR32="direct",IFERROR(DF32/CW32,0),0)</f>
        <v>0</v>
      </c>
      <c r="DA32" s="5">
        <f>IF(CR32="direct",CY32-CZ32,IF(CR32="cash",DK32,CY32))</f>
        <v>-1.1102230246251565e-16</v>
      </c>
      <c r="DB32" s="6"/>
      <c r="DC32" s="4">
        <v>-1.1102230246251565e-16</v>
      </c>
      <c r="DD32" s="4">
        <v>-1.1102230246251565e-16</v>
      </c>
      <c r="DE32" s="5">
        <f>IF(CR32="direct",CY32*(CW32-CV32),DH32)</f>
        <v>0</v>
      </c>
      <c r="DF32" s="5">
        <f>IF(CR32="direct",DD32*CX32*C32/365,0)</f>
        <v>0</v>
      </c>
      <c r="DG32" s="5">
        <f>DE32-DF32</f>
        <v>0</v>
      </c>
      <c r="DH32" s="4">
        <v>0</v>
      </c>
      <c r="DI32" s="5">
        <f>DH32-DG32</f>
        <v>0</v>
      </c>
      <c r="DJ32" s="4">
        <v>0</v>
      </c>
      <c r="DK32" s="4">
        <v>-1.1102230246251565e-16</v>
      </c>
      <c r="DL32" s="4">
        <v>1.77</v>
      </c>
      <c r="DM32" s="4">
        <v>1.855</v>
      </c>
      <c r="DN32" s="6"/>
      <c r="DO32" s="6"/>
      <c r="DP32" s="6"/>
      <c r="DQ32" s="9"/>
      <c r="DR32" s="7">
        <f>IFERROR(DG32/F32,0)</f>
        <v>0</v>
      </c>
      <c r="DS32" t="inlineStr">
        <is>
          <t xml:space="preserve">Keep cash / margin / financing</t>
        </is>
      </c>
      <c r="DT32" t="inlineStr">
        <is>
          <t xml:space="preserve">cash</t>
        </is>
      </c>
      <c r="DU32" t="inlineStr">
        <is>
          <t xml:space="preserve">keep</t>
        </is>
      </c>
      <c r="DV32" t="inlineStr">
        <is>
          <t xml:space="preserve">cash</t>
        </is>
      </c>
      <c r="DW32"/>
      <c r="DX32" s="4">
        <v>1</v>
      </c>
      <c r="DY32" s="4">
        <v>1</v>
      </c>
      <c r="DZ32" s="6"/>
      <c r="EA32" s="4">
        <v>0</v>
      </c>
      <c r="EB32" s="5">
        <f>IF(DT32="direct",IFERROR(EH32/DY32,0),0)</f>
        <v>0</v>
      </c>
      <c r="EC32" s="5">
        <f>IF(DT32="direct",EA32-EB32,IF(DT32="cash",EM32,EA32))</f>
        <v>0</v>
      </c>
      <c r="ED32" s="6"/>
      <c r="EE32" s="4">
        <v>0</v>
      </c>
      <c r="EF32" s="4">
        <v>0</v>
      </c>
      <c r="EG32" s="5">
        <f>IF(DT32="direct",EA32*(DY32-DX32),EJ32)</f>
        <v>0</v>
      </c>
      <c r="EH32" s="5">
        <f>IF(DT32="direct",EF32*DZ32*C32/365,0)</f>
        <v>0</v>
      </c>
      <c r="EI32" s="5">
        <f>EG32-EH32</f>
        <v>0</v>
      </c>
      <c r="EJ32" s="4">
        <v>0</v>
      </c>
      <c r="EK32" s="5">
        <f>EJ32-EI32</f>
        <v>0</v>
      </c>
      <c r="EL32" s="4">
        <v>0</v>
      </c>
      <c r="EM32" s="4">
        <v>0</v>
      </c>
      <c r="EN32" s="4">
        <v>1.77</v>
      </c>
      <c r="EO32" s="4">
        <v>1.855</v>
      </c>
      <c r="EP32" s="6"/>
      <c r="EQ32" s="6"/>
      <c r="ER32" s="6"/>
      <c r="ES32" s="9"/>
      <c r="ET32" s="7">
        <f>IFERROR(EI32/F32,0)</f>
        <v>0</v>
      </c>
      <c r="EU32"/>
      <c r="EV32"/>
      <c r="EW32"/>
      <c r="EX32"/>
      <c r="EY32"/>
      <c r="EZ32" s="4"/>
      <c r="FA32" s="4"/>
      <c r="FB32" s="6"/>
      <c r="FC32" s="4"/>
      <c r="FD32" s="5">
        <v>0</v>
      </c>
      <c r="FE32" s="5"/>
      <c r="FF32" s="6"/>
      <c r="FG32" s="4"/>
      <c r="FH32" s="4"/>
      <c r="FI32" s="5">
        <v>0</v>
      </c>
      <c r="FJ32" s="5">
        <v>0</v>
      </c>
      <c r="FK32" s="5"/>
      <c r="FL32" s="4"/>
      <c r="FM32" s="5">
        <v>0</v>
      </c>
      <c r="FN32" s="4"/>
      <c r="FO32" s="4"/>
      <c r="FP32" s="4"/>
      <c r="FQ32" s="4"/>
      <c r="FR32" s="6"/>
      <c r="FS32" s="6"/>
      <c r="FT32" s="6"/>
      <c r="FU32" s="9"/>
      <c r="FV32"/>
      <c r="FW32"/>
      <c r="FX32"/>
      <c r="FY32"/>
      <c r="FZ32"/>
      <c r="GA32"/>
      <c r="GB32" s="4"/>
      <c r="GC32" s="4"/>
      <c r="GD32" s="6"/>
      <c r="GE32" s="4"/>
      <c r="GF32" s="5">
        <v>0</v>
      </c>
      <c r="GG32" s="5"/>
      <c r="GH32" s="6"/>
      <c r="GI32" s="4"/>
      <c r="GJ32" s="4"/>
      <c r="GK32" s="5">
        <v>0</v>
      </c>
      <c r="GL32" s="5">
        <v>0</v>
      </c>
      <c r="GM32" s="5"/>
      <c r="GN32" s="4"/>
      <c r="GO32" s="5">
        <v>0</v>
      </c>
      <c r="GP32" s="4"/>
      <c r="GQ32" s="4"/>
      <c r="GR32" s="4"/>
      <c r="GS32" s="4"/>
      <c r="GT32" s="6"/>
      <c r="GU32" s="6"/>
      <c r="GV32" s="6"/>
      <c r="GW32" s="9"/>
      <c r="GX32"/>
      <c r="GY32"/>
      <c r="GZ32"/>
      <c r="HA32"/>
      <c r="HB32"/>
      <c r="HC32"/>
      <c r="HD32" s="4"/>
      <c r="HE32" s="4"/>
      <c r="HF32" s="6"/>
      <c r="HG32" s="4"/>
      <c r="HH32" s="5">
        <v>0</v>
      </c>
      <c r="HI32" s="5"/>
      <c r="HJ32" s="6"/>
      <c r="HK32" s="4"/>
      <c r="HL32" s="4"/>
      <c r="HM32" s="5">
        <v>0</v>
      </c>
      <c r="HN32" s="5">
        <v>0</v>
      </c>
      <c r="HO32" s="5"/>
      <c r="HP32" s="4"/>
      <c r="HQ32" s="5">
        <v>0</v>
      </c>
      <c r="HR32" s="4"/>
      <c r="HS32" s="4"/>
      <c r="HT32" s="4"/>
      <c r="HU32" s="4"/>
      <c r="HV32" s="6"/>
      <c r="HW32" s="6"/>
      <c r="HX32" s="6"/>
      <c r="HY32" s="9"/>
      <c r="HZ32"/>
      <c r="IA32"/>
      <c r="IB32"/>
      <c r="IC32"/>
      <c r="ID32"/>
      <c r="IE32"/>
      <c r="IF32" s="4"/>
      <c r="IG32" s="4"/>
      <c r="IH32" s="6"/>
      <c r="II32" s="4"/>
      <c r="IJ32" s="5">
        <v>0</v>
      </c>
      <c r="IK32" s="5"/>
      <c r="IL32" s="6"/>
      <c r="IM32" s="4"/>
      <c r="IN32" s="4"/>
      <c r="IO32" s="5">
        <v>0</v>
      </c>
      <c r="IP32" s="5">
        <v>0</v>
      </c>
      <c r="IQ32" s="5"/>
      <c r="IR32" s="4"/>
      <c r="IS32" s="5">
        <v>0</v>
      </c>
      <c r="IT32" s="4"/>
      <c r="IU32" s="4"/>
      <c r="IV32" s="4"/>
      <c r="IW32" s="4"/>
      <c r="IX32" s="6"/>
      <c r="IY32" s="6"/>
      <c r="IZ32" s="6"/>
      <c r="JA32" s="9"/>
      <c r="JB32"/>
      <c r="JC32"/>
      <c r="JD32"/>
      <c r="JE32"/>
      <c r="JF32"/>
      <c r="JG32"/>
      <c r="JH32" s="4"/>
      <c r="JI32" s="4"/>
      <c r="JJ32" s="6"/>
      <c r="JK32" s="4"/>
      <c r="JL32" s="5">
        <v>0</v>
      </c>
      <c r="JM32" s="5"/>
      <c r="JN32" s="6"/>
      <c r="JO32" s="4"/>
      <c r="JP32" s="4"/>
      <c r="JQ32" s="5">
        <v>0</v>
      </c>
      <c r="JR32" s="5">
        <v>0</v>
      </c>
      <c r="JS32" s="5"/>
      <c r="JT32" s="4"/>
      <c r="JU32" s="5">
        <v>0</v>
      </c>
      <c r="JV32" s="4"/>
      <c r="JW32" s="4"/>
      <c r="JX32" s="4"/>
      <c r="JY32" s="4"/>
      <c r="JZ32" s="6"/>
      <c r="KA32" s="6"/>
      <c r="KB32" s="6"/>
      <c r="KC32" s="9"/>
      <c r="KD32"/>
      <c r="KE32"/>
      <c r="KF32"/>
      <c r="KG32"/>
      <c r="KH32"/>
      <c r="KI32"/>
      <c r="KJ32" s="4"/>
      <c r="KK32" s="4"/>
      <c r="KL32" s="6"/>
      <c r="KM32" s="4"/>
      <c r="KN32" s="5">
        <v>0</v>
      </c>
      <c r="KO32" s="5"/>
      <c r="KP32" s="6"/>
      <c r="KQ32" s="4"/>
      <c r="KR32" s="4"/>
      <c r="KS32" s="5">
        <v>0</v>
      </c>
      <c r="KT32" s="5">
        <v>0</v>
      </c>
      <c r="KU32" s="5"/>
      <c r="KV32" s="4"/>
      <c r="KW32" s="5">
        <v>0</v>
      </c>
      <c r="KX32" s="4"/>
      <c r="KY32" s="4"/>
      <c r="KZ32" s="4"/>
      <c r="LA32" s="4"/>
      <c r="LB32" s="6"/>
      <c r="LC32" s="6"/>
      <c r="LD32" s="6"/>
      <c r="LE32" s="9"/>
      <c r="LF32"/>
      <c r="LG32"/>
      <c r="LH32"/>
      <c r="LI32"/>
      <c r="LJ32"/>
      <c r="LK32"/>
      <c r="LL32" s="4"/>
      <c r="LM32" s="4"/>
      <c r="LN32" s="6"/>
      <c r="LO32" s="4"/>
      <c r="LP32" s="5">
        <v>0</v>
      </c>
      <c r="LQ32" s="5"/>
      <c r="LR32" s="6"/>
      <c r="LS32" s="4"/>
      <c r="LT32" s="4"/>
      <c r="LU32" s="5">
        <v>0</v>
      </c>
      <c r="LV32" s="5">
        <v>0</v>
      </c>
      <c r="LW32" s="5"/>
      <c r="LX32" s="4"/>
      <c r="LY32" s="5">
        <v>0</v>
      </c>
      <c r="LZ32" s="4"/>
      <c r="MA32" s="4"/>
      <c r="MB32" s="4"/>
      <c r="MC32" s="4"/>
      <c r="MD32" s="6"/>
      <c r="ME32" s="6"/>
      <c r="MF32" s="6"/>
      <c r="MG32" s="9"/>
      <c r="MH32"/>
    </row>
    <row r="33">
      <c r="A33" s="8">
        <v>25251</v>
      </c>
      <c r="B33" s="8">
        <v>25252</v>
      </c>
      <c r="C33" s="9">
        <f>B33-A33</f>
        <v>1</v>
      </c>
      <c r="D33" s="8">
        <v>25251</v>
      </c>
      <c r="E33" t="inlineStr">
        <is>
          <t xml:space="preserve">positive</t>
        </is>
      </c>
      <c r="F33" s="4">
        <v>1.0296965218912564</v>
      </c>
      <c r="G33" s="6">
        <v>0.021574478101485862</v>
      </c>
      <c r="H33" s="7">
        <f>SUM(CP33,DR33,ET33,FV33,GX33,HZ33,JB33,KD33,LF33,MH33)</f>
        <v>0.021574478101485866</v>
      </c>
      <c r="I33" s="7">
        <f>G33-H33</f>
        <v>-3.469446951953614e-18</v>
      </c>
      <c r="J33" s="5">
        <f>F33*(1+H33)</f>
        <v>1.0519116869539755</v>
      </c>
      <c r="K33" s="4">
        <v>1.0519116869539755</v>
      </c>
      <c r="L33" s="5">
        <f>K33-J33</f>
        <v>0</v>
      </c>
      <c r="M33" s="4">
        <v>1.855</v>
      </c>
      <c r="N33" s="4">
        <v>1.804</v>
      </c>
      <c r="O33" s="5">
        <f>M33/$M$3</f>
        <v>0.9473953013278856</v>
      </c>
      <c r="P33" s="5">
        <f>N33/$M$3</f>
        <v>0.9213483146067416</v>
      </c>
      <c r="Q33" s="7">
        <f>IFERROR(N33/M33-1,0)</f>
        <v>-0.027493261455525553</v>
      </c>
      <c r="R33" s="5">
        <f>SUM(IF(BQ33="lease",CB33,0),IF(CS33="lease",DD33,0),IF(DU33="lease",EF33,0),IF(EW33="lease",FH33,0),IF(FY33="lease",GJ33,0),IF(HA33="lease",HL33,0),IF(IC33="lease",IN33,0),IF(JE33="lease",JP33,0),IF(KG33="lease",KR33,0),IF(LI33="lease",LT33,0))</f>
        <v>1.0296965218912564</v>
      </c>
      <c r="S33" s="5">
        <f>SUM(IF(BQ33="lease",CI33,0),IF(CS33="lease",DK33,0),IF(DU33="lease",EM33,0),IF(EW33="lease",FO33,0),IF(FY33="lease",GQ33,0),IF(HA33="lease",HS33,0),IF(IC33="lease",IU33,0),IF(JE33="lease",JW33,0),IF(KG33="lease",KY33,0),IF(LI33="lease",MA33,0))</f>
        <v>1.0519116869539755</v>
      </c>
      <c r="T33" s="5">
        <f>SUM(IF(BQ33="keep",CB33,0),IF(CS33="keep",DD33,0),IF(DU33="keep",EF33,0),IF(EW33="keep",FH33,0),IF(FY33="keep",GJ33,0),IF(HA33="keep",HL33,0),IF(IC33="keep",IN33,0),IF(JE33="keep",JP33,0),IF(KG33="keep",KR33,0),IF(LI33="keep",LT33,0))</f>
        <v>0</v>
      </c>
      <c r="U33" s="5">
        <f>SUM(IF(BQ33="keep",CI33,0),IF(CS33="keep",DK33,0),IF(DU33="keep",EM33,0),IF(EW33="keep",FO33,0),IF(FY33="keep",GQ33,0),IF(HA33="keep",HS33,0),IF(IC33="keep",IU33,0),IF(JE33="keep",JW33,0),IF(KG33="keep",KY33,0),IF(LI33="keep",MA33,0))</f>
        <v>0</v>
      </c>
      <c r="V33" s="5">
        <f>R33/O33</f>
        <v>1.086871045748291</v>
      </c>
      <c r="W33" s="5">
        <f>S33/P33</f>
        <v>1.141709026084193</v>
      </c>
      <c r="X33" s="5">
        <f>T33/O33</f>
        <v>0</v>
      </c>
      <c r="Y33" s="5">
        <f>U33/P33</f>
        <v>0</v>
      </c>
      <c r="Z33" s="5">
        <f>V33+X33</f>
        <v>1.086871045748291</v>
      </c>
      <c r="AA33" s="7">
        <f>IFERROR(W33/V33-1,0)</f>
        <v>0.05045490957774734</v>
      </c>
      <c r="AB33" s="7">
        <f>IFERROR((W33-V33)/Z33,0)</f>
        <v>0.050454909577747425</v>
      </c>
      <c r="AC33" s="7">
        <f>IFERROR(Y33/X33-1,0)</f>
        <v>0</v>
      </c>
      <c r="AD33" s="7">
        <f>IFERROR((Y33-X33)/Z33,0)</f>
        <v>0</v>
      </c>
      <c r="AE33" s="7">
        <f>AB33+AD33</f>
        <v>0.050454909577747425</v>
      </c>
      <c r="AF33" s="7">
        <f>(1+Q33)*(1+AE33)-1</f>
        <v>0.02157447810148594</v>
      </c>
      <c r="AG33" s="7">
        <f>G33-AF33</f>
        <v>-7.632783294297951e-17</v>
      </c>
      <c r="AH33" s="5">
        <f>SUM(IF(BQ33="lease",CE33,0),IF(CS33="lease",DG33,0),IF(DU33="lease",EI33,0),IF(EW33="lease",FK33,0),IF(FY33="lease",GM33,0),IF(HA33="lease",HO33,0),IF(IC33="lease",IQ33,0),IF(JE33="lease",JS33,0),IF(KG33="lease",KU33,0),IF(LI33="lease",LW33,0))</f>
        <v>0.02221516506271907</v>
      </c>
      <c r="AI33" s="5">
        <f>SUM(IF(BQ33="keep",CE33,0),IF(CS33="keep",DG33,0),IF(DU33="keep",EI33,0),IF(EW33="keep",FK33,0),IF(FY33="keep",GM33,0),IF(HA33="keep",HO33,0),IF(IC33="keep",IQ33,0),IF(JE33="keep",JS33,0),IF(KG33="keep",KU33,0),IF(LI33="keep",LW33,0))</f>
        <v>0</v>
      </c>
      <c r="AJ33" s="5">
        <f>SUM(IF(BQ33="lease",CH33,0),IF(CS33="lease",DJ33,0),IF(DU33="lease",EL33,0),IF(EW33="lease",FN33,0),IF(FY33="lease",GP33,0),IF(HA33="lease",HR33,0),IF(IC33="lease",IT33,0),IF(JE33="lease",JV33,0),IF(KG33="lease",KX33,0),IF(LI33="lease",LZ33,0))</f>
        <v>0</v>
      </c>
      <c r="AK33" s="5">
        <f>SUM(IF(BQ33="keep",CH33,0),IF(CS33="keep",DJ33,0),IF(DU33="keep",EL33,0),IF(EW33="keep",FN33,0),IF(FY33="keep",GP33,0),IF(HA33="keep",HR33,0),IF(IC33="keep",IT33,0),IF(JE33="keep",JV33,0),IF(KG33="keep",KX33,0),IF(LI33="keep",LZ33,0))</f>
        <v>0</v>
      </c>
      <c r="AL33" s="5">
        <f>R33-S32</f>
        <v>0</v>
      </c>
      <c r="AM33" s="5">
        <f>T33-U32</f>
        <v>0</v>
      </c>
      <c r="AN33" s="5">
        <f>AN32</f>
        <v>1</v>
      </c>
      <c r="AO33" s="5">
        <f>AO32+AH33</f>
        <v>0.05191168695397587</v>
      </c>
      <c r="AP33" s="5">
        <f>AP32+AL33</f>
        <v>-4.440892098500626e-16</v>
      </c>
      <c r="AQ33" s="5">
        <f>AN33+AO33+AP33</f>
        <v>1.0519116869539755</v>
      </c>
      <c r="AR33" s="5">
        <f>S33-AQ33</f>
        <v>0</v>
      </c>
      <c r="AS33" s="5">
        <f>AS32</f>
        <v>0</v>
      </c>
      <c r="AT33" s="5">
        <f>AT32+AI33</f>
        <v>0</v>
      </c>
      <c r="AU33" s="5">
        <f>AU32+AM33</f>
        <v>0</v>
      </c>
      <c r="AV33" s="5">
        <f>AS33+AT33+AU33</f>
        <v>0</v>
      </c>
      <c r="AW33" s="5">
        <f>U33-AV33</f>
        <v>0</v>
      </c>
      <c r="AX33" s="4">
        <v>1.0296965218912564</v>
      </c>
      <c r="AY33" s="4">
        <v>1.0519116869539755</v>
      </c>
      <c r="AZ33" s="5">
        <f>S33-AY33</f>
        <v>0</v>
      </c>
      <c r="BA33" s="4">
        <v>0</v>
      </c>
      <c r="BB33" s="4">
        <v>0</v>
      </c>
      <c r="BC33" s="5">
        <f>U33-BB33</f>
        <v>0</v>
      </c>
      <c r="BD33" s="7">
        <f>SUM(IF(BP33="direct",CC33/F33,0),IF(CR33="direct",DE33/F33,0),IF(DT33="direct",EG33/F33,0),IF(EV33="direct",FI33/F33,0),IF(FX33="direct",GK33/F33,0),IF(GZ33="direct",HM33/F33,0),IF(IB33="direct",IO33/F33,0),IF(JD33="direct",JQ33/F33,0),IF(KF33="direct",KS33/F33,0),IF(LH33="direct",LU33/F33,0))</f>
        <v>0</v>
      </c>
      <c r="BE33" s="7">
        <f>-SUM(IF(BP33="direct",CD33/F33,0),IF(CR33="direct",DF33/F33,0),IF(DT33="direct",EH33/F33,0),IF(EV33="direct",FJ33/F33,0),IF(FX33="direct",GL33/F33,0),IF(GZ33="direct",HN33/F33,0),IF(IB33="direct",IP33/F33,0),IF(JD33="direct",JR33/F33,0),IF(KF33="direct",KT33/F33,0),IF(LH33="direct",LV33/F33,0))</f>
        <v>0</v>
      </c>
      <c r="BF33" s="7">
        <f>BD33+BE33</f>
        <v>0</v>
      </c>
      <c r="BG33" s="7">
        <f>BF33-SUM(IF(BP33="direct",CP33,0),IF(CR33="direct",DR33,0),IF(DT33="direct",ET33,0),IF(EV33="direct",FV33,0),IF(FX33="direct",GX33,0),IF(GZ33="direct",HZ33,0),IF(IB33="direct",JB33,0),IF(JD33="direct",KD33,0),IF(KF33="direct",LF33,0),IF(LH33="direct",MH33,0))</f>
        <v>0</v>
      </c>
      <c r="BH33" s="7">
        <f>SUM(IF(BP33="treasury",CP33,0),IF(CR33="treasury",DR33,0),IF(DT33="treasury",ET33,0),IF(EV33="treasury",FV33,0),IF(FX33="treasury",GX33,0),IF(GZ33="treasury",HZ33,0),IF(IB33="treasury",JB33,0),IF(JD33="treasury",KD33,0),IF(KF33="treasury",LF33,0),IF(LH33="treasury",MH33,0))</f>
        <v>0.00016602739726027395</v>
      </c>
      <c r="BI33" s="7">
        <f>SUM(IF(BP33="future",CP33,0),IF(CR33="future",DR33,0),IF(DT33="future",ET33,0),IF(EV33="future",FV33,0),IF(FX33="future",GX33,0),IF(GZ33="future",HZ33,0),IF(IB33="future",JB33,0),IF(JD33="future",KD33,0),IF(KF33="future",LF33,0),IF(LH33="future",MH33,0))</f>
        <v>0.02140845070422559</v>
      </c>
      <c r="BJ33" s="7">
        <f>SUM(IF(BP33="cash",CP33,0),IF(CR33="cash",DR33,0),IF(DT33="cash",ET33,0),IF(EV33="cash",FV33,0),IF(FX33="cash",GX33,0),IF(GZ33="cash",HZ33,0),IF(IB33="cash",JB33,0),IF(JD33="cash",KD33,0),IF(KF33="cash",LF33,0),IF(LH33="cash",MH33,0))</f>
        <v>0</v>
      </c>
      <c r="BK33" s="7">
        <f>SUM(BF33,BH33,BI33,BJ33)</f>
        <v>0.021574478101485862</v>
      </c>
      <c r="BL33" s="7">
        <f>G33-BK33</f>
        <v>0</v>
      </c>
      <c r="BM33" s="5">
        <f>MAX(ABS(CG33),ABS(DI33),ABS(EK33),ABS(FM33),ABS(GO33),ABS(HQ33),ABS(IS33),ABS(JU33),ABS(KW33),ABS(LY33))</f>
        <v>1.3417001884508117e-17</v>
      </c>
      <c r="BN33" s="9">
        <f>COUNTA(BO33,CQ33,DS33,EU33,FW33,GY33,IA33,JC33,KE33,LG33)</f>
        <v>5</v>
      </c>
      <c r="BO33" t="inlineStr">
        <is>
          <t xml:space="preserve">Treasury collateral</t>
        </is>
      </c>
      <c r="BP33" t="inlineStr">
        <is>
          <t xml:space="preserve">treasury</t>
        </is>
      </c>
      <c r="BQ33" t="inlineStr">
        <is>
          <t xml:space="preserve">lease</t>
        </is>
      </c>
      <c r="BR33" t="inlineStr">
        <is>
          <t xml:space="preserve">long</t>
        </is>
      </c>
      <c r="BS33"/>
      <c r="BT33" s="4">
        <v>100.7760108069549</v>
      </c>
      <c r="BU33" s="4">
        <v>100.79274238573545</v>
      </c>
      <c r="BV33" s="6"/>
      <c r="BW33" s="4">
        <v>0.010217674957026513</v>
      </c>
      <c r="BX33" s="5">
        <f>IF(BP33="direct",IFERROR(CD33/BU33,0),0)</f>
        <v>0</v>
      </c>
      <c r="BY33" s="5">
        <f>IF(BP33="direct",BW33-BX33,IF(BP33="cash",CI33,BW33))</f>
        <v>0.010217674957026513</v>
      </c>
      <c r="BZ33" s="6">
        <v>1</v>
      </c>
      <c r="CA33" s="4">
        <v>1.0296965218912564</v>
      </c>
      <c r="CB33" s="4">
        <v>1.0296965218912564</v>
      </c>
      <c r="CC33" s="5">
        <f>IF(BP33="direct",BW33*(BU33-BT33),CF33)</f>
        <v>0.00017095783349754858</v>
      </c>
      <c r="CD33" s="5">
        <f>IF(BP33="direct",CB33*BV33*C33/365,0)</f>
        <v>0</v>
      </c>
      <c r="CE33" s="5">
        <f>CC33-CD33</f>
        <v>0.000170957833497562</v>
      </c>
      <c r="CF33" s="4">
        <v>0.000170957833497562</v>
      </c>
      <c r="CG33" s="5">
        <f>CF33-CE33</f>
        <v>1.3417001884508117e-17</v>
      </c>
      <c r="CH33" s="4">
        <v>-1.5265566588595902e-16</v>
      </c>
      <c r="CI33" s="4">
        <v>1.0298674797247538</v>
      </c>
      <c r="CJ33" s="4">
        <v>1.855</v>
      </c>
      <c r="CK33" s="4">
        <v>1.804</v>
      </c>
      <c r="CL33" s="6"/>
      <c r="CM33" s="6"/>
      <c r="CN33" s="6"/>
      <c r="CO33" s="9">
        <v>38</v>
      </c>
      <c r="CP33" s="7">
        <f>IFERROR(CE33/F33,0)</f>
        <v>0.00016602739726027395</v>
      </c>
      <c r="CQ33" t="inlineStr">
        <is>
          <t xml:space="preserve">SI69H</t>
        </is>
      </c>
      <c r="CR33" t="inlineStr">
        <is>
          <t xml:space="preserve">future</t>
        </is>
      </c>
      <c r="CS33" t="inlineStr">
        <is>
          <t xml:space="preserve">lease</t>
        </is>
      </c>
      <c r="CT33" t="inlineStr">
        <is>
          <t xml:space="preserve">long</t>
        </is>
      </c>
      <c r="CU33" t="inlineStr">
        <is>
          <t xml:space="preserve">regular</t>
        </is>
      </c>
      <c r="CV33" s="4">
        <v>1.775</v>
      </c>
      <c r="CW33" s="4">
        <v>1.8130000000000002</v>
      </c>
      <c r="CX33" s="6"/>
      <c r="CY33" s="4">
        <v>0.580110716558448</v>
      </c>
      <c r="CZ33" s="5">
        <f>IF(CR33="direct",IFERROR(DF33/CW33,0),0)</f>
        <v>0</v>
      </c>
      <c r="DA33" s="5">
        <f>IF(CR33="direct",CY33-CZ33,IF(CR33="cash",DK33,CY33))</f>
        <v>0.580110716558448</v>
      </c>
      <c r="DB33" s="6">
        <v>0.999999999999989</v>
      </c>
      <c r="DC33" s="4">
        <v>1.0296965218912453</v>
      </c>
      <c r="DD33" s="4">
        <v>0</v>
      </c>
      <c r="DE33" s="5">
        <f>IF(CR33="direct",CY33*(CW33-CV33),DH33)</f>
        <v>0.02204420722922127</v>
      </c>
      <c r="DF33" s="5">
        <f>IF(CR33="direct",DD33*CX33*C33/365,0)</f>
        <v>0</v>
      </c>
      <c r="DG33" s="5">
        <f>DE33-DF33</f>
        <v>0.02204420722922127</v>
      </c>
      <c r="DH33" s="4">
        <v>0.02204420722922127</v>
      </c>
      <c r="DI33" s="5">
        <f>DH33-DG33</f>
        <v>0</v>
      </c>
      <c r="DJ33" s="4">
        <v>-0.02204420722922127</v>
      </c>
      <c r="DK33" s="4">
        <v>0</v>
      </c>
      <c r="DL33" s="4">
        <v>1.855</v>
      </c>
      <c r="DM33" s="4">
        <v>1.804</v>
      </c>
      <c r="DN33" s="6">
        <v>-0.043126684636118684</v>
      </c>
      <c r="DO33" s="6">
        <v>0.06060000000000001</v>
      </c>
      <c r="DP33" s="6">
        <v>0.4748431550574558</v>
      </c>
      <c r="DQ33" s="9">
        <v>38</v>
      </c>
      <c r="DR33" s="7">
        <f>IFERROR(DG33/F33,0)</f>
        <v>0.021408450704225358</v>
      </c>
      <c r="DS33" t="inlineStr">
        <is>
          <t xml:space="preserve">SI69K</t>
        </is>
      </c>
      <c r="DT33" t="inlineStr">
        <is>
          <t xml:space="preserve">future</t>
        </is>
      </c>
      <c r="DU33" t="inlineStr">
        <is>
          <t xml:space="preserve">lease</t>
        </is>
      </c>
      <c r="DV33" t="inlineStr">
        <is>
          <t xml:space="preserve">long</t>
        </is>
      </c>
      <c r="DW33" t="inlineStr">
        <is>
          <t xml:space="preserve">regular</t>
        </is>
      </c>
      <c r="DX33" s="4">
        <v>1.808</v>
      </c>
      <c r="DY33" s="4">
        <v>1.847</v>
      </c>
      <c r="DZ33" s="6"/>
      <c r="EA33" s="4">
        <v>6.16121126738025e-15</v>
      </c>
      <c r="EB33" s="5">
        <f>IF(DT33="direct",IFERROR(EH33/DY33,0),0)</f>
        <v>0</v>
      </c>
      <c r="EC33" s="5">
        <f>IF(DT33="direct",EA33-EB33,IF(DT33="cash",EM33,EA33))</f>
        <v>6.16121126738025e-15</v>
      </c>
      <c r="ED33" s="6">
        <v>1.0818206854737636e-14</v>
      </c>
      <c r="EE33" s="4">
        <v>1.1139469971423493e-14</v>
      </c>
      <c r="EF33" s="4">
        <v>0</v>
      </c>
      <c r="EG33" s="5">
        <f>IF(DT33="direct",EA33*(DY33-DX33),EJ33)</f>
        <v>2.4028723942782998e-16</v>
      </c>
      <c r="EH33" s="5">
        <f>IF(DT33="direct",EF33*DZ33*C33/365,0)</f>
        <v>0</v>
      </c>
      <c r="EI33" s="5">
        <f>EG33-EH33</f>
        <v>2.4028723942782998e-16</v>
      </c>
      <c r="EJ33" s="4">
        <v>2.4028723942782998e-16</v>
      </c>
      <c r="EK33" s="5">
        <f>EJ33-EI33</f>
        <v>0</v>
      </c>
      <c r="EL33" s="4">
        <v>-2.4028723942782998e-16</v>
      </c>
      <c r="EM33" s="4">
        <v>0</v>
      </c>
      <c r="EN33" s="4">
        <v>1.855</v>
      </c>
      <c r="EO33" s="4">
        <v>1.804</v>
      </c>
      <c r="EP33" s="6">
        <v>-0.025336927223719607</v>
      </c>
      <c r="EQ33" s="6">
        <v>0.06078791208791208</v>
      </c>
      <c r="ER33" s="6">
        <v>0.15326769645448865</v>
      </c>
      <c r="ES33" s="9">
        <v>100</v>
      </c>
      <c r="ET33" s="7">
        <f>IFERROR(EI33/F33,0)</f>
        <v>2.3335733812763726e-16</v>
      </c>
      <c r="EU33" t="inlineStr">
        <is>
          <t xml:space="preserve">Lease cash / margin / financing</t>
        </is>
      </c>
      <c r="EV33" t="inlineStr">
        <is>
          <t xml:space="preserve">cash</t>
        </is>
      </c>
      <c r="EW33" t="inlineStr">
        <is>
          <t xml:space="preserve">lease</t>
        </is>
      </c>
      <c r="EX33" t="inlineStr">
        <is>
          <t xml:space="preserve">cash</t>
        </is>
      </c>
      <c r="EY33"/>
      <c r="EZ33" s="4">
        <v>1</v>
      </c>
      <c r="FA33" s="4">
        <v>1</v>
      </c>
      <c r="FB33" s="6"/>
      <c r="FC33" s="4">
        <v>0</v>
      </c>
      <c r="FD33" s="5">
        <f>IF(EV33="direct",IFERROR(FJ33/FA33,0),0)</f>
        <v>0</v>
      </c>
      <c r="FE33" s="5">
        <f>IF(EV33="direct",FC33-FD33,IF(EV33="cash",FO33,FC33))</f>
        <v>0.022044207229221662</v>
      </c>
      <c r="FF33" s="6"/>
      <c r="FG33" s="4">
        <v>0</v>
      </c>
      <c r="FH33" s="4">
        <v>0</v>
      </c>
      <c r="FI33" s="5">
        <f>IF(EV33="direct",FC33*(FA33-EZ33),FL33)</f>
        <v>0</v>
      </c>
      <c r="FJ33" s="5">
        <f>IF(EV33="direct",FH33*FB33*C33/365,0)</f>
        <v>0</v>
      </c>
      <c r="FK33" s="5">
        <f>FI33-FJ33</f>
        <v>0</v>
      </c>
      <c r="FL33" s="4">
        <v>0</v>
      </c>
      <c r="FM33" s="5">
        <f>FL33-FK33</f>
        <v>0</v>
      </c>
      <c r="FN33" s="4">
        <v>0.022044207229221662</v>
      </c>
      <c r="FO33" s="4">
        <v>0.022044207229221662</v>
      </c>
      <c r="FP33" s="4">
        <v>1.855</v>
      </c>
      <c r="FQ33" s="4">
        <v>1.804</v>
      </c>
      <c r="FR33" s="6"/>
      <c r="FS33" s="6"/>
      <c r="FT33" s="6"/>
      <c r="FU33" s="9"/>
      <c r="FV33" s="7">
        <f>IFERROR(FK33/F33,0)</f>
        <v>0</v>
      </c>
      <c r="FW33" t="inlineStr">
        <is>
          <t xml:space="preserve">Keep cash / margin / financing</t>
        </is>
      </c>
      <c r="FX33" t="inlineStr">
        <is>
          <t xml:space="preserve">cash</t>
        </is>
      </c>
      <c r="FY33" t="inlineStr">
        <is>
          <t xml:space="preserve">keep</t>
        </is>
      </c>
      <c r="FZ33" t="inlineStr">
        <is>
          <t xml:space="preserve">cash</t>
        </is>
      </c>
      <c r="GA33"/>
      <c r="GB33" s="4">
        <v>1</v>
      </c>
      <c r="GC33" s="4">
        <v>1</v>
      </c>
      <c r="GD33" s="6"/>
      <c r="GE33" s="4">
        <v>0</v>
      </c>
      <c r="GF33" s="5">
        <f>IF(FX33="direct",IFERROR(GL33/GC33,0),0)</f>
        <v>0</v>
      </c>
      <c r="GG33" s="5">
        <f>IF(FX33="direct",GE33-GF33,IF(FX33="cash",GQ33,GE33))</f>
        <v>0</v>
      </c>
      <c r="GH33" s="6"/>
      <c r="GI33" s="4">
        <v>0</v>
      </c>
      <c r="GJ33" s="4">
        <v>0</v>
      </c>
      <c r="GK33" s="5">
        <f>IF(FX33="direct",GE33*(GC33-GB33),GN33)</f>
        <v>0</v>
      </c>
      <c r="GL33" s="5">
        <f>IF(FX33="direct",GJ33*GD33*C33/365,0)</f>
        <v>0</v>
      </c>
      <c r="GM33" s="5">
        <f>GK33-GL33</f>
        <v>0</v>
      </c>
      <c r="GN33" s="4">
        <v>0</v>
      </c>
      <c r="GO33" s="5">
        <f>GN33-GM33</f>
        <v>0</v>
      </c>
      <c r="GP33" s="4">
        <v>0</v>
      </c>
      <c r="GQ33" s="4">
        <v>0</v>
      </c>
      <c r="GR33" s="4">
        <v>1.855</v>
      </c>
      <c r="GS33" s="4">
        <v>1.804</v>
      </c>
      <c r="GT33" s="6"/>
      <c r="GU33" s="6"/>
      <c r="GV33" s="6"/>
      <c r="GW33" s="9"/>
      <c r="GX33" s="7">
        <f>IFERROR(GM33/F33,0)</f>
        <v>0</v>
      </c>
      <c r="GY33"/>
      <c r="GZ33"/>
      <c r="HA33"/>
      <c r="HB33"/>
      <c r="HC33"/>
      <c r="HD33" s="4"/>
      <c r="HE33" s="4"/>
      <c r="HF33" s="6"/>
      <c r="HG33" s="4"/>
      <c r="HH33" s="5">
        <v>0</v>
      </c>
      <c r="HI33" s="5"/>
      <c r="HJ33" s="6"/>
      <c r="HK33" s="4"/>
      <c r="HL33" s="4"/>
      <c r="HM33" s="5">
        <v>0</v>
      </c>
      <c r="HN33" s="5">
        <v>0</v>
      </c>
      <c r="HO33" s="5"/>
      <c r="HP33" s="4"/>
      <c r="HQ33" s="5">
        <v>0</v>
      </c>
      <c r="HR33" s="4"/>
      <c r="HS33" s="4"/>
      <c r="HT33" s="4"/>
      <c r="HU33" s="4"/>
      <c r="HV33" s="6"/>
      <c r="HW33" s="6"/>
      <c r="HX33" s="6"/>
      <c r="HY33" s="9"/>
      <c r="HZ33"/>
      <c r="IA33"/>
      <c r="IB33"/>
      <c r="IC33"/>
      <c r="ID33"/>
      <c r="IE33"/>
      <c r="IF33" s="4"/>
      <c r="IG33" s="4"/>
      <c r="IH33" s="6"/>
      <c r="II33" s="4"/>
      <c r="IJ33" s="5">
        <v>0</v>
      </c>
      <c r="IK33" s="5"/>
      <c r="IL33" s="6"/>
      <c r="IM33" s="4"/>
      <c r="IN33" s="4"/>
      <c r="IO33" s="5">
        <v>0</v>
      </c>
      <c r="IP33" s="5">
        <v>0</v>
      </c>
      <c r="IQ33" s="5"/>
      <c r="IR33" s="4"/>
      <c r="IS33" s="5">
        <v>0</v>
      </c>
      <c r="IT33" s="4"/>
      <c r="IU33" s="4"/>
      <c r="IV33" s="4"/>
      <c r="IW33" s="4"/>
      <c r="IX33" s="6"/>
      <c r="IY33" s="6"/>
      <c r="IZ33" s="6"/>
      <c r="JA33" s="9"/>
      <c r="JB33"/>
      <c r="JC33"/>
      <c r="JD33"/>
      <c r="JE33"/>
      <c r="JF33"/>
      <c r="JG33"/>
      <c r="JH33" s="4"/>
      <c r="JI33" s="4"/>
      <c r="JJ33" s="6"/>
      <c r="JK33" s="4"/>
      <c r="JL33" s="5">
        <v>0</v>
      </c>
      <c r="JM33" s="5"/>
      <c r="JN33" s="6"/>
      <c r="JO33" s="4"/>
      <c r="JP33" s="4"/>
      <c r="JQ33" s="5">
        <v>0</v>
      </c>
      <c r="JR33" s="5">
        <v>0</v>
      </c>
      <c r="JS33" s="5"/>
      <c r="JT33" s="4"/>
      <c r="JU33" s="5">
        <v>0</v>
      </c>
      <c r="JV33" s="4"/>
      <c r="JW33" s="4"/>
      <c r="JX33" s="4"/>
      <c r="JY33" s="4"/>
      <c r="JZ33" s="6"/>
      <c r="KA33" s="6"/>
      <c r="KB33" s="6"/>
      <c r="KC33" s="9"/>
      <c r="KD33"/>
      <c r="KE33"/>
      <c r="KF33"/>
      <c r="KG33"/>
      <c r="KH33"/>
      <c r="KI33"/>
      <c r="KJ33" s="4"/>
      <c r="KK33" s="4"/>
      <c r="KL33" s="6"/>
      <c r="KM33" s="4"/>
      <c r="KN33" s="5">
        <v>0</v>
      </c>
      <c r="KO33" s="5"/>
      <c r="KP33" s="6"/>
      <c r="KQ33" s="4"/>
      <c r="KR33" s="4"/>
      <c r="KS33" s="5">
        <v>0</v>
      </c>
      <c r="KT33" s="5">
        <v>0</v>
      </c>
      <c r="KU33" s="5"/>
      <c r="KV33" s="4"/>
      <c r="KW33" s="5">
        <v>0</v>
      </c>
      <c r="KX33" s="4"/>
      <c r="KY33" s="4"/>
      <c r="KZ33" s="4"/>
      <c r="LA33" s="4"/>
      <c r="LB33" s="6"/>
      <c r="LC33" s="6"/>
      <c r="LD33" s="6"/>
      <c r="LE33" s="9"/>
      <c r="LF33"/>
      <c r="LG33"/>
      <c r="LH33"/>
      <c r="LI33"/>
      <c r="LJ33"/>
      <c r="LK33"/>
      <c r="LL33" s="4"/>
      <c r="LM33" s="4"/>
      <c r="LN33" s="6"/>
      <c r="LO33" s="4"/>
      <c r="LP33" s="5">
        <v>0</v>
      </c>
      <c r="LQ33" s="5"/>
      <c r="LR33" s="6"/>
      <c r="LS33" s="4"/>
      <c r="LT33" s="4"/>
      <c r="LU33" s="5">
        <v>0</v>
      </c>
      <c r="LV33" s="5">
        <v>0</v>
      </c>
      <c r="LW33" s="5"/>
      <c r="LX33" s="4"/>
      <c r="LY33" s="5">
        <v>0</v>
      </c>
      <c r="LZ33" s="4"/>
      <c r="MA33" s="4"/>
      <c r="MB33" s="4"/>
      <c r="MC33" s="4"/>
      <c r="MD33" s="6"/>
      <c r="ME33" s="6"/>
      <c r="MF33" s="6"/>
      <c r="MG33" s="9"/>
      <c r="MH33"/>
    </row>
    <row r="34">
      <c r="A34" s="8">
        <v>25252</v>
      </c>
      <c r="B34" s="8">
        <v>25253</v>
      </c>
      <c r="C34" s="9">
        <f>B34-A34</f>
        <v>1</v>
      </c>
      <c r="D34" s="8">
        <v>25252</v>
      </c>
      <c r="E34" t="inlineStr">
        <is>
          <t xml:space="preserve">positive</t>
        </is>
      </c>
      <c r="F34" s="4">
        <v>1.0519116869539755</v>
      </c>
      <c r="G34" s="6">
        <v>0.013272709484707759</v>
      </c>
      <c r="H34" s="7">
        <f>SUM(CP34,DR34,ET34,FV34,GX34,HZ34,JB34,KD34,LF34,MH34)</f>
        <v>0.013272709484707759</v>
      </c>
      <c r="I34" s="7">
        <f>G34-H34</f>
        <v>0</v>
      </c>
      <c r="J34" s="5">
        <f>F34*(1+H34)</f>
        <v>1.0658734051784846</v>
      </c>
      <c r="K34" s="4">
        <v>1.0658734051784846</v>
      </c>
      <c r="L34" s="5">
        <f>K34-J34</f>
        <v>0</v>
      </c>
      <c r="M34" s="4">
        <v>1.804</v>
      </c>
      <c r="N34" s="4">
        <v>1.829</v>
      </c>
      <c r="O34" s="5">
        <f>M34/$M$3</f>
        <v>0.9213483146067416</v>
      </c>
      <c r="P34" s="5">
        <f>N34/$M$3</f>
        <v>0.9341164453524005</v>
      </c>
      <c r="Q34" s="7">
        <f>IFERROR(N34/M34-1,0)</f>
        <v>0.013858093126385862</v>
      </c>
      <c r="R34" s="5">
        <f>SUM(IF(BQ34="lease",CB34,0),IF(CS34="lease",DD34,0),IF(DU34="lease",EF34,0),IF(EW34="lease",FH34,0),IF(FY34="lease",GJ34,0),IF(HA34="lease",HL34,0),IF(IC34="lease",IN34,0),IF(JE34="lease",JP34,0),IF(KG34="lease",KR34,0),IF(LI34="lease",LT34,0))</f>
        <v>1.0519116869539755</v>
      </c>
      <c r="S34" s="5">
        <f>SUM(IF(BQ34="lease",CI34,0),IF(CS34="lease",DK34,0),IF(DU34="lease",EM34,0),IF(EW34="lease",FO34,0),IF(FY34="lease",GQ34,0),IF(HA34="lease",HS34,0),IF(IC34="lease",IU34,0),IF(JE34="lease",JW34,0),IF(KG34="lease",KY34,0),IF(LI34="lease",MA34,0))</f>
        <v>1.0658734051784844</v>
      </c>
      <c r="T34" s="5">
        <f>SUM(IF(BQ34="keep",CB34,0),IF(CS34="keep",DD34,0),IF(DU34="keep",EF34,0),IF(EW34="keep",FH34,0),IF(FY34="keep",GJ34,0),IF(HA34="keep",HL34,0),IF(IC34="keep",IN34,0),IF(JE34="keep",JP34,0),IF(KG34="keep",KR34,0),IF(LI34="keep",LT34,0))</f>
        <v>0</v>
      </c>
      <c r="U34" s="5">
        <f>SUM(IF(BQ34="keep",CI34,0),IF(CS34="keep",DK34,0),IF(DU34="keep",EM34,0),IF(EW34="keep",FO34,0),IF(FY34="keep",GQ34,0),IF(HA34="keep",HS34,0),IF(IC34="keep",IU34,0),IF(JE34="keep",JW34,0),IF(KG34="keep",KY34,0),IF(LI34="keep",MA34,0))</f>
        <v>0</v>
      </c>
      <c r="V34" s="5">
        <f>R34/O34</f>
        <v>1.141709026084193</v>
      </c>
      <c r="W34" s="5">
        <f>S34/P34</f>
        <v>1.1410498235863709</v>
      </c>
      <c r="X34" s="5">
        <f>T34/O34</f>
        <v>0</v>
      </c>
      <c r="Y34" s="5">
        <f>U34/P34</f>
        <v>0</v>
      </c>
      <c r="Z34" s="5">
        <f>V34+X34</f>
        <v>1.141709026084193</v>
      </c>
      <c r="AA34" s="7">
        <f>IFERROR(W34/V34-1,0)</f>
        <v>-0.0005773822250341176</v>
      </c>
      <c r="AB34" s="7">
        <f>IFERROR((W34-V34)/Z34,0)</f>
        <v>-0.0005773822250341215</v>
      </c>
      <c r="AC34" s="7">
        <f>IFERROR(Y34/X34-1,0)</f>
        <v>0</v>
      </c>
      <c r="AD34" s="7">
        <f>IFERROR((Y34-X34)/Z34,0)</f>
        <v>0</v>
      </c>
      <c r="AE34" s="7">
        <f>AB34+AD34</f>
        <v>-0.0005773822250341215</v>
      </c>
      <c r="AF34" s="7">
        <f>(1+Q34)*(1+AE34)-1</f>
        <v>0.013272709484707601</v>
      </c>
      <c r="AG34" s="7">
        <f>G34-AF34</f>
        <v>1.5785983631388945e-16</v>
      </c>
      <c r="AH34" s="5">
        <f>SUM(IF(BQ34="lease",CE34,0),IF(CS34="lease",DG34,0),IF(DU34="lease",EI34,0),IF(EW34="lease",FK34,0),IF(FY34="lease",GM34,0),IF(HA34="lease",HO34,0),IF(IC34="lease",IQ34,0),IF(JE34="lease",JS34,0),IF(KG34="lease",KU34,0),IF(LI34="lease",LW34,0))</f>
        <v>0.01396171822450897</v>
      </c>
      <c r="AI34" s="5">
        <f>SUM(IF(BQ34="keep",CE34,0),IF(CS34="keep",DG34,0),IF(DU34="keep",EI34,0),IF(EW34="keep",FK34,0),IF(FY34="keep",GM34,0),IF(HA34="keep",HO34,0),IF(IC34="keep",IQ34,0),IF(JE34="keep",JS34,0),IF(KG34="keep",KU34,0),IF(LI34="keep",LW34,0))</f>
        <v>0</v>
      </c>
      <c r="AJ34" s="5">
        <f>SUM(IF(BQ34="lease",CH34,0),IF(CS34="lease",DJ34,0),IF(DU34="lease",EL34,0),IF(EW34="lease",FN34,0),IF(FY34="lease",GP34,0),IF(HA34="lease",HR34,0),IF(IC34="lease",IT34,0),IF(JE34="lease",JV34,0),IF(KG34="lease",KX34,0),IF(LI34="lease",LZ34,0))</f>
        <v>0</v>
      </c>
      <c r="AK34" s="5">
        <f>SUM(IF(BQ34="keep",CH34,0),IF(CS34="keep",DJ34,0),IF(DU34="keep",EL34,0),IF(EW34="keep",FN34,0),IF(FY34="keep",GP34,0),IF(HA34="keep",HR34,0),IF(IC34="keep",IT34,0),IF(JE34="keep",JV34,0),IF(KG34="keep",KX34,0),IF(LI34="keep",LZ34,0))</f>
        <v>0</v>
      </c>
      <c r="AL34" s="5">
        <f>R34-S33</f>
        <v>0</v>
      </c>
      <c r="AM34" s="5">
        <f>T34-U33</f>
        <v>0</v>
      </c>
      <c r="AN34" s="5">
        <f>AN33</f>
        <v>1</v>
      </c>
      <c r="AO34" s="5">
        <f>AO33+AH34</f>
        <v>0.06587340517848483</v>
      </c>
      <c r="AP34" s="5">
        <f>AP33+AL34</f>
        <v>-4.440892098500626e-16</v>
      </c>
      <c r="AQ34" s="5">
        <f>AN34+AO34+AP34</f>
        <v>1.0658734051784844</v>
      </c>
      <c r="AR34" s="5">
        <f>S34-AQ34</f>
        <v>0</v>
      </c>
      <c r="AS34" s="5">
        <f>AS33</f>
        <v>0</v>
      </c>
      <c r="AT34" s="5">
        <f>AT33+AI34</f>
        <v>0</v>
      </c>
      <c r="AU34" s="5">
        <f>AU33+AM34</f>
        <v>0</v>
      </c>
      <c r="AV34" s="5">
        <f>AS34+AT34+AU34</f>
        <v>0</v>
      </c>
      <c r="AW34" s="5">
        <f>U34-AV34</f>
        <v>0</v>
      </c>
      <c r="AX34" s="4">
        <v>1.0519116869539755</v>
      </c>
      <c r="AY34" s="4">
        <v>1.0658734051784844</v>
      </c>
      <c r="AZ34" s="5">
        <f>S34-AY34</f>
        <v>0</v>
      </c>
      <c r="BA34" s="4">
        <v>0</v>
      </c>
      <c r="BB34" s="4">
        <v>0</v>
      </c>
      <c r="BC34" s="5">
        <f>U34-BB34</f>
        <v>0</v>
      </c>
      <c r="BD34" s="7">
        <f>SUM(IF(BP34="direct",CC34/F34,0),IF(CR34="direct",DE34/F34,0),IF(DT34="direct",EG34/F34,0),IF(EV34="direct",FI34/F34,0),IF(FX34="direct",GK34/F34,0),IF(GZ34="direct",HM34/F34,0),IF(IB34="direct",IO34/F34,0),IF(JD34="direct",JQ34/F34,0),IF(KF34="direct",KS34/F34,0),IF(LH34="direct",LU34/F34,0))</f>
        <v>0.012723111396114546</v>
      </c>
      <c r="BE34" s="7">
        <f>-SUM(IF(BP34="direct",CD34/F34,0),IF(CR34="direct",DF34/F34,0),IF(DT34="direct",EH34/F34,0),IF(EV34="direct",FJ34/F34,0),IF(FX34="direct",GL34/F34,0),IF(GZ34="direct",HN34/F34,0),IF(IB34="direct",IP34/F34,0),IF(JD34="direct",JR34/F34,0),IF(KF34="direct",KT34/F34,0),IF(LH34="direct",LV34/F34,0))</f>
        <v>-0.000006288354235230336</v>
      </c>
      <c r="BF34" s="7">
        <f>BD34+BE34</f>
        <v>0.012716823041879316</v>
      </c>
      <c r="BG34" s="7">
        <f>BF34-SUM(IF(BP34="direct",CP34,0),IF(CR34="direct",DR34,0),IF(DT34="direct",ET34,0),IF(EV34="direct",FV34,0),IF(FX34="direct",GX34,0),IF(GZ34="direct",HZ34,0),IF(IB34="direct",JB34,0),IF(JD34="direct",KD34,0),IF(KF34="direct",LF34,0),IF(LH34="direct",MH34,0))</f>
        <v>-9.367506770274758e-17</v>
      </c>
      <c r="BH34" s="7">
        <f>SUM(IF(BP34="treasury",CP34,0),IF(CR34="treasury",DR34,0),IF(DT34="treasury",ET34,0),IF(EV34="treasury",FV34,0),IF(FX34="treasury",GX34,0),IF(GZ34="treasury",HZ34,0),IF(IB34="treasury",JB34,0),IF(JD34="treasury",KD34,0),IF(KF34="treasury",LF34,0),IF(LH34="treasury",MH34,0))</f>
        <v>0.000013799636498265248</v>
      </c>
      <c r="BI34" s="7">
        <f>SUM(IF(BP34="future",CP34,0),IF(CR34="future",DR34,0),IF(DT34="future",ET34,0),IF(EV34="future",FV34,0),IF(FX34="future",GX34,0),IF(GZ34="future",HZ34,0),IF(IB34="future",JB34,0),IF(JD34="future",KD34,0),IF(KF34="future",LF34,0),IF(LH34="future",MH34,0))</f>
        <v>0.000542086806330083</v>
      </c>
      <c r="BJ34" s="7">
        <f>SUM(IF(BP34="cash",CP34,0),IF(CR34="cash",DR34,0),IF(DT34="cash",ET34,0),IF(EV34="cash",FV34,0),IF(FX34="cash",GX34,0),IF(GZ34="cash",HZ34,0),IF(IB34="cash",JB34,0),IF(JD34="cash",KD34,0),IF(KF34="cash",LF34,0),IF(LH34="cash",MH34,0))</f>
        <v>0</v>
      </c>
      <c r="BK34" s="7">
        <f>SUM(BF34,BH34,BI34,BJ34)</f>
        <v>0.013272709484707759</v>
      </c>
      <c r="BL34" s="7">
        <f>G34-BK34</f>
        <v>0</v>
      </c>
      <c r="BM34" s="5">
        <f>MAX(ABS(CG34),ABS(DI34),ABS(EK34),ABS(FM34),ABS(GO34),ABS(HQ34),ABS(IS34),ABS(JU34),ABS(KW34),ABS(LY34))</f>
        <v>9.950519547869893e-17</v>
      </c>
      <c r="BN34" s="9">
        <f>COUNTA(BO34,CQ34,DS34,EU34,FW34,GY34,IA34,JC34,KE34,LG34)</f>
        <v>5</v>
      </c>
      <c r="BO34" t="inlineStr">
        <is>
          <t xml:space="preserve">Direct commodity holding</t>
        </is>
      </c>
      <c r="BP34" t="inlineStr">
        <is>
          <t xml:space="preserve">direct</t>
        </is>
      </c>
      <c r="BQ34" t="inlineStr">
        <is>
          <t xml:space="preserve">lease</t>
        </is>
      </c>
      <c r="BR34" t="inlineStr">
        <is>
          <t xml:space="preserve">long</t>
        </is>
      </c>
      <c r="BS34"/>
      <c r="BT34" s="4">
        <v>1.804</v>
      </c>
      <c r="BU34" s="4">
        <v>1.829</v>
      </c>
      <c r="BV34" s="6">
        <v>0.0025</v>
      </c>
      <c r="BW34" s="4">
        <v>0.53534358287961</v>
      </c>
      <c r="BX34" s="5">
        <f>IF(BP34="direct",IFERROR(CD34/BU34,0),0)</f>
        <v>0.0000036166174476464294</v>
      </c>
      <c r="BY34" s="5">
        <f>IF(BP34="direct",BW34-BX34,IF(BP34="cash",CI34,BW34))</f>
        <v>0.5353399662621624</v>
      </c>
      <c r="BZ34" s="6">
        <v>0.918099718343629</v>
      </c>
      <c r="CA34" s="4">
        <v>0.9657598235148166</v>
      </c>
      <c r="CB34" s="4">
        <v>0.9657598235148166</v>
      </c>
      <c r="CC34" s="5">
        <f>IF(BP34="direct",BW34*(BU34-BT34),CF34)</f>
        <v>0.013383589571990203</v>
      </c>
      <c r="CD34" s="5">
        <f>IF(BP34="direct",CB34*BV34*C34/365,0)</f>
        <v>0.000006614793311745319</v>
      </c>
      <c r="CE34" s="5">
        <f>CC34-CD34</f>
        <v>0.013376974778678557</v>
      </c>
      <c r="CF34" s="4">
        <v>0.013376974778678557</v>
      </c>
      <c r="CG34" s="5">
        <f>CF34-CE34</f>
        <v>9.950519547869893e-17</v>
      </c>
      <c r="CH34" s="4">
        <v>0</v>
      </c>
      <c r="CI34" s="4">
        <v>0.979136798293495</v>
      </c>
      <c r="CJ34" s="4">
        <v>1.804</v>
      </c>
      <c r="CK34" s="4">
        <v>1.829</v>
      </c>
      <c r="CL34" s="6"/>
      <c r="CM34" s="6"/>
      <c r="CN34" s="6"/>
      <c r="CO34" s="9"/>
      <c r="CP34" s="7">
        <f>IFERROR(CE34/F34,0)</f>
        <v>0.01271682304187941</v>
      </c>
      <c r="CQ34" t="inlineStr">
        <is>
          <t xml:space="preserve">Treasury collateral</t>
        </is>
      </c>
      <c r="CR34" t="inlineStr">
        <is>
          <t xml:space="preserve">treasury</t>
        </is>
      </c>
      <c r="CS34" t="inlineStr">
        <is>
          <t xml:space="preserve">lease</t>
        </is>
      </c>
      <c r="CT34" t="inlineStr">
        <is>
          <t xml:space="preserve">long</t>
        </is>
      </c>
      <c r="CU34"/>
      <c r="CV34" s="4">
        <v>100.79274238573545</v>
      </c>
      <c r="CW34" s="4">
        <v>100.80972527246621</v>
      </c>
      <c r="CX34" s="6"/>
      <c r="CY34" s="4">
        <v>0.0008547427265095573</v>
      </c>
      <c r="CZ34" s="5">
        <f>IF(CR34="direct",IFERROR(DF34/CW34,0),0)</f>
        <v>0</v>
      </c>
      <c r="DA34" s="5">
        <f>IF(CR34="direct",CY34-CZ34,IF(CR34="cash",DK34,CY34))</f>
        <v>0.0008547427265095573</v>
      </c>
      <c r="DB34" s="6">
        <v>0.08190028165637099</v>
      </c>
      <c r="DC34" s="4">
        <v>0.08615186343915894</v>
      </c>
      <c r="DD34" s="4">
        <v>0.08615186343915894</v>
      </c>
      <c r="DE34" s="5">
        <f>IF(CR34="direct",CY34*(CW34-CV34),DH34)</f>
        <v>0.000014515998908251631</v>
      </c>
      <c r="DF34" s="5">
        <f>IF(CR34="direct",DD34*CX34*C34/365,0)</f>
        <v>0</v>
      </c>
      <c r="DG34" s="5">
        <f>DE34-DF34</f>
        <v>0.00001451599890824185</v>
      </c>
      <c r="DH34" s="4">
        <v>0.00001451599890824185</v>
      </c>
      <c r="DI34" s="5">
        <f>DH34-DG34</f>
        <v>-9.78153647489266e-18</v>
      </c>
      <c r="DJ34" s="4">
        <v>1.2541169817047171e-17</v>
      </c>
      <c r="DK34" s="4">
        <v>0.0861663794380672</v>
      </c>
      <c r="DL34" s="4">
        <v>1.804</v>
      </c>
      <c r="DM34" s="4">
        <v>1.829</v>
      </c>
      <c r="DN34" s="6"/>
      <c r="DO34" s="6"/>
      <c r="DP34" s="6"/>
      <c r="DQ34" s="9">
        <v>37</v>
      </c>
      <c r="DR34" s="7">
        <f>IFERROR(DG34/F34,0)</f>
        <v>0.000013799636498265248</v>
      </c>
      <c r="DS34" t="inlineStr">
        <is>
          <t xml:space="preserve">SI69H</t>
        </is>
      </c>
      <c r="DT34" t="inlineStr">
        <is>
          <t xml:space="preserve">future</t>
        </is>
      </c>
      <c r="DU34" t="inlineStr">
        <is>
          <t xml:space="preserve">lease</t>
        </is>
      </c>
      <c r="DV34" t="inlineStr">
        <is>
          <t xml:space="preserve">long</t>
        </is>
      </c>
      <c r="DW34" t="inlineStr">
        <is>
          <t xml:space="preserve">regular</t>
        </is>
      </c>
      <c r="DX34" s="4">
        <v>1.8130000000000002</v>
      </c>
      <c r="DY34" s="4">
        <v>1.825</v>
      </c>
      <c r="DZ34" s="6"/>
      <c r="EA34" s="4">
        <v>0.04751895391018143</v>
      </c>
      <c r="EB34" s="5">
        <f>IF(DT34="direct",IFERROR(EH34/DY34,0),0)</f>
        <v>0</v>
      </c>
      <c r="EC34" s="5">
        <f>IF(DT34="direct",EA34-EB34,IF(DT34="cash",EM34,EA34))</f>
        <v>0.04751895391018143</v>
      </c>
      <c r="ED34" s="6">
        <v>0.08190028165637099</v>
      </c>
      <c r="EE34" s="4">
        <v>0.08615186343915894</v>
      </c>
      <c r="EF34" s="4">
        <v>0</v>
      </c>
      <c r="EG34" s="5">
        <f>IF(DT34="direct",EA34*(DY34-DX34),EJ34)</f>
        <v>0.0005702274469221706</v>
      </c>
      <c r="EH34" s="5">
        <f>IF(DT34="direct",EF34*DZ34*C34/365,0)</f>
        <v>0</v>
      </c>
      <c r="EI34" s="5">
        <f>EG34-EH34</f>
        <v>0.0005702274469221706</v>
      </c>
      <c r="EJ34" s="4">
        <v>0.0005702274469221706</v>
      </c>
      <c r="EK34" s="5">
        <f>EJ34-EI34</f>
        <v>0</v>
      </c>
      <c r="EL34" s="4">
        <v>-0.0005702274469221706</v>
      </c>
      <c r="EM34" s="4">
        <v>0</v>
      </c>
      <c r="EN34" s="4">
        <v>1.804</v>
      </c>
      <c r="EO34" s="4">
        <v>1.829</v>
      </c>
      <c r="EP34" s="6">
        <v>0.004988913525499017</v>
      </c>
      <c r="EQ34" s="6">
        <v>0.061500000000000006</v>
      </c>
      <c r="ER34" s="6">
        <v>0.012285042248455648</v>
      </c>
      <c r="ES34" s="9">
        <v>37</v>
      </c>
      <c r="ET34" s="7">
        <f>IFERROR(EI34/F34,0)</f>
        <v>0.000542086806330083</v>
      </c>
      <c r="EU34" t="inlineStr">
        <is>
          <t xml:space="preserve">Lease cash / margin / financing</t>
        </is>
      </c>
      <c r="EV34" t="inlineStr">
        <is>
          <t xml:space="preserve">cash</t>
        </is>
      </c>
      <c r="EW34" t="inlineStr">
        <is>
          <t xml:space="preserve">lease</t>
        </is>
      </c>
      <c r="EX34" t="inlineStr">
        <is>
          <t xml:space="preserve">cash</t>
        </is>
      </c>
      <c r="EY34"/>
      <c r="EZ34" s="4">
        <v>1</v>
      </c>
      <c r="FA34" s="4">
        <v>1</v>
      </c>
      <c r="FB34" s="6"/>
      <c r="FC34" s="4">
        <v>0</v>
      </c>
      <c r="FD34" s="5">
        <f>IF(EV34="direct",IFERROR(FJ34/FA34,0),0)</f>
        <v>0</v>
      </c>
      <c r="FE34" s="5">
        <f>IF(EV34="direct",FC34-FD34,IF(EV34="cash",FO34,FC34))</f>
        <v>0.000570227446922158</v>
      </c>
      <c r="FF34" s="6"/>
      <c r="FG34" s="4">
        <v>0</v>
      </c>
      <c r="FH34" s="4">
        <v>0</v>
      </c>
      <c r="FI34" s="5">
        <f>IF(EV34="direct",FC34*(FA34-EZ34),FL34)</f>
        <v>0</v>
      </c>
      <c r="FJ34" s="5">
        <f>IF(EV34="direct",FH34*FB34*C34/365,0)</f>
        <v>0</v>
      </c>
      <c r="FK34" s="5">
        <f>FI34-FJ34</f>
        <v>0</v>
      </c>
      <c r="FL34" s="4">
        <v>0</v>
      </c>
      <c r="FM34" s="5">
        <f>FL34-FK34</f>
        <v>0</v>
      </c>
      <c r="FN34" s="4">
        <v>0.000570227446922158</v>
      </c>
      <c r="FO34" s="4">
        <v>0.000570227446922158</v>
      </c>
      <c r="FP34" s="4">
        <v>1.804</v>
      </c>
      <c r="FQ34" s="4">
        <v>1.829</v>
      </c>
      <c r="FR34" s="6"/>
      <c r="FS34" s="6"/>
      <c r="FT34" s="6"/>
      <c r="FU34" s="9"/>
      <c r="FV34" s="7">
        <f>IFERROR(FK34/F34,0)</f>
        <v>0</v>
      </c>
      <c r="FW34" t="inlineStr">
        <is>
          <t xml:space="preserve">Keep cash / margin / financing</t>
        </is>
      </c>
      <c r="FX34" t="inlineStr">
        <is>
          <t xml:space="preserve">cash</t>
        </is>
      </c>
      <c r="FY34" t="inlineStr">
        <is>
          <t xml:space="preserve">keep</t>
        </is>
      </c>
      <c r="FZ34" t="inlineStr">
        <is>
          <t xml:space="preserve">cash</t>
        </is>
      </c>
      <c r="GA34"/>
      <c r="GB34" s="4">
        <v>1</v>
      </c>
      <c r="GC34" s="4">
        <v>1</v>
      </c>
      <c r="GD34" s="6"/>
      <c r="GE34" s="4">
        <v>0</v>
      </c>
      <c r="GF34" s="5">
        <f>IF(FX34="direct",IFERROR(GL34/GC34,0),0)</f>
        <v>0</v>
      </c>
      <c r="GG34" s="5">
        <f>IF(FX34="direct",GE34-GF34,IF(FX34="cash",GQ34,GE34))</f>
        <v>0</v>
      </c>
      <c r="GH34" s="6"/>
      <c r="GI34" s="4">
        <v>0</v>
      </c>
      <c r="GJ34" s="4">
        <v>0</v>
      </c>
      <c r="GK34" s="5">
        <f>IF(FX34="direct",GE34*(GC34-GB34),GN34)</f>
        <v>0</v>
      </c>
      <c r="GL34" s="5">
        <f>IF(FX34="direct",GJ34*GD34*C34/365,0)</f>
        <v>0</v>
      </c>
      <c r="GM34" s="5">
        <f>GK34-GL34</f>
        <v>0</v>
      </c>
      <c r="GN34" s="4">
        <v>0</v>
      </c>
      <c r="GO34" s="5">
        <f>GN34-GM34</f>
        <v>0</v>
      </c>
      <c r="GP34" s="4">
        <v>0</v>
      </c>
      <c r="GQ34" s="4">
        <v>0</v>
      </c>
      <c r="GR34" s="4">
        <v>1.804</v>
      </c>
      <c r="GS34" s="4">
        <v>1.829</v>
      </c>
      <c r="GT34" s="6"/>
      <c r="GU34" s="6"/>
      <c r="GV34" s="6"/>
      <c r="GW34" s="9"/>
      <c r="GX34" s="7">
        <f>IFERROR(GM34/F34,0)</f>
        <v>0</v>
      </c>
      <c r="GY34"/>
      <c r="GZ34"/>
      <c r="HA34"/>
      <c r="HB34"/>
      <c r="HC34"/>
      <c r="HD34" s="4"/>
      <c r="HE34" s="4"/>
      <c r="HF34" s="6"/>
      <c r="HG34" s="4"/>
      <c r="HH34" s="5">
        <v>0</v>
      </c>
      <c r="HI34" s="5"/>
      <c r="HJ34" s="6"/>
      <c r="HK34" s="4"/>
      <c r="HL34" s="4"/>
      <c r="HM34" s="5">
        <v>0</v>
      </c>
      <c r="HN34" s="5">
        <v>0</v>
      </c>
      <c r="HO34" s="5"/>
      <c r="HP34" s="4"/>
      <c r="HQ34" s="5">
        <v>0</v>
      </c>
      <c r="HR34" s="4"/>
      <c r="HS34" s="4"/>
      <c r="HT34" s="4"/>
      <c r="HU34" s="4"/>
      <c r="HV34" s="6"/>
      <c r="HW34" s="6"/>
      <c r="HX34" s="6"/>
      <c r="HY34" s="9"/>
      <c r="HZ34"/>
      <c r="IA34"/>
      <c r="IB34"/>
      <c r="IC34"/>
      <c r="ID34"/>
      <c r="IE34"/>
      <c r="IF34" s="4"/>
      <c r="IG34" s="4"/>
      <c r="IH34" s="6"/>
      <c r="II34" s="4"/>
      <c r="IJ34" s="5">
        <v>0</v>
      </c>
      <c r="IK34" s="5"/>
      <c r="IL34" s="6"/>
      <c r="IM34" s="4"/>
      <c r="IN34" s="4"/>
      <c r="IO34" s="5">
        <v>0</v>
      </c>
      <c r="IP34" s="5">
        <v>0</v>
      </c>
      <c r="IQ34" s="5"/>
      <c r="IR34" s="4"/>
      <c r="IS34" s="5">
        <v>0</v>
      </c>
      <c r="IT34" s="4"/>
      <c r="IU34" s="4"/>
      <c r="IV34" s="4"/>
      <c r="IW34" s="4"/>
      <c r="IX34" s="6"/>
      <c r="IY34" s="6"/>
      <c r="IZ34" s="6"/>
      <c r="JA34" s="9"/>
      <c r="JB34"/>
      <c r="JC34"/>
      <c r="JD34"/>
      <c r="JE34"/>
      <c r="JF34"/>
      <c r="JG34"/>
      <c r="JH34" s="4"/>
      <c r="JI34" s="4"/>
      <c r="JJ34" s="6"/>
      <c r="JK34" s="4"/>
      <c r="JL34" s="5">
        <v>0</v>
      </c>
      <c r="JM34" s="5"/>
      <c r="JN34" s="6"/>
      <c r="JO34" s="4"/>
      <c r="JP34" s="4"/>
      <c r="JQ34" s="5">
        <v>0</v>
      </c>
      <c r="JR34" s="5">
        <v>0</v>
      </c>
      <c r="JS34" s="5"/>
      <c r="JT34" s="4"/>
      <c r="JU34" s="5">
        <v>0</v>
      </c>
      <c r="JV34" s="4"/>
      <c r="JW34" s="4"/>
      <c r="JX34" s="4"/>
      <c r="JY34" s="4"/>
      <c r="JZ34" s="6"/>
      <c r="KA34" s="6"/>
      <c r="KB34" s="6"/>
      <c r="KC34" s="9"/>
      <c r="KD34"/>
      <c r="KE34"/>
      <c r="KF34"/>
      <c r="KG34"/>
      <c r="KH34"/>
      <c r="KI34"/>
      <c r="KJ34" s="4"/>
      <c r="KK34" s="4"/>
      <c r="KL34" s="6"/>
      <c r="KM34" s="4"/>
      <c r="KN34" s="5">
        <v>0</v>
      </c>
      <c r="KO34" s="5"/>
      <c r="KP34" s="6"/>
      <c r="KQ34" s="4"/>
      <c r="KR34" s="4"/>
      <c r="KS34" s="5">
        <v>0</v>
      </c>
      <c r="KT34" s="5">
        <v>0</v>
      </c>
      <c r="KU34" s="5"/>
      <c r="KV34" s="4"/>
      <c r="KW34" s="5">
        <v>0</v>
      </c>
      <c r="KX34" s="4"/>
      <c r="KY34" s="4"/>
      <c r="KZ34" s="4"/>
      <c r="LA34" s="4"/>
      <c r="LB34" s="6"/>
      <c r="LC34" s="6"/>
      <c r="LD34" s="6"/>
      <c r="LE34" s="9"/>
      <c r="LF34"/>
      <c r="LG34"/>
      <c r="LH34"/>
      <c r="LI34"/>
      <c r="LJ34"/>
      <c r="LK34"/>
      <c r="LL34" s="4"/>
      <c r="LM34" s="4"/>
      <c r="LN34" s="6"/>
      <c r="LO34" s="4"/>
      <c r="LP34" s="5">
        <v>0</v>
      </c>
      <c r="LQ34" s="5"/>
      <c r="LR34" s="6"/>
      <c r="LS34" s="4"/>
      <c r="LT34" s="4"/>
      <c r="LU34" s="5">
        <v>0</v>
      </c>
      <c r="LV34" s="5">
        <v>0</v>
      </c>
      <c r="LW34" s="5"/>
      <c r="LX34" s="4"/>
      <c r="LY34" s="5">
        <v>0</v>
      </c>
      <c r="LZ34" s="4"/>
      <c r="MA34" s="4"/>
      <c r="MB34" s="4"/>
      <c r="MC34" s="4"/>
      <c r="MD34" s="6"/>
      <c r="ME34" s="6"/>
      <c r="MF34" s="6"/>
      <c r="MG34" s="9"/>
      <c r="MH34"/>
    </row>
    <row r="35">
      <c r="A35" s="8">
        <v>25253</v>
      </c>
      <c r="B35" s="8">
        <v>25254</v>
      </c>
      <c r="C35" s="9">
        <f>B35-A35</f>
        <v>1</v>
      </c>
      <c r="D35" s="8">
        <v>25253</v>
      </c>
      <c r="E35" t="inlineStr">
        <is>
          <t xml:space="preserve">positive</t>
        </is>
      </c>
      <c r="F35" s="4">
        <v>1.0658734051784846</v>
      </c>
      <c r="G35" s="6">
        <v>0.003785701730541858</v>
      </c>
      <c r="H35" s="7">
        <f>SUM(CP35,DR35,ET35,FV35,GX35,HZ35,JB35,KD35,LF35,MH35)</f>
        <v>0.003785701730541859</v>
      </c>
      <c r="I35" s="7">
        <f>G35-H35</f>
        <v>-8.673617379884035e-19</v>
      </c>
      <c r="J35" s="5">
        <f>F35*(1+H35)</f>
        <v>1.0699084839730073</v>
      </c>
      <c r="K35" s="4">
        <v>1.0699084839730073</v>
      </c>
      <c r="L35" s="5">
        <f>K35-J35</f>
        <v>0</v>
      </c>
      <c r="M35" s="4">
        <v>1.829</v>
      </c>
      <c r="N35" s="4">
        <v>1.843</v>
      </c>
      <c r="O35" s="5">
        <f>M35/$M$3</f>
        <v>0.9341164453524005</v>
      </c>
      <c r="P35" s="5">
        <f>N35/$M$3</f>
        <v>0.9412665985699694</v>
      </c>
      <c r="Q35" s="7">
        <f>IFERROR(N35/M35-1,0)</f>
        <v>0.007654455986878084</v>
      </c>
      <c r="R35" s="5">
        <f>SUM(IF(BQ35="lease",CB35,0),IF(CS35="lease",DD35,0),IF(DU35="lease",EF35,0),IF(EW35="lease",FH35,0),IF(FY35="lease",GJ35,0),IF(HA35="lease",HL35,0),IF(IC35="lease",IN35,0),IF(JE35="lease",JP35,0),IF(KG35="lease",KR35,0),IF(LI35="lease",LT35,0))</f>
        <v>1.0658734051784844</v>
      </c>
      <c r="S35" s="5">
        <f>SUM(IF(BQ35="lease",CI35,0),IF(CS35="lease",DK35,0),IF(DU35="lease",EM35,0),IF(EW35="lease",FO35,0),IF(FY35="lease",GQ35,0),IF(HA35="lease",HS35,0),IF(IC35="lease",IU35,0),IF(JE35="lease",JW35,0),IF(KG35="lease",KY35,0),IF(LI35="lease",MA35,0))</f>
        <v>1.069908483973007</v>
      </c>
      <c r="T35" s="5">
        <f>SUM(IF(BQ35="keep",CB35,0),IF(CS35="keep",DD35,0),IF(DU35="keep",EF35,0),IF(EW35="keep",FH35,0),IF(FY35="keep",GJ35,0),IF(HA35="keep",HL35,0),IF(IC35="keep",IN35,0),IF(JE35="keep",JP35,0),IF(KG35="keep",KR35,0),IF(LI35="keep",LT35,0))</f>
        <v>0</v>
      </c>
      <c r="U35" s="5">
        <f>SUM(IF(BQ35="keep",CI35,0),IF(CS35="keep",DK35,0),IF(DU35="keep",EM35,0),IF(EW35="keep",FO35,0),IF(FY35="keep",GQ35,0),IF(HA35="keep",HS35,0),IF(IC35="keep",IU35,0),IF(JE35="keep",JW35,0),IF(KG35="keep",KY35,0),IF(LI35="keep",MA35,0))</f>
        <v>0</v>
      </c>
      <c r="V35" s="5">
        <f>R35/O35</f>
        <v>1.1410498235863709</v>
      </c>
      <c r="W35" s="5">
        <f>S35/P35</f>
        <v>1.1366689156913443</v>
      </c>
      <c r="X35" s="5">
        <f>T35/O35</f>
        <v>0</v>
      </c>
      <c r="Y35" s="5">
        <f>U35/P35</f>
        <v>0</v>
      </c>
      <c r="Z35" s="5">
        <f>V35+X35</f>
        <v>1.1410498235863709</v>
      </c>
      <c r="AA35" s="7">
        <f>IFERROR(W35/V35-1,0)</f>
        <v>-0.003839365998284938</v>
      </c>
      <c r="AB35" s="7">
        <f>IFERROR((W35-V35)/Z35,0)</f>
        <v>-0.003839365998284941</v>
      </c>
      <c r="AC35" s="7">
        <f>IFERROR(Y35/X35-1,0)</f>
        <v>0</v>
      </c>
      <c r="AD35" s="7">
        <f>IFERROR((Y35-X35)/Z35,0)</f>
        <v>0</v>
      </c>
      <c r="AE35" s="7">
        <f>AB35+AD35</f>
        <v>-0.003839365998284941</v>
      </c>
      <c r="AF35" s="7">
        <f>(1+Q35)*(1+AE35)-1</f>
        <v>0.003785701730541824</v>
      </c>
      <c r="AG35" s="7">
        <f>G35-AF35</f>
        <v>3.426078865054194e-17</v>
      </c>
      <c r="AH35" s="5">
        <f>SUM(IF(BQ35="lease",CE35,0),IF(CS35="lease",DG35,0),IF(DU35="lease",EI35,0),IF(EW35="lease",FK35,0),IF(FY35="lease",GM35,0),IF(HA35="lease",HO35,0),IF(IC35="lease",IQ35,0),IF(JE35="lease",JS35,0),IF(KG35="lease",KU35,0),IF(LI35="lease",LW35,0))</f>
        <v>0.004035078794522733</v>
      </c>
      <c r="AI35" s="5">
        <f>SUM(IF(BQ35="keep",CE35,0),IF(CS35="keep",DG35,0),IF(DU35="keep",EI35,0),IF(EW35="keep",FK35,0),IF(FY35="keep",GM35,0),IF(HA35="keep",HO35,0),IF(IC35="keep",IQ35,0),IF(JE35="keep",JS35,0),IF(KG35="keep",KU35,0),IF(LI35="keep",LW35,0))</f>
        <v>0</v>
      </c>
      <c r="AJ35" s="5">
        <f>SUM(IF(BQ35="lease",CH35,0),IF(CS35="lease",DJ35,0),IF(DU35="lease",EL35,0),IF(EW35="lease",FN35,0),IF(FY35="lease",GP35,0),IF(HA35="lease",HR35,0),IF(IC35="lease",IT35,0),IF(JE35="lease",JV35,0),IF(KG35="lease",KX35,0),IF(LI35="lease",LZ35,0))</f>
        <v>0</v>
      </c>
      <c r="AK35" s="5">
        <f>SUM(IF(BQ35="keep",CH35,0),IF(CS35="keep",DJ35,0),IF(DU35="keep",EL35,0),IF(EW35="keep",FN35,0),IF(FY35="keep",GP35,0),IF(HA35="keep",HR35,0),IF(IC35="keep",IT35,0),IF(JE35="keep",JV35,0),IF(KG35="keep",KX35,0),IF(LI35="keep",LZ35,0))</f>
        <v>0</v>
      </c>
      <c r="AL35" s="5">
        <f>R35-S34</f>
        <v>0</v>
      </c>
      <c r="AM35" s="5">
        <f>T35-U34</f>
        <v>0</v>
      </c>
      <c r="AN35" s="5">
        <f>AN34</f>
        <v>1</v>
      </c>
      <c r="AO35" s="5">
        <f>AO34+AH35</f>
        <v>0.06990848397300757</v>
      </c>
      <c r="AP35" s="5">
        <f>AP34+AL35</f>
        <v>-4.440892098500626e-16</v>
      </c>
      <c r="AQ35" s="5">
        <f>AN35+AO35+AP35</f>
        <v>1.069908483973007</v>
      </c>
      <c r="AR35" s="5">
        <f>S35-AQ35</f>
        <v>0</v>
      </c>
      <c r="AS35" s="5">
        <f>AS34</f>
        <v>0</v>
      </c>
      <c r="AT35" s="5">
        <f>AT34+AI35</f>
        <v>0</v>
      </c>
      <c r="AU35" s="5">
        <f>AU34+AM35</f>
        <v>0</v>
      </c>
      <c r="AV35" s="5">
        <f>AS35+AT35+AU35</f>
        <v>0</v>
      </c>
      <c r="AW35" s="5">
        <f>U35-AV35</f>
        <v>0</v>
      </c>
      <c r="AX35" s="4">
        <v>1.0658734051784844</v>
      </c>
      <c r="AY35" s="4">
        <v>1.069908483973007</v>
      </c>
      <c r="AZ35" s="5">
        <f>S35-AY35</f>
        <v>0</v>
      </c>
      <c r="BA35" s="4">
        <v>0</v>
      </c>
      <c r="BB35" s="4">
        <v>0</v>
      </c>
      <c r="BC35" s="5">
        <f>U35-BB35</f>
        <v>0</v>
      </c>
      <c r="BD35" s="7">
        <f>SUM(IF(BP35="direct",CC35/F35,0),IF(CR35="direct",DE35/F35,0),IF(DT35="direct",EG35/F35,0),IF(EV35="direct",FI35/F35,0),IF(FX35="direct",GK35/F35,0),IF(GZ35="direct",HM35/F35,0),IF(IB35="direct",IO35/F35,0),IF(JD35="direct",JQ35/F35,0),IF(KF35="direct",KS35/F35,0),IF(LH35="direct",LU35/F35,0))</f>
        <v>0.0033897185528580964</v>
      </c>
      <c r="BE35" s="7">
        <f>-SUM(IF(BP35="direct",CD35/F35,0),IF(CR35="direct",DF35/F35,0),IF(DT35="direct",EH35/F35,0),IF(EV35="direct",FJ35/F35,0),IF(FX35="direct",GL35/F35,0),IF(GZ35="direct",HN35/F35,0),IF(IB35="direct",IP35/F35,0),IF(JD35="direct",JR35/F35,0),IF(KF35="direct",KT35/F35,0),IF(LH35="direct",LV35/F35,0))</f>
        <v>-0.000003033167922298167</v>
      </c>
      <c r="BF35" s="7">
        <f>BD35+BE35</f>
        <v>0.0033866853849357985</v>
      </c>
      <c r="BG35" s="7">
        <f>BF35-SUM(IF(BP35="direct",CP35,0),IF(CR35="direct",DR35,0),IF(DT35="direct",ET35,0),IF(EV35="direct",FV35,0),IF(FX35="direct",GX35,0),IF(GZ35="direct",HZ35,0),IF(IB35="direct",JB35,0),IF(JD35="direct",KD35,0),IF(KF35="direct",LF35,0),IF(LH35="direct",MH35,0))</f>
        <v>-4.336808689942018e-19</v>
      </c>
      <c r="BH35" s="7">
        <f>SUM(IF(BP35="treasury",CP35,0),IF(CR35="treasury",DR35,0),IF(DT35="treasury",ET35,0),IF(EV35="treasury",FV35,0),IF(FX35="treasury",GX35,0),IF(GZ35="treasury",HZ35,0),IF(IB35="treasury",JB35,0),IF(JD35="treasury",KD35,0),IF(KF35="treasury",LF35,0),IF(LH35="treasury",MH35,0))</f>
        <v>0.0000937245739105488</v>
      </c>
      <c r="BI35" s="7">
        <f>SUM(IF(BP35="future",CP35,0),IF(CR35="future",DR35,0),IF(DT35="future",ET35,0),IF(EV35="future",FV35,0),IF(FX35="future",GX35,0),IF(GZ35="future",HZ35,0),IF(IB35="future",JB35,0),IF(JD35="future",KD35,0),IF(KF35="future",LF35,0),IF(LH35="future",MH35,0))</f>
        <v>0.0003052917716955109</v>
      </c>
      <c r="BJ35" s="7">
        <f>SUM(IF(BP35="cash",CP35,0),IF(CR35="cash",DR35,0),IF(DT35="cash",ET35,0),IF(EV35="cash",FV35,0),IF(FX35="cash",GX35,0),IF(GZ35="cash",HZ35,0),IF(IB35="cash",JB35,0),IF(JD35="cash",KD35,0),IF(KF35="cash",LF35,0),IF(LH35="cash",MH35,0))</f>
        <v>0</v>
      </c>
      <c r="BK35" s="7">
        <f>SUM(BF35,BH35,BI35,BJ35)</f>
        <v>0.0037857017305418586</v>
      </c>
      <c r="BL35" s="7">
        <f>G35-BK35</f>
        <v>-4.336808689942018e-19</v>
      </c>
      <c r="BM35" s="5">
        <f>MAX(ABS(CG35),ABS(DI35),ABS(EK35),ABS(FM35),ABS(GO35),ABS(HQ35),ABS(IS35),ABS(JU35),ABS(KW35),ABS(LY35))</f>
        <v>1.3295029140103498e-17</v>
      </c>
      <c r="BN35" s="9">
        <f>COUNTA(BO35,CQ35,DS35,EU35,FW35,GY35,IA35,JC35,KE35,LG35)</f>
        <v>5</v>
      </c>
      <c r="BO35" t="inlineStr">
        <is>
          <t xml:space="preserve">Direct commodity holding</t>
        </is>
      </c>
      <c r="BP35" t="inlineStr">
        <is>
          <t xml:space="preserve">direct</t>
        </is>
      </c>
      <c r="BQ35" t="inlineStr">
        <is>
          <t xml:space="preserve">lease</t>
        </is>
      </c>
      <c r="BR35" t="inlineStr">
        <is>
          <t xml:space="preserve">long</t>
        </is>
      </c>
      <c r="BS35"/>
      <c r="BT35" s="4">
        <v>1.829</v>
      </c>
      <c r="BU35" s="4">
        <v>1.843</v>
      </c>
      <c r="BV35" s="6">
        <v>0.0025</v>
      </c>
      <c r="BW35" s="4">
        <v>0.2580722040379672</v>
      </c>
      <c r="BX35" s="5">
        <f>IF(BP35="direct",IFERROR(CD35/BU35,0),0)</f>
        <v>0.000001754190462191045</v>
      </c>
      <c r="BY35" s="5">
        <f>IF(BP35="direct",BW35-BX35,IF(BP35="cash",CI35,BW35))</f>
        <v>0.25807044984750505</v>
      </c>
      <c r="BZ35" s="6">
        <v>0.44284251665553226</v>
      </c>
      <c r="CA35" s="4">
        <v>0.47201406118544204</v>
      </c>
      <c r="CB35" s="4">
        <v>0.47201406118544204</v>
      </c>
      <c r="CC35" s="5">
        <f>IF(BP35="direct",BW35*(BU35-BT35),CF35)</f>
        <v>0.0036130108565315443</v>
      </c>
      <c r="CD35" s="5">
        <f>IF(BP35="direct",CB35*BV35*C35/365,0)</f>
        <v>0.0000032329730218180963</v>
      </c>
      <c r="CE35" s="5">
        <f>CC35-CD35</f>
        <v>0.003609777883509727</v>
      </c>
      <c r="CF35" s="4">
        <v>0.003609777883509727</v>
      </c>
      <c r="CG35" s="5">
        <f>CF35-CE35</f>
        <v>7.496241583200558e-19</v>
      </c>
      <c r="CH35" s="4">
        <v>0</v>
      </c>
      <c r="CI35" s="4">
        <v>0.4756238390689518</v>
      </c>
      <c r="CJ35" s="4">
        <v>1.829</v>
      </c>
      <c r="CK35" s="4">
        <v>1.843</v>
      </c>
      <c r="CL35" s="6"/>
      <c r="CM35" s="6"/>
      <c r="CN35" s="6"/>
      <c r="CO35" s="9"/>
      <c r="CP35" s="7">
        <f>IFERROR(CE35/F35,0)</f>
        <v>0.003386685384935799</v>
      </c>
      <c r="CQ35" t="inlineStr">
        <is>
          <t xml:space="preserve">Treasury collateral</t>
        </is>
      </c>
      <c r="CR35" t="inlineStr">
        <is>
          <t xml:space="preserve">treasury</t>
        </is>
      </c>
      <c r="CS35" t="inlineStr">
        <is>
          <t xml:space="preserve">lease</t>
        </is>
      </c>
      <c r="CT35" t="inlineStr">
        <is>
          <t xml:space="preserve">long</t>
        </is>
      </c>
      <c r="CU35"/>
      <c r="CV35" s="4">
        <v>100.80972527246621</v>
      </c>
      <c r="CW35" s="4">
        <v>100.82668340159424</v>
      </c>
      <c r="CX35" s="6"/>
      <c r="CY35" s="4">
        <v>0.005890893387398619</v>
      </c>
      <c r="CZ35" s="5">
        <f>IF(CR35="direct",IFERROR(DF35/CW35,0),0)</f>
        <v>0</v>
      </c>
      <c r="DA35" s="5">
        <f>IF(CR35="direct",CY35-CZ35,IF(CR35="cash",DK35,CY35))</f>
        <v>0.005890893387398619</v>
      </c>
      <c r="DB35" s="6">
        <v>0.5571574833444677</v>
      </c>
      <c r="DC35" s="4">
        <v>0.5938593439930426</v>
      </c>
      <c r="DD35" s="4">
        <v>0.5938593439930426</v>
      </c>
      <c r="DE35" s="5">
        <f>IF(CR35="direct",CY35*(CW35-CV35),DH35)</f>
        <v>0.0000998985307429525</v>
      </c>
      <c r="DF35" s="5">
        <f>IF(CR35="direct",DD35*CX35*C35/365,0)</f>
        <v>0</v>
      </c>
      <c r="DG35" s="5">
        <f>DE35-DF35</f>
        <v>0.0000998985307429392</v>
      </c>
      <c r="DH35" s="4">
        <v>0.0000998985307429392</v>
      </c>
      <c r="DI35" s="5">
        <f>DH35-DG35</f>
        <v>-1.3295029140103498e-17</v>
      </c>
      <c r="DJ35" s="4">
        <v>-5.796415864650628e-17</v>
      </c>
      <c r="DK35" s="4">
        <v>0.5939592425237855</v>
      </c>
      <c r="DL35" s="4">
        <v>1.829</v>
      </c>
      <c r="DM35" s="4">
        <v>1.843</v>
      </c>
      <c r="DN35" s="6"/>
      <c r="DO35" s="6"/>
      <c r="DP35" s="6"/>
      <c r="DQ35" s="9">
        <v>36</v>
      </c>
      <c r="DR35" s="7">
        <f>IFERROR(DG35/F35,0)</f>
        <v>0.0000937245739105488</v>
      </c>
      <c r="DS35" t="inlineStr">
        <is>
          <t xml:space="preserve">SI69H</t>
        </is>
      </c>
      <c r="DT35" t="inlineStr">
        <is>
          <t xml:space="preserve">future</t>
        </is>
      </c>
      <c r="DU35" t="inlineStr">
        <is>
          <t xml:space="preserve">lease</t>
        </is>
      </c>
      <c r="DV35" t="inlineStr">
        <is>
          <t xml:space="preserve">long</t>
        </is>
      </c>
      <c r="DW35" t="inlineStr">
        <is>
          <t xml:space="preserve">regular</t>
        </is>
      </c>
      <c r="DX35" s="4">
        <v>1.825</v>
      </c>
      <c r="DY35" s="4">
        <v>1.8259999999999998</v>
      </c>
      <c r="DZ35" s="6"/>
      <c r="EA35" s="4">
        <v>0.32540238027016033</v>
      </c>
      <c r="EB35" s="5">
        <f>IF(DT35="direct",IFERROR(EH35/DY35,0),0)</f>
        <v>0</v>
      </c>
      <c r="EC35" s="5">
        <f>IF(DT35="direct",EA35-EB35,IF(DT35="cash",EM35,EA35))</f>
        <v>0.32540238027016033</v>
      </c>
      <c r="ED35" s="6">
        <v>0.5571574833444677</v>
      </c>
      <c r="EE35" s="4">
        <v>0.5938593439930426</v>
      </c>
      <c r="EF35" s="4">
        <v>0</v>
      </c>
      <c r="EG35" s="5">
        <f>IF(DT35="direct",EA35*(DY35-DX35),EJ35)</f>
        <v>0.0003254023802700667</v>
      </c>
      <c r="EH35" s="5">
        <f>IF(DT35="direct",EF35*DZ35*C35/365,0)</f>
        <v>0</v>
      </c>
      <c r="EI35" s="5">
        <f>EG35-EH35</f>
        <v>0.0003254023802700667</v>
      </c>
      <c r="EJ35" s="4">
        <v>0.0003254023802700667</v>
      </c>
      <c r="EK35" s="5">
        <f>EJ35-EI35</f>
        <v>0</v>
      </c>
      <c r="EL35" s="4">
        <v>-0.0003254023802700667</v>
      </c>
      <c r="EM35" s="4">
        <v>0</v>
      </c>
      <c r="EN35" s="4">
        <v>1.829</v>
      </c>
      <c r="EO35" s="4">
        <v>1.843</v>
      </c>
      <c r="EP35" s="6">
        <v>-0.002186987424822262</v>
      </c>
      <c r="EQ35" s="6">
        <v>0.0614</v>
      </c>
      <c r="ER35" s="6">
        <v>0.08357362250167015</v>
      </c>
      <c r="ES35" s="9">
        <v>36</v>
      </c>
      <c r="ET35" s="7">
        <f>IFERROR(EI35/F35,0)</f>
        <v>0.0003052917716955109</v>
      </c>
      <c r="EU35" t="inlineStr">
        <is>
          <t xml:space="preserve">Lease cash / margin / financing</t>
        </is>
      </c>
      <c r="EV35" t="inlineStr">
        <is>
          <t xml:space="preserve">cash</t>
        </is>
      </c>
      <c r="EW35" t="inlineStr">
        <is>
          <t xml:space="preserve">lease</t>
        </is>
      </c>
      <c r="EX35" t="inlineStr">
        <is>
          <t xml:space="preserve">cash</t>
        </is>
      </c>
      <c r="EY35"/>
      <c r="EZ35" s="4">
        <v>1</v>
      </c>
      <c r="FA35" s="4">
        <v>1</v>
      </c>
      <c r="FB35" s="6"/>
      <c r="FC35" s="4">
        <v>-2.220446049250313e-16</v>
      </c>
      <c r="FD35" s="5">
        <f>IF(EV35="direct",IFERROR(FJ35/FA35,0),0)</f>
        <v>0</v>
      </c>
      <c r="FE35" s="5">
        <f>IF(EV35="direct",FC35-FD35,IF(EV35="cash",FO35,FC35))</f>
        <v>0.0003254023802699026</v>
      </c>
      <c r="FF35" s="6"/>
      <c r="FG35" s="4">
        <v>-2.220446049250313e-16</v>
      </c>
      <c r="FH35" s="4">
        <v>-2.220446049250313e-16</v>
      </c>
      <c r="FI35" s="5">
        <f>IF(EV35="direct",FC35*(FA35-EZ35),FL35)</f>
        <v>0</v>
      </c>
      <c r="FJ35" s="5">
        <f>IF(EV35="direct",FH35*FB35*C35/365,0)</f>
        <v>0</v>
      </c>
      <c r="FK35" s="5">
        <f>FI35-FJ35</f>
        <v>0</v>
      </c>
      <c r="FL35" s="4">
        <v>0</v>
      </c>
      <c r="FM35" s="5">
        <f>FL35-FK35</f>
        <v>0</v>
      </c>
      <c r="FN35" s="4">
        <v>0.00032540238027012466</v>
      </c>
      <c r="FO35" s="4">
        <v>0.0003254023802699026</v>
      </c>
      <c r="FP35" s="4">
        <v>1.829</v>
      </c>
      <c r="FQ35" s="4">
        <v>1.843</v>
      </c>
      <c r="FR35" s="6"/>
      <c r="FS35" s="6"/>
      <c r="FT35" s="6"/>
      <c r="FU35" s="9"/>
      <c r="FV35" s="7">
        <f>IFERROR(FK35/F35,0)</f>
        <v>0</v>
      </c>
      <c r="FW35" t="inlineStr">
        <is>
          <t xml:space="preserve">Keep cash / margin / financing</t>
        </is>
      </c>
      <c r="FX35" t="inlineStr">
        <is>
          <t xml:space="preserve">cash</t>
        </is>
      </c>
      <c r="FY35" t="inlineStr">
        <is>
          <t xml:space="preserve">keep</t>
        </is>
      </c>
      <c r="FZ35" t="inlineStr">
        <is>
          <t xml:space="preserve">cash</t>
        </is>
      </c>
      <c r="GA35"/>
      <c r="GB35" s="4">
        <v>1</v>
      </c>
      <c r="GC35" s="4">
        <v>1</v>
      </c>
      <c r="GD35" s="6"/>
      <c r="GE35" s="4">
        <v>0</v>
      </c>
      <c r="GF35" s="5">
        <f>IF(FX35="direct",IFERROR(GL35/GC35,0),0)</f>
        <v>0</v>
      </c>
      <c r="GG35" s="5">
        <f>IF(FX35="direct",GE35-GF35,IF(FX35="cash",GQ35,GE35))</f>
        <v>0</v>
      </c>
      <c r="GH35" s="6"/>
      <c r="GI35" s="4">
        <v>0</v>
      </c>
      <c r="GJ35" s="4">
        <v>0</v>
      </c>
      <c r="GK35" s="5">
        <f>IF(FX35="direct",GE35*(GC35-GB35),GN35)</f>
        <v>0</v>
      </c>
      <c r="GL35" s="5">
        <f>IF(FX35="direct",GJ35*GD35*C35/365,0)</f>
        <v>0</v>
      </c>
      <c r="GM35" s="5">
        <f>GK35-GL35</f>
        <v>0</v>
      </c>
      <c r="GN35" s="4">
        <v>0</v>
      </c>
      <c r="GO35" s="5">
        <f>GN35-GM35</f>
        <v>0</v>
      </c>
      <c r="GP35" s="4">
        <v>0</v>
      </c>
      <c r="GQ35" s="4">
        <v>0</v>
      </c>
      <c r="GR35" s="4">
        <v>1.829</v>
      </c>
      <c r="GS35" s="4">
        <v>1.843</v>
      </c>
      <c r="GT35" s="6"/>
      <c r="GU35" s="6"/>
      <c r="GV35" s="6"/>
      <c r="GW35" s="9"/>
      <c r="GX35" s="7">
        <f>IFERROR(GM35/F35,0)</f>
        <v>0</v>
      </c>
      <c r="GY35"/>
      <c r="GZ35"/>
      <c r="HA35"/>
      <c r="HB35"/>
      <c r="HC35"/>
      <c r="HD35" s="4"/>
      <c r="HE35" s="4"/>
      <c r="HF35" s="6"/>
      <c r="HG35" s="4"/>
      <c r="HH35" s="5">
        <v>0</v>
      </c>
      <c r="HI35" s="5"/>
      <c r="HJ35" s="6"/>
      <c r="HK35" s="4"/>
      <c r="HL35" s="4"/>
      <c r="HM35" s="5">
        <v>0</v>
      </c>
      <c r="HN35" s="5">
        <v>0</v>
      </c>
      <c r="HO35" s="5"/>
      <c r="HP35" s="4"/>
      <c r="HQ35" s="5">
        <v>0</v>
      </c>
      <c r="HR35" s="4"/>
      <c r="HS35" s="4"/>
      <c r="HT35" s="4"/>
      <c r="HU35" s="4"/>
      <c r="HV35" s="6"/>
      <c r="HW35" s="6"/>
      <c r="HX35" s="6"/>
      <c r="HY35" s="9"/>
      <c r="HZ35"/>
      <c r="IA35"/>
      <c r="IB35"/>
      <c r="IC35"/>
      <c r="ID35"/>
      <c r="IE35"/>
      <c r="IF35" s="4"/>
      <c r="IG35" s="4"/>
      <c r="IH35" s="6"/>
      <c r="II35" s="4"/>
      <c r="IJ35" s="5">
        <v>0</v>
      </c>
      <c r="IK35" s="5"/>
      <c r="IL35" s="6"/>
      <c r="IM35" s="4"/>
      <c r="IN35" s="4"/>
      <c r="IO35" s="5">
        <v>0</v>
      </c>
      <c r="IP35" s="5">
        <v>0</v>
      </c>
      <c r="IQ35" s="5"/>
      <c r="IR35" s="4"/>
      <c r="IS35" s="5">
        <v>0</v>
      </c>
      <c r="IT35" s="4"/>
      <c r="IU35" s="4"/>
      <c r="IV35" s="4"/>
      <c r="IW35" s="4"/>
      <c r="IX35" s="6"/>
      <c r="IY35" s="6"/>
      <c r="IZ35" s="6"/>
      <c r="JA35" s="9"/>
      <c r="JB35"/>
      <c r="JC35"/>
      <c r="JD35"/>
      <c r="JE35"/>
      <c r="JF35"/>
      <c r="JG35"/>
      <c r="JH35" s="4"/>
      <c r="JI35" s="4"/>
      <c r="JJ35" s="6"/>
      <c r="JK35" s="4"/>
      <c r="JL35" s="5">
        <v>0</v>
      </c>
      <c r="JM35" s="5"/>
      <c r="JN35" s="6"/>
      <c r="JO35" s="4"/>
      <c r="JP35" s="4"/>
      <c r="JQ35" s="5">
        <v>0</v>
      </c>
      <c r="JR35" s="5">
        <v>0</v>
      </c>
      <c r="JS35" s="5"/>
      <c r="JT35" s="4"/>
      <c r="JU35" s="5">
        <v>0</v>
      </c>
      <c r="JV35" s="4"/>
      <c r="JW35" s="4"/>
      <c r="JX35" s="4"/>
      <c r="JY35" s="4"/>
      <c r="JZ35" s="6"/>
      <c r="KA35" s="6"/>
      <c r="KB35" s="6"/>
      <c r="KC35" s="9"/>
      <c r="KD35"/>
      <c r="KE35"/>
      <c r="KF35"/>
      <c r="KG35"/>
      <c r="KH35"/>
      <c r="KI35"/>
      <c r="KJ35" s="4"/>
      <c r="KK35" s="4"/>
      <c r="KL35" s="6"/>
      <c r="KM35" s="4"/>
      <c r="KN35" s="5">
        <v>0</v>
      </c>
      <c r="KO35" s="5"/>
      <c r="KP35" s="6"/>
      <c r="KQ35" s="4"/>
      <c r="KR35" s="4"/>
      <c r="KS35" s="5">
        <v>0</v>
      </c>
      <c r="KT35" s="5">
        <v>0</v>
      </c>
      <c r="KU35" s="5"/>
      <c r="KV35" s="4"/>
      <c r="KW35" s="5">
        <v>0</v>
      </c>
      <c r="KX35" s="4"/>
      <c r="KY35" s="4"/>
      <c r="KZ35" s="4"/>
      <c r="LA35" s="4"/>
      <c r="LB35" s="6"/>
      <c r="LC35" s="6"/>
      <c r="LD35" s="6"/>
      <c r="LE35" s="9"/>
      <c r="LF35"/>
      <c r="LG35"/>
      <c r="LH35"/>
      <c r="LI35"/>
      <c r="LJ35"/>
      <c r="LK35"/>
      <c r="LL35" s="4"/>
      <c r="LM35" s="4"/>
      <c r="LN35" s="6"/>
      <c r="LO35" s="4"/>
      <c r="LP35" s="5">
        <v>0</v>
      </c>
      <c r="LQ35" s="5"/>
      <c r="LR35" s="6"/>
      <c r="LS35" s="4"/>
      <c r="LT35" s="4"/>
      <c r="LU35" s="5">
        <v>0</v>
      </c>
      <c r="LV35" s="5">
        <v>0</v>
      </c>
      <c r="LW35" s="5"/>
      <c r="LX35" s="4"/>
      <c r="LY35" s="5">
        <v>0</v>
      </c>
      <c r="LZ35" s="4"/>
      <c r="MA35" s="4"/>
      <c r="MB35" s="4"/>
      <c r="MC35" s="4"/>
      <c r="MD35" s="6"/>
      <c r="ME35" s="6"/>
      <c r="MF35" s="6"/>
      <c r="MG35" s="9"/>
      <c r="MH35"/>
    </row>
    <row r="36">
      <c r="A36" s="8">
        <v>25254</v>
      </c>
      <c r="B36" s="8">
        <v>25258</v>
      </c>
      <c r="C36" s="9">
        <f>B36-A36</f>
        <v>4</v>
      </c>
      <c r="D36" s="8">
        <v>25254</v>
      </c>
      <c r="E36" t="inlineStr">
        <is>
          <t xml:space="preserve">positive</t>
        </is>
      </c>
      <c r="F36" s="4">
        <v>1.0699084839730073</v>
      </c>
      <c r="G36" s="6">
        <v>-0.025621760566550057</v>
      </c>
      <c r="H36" s="7">
        <f>SUM(CP36,DR36,ET36,FV36,GX36,HZ36,JB36,KD36,LF36,MH36)</f>
        <v>-0.025621760566550057</v>
      </c>
      <c r="I36" s="7">
        <f>G36-H36</f>
        <v>0</v>
      </c>
      <c r="J36" s="5">
        <f>F36*(1+H36)</f>
        <v>1.0424955449685303</v>
      </c>
      <c r="K36" s="4">
        <v>1.0424955449685303</v>
      </c>
      <c r="L36" s="5">
        <f>K36-J36</f>
        <v>0</v>
      </c>
      <c r="M36" s="4">
        <v>1.843</v>
      </c>
      <c r="N36" s="4">
        <v>1.833</v>
      </c>
      <c r="O36" s="5">
        <f>M36/$M$3</f>
        <v>0.9412665985699694</v>
      </c>
      <c r="P36" s="5">
        <f>N36/$M$3</f>
        <v>0.9361593462717058</v>
      </c>
      <c r="Q36" s="7">
        <f>IFERROR(N36/M36-1,0)</f>
        <v>-0.005425935973955465</v>
      </c>
      <c r="R36" s="5">
        <f>SUM(IF(BQ36="lease",CB36,0),IF(CS36="lease",DD36,0),IF(DU36="lease",EF36,0),IF(EW36="lease",FH36,0),IF(FY36="lease",GJ36,0),IF(HA36="lease",HL36,0),IF(IC36="lease",IN36,0),IF(JE36="lease",JP36,0),IF(KG36="lease",KR36,0),IF(LI36="lease",LT36,0))</f>
        <v>1.069908483973007</v>
      </c>
      <c r="S36" s="5">
        <f>SUM(IF(BQ36="lease",CI36,0),IF(CS36="lease",DK36,0),IF(DU36="lease",EM36,0),IF(EW36="lease",FO36,0),IF(FY36="lease",GQ36,0),IF(HA36="lease",HS36,0),IF(IC36="lease",IU36,0),IF(JE36="lease",JW36,0),IF(KG36="lease",KY36,0),IF(LI36="lease",MA36,0))</f>
        <v>1.04249554496853</v>
      </c>
      <c r="T36" s="5">
        <f>SUM(IF(BQ36="keep",CB36,0),IF(CS36="keep",DD36,0),IF(DU36="keep",EF36,0),IF(EW36="keep",FH36,0),IF(FY36="keep",GJ36,0),IF(HA36="keep",HL36,0),IF(IC36="keep",IN36,0),IF(JE36="keep",JP36,0),IF(KG36="keep",KR36,0),IF(LI36="keep",LT36,0))</f>
        <v>0</v>
      </c>
      <c r="U36" s="5">
        <f>SUM(IF(BQ36="keep",CI36,0),IF(CS36="keep",DK36,0),IF(DU36="keep",EM36,0),IF(EW36="keep",FO36,0),IF(FY36="keep",GQ36,0),IF(HA36="keep",HS36,0),IF(IC36="keep",IU36,0),IF(JE36="keep",JW36,0),IF(KG36="keep",KY36,0),IF(LI36="keep",MA36,0))</f>
        <v>0</v>
      </c>
      <c r="V36" s="5">
        <f>R36/O36</f>
        <v>1.1366689156913443</v>
      </c>
      <c r="W36" s="5">
        <f>S36/P36</f>
        <v>1.1135877125195754</v>
      </c>
      <c r="X36" s="5">
        <f>T36/O36</f>
        <v>0</v>
      </c>
      <c r="Y36" s="5">
        <f>U36/P36</f>
        <v>0</v>
      </c>
      <c r="Z36" s="5">
        <f>V36+X36</f>
        <v>1.1366689156913443</v>
      </c>
      <c r="AA36" s="7">
        <f>IFERROR(W36/V36-1,0)</f>
        <v>-0.020306003668386086</v>
      </c>
      <c r="AB36" s="7">
        <f>IFERROR((W36-V36)/Z36,0)</f>
        <v>-0.020306003668386086</v>
      </c>
      <c r="AC36" s="7">
        <f>IFERROR(Y36/X36-1,0)</f>
        <v>0</v>
      </c>
      <c r="AD36" s="7">
        <f>IFERROR((Y36-X36)/Z36,0)</f>
        <v>0</v>
      </c>
      <c r="AE36" s="7">
        <f>AB36+AD36</f>
        <v>-0.020306003668386086</v>
      </c>
      <c r="AF36" s="7">
        <f>(1+Q36)*(1+AE36)-1</f>
        <v>-0.025621760566549967</v>
      </c>
      <c r="AG36" s="7">
        <f>G36-AF36</f>
        <v>-9.020562075079397e-17</v>
      </c>
      <c r="AH36" s="5">
        <f>SUM(IF(BQ36="lease",CE36,0),IF(CS36="lease",DG36,0),IF(DU36="lease",EI36,0),IF(EW36="lease",FK36,0),IF(FY36="lease",GM36,0),IF(HA36="lease",HO36,0),IF(IC36="lease",IQ36,0),IF(JE36="lease",JS36,0),IF(KG36="lease",KU36,0),IF(LI36="lease",LW36,0))</f>
        <v>-0.027412939004476954</v>
      </c>
      <c r="AI36" s="5">
        <f>SUM(IF(BQ36="keep",CE36,0),IF(CS36="keep",DG36,0),IF(DU36="keep",EI36,0),IF(EW36="keep",FK36,0),IF(FY36="keep",GM36,0),IF(HA36="keep",HO36,0),IF(IC36="keep",IQ36,0),IF(JE36="keep",JS36,0),IF(KG36="keep",KU36,0),IF(LI36="keep",LW36,0))</f>
        <v>0</v>
      </c>
      <c r="AJ36" s="5">
        <f>SUM(IF(BQ36="lease",CH36,0),IF(CS36="lease",DJ36,0),IF(DU36="lease",EL36,0),IF(EW36="lease",FN36,0),IF(FY36="lease",GP36,0),IF(HA36="lease",HR36,0),IF(IC36="lease",IT36,0),IF(JE36="lease",JV36,0),IF(KG36="lease",KX36,0),IF(LI36="lease",LZ36,0))</f>
        <v>0</v>
      </c>
      <c r="AK36" s="5">
        <f>SUM(IF(BQ36="keep",CH36,0),IF(CS36="keep",DJ36,0),IF(DU36="keep",EL36,0),IF(EW36="keep",FN36,0),IF(FY36="keep",GP36,0),IF(HA36="keep",HR36,0),IF(IC36="keep",IT36,0),IF(JE36="keep",JV36,0),IF(KG36="keep",KX36,0),IF(LI36="keep",LZ36,0))</f>
        <v>0</v>
      </c>
      <c r="AL36" s="5">
        <f>R36-S35</f>
        <v>0</v>
      </c>
      <c r="AM36" s="5">
        <f>T36-U35</f>
        <v>0</v>
      </c>
      <c r="AN36" s="5">
        <f>AN35</f>
        <v>1</v>
      </c>
      <c r="AO36" s="5">
        <f>AO35+AH36</f>
        <v>0.04249554496853061</v>
      </c>
      <c r="AP36" s="5">
        <f>AP35+AL36</f>
        <v>-4.440892098500626e-16</v>
      </c>
      <c r="AQ36" s="5">
        <f>AN36+AO36+AP36</f>
        <v>1.0424955449685303</v>
      </c>
      <c r="AR36" s="5">
        <f>S36-AQ36</f>
        <v>-2.220446049250313e-16</v>
      </c>
      <c r="AS36" s="5">
        <f>AS35</f>
        <v>0</v>
      </c>
      <c r="AT36" s="5">
        <f>AT35+AI36</f>
        <v>0</v>
      </c>
      <c r="AU36" s="5">
        <f>AU35+AM36</f>
        <v>0</v>
      </c>
      <c r="AV36" s="5">
        <f>AS36+AT36+AU36</f>
        <v>0</v>
      </c>
      <c r="AW36" s="5">
        <f>U36-AV36</f>
        <v>0</v>
      </c>
      <c r="AX36" s="4">
        <v>1.069908483973007</v>
      </c>
      <c r="AY36" s="4">
        <v>1.04249554496853</v>
      </c>
      <c r="AZ36" s="5">
        <f>S36-AY36</f>
        <v>0</v>
      </c>
      <c r="BA36" s="4">
        <v>0</v>
      </c>
      <c r="BB36" s="4">
        <v>0</v>
      </c>
      <c r="BC36" s="5">
        <f>U36-BB36</f>
        <v>0</v>
      </c>
      <c r="BD36" s="7">
        <f>SUM(IF(BP36="direct",CC36/F36,0),IF(CR36="direct",DE36/F36,0),IF(DT36="direct",EG36/F36,0),IF(EV36="direct",FI36/F36,0),IF(FX36="direct",GK36/F36,0),IF(GZ36="direct",HM36/F36,0),IF(IB36="direct",IO36/F36,0),IF(JD36="direct",JQ36/F36,0),IF(KF36="direct",KS36/F36,0),IF(LH36="direct",LU36/F36,0))</f>
        <v>0</v>
      </c>
      <c r="BE36" s="7">
        <f>-SUM(IF(BP36="direct",CD36/F36,0),IF(CR36="direct",DF36/F36,0),IF(DT36="direct",EH36/F36,0),IF(EV36="direct",FJ36/F36,0),IF(FX36="direct",GL36/F36,0),IF(GZ36="direct",HN36/F36,0),IF(IB36="direct",IP36/F36,0),IF(JD36="direct",JR36/F36,0),IF(KF36="direct",KT36/F36,0),IF(LH36="direct",LV36/F36,0))</f>
        <v>0</v>
      </c>
      <c r="BF36" s="7">
        <f>BD36+BE36</f>
        <v>0</v>
      </c>
      <c r="BG36" s="7">
        <f>BF36-SUM(IF(BP36="direct",CP36,0),IF(CR36="direct",DR36,0),IF(DT36="direct",ET36,0),IF(EV36="direct",FV36,0),IF(FX36="direct",GX36,0),IF(GZ36="direct",HZ36,0),IF(IB36="direct",JB36,0),IF(JD36="direct",KD36,0),IF(KF36="direct",LF36,0),IF(LH36="direct",MH36,0))</f>
        <v>0</v>
      </c>
      <c r="BH36" s="7">
        <f>SUM(IF(BP36="treasury",CP36,0),IF(CR36="treasury",DR36,0),IF(DT36="treasury",ET36,0),IF(EV36="treasury",FV36,0),IF(FX36="treasury",GX36,0),IF(GZ36="treasury",HZ36,0),IF(IB36="treasury",JB36,0),IF(JD36="treasury",KD36,0),IF(KF36="treasury",LF36,0),IF(LH36="treasury",MH36,0))</f>
        <v>0.0006652054794520549</v>
      </c>
      <c r="BI36" s="7">
        <f>SUM(IF(BP36="future",CP36,0),IF(CR36="future",DR36,0),IF(DT36="future",ET36,0),IF(EV36="future",FV36,0),IF(FX36="future",GX36,0),IF(GZ36="future",HZ36,0),IF(IB36="future",JB36,0),IF(JD36="future",KD36,0),IF(KF36="future",LF36,0),IF(LH36="future",MH36,0))</f>
        <v>-0.026286966046002114</v>
      </c>
      <c r="BJ36" s="7">
        <f>SUM(IF(BP36="cash",CP36,0),IF(CR36="cash",DR36,0),IF(DT36="cash",ET36,0),IF(EV36="cash",FV36,0),IF(FX36="cash",GX36,0),IF(GZ36="cash",HZ36,0),IF(IB36="cash",JB36,0),IF(JD36="cash",KD36,0),IF(KF36="cash",LF36,0),IF(LH36="cash",MH36,0))</f>
        <v>0</v>
      </c>
      <c r="BK36" s="7">
        <f>SUM(BF36,BH36,BI36,BJ36)</f>
        <v>-0.025621760566550057</v>
      </c>
      <c r="BL36" s="7">
        <f>G36-BK36</f>
        <v>0</v>
      </c>
      <c r="BM36" s="5">
        <f>MAX(ABS(CG36),ABS(DI36),ABS(EK36),ABS(FM36),ABS(GO36),ABS(HQ36),ABS(IS36),ABS(JU36),ABS(KW36),ABS(LY36))</f>
        <v>1.0733601507606494e-17</v>
      </c>
      <c r="BN36" s="9">
        <f>COUNTA(BO36,CQ36,DS36,EU36,FW36,GY36,IA36,JC36,KE36,LG36)</f>
        <v>4</v>
      </c>
      <c r="BO36" t="inlineStr">
        <is>
          <t xml:space="preserve">Treasury collateral</t>
        </is>
      </c>
      <c r="BP36" t="inlineStr">
        <is>
          <t xml:space="preserve">treasury</t>
        </is>
      </c>
      <c r="BQ36" t="inlineStr">
        <is>
          <t xml:space="preserve">lease</t>
        </is>
      </c>
      <c r="BR36" t="inlineStr">
        <is>
          <t xml:space="preserve">long</t>
        </is>
      </c>
      <c r="BS36"/>
      <c r="BT36" s="4">
        <v>100.82668340159424</v>
      </c>
      <c r="BU36" s="4">
        <v>100.89375386386796</v>
      </c>
      <c r="BV36" s="6"/>
      <c r="BW36" s="4">
        <v>0.010611362467528019</v>
      </c>
      <c r="BX36" s="5">
        <f>IF(BP36="direct",IFERROR(CD36/BU36,0),0)</f>
        <v>0</v>
      </c>
      <c r="BY36" s="5">
        <f>IF(BP36="direct",BW36-BX36,IF(BP36="cash",CI36,BW36))</f>
        <v>0.010611362467528019</v>
      </c>
      <c r="BZ36" s="6">
        <v>1</v>
      </c>
      <c r="CA36" s="4">
        <v>1.0699084839730073</v>
      </c>
      <c r="CB36" s="4">
        <v>1.0699084839730073</v>
      </c>
      <c r="CC36" s="5">
        <f>IF(BP36="direct",BW36*(BU36-BT36),CF36)</f>
        <v>0.0007117089860510963</v>
      </c>
      <c r="CD36" s="5">
        <f>IF(BP36="direct",CB36*BV36*C36/365,0)</f>
        <v>0</v>
      </c>
      <c r="CE36" s="5">
        <f>CC36-CD36</f>
        <v>0.0007117089860510855</v>
      </c>
      <c r="CF36" s="4">
        <v>0.0007117089860510855</v>
      </c>
      <c r="CG36" s="5">
        <f>CF36-CE36</f>
        <v>-1.0733601507606494e-17</v>
      </c>
      <c r="CH36" s="4">
        <v>2.168404344971009e-17</v>
      </c>
      <c r="CI36" s="4">
        <v>1.0706201929590584</v>
      </c>
      <c r="CJ36" s="4">
        <v>1.843</v>
      </c>
      <c r="CK36" s="4">
        <v>1.833</v>
      </c>
      <c r="CL36" s="6"/>
      <c r="CM36" s="6"/>
      <c r="CN36" s="6"/>
      <c r="CO36" s="9">
        <v>35</v>
      </c>
      <c r="CP36" s="7">
        <f>IFERROR(CE36/F36,0)</f>
        <v>0.0006652054794520549</v>
      </c>
      <c r="CQ36" t="inlineStr">
        <is>
          <t xml:space="preserve">SI69H</t>
        </is>
      </c>
      <c r="CR36" t="inlineStr">
        <is>
          <t xml:space="preserve">future</t>
        </is>
      </c>
      <c r="CS36" t="inlineStr">
        <is>
          <t xml:space="preserve">lease</t>
        </is>
      </c>
      <c r="CT36" t="inlineStr">
        <is>
          <t xml:space="preserve">long</t>
        </is>
      </c>
      <c r="CU36" t="inlineStr">
        <is>
          <t xml:space="preserve">regular</t>
        </is>
      </c>
      <c r="CV36" s="4">
        <v>1.8259999999999998</v>
      </c>
      <c r="CW36" s="4">
        <v>1.778</v>
      </c>
      <c r="CX36" s="6"/>
      <c r="CY36" s="4">
        <v>0.5859301664693359</v>
      </c>
      <c r="CZ36" s="5">
        <f>IF(CR36="direct",IFERROR(DF36/CW36,0),0)</f>
        <v>0</v>
      </c>
      <c r="DA36" s="5">
        <f>IF(CR36="direct",CY36-CZ36,IF(CR36="cash",DK36,CY36))</f>
        <v>0.5859301664693359</v>
      </c>
      <c r="DB36" s="6">
        <v>1</v>
      </c>
      <c r="DC36" s="4">
        <v>1.0699084839730073</v>
      </c>
      <c r="DD36" s="4">
        <v>0</v>
      </c>
      <c r="DE36" s="5">
        <f>IF(CR36="direct",CY36*(CW36-CV36),DH36)</f>
        <v>-0.02812464799052804</v>
      </c>
      <c r="DF36" s="5">
        <f>IF(CR36="direct",DD36*CX36*C36/365,0)</f>
        <v>0</v>
      </c>
      <c r="DG36" s="5">
        <f>DE36-DF36</f>
        <v>-0.02812464799052804</v>
      </c>
      <c r="DH36" s="4">
        <v>-0.02812464799052804</v>
      </c>
      <c r="DI36" s="5">
        <f>DH36-DG36</f>
        <v>0</v>
      </c>
      <c r="DJ36" s="4">
        <v>0.02812464799052804</v>
      </c>
      <c r="DK36" s="4">
        <v>0</v>
      </c>
      <c r="DL36" s="4">
        <v>1.843</v>
      </c>
      <c r="DM36" s="4">
        <v>1.833</v>
      </c>
      <c r="DN36" s="6">
        <v>-0.009224091155724423</v>
      </c>
      <c r="DO36" s="6">
        <v>0.0607</v>
      </c>
      <c r="DP36" s="6">
        <v>0.15689409348112615</v>
      </c>
      <c r="DQ36" s="9">
        <v>35</v>
      </c>
      <c r="DR36" s="7">
        <f>IFERROR(DG36/F36,0)</f>
        <v>-0.026286966046002114</v>
      </c>
      <c r="DS36" t="inlineStr">
        <is>
          <t xml:space="preserve">Lease cash / margin / financing</t>
        </is>
      </c>
      <c r="DT36" t="inlineStr">
        <is>
          <t xml:space="preserve">cash</t>
        </is>
      </c>
      <c r="DU36" t="inlineStr">
        <is>
          <t xml:space="preserve">lease</t>
        </is>
      </c>
      <c r="DV36" t="inlineStr">
        <is>
          <t xml:space="preserve">cash</t>
        </is>
      </c>
      <c r="DW36"/>
      <c r="DX36" s="4">
        <v>1</v>
      </c>
      <c r="DY36" s="4">
        <v>1</v>
      </c>
      <c r="DZ36" s="6"/>
      <c r="EA36" s="4">
        <v>-2.220446049250313e-16</v>
      </c>
      <c r="EB36" s="5">
        <f>IF(DT36="direct",IFERROR(EH36/DY36,0),0)</f>
        <v>0</v>
      </c>
      <c r="EC36" s="5">
        <f>IF(DT36="direct",EA36-EB36,IF(DT36="cash",EM36,EA36))</f>
        <v>-0.028124647990528284</v>
      </c>
      <c r="ED36" s="6"/>
      <c r="EE36" s="4">
        <v>-2.220446049250313e-16</v>
      </c>
      <c r="EF36" s="4">
        <v>-2.220446049250313e-16</v>
      </c>
      <c r="EG36" s="5">
        <f>IF(DT36="direct",EA36*(DY36-DX36),EJ36)</f>
        <v>0</v>
      </c>
      <c r="EH36" s="5">
        <f>IF(DT36="direct",EF36*DZ36*C36/365,0)</f>
        <v>0</v>
      </c>
      <c r="EI36" s="5">
        <f>EG36-EH36</f>
        <v>0</v>
      </c>
      <c r="EJ36" s="4">
        <v>0</v>
      </c>
      <c r="EK36" s="5">
        <f>EJ36-EI36</f>
        <v>0</v>
      </c>
      <c r="EL36" s="4">
        <v>-0.02812464799052806</v>
      </c>
      <c r="EM36" s="4">
        <v>-0.028124647990528284</v>
      </c>
      <c r="EN36" s="4">
        <v>1.843</v>
      </c>
      <c r="EO36" s="4">
        <v>1.833</v>
      </c>
      <c r="EP36" s="6"/>
      <c r="EQ36" s="6"/>
      <c r="ER36" s="6"/>
      <c r="ES36" s="9"/>
      <c r="ET36" s="7">
        <f>IFERROR(EI36/F36,0)</f>
        <v>0</v>
      </c>
      <c r="EU36" t="inlineStr">
        <is>
          <t xml:space="preserve">Keep cash / margin / financing</t>
        </is>
      </c>
      <c r="EV36" t="inlineStr">
        <is>
          <t xml:space="preserve">cash</t>
        </is>
      </c>
      <c r="EW36" t="inlineStr">
        <is>
          <t xml:space="preserve">keep</t>
        </is>
      </c>
      <c r="EX36" t="inlineStr">
        <is>
          <t xml:space="preserve">cash</t>
        </is>
      </c>
      <c r="EY36"/>
      <c r="EZ36" s="4">
        <v>1</v>
      </c>
      <c r="FA36" s="4">
        <v>1</v>
      </c>
      <c r="FB36" s="6"/>
      <c r="FC36" s="4">
        <v>0</v>
      </c>
      <c r="FD36" s="5">
        <f>IF(EV36="direct",IFERROR(FJ36/FA36,0),0)</f>
        <v>0</v>
      </c>
      <c r="FE36" s="5">
        <f>IF(EV36="direct",FC36-FD36,IF(EV36="cash",FO36,FC36))</f>
        <v>0</v>
      </c>
      <c r="FF36" s="6"/>
      <c r="FG36" s="4">
        <v>0</v>
      </c>
      <c r="FH36" s="4">
        <v>0</v>
      </c>
      <c r="FI36" s="5">
        <f>IF(EV36="direct",FC36*(FA36-EZ36),FL36)</f>
        <v>0</v>
      </c>
      <c r="FJ36" s="5">
        <f>IF(EV36="direct",FH36*FB36*C36/365,0)</f>
        <v>0</v>
      </c>
      <c r="FK36" s="5">
        <f>FI36-FJ36</f>
        <v>0</v>
      </c>
      <c r="FL36" s="4">
        <v>0</v>
      </c>
      <c r="FM36" s="5">
        <f>FL36-FK36</f>
        <v>0</v>
      </c>
      <c r="FN36" s="4">
        <v>0</v>
      </c>
      <c r="FO36" s="4">
        <v>0</v>
      </c>
      <c r="FP36" s="4">
        <v>1.843</v>
      </c>
      <c r="FQ36" s="4">
        <v>1.833</v>
      </c>
      <c r="FR36" s="6"/>
      <c r="FS36" s="6"/>
      <c r="FT36" s="6"/>
      <c r="FU36" s="9"/>
      <c r="FV36" s="7">
        <f>IFERROR(FK36/F36,0)</f>
        <v>0</v>
      </c>
      <c r="FW36"/>
      <c r="FX36"/>
      <c r="FY36"/>
      <c r="FZ36"/>
      <c r="GA36"/>
      <c r="GB36" s="4"/>
      <c r="GC36" s="4"/>
      <c r="GD36" s="6"/>
      <c r="GE36" s="4"/>
      <c r="GF36" s="5">
        <v>0</v>
      </c>
      <c r="GG36" s="5"/>
      <c r="GH36" s="6"/>
      <c r="GI36" s="4"/>
      <c r="GJ36" s="4"/>
      <c r="GK36" s="5">
        <v>0</v>
      </c>
      <c r="GL36" s="5">
        <v>0</v>
      </c>
      <c r="GM36" s="5"/>
      <c r="GN36" s="4"/>
      <c r="GO36" s="5">
        <v>0</v>
      </c>
      <c r="GP36" s="4"/>
      <c r="GQ36" s="4"/>
      <c r="GR36" s="4"/>
      <c r="GS36" s="4"/>
      <c r="GT36" s="6"/>
      <c r="GU36" s="6"/>
      <c r="GV36" s="6"/>
      <c r="GW36" s="9"/>
      <c r="GX36"/>
      <c r="GY36"/>
      <c r="GZ36"/>
      <c r="HA36"/>
      <c r="HB36"/>
      <c r="HC36"/>
      <c r="HD36" s="4"/>
      <c r="HE36" s="4"/>
      <c r="HF36" s="6"/>
      <c r="HG36" s="4"/>
      <c r="HH36" s="5">
        <v>0</v>
      </c>
      <c r="HI36" s="5"/>
      <c r="HJ36" s="6"/>
      <c r="HK36" s="4"/>
      <c r="HL36" s="4"/>
      <c r="HM36" s="5">
        <v>0</v>
      </c>
      <c r="HN36" s="5">
        <v>0</v>
      </c>
      <c r="HO36" s="5"/>
      <c r="HP36" s="4"/>
      <c r="HQ36" s="5">
        <v>0</v>
      </c>
      <c r="HR36" s="4"/>
      <c r="HS36" s="4"/>
      <c r="HT36" s="4"/>
      <c r="HU36" s="4"/>
      <c r="HV36" s="6"/>
      <c r="HW36" s="6"/>
      <c r="HX36" s="6"/>
      <c r="HY36" s="9"/>
      <c r="HZ36"/>
      <c r="IA36"/>
      <c r="IB36"/>
      <c r="IC36"/>
      <c r="ID36"/>
      <c r="IE36"/>
      <c r="IF36" s="4"/>
      <c r="IG36" s="4"/>
      <c r="IH36" s="6"/>
      <c r="II36" s="4"/>
      <c r="IJ36" s="5">
        <v>0</v>
      </c>
      <c r="IK36" s="5"/>
      <c r="IL36" s="6"/>
      <c r="IM36" s="4"/>
      <c r="IN36" s="4"/>
      <c r="IO36" s="5">
        <v>0</v>
      </c>
      <c r="IP36" s="5">
        <v>0</v>
      </c>
      <c r="IQ36" s="5"/>
      <c r="IR36" s="4"/>
      <c r="IS36" s="5">
        <v>0</v>
      </c>
      <c r="IT36" s="4"/>
      <c r="IU36" s="4"/>
      <c r="IV36" s="4"/>
      <c r="IW36" s="4"/>
      <c r="IX36" s="6"/>
      <c r="IY36" s="6"/>
      <c r="IZ36" s="6"/>
      <c r="JA36" s="9"/>
      <c r="JB36"/>
      <c r="JC36"/>
      <c r="JD36"/>
      <c r="JE36"/>
      <c r="JF36"/>
      <c r="JG36"/>
      <c r="JH36" s="4"/>
      <c r="JI36" s="4"/>
      <c r="JJ36" s="6"/>
      <c r="JK36" s="4"/>
      <c r="JL36" s="5">
        <v>0</v>
      </c>
      <c r="JM36" s="5"/>
      <c r="JN36" s="6"/>
      <c r="JO36" s="4"/>
      <c r="JP36" s="4"/>
      <c r="JQ36" s="5">
        <v>0</v>
      </c>
      <c r="JR36" s="5">
        <v>0</v>
      </c>
      <c r="JS36" s="5"/>
      <c r="JT36" s="4"/>
      <c r="JU36" s="5">
        <v>0</v>
      </c>
      <c r="JV36" s="4"/>
      <c r="JW36" s="4"/>
      <c r="JX36" s="4"/>
      <c r="JY36" s="4"/>
      <c r="JZ36" s="6"/>
      <c r="KA36" s="6"/>
      <c r="KB36" s="6"/>
      <c r="KC36" s="9"/>
      <c r="KD36"/>
      <c r="KE36"/>
      <c r="KF36"/>
      <c r="KG36"/>
      <c r="KH36"/>
      <c r="KI36"/>
      <c r="KJ36" s="4"/>
      <c r="KK36" s="4"/>
      <c r="KL36" s="6"/>
      <c r="KM36" s="4"/>
      <c r="KN36" s="5">
        <v>0</v>
      </c>
      <c r="KO36" s="5"/>
      <c r="KP36" s="6"/>
      <c r="KQ36" s="4"/>
      <c r="KR36" s="4"/>
      <c r="KS36" s="5">
        <v>0</v>
      </c>
      <c r="KT36" s="5">
        <v>0</v>
      </c>
      <c r="KU36" s="5"/>
      <c r="KV36" s="4"/>
      <c r="KW36" s="5">
        <v>0</v>
      </c>
      <c r="KX36" s="4"/>
      <c r="KY36" s="4"/>
      <c r="KZ36" s="4"/>
      <c r="LA36" s="4"/>
      <c r="LB36" s="6"/>
      <c r="LC36" s="6"/>
      <c r="LD36" s="6"/>
      <c r="LE36" s="9"/>
      <c r="LF36"/>
      <c r="LG36"/>
      <c r="LH36"/>
      <c r="LI36"/>
      <c r="LJ36"/>
      <c r="LK36"/>
      <c r="LL36" s="4"/>
      <c r="LM36" s="4"/>
      <c r="LN36" s="6"/>
      <c r="LO36" s="4"/>
      <c r="LP36" s="5">
        <v>0</v>
      </c>
      <c r="LQ36" s="5"/>
      <c r="LR36" s="6"/>
      <c r="LS36" s="4"/>
      <c r="LT36" s="4"/>
      <c r="LU36" s="5">
        <v>0</v>
      </c>
      <c r="LV36" s="5">
        <v>0</v>
      </c>
      <c r="LW36" s="5"/>
      <c r="LX36" s="4"/>
      <c r="LY36" s="5">
        <v>0</v>
      </c>
      <c r="LZ36" s="4"/>
      <c r="MA36" s="4"/>
      <c r="MB36" s="4"/>
      <c r="MC36" s="4"/>
      <c r="MD36" s="6"/>
      <c r="ME36" s="6"/>
      <c r="MF36" s="6"/>
      <c r="MG36" s="9"/>
      <c r="MH36"/>
    </row>
    <row r="37">
      <c r="A37" s="8">
        <v>25258</v>
      </c>
      <c r="B37" s="8">
        <v>25259</v>
      </c>
      <c r="C37" s="9">
        <f>B37-A37</f>
        <v>1</v>
      </c>
      <c r="D37" s="8">
        <v>25258</v>
      </c>
      <c r="E37" t="inlineStr">
        <is>
          <t xml:space="preserve">positive</t>
        </is>
      </c>
      <c r="F37" s="4">
        <v>1.0424955449685303</v>
      </c>
      <c r="G37" s="6">
        <v>-0.004335054008659853</v>
      </c>
      <c r="H37" s="7">
        <f>SUM(CP37,DR37,ET37,FV37,GX37,HZ37,JB37,KD37,LF37,MH37)</f>
        <v>-0.004335054008659853</v>
      </c>
      <c r="I37" s="7">
        <f>G37-H37</f>
        <v>0</v>
      </c>
      <c r="J37" s="5">
        <f>F37*(1+H37)</f>
        <v>1.0379762704773043</v>
      </c>
      <c r="K37" s="4">
        <v>1.0379762704773043</v>
      </c>
      <c r="L37" s="5">
        <f>K37-J37</f>
        <v>0</v>
      </c>
      <c r="M37" s="4">
        <v>1.833</v>
      </c>
      <c r="N37" s="4">
        <v>1.803</v>
      </c>
      <c r="O37" s="5">
        <f>M37/$M$3</f>
        <v>0.9361593462717058</v>
      </c>
      <c r="P37" s="5">
        <f>N37/$M$3</f>
        <v>0.9208375893769152</v>
      </c>
      <c r="Q37" s="7">
        <f>IFERROR(N37/M37-1,0)</f>
        <v>-0.016366612111292977</v>
      </c>
      <c r="R37" s="5">
        <f>SUM(IF(BQ37="lease",CB37,0),IF(CS37="lease",DD37,0),IF(DU37="lease",EF37,0),IF(EW37="lease",FH37,0),IF(FY37="lease",GJ37,0),IF(HA37="lease",HL37,0),IF(IC37="lease",IN37,0),IF(JE37="lease",JP37,0),IF(KG37="lease",KR37,0),IF(LI37="lease",LT37,0))</f>
        <v>1.04249554496853</v>
      </c>
      <c r="S37" s="5">
        <f>SUM(IF(BQ37="lease",CI37,0),IF(CS37="lease",DK37,0),IF(DU37="lease",EM37,0),IF(EW37="lease",FO37,0),IF(FY37="lease",GQ37,0),IF(HA37="lease",HS37,0),IF(IC37="lease",IU37,0),IF(JE37="lease",JW37,0),IF(KG37="lease",KY37,0),IF(LI37="lease",MA37,0))</f>
        <v>1.0379762704773041</v>
      </c>
      <c r="T37" s="5">
        <f>SUM(IF(BQ37="keep",CB37,0),IF(CS37="keep",DD37,0),IF(DU37="keep",EF37,0),IF(EW37="keep",FH37,0),IF(FY37="keep",GJ37,0),IF(HA37="keep",HL37,0),IF(IC37="keep",IN37,0),IF(JE37="keep",JP37,0),IF(KG37="keep",KR37,0),IF(LI37="keep",LT37,0))</f>
        <v>0</v>
      </c>
      <c r="U37" s="5">
        <f>SUM(IF(BQ37="keep",CI37,0),IF(CS37="keep",DK37,0),IF(DU37="keep",EM37,0),IF(EW37="keep",FO37,0),IF(FY37="keep",GQ37,0),IF(HA37="keep",HS37,0),IF(IC37="keep",IU37,0),IF(JE37="keep",JW37,0),IF(KG37="keep",KY37,0),IF(LI37="keep",MA37,0))</f>
        <v>0</v>
      </c>
      <c r="V37" s="5">
        <f>R37/O37</f>
        <v>1.1135877125195754</v>
      </c>
      <c r="W37" s="5">
        <f>S37/P37</f>
        <v>1.127208839486723</v>
      </c>
      <c r="X37" s="5">
        <f>T37/O37</f>
        <v>0</v>
      </c>
      <c r="Y37" s="5">
        <f>U37/P37</f>
        <v>0</v>
      </c>
      <c r="Z37" s="5">
        <f>V37+X37</f>
        <v>1.1135877125195754</v>
      </c>
      <c r="AA37" s="7">
        <f>IFERROR(W37/V37-1,0)</f>
        <v>0.012231750417152742</v>
      </c>
      <c r="AB37" s="7">
        <f>IFERROR((W37-V37)/Z37,0)</f>
        <v>0.012231750417152817</v>
      </c>
      <c r="AC37" s="7">
        <f>IFERROR(Y37/X37-1,0)</f>
        <v>0</v>
      </c>
      <c r="AD37" s="7">
        <f>IFERROR((Y37-X37)/Z37,0)</f>
        <v>0</v>
      </c>
      <c r="AE37" s="7">
        <f>AB37+AD37</f>
        <v>0.012231750417152817</v>
      </c>
      <c r="AF37" s="7">
        <f>(1+Q37)*(1+AE37)-1</f>
        <v>-0.0043350540086599665</v>
      </c>
      <c r="AG37" s="7">
        <f>G37-AF37</f>
        <v>1.1362438767648086e-16</v>
      </c>
      <c r="AH37" s="5">
        <f>SUM(IF(BQ37="lease",CE37,0),IF(CS37="lease",DG37,0),IF(DU37="lease",EI37,0),IF(EW37="lease",FK37,0),IF(FY37="lease",GM37,0),IF(HA37="lease",HO37,0),IF(IC37="lease",IQ37,0),IF(JE37="lease",JS37,0),IF(KG37="lease",KU37,0),IF(LI37="lease",LW37,0))</f>
        <v>-0.004519274491225865</v>
      </c>
      <c r="AI37" s="5">
        <f>SUM(IF(BQ37="keep",CE37,0),IF(CS37="keep",DG37,0),IF(DU37="keep",EI37,0),IF(EW37="keep",FK37,0),IF(FY37="keep",GM37,0),IF(HA37="keep",HO37,0),IF(IC37="keep",IQ37,0),IF(JE37="keep",JS37,0),IF(KG37="keep",KU37,0),IF(LI37="keep",LW37,0))</f>
        <v>0</v>
      </c>
      <c r="AJ37" s="5">
        <f>SUM(IF(BQ37="lease",CH37,0),IF(CS37="lease",DJ37,0),IF(DU37="lease",EL37,0),IF(EW37="lease",FN37,0),IF(FY37="lease",GP37,0),IF(HA37="lease",HR37,0),IF(IC37="lease",IT37,0),IF(JE37="lease",JV37,0),IF(KG37="lease",KX37,0),IF(LI37="lease",LZ37,0))</f>
        <v>0</v>
      </c>
      <c r="AK37" s="5">
        <f>SUM(IF(BQ37="keep",CH37,0),IF(CS37="keep",DJ37,0),IF(DU37="keep",EL37,0),IF(EW37="keep",FN37,0),IF(FY37="keep",GP37,0),IF(HA37="keep",HR37,0),IF(IC37="keep",IT37,0),IF(JE37="keep",JV37,0),IF(KG37="keep",KX37,0),IF(LI37="keep",LZ37,0))</f>
        <v>0</v>
      </c>
      <c r="AL37" s="5">
        <f>R37-S36</f>
        <v>0</v>
      </c>
      <c r="AM37" s="5">
        <f>T37-U36</f>
        <v>0</v>
      </c>
      <c r="AN37" s="5">
        <f>AN36</f>
        <v>1</v>
      </c>
      <c r="AO37" s="5">
        <f>AO36+AH37</f>
        <v>0.03797627047730475</v>
      </c>
      <c r="AP37" s="5">
        <f>AP36+AL37</f>
        <v>-4.440892098500626e-16</v>
      </c>
      <c r="AQ37" s="5">
        <f>AN37+AO37+AP37</f>
        <v>1.0379762704773043</v>
      </c>
      <c r="AR37" s="5">
        <f>S37-AQ37</f>
        <v>-2.220446049250313e-16</v>
      </c>
      <c r="AS37" s="5">
        <f>AS36</f>
        <v>0</v>
      </c>
      <c r="AT37" s="5">
        <f>AT36+AI37</f>
        <v>0</v>
      </c>
      <c r="AU37" s="5">
        <f>AU36+AM37</f>
        <v>0</v>
      </c>
      <c r="AV37" s="5">
        <f>AS37+AT37+AU37</f>
        <v>0</v>
      </c>
      <c r="AW37" s="5">
        <f>U37-AV37</f>
        <v>0</v>
      </c>
      <c r="AX37" s="4">
        <v>1.04249554496853</v>
      </c>
      <c r="AY37" s="4">
        <v>1.0379762704773041</v>
      </c>
      <c r="AZ37" s="5">
        <f>S37-AY37</f>
        <v>0</v>
      </c>
      <c r="BA37" s="4">
        <v>0</v>
      </c>
      <c r="BB37" s="4">
        <v>0</v>
      </c>
      <c r="BC37" s="5">
        <f>U37-BB37</f>
        <v>0</v>
      </c>
      <c r="BD37" s="7">
        <f>SUM(IF(BP37="direct",CC37/F37,0),IF(CR37="direct",DE37/F37,0),IF(DT37="direct",EG37/F37,0),IF(EV37="direct",FI37/F37,0),IF(FX37="direct",GK37/F37,0),IF(GZ37="direct",HM37/F37,0),IF(IB37="direct",IO37/F37,0),IF(JD37="direct",JQ37/F37,0),IF(KF37="direct",KS37/F37,0),IF(LH37="direct",LU37/F37,0))</f>
        <v>0</v>
      </c>
      <c r="BE37" s="7">
        <f>-SUM(IF(BP37="direct",CD37/F37,0),IF(CR37="direct",DF37/F37,0),IF(DT37="direct",EH37/F37,0),IF(EV37="direct",FJ37/F37,0),IF(FX37="direct",GL37/F37,0),IF(GZ37="direct",HN37/F37,0),IF(IB37="direct",IP37/F37,0),IF(JD37="direct",JR37/F37,0),IF(KF37="direct",KT37/F37,0),IF(LH37="direct",LV37/F37,0))</f>
        <v>0</v>
      </c>
      <c r="BF37" s="7">
        <f>BD37+BE37</f>
        <v>0</v>
      </c>
      <c r="BG37" s="7">
        <f>BF37-SUM(IF(BP37="direct",CP37,0),IF(CR37="direct",DR37,0),IF(DT37="direct",ET37,0),IF(EV37="direct",FV37,0),IF(FX37="direct",GX37,0),IF(GZ37="direct",HZ37,0),IF(IB37="direct",JB37,0),IF(JD37="direct",KD37,0),IF(KF37="direct",LF37,0),IF(LH37="direct",MH37,0))</f>
        <v>0</v>
      </c>
      <c r="BH37" s="7">
        <f>SUM(IF(BP37="treasury",CP37,0),IF(CR37="treasury",DR37,0),IF(DT37="treasury",ET37,0),IF(EV37="treasury",FV37,0),IF(FX37="treasury",GX37,0),IF(GZ37="treasury",HZ37,0),IF(IB37="treasury",JB37,0),IF(JD37="treasury",KD37,0),IF(KF37="treasury",LF37,0),IF(LH37="treasury",MH37,0))</f>
        <v>0.00016438356164383562</v>
      </c>
      <c r="BI37" s="7">
        <f>SUM(IF(BP37="future",CP37,0),IF(CR37="future",DR37,0),IF(DT37="future",ET37,0),IF(EV37="future",FV37,0),IF(FX37="future",GX37,0),IF(GZ37="future",HZ37,0),IF(IB37="future",JB37,0),IF(JD37="future",KD37,0),IF(KF37="future",LF37,0),IF(LH37="future",MH37,0))</f>
        <v>-0.004499437570303688</v>
      </c>
      <c r="BJ37" s="7">
        <f>SUM(IF(BP37="cash",CP37,0),IF(CR37="cash",DR37,0),IF(DT37="cash",ET37,0),IF(EV37="cash",FV37,0),IF(FX37="cash",GX37,0),IF(GZ37="cash",HZ37,0),IF(IB37="cash",JB37,0),IF(JD37="cash",KD37,0),IF(KF37="cash",LF37,0),IF(LH37="cash",MH37,0))</f>
        <v>0</v>
      </c>
      <c r="BK37" s="7">
        <f>SUM(BF37,BH37,BI37,BJ37)</f>
        <v>-0.004335054008659853</v>
      </c>
      <c r="BL37" s="7">
        <f>G37-BK37</f>
        <v>0</v>
      </c>
      <c r="BM37" s="5">
        <f>MAX(ABS(CG37),ABS(DI37),ABS(EK37),ABS(FM37),ABS(GO37),ABS(HQ37),ABS(IS37),ABS(JU37),ABS(KW37),ABS(LY37))</f>
        <v>1.0394788328704774e-16</v>
      </c>
      <c r="BN37" s="9">
        <f>COUNTA(BO37,CQ37,DS37,EU37,FW37,GY37,IA37,JC37,KE37,LG37)</f>
        <v>4</v>
      </c>
      <c r="BO37" t="inlineStr">
        <is>
          <t xml:space="preserve">Treasury collateral</t>
        </is>
      </c>
      <c r="BP37" t="inlineStr">
        <is>
          <t xml:space="preserve">treasury</t>
        </is>
      </c>
      <c r="BQ37" t="inlineStr">
        <is>
          <t xml:space="preserve">lease</t>
        </is>
      </c>
      <c r="BR37" t="inlineStr">
        <is>
          <t xml:space="preserve">long</t>
        </is>
      </c>
      <c r="BS37"/>
      <c r="BT37" s="4">
        <v>100.89375386386796</v>
      </c>
      <c r="BU37" s="4">
        <v>100.9103391384757</v>
      </c>
      <c r="BV37" s="6"/>
      <c r="BW37" s="4">
        <v>0.010332607372059217</v>
      </c>
      <c r="BX37" s="5">
        <f>IF(BP37="direct",IFERROR(CD37/BU37,0),0)</f>
        <v>0</v>
      </c>
      <c r="BY37" s="5">
        <f>IF(BP37="direct",BW37-BX37,IF(BP37="cash",CI37,BW37))</f>
        <v>0.010332607372059217</v>
      </c>
      <c r="BZ37" s="6">
        <v>1</v>
      </c>
      <c r="CA37" s="4">
        <v>1.0424955449685303</v>
      </c>
      <c r="CB37" s="4">
        <v>1.0424955449685303</v>
      </c>
      <c r="CC37" s="5">
        <f>IF(BP37="direct",BW37*(BU37-BT37),CF37)</f>
        <v>0.00017136913067965445</v>
      </c>
      <c r="CD37" s="5">
        <f>IF(BP37="direct",CB37*BV37*C37/365,0)</f>
        <v>0</v>
      </c>
      <c r="CE37" s="5">
        <f>CC37-CD37</f>
        <v>0.0001713691306797584</v>
      </c>
      <c r="CF37" s="4">
        <v>0.0001713691306797584</v>
      </c>
      <c r="CG37" s="5">
        <f>CF37-CE37</f>
        <v>1.0394788328704774e-16</v>
      </c>
      <c r="CH37" s="4">
        <v>-2.588532686809142e-16</v>
      </c>
      <c r="CI37" s="4">
        <v>1.0426669140992098</v>
      </c>
      <c r="CJ37" s="4">
        <v>1.833</v>
      </c>
      <c r="CK37" s="4">
        <v>1.803</v>
      </c>
      <c r="CL37" s="6"/>
      <c r="CM37" s="6"/>
      <c r="CN37" s="6"/>
      <c r="CO37" s="9">
        <v>31</v>
      </c>
      <c r="CP37" s="7">
        <f>IFERROR(CE37/F37,0)</f>
        <v>0.00016438356164383562</v>
      </c>
      <c r="CQ37" t="inlineStr">
        <is>
          <t xml:space="preserve">SI69H</t>
        </is>
      </c>
      <c r="CR37" t="inlineStr">
        <is>
          <t xml:space="preserve">future</t>
        </is>
      </c>
      <c r="CS37" t="inlineStr">
        <is>
          <t xml:space="preserve">lease</t>
        </is>
      </c>
      <c r="CT37" t="inlineStr">
        <is>
          <t xml:space="preserve">long</t>
        </is>
      </c>
      <c r="CU37" t="inlineStr">
        <is>
          <t xml:space="preserve">regular</t>
        </is>
      </c>
      <c r="CV37" s="4">
        <v>1.778</v>
      </c>
      <c r="CW37" s="4">
        <v>1.77</v>
      </c>
      <c r="CX37" s="6"/>
      <c r="CY37" s="4">
        <v>0.5863304527382059</v>
      </c>
      <c r="CZ37" s="5">
        <f>IF(CR37="direct",IFERROR(DF37/CW37,0),0)</f>
        <v>0</v>
      </c>
      <c r="DA37" s="5">
        <f>IF(CR37="direct",CY37-CZ37,IF(CR37="cash",DK37,CY37))</f>
        <v>0.5863304527382059</v>
      </c>
      <c r="DB37" s="6">
        <v>1</v>
      </c>
      <c r="DC37" s="4">
        <v>1.0424955449685303</v>
      </c>
      <c r="DD37" s="4">
        <v>0</v>
      </c>
      <c r="DE37" s="5">
        <f>IF(CR37="direct",CY37*(CW37-CV37),DH37)</f>
        <v>-0.004690643621905623</v>
      </c>
      <c r="DF37" s="5">
        <f>IF(CR37="direct",DD37*CX37*C37/365,0)</f>
        <v>0</v>
      </c>
      <c r="DG37" s="5">
        <f>DE37-DF37</f>
        <v>-0.004690643621905623</v>
      </c>
      <c r="DH37" s="4">
        <v>-0.004690643621905623</v>
      </c>
      <c r="DI37" s="5">
        <f>DH37-DG37</f>
        <v>0</v>
      </c>
      <c r="DJ37" s="4">
        <v>0.004690643621905623</v>
      </c>
      <c r="DK37" s="4">
        <v>0</v>
      </c>
      <c r="DL37" s="4">
        <v>1.833</v>
      </c>
      <c r="DM37" s="4">
        <v>1.803</v>
      </c>
      <c r="DN37" s="6">
        <v>-0.03000545553737044</v>
      </c>
      <c r="DO37" s="6">
        <v>0.06</v>
      </c>
      <c r="DP37" s="6">
        <v>0.41329004100452293</v>
      </c>
      <c r="DQ37" s="9">
        <v>31</v>
      </c>
      <c r="DR37" s="7">
        <f>IFERROR(DG37/F37,0)</f>
        <v>-0.004499437570303688</v>
      </c>
      <c r="DS37" t="inlineStr">
        <is>
          <t xml:space="preserve">Lease cash / margin / financing</t>
        </is>
      </c>
      <c r="DT37" t="inlineStr">
        <is>
          <t xml:space="preserve">cash</t>
        </is>
      </c>
      <c r="DU37" t="inlineStr">
        <is>
          <t xml:space="preserve">lease</t>
        </is>
      </c>
      <c r="DV37" t="inlineStr">
        <is>
          <t xml:space="preserve">cash</t>
        </is>
      </c>
      <c r="DW37"/>
      <c r="DX37" s="4">
        <v>1</v>
      </c>
      <c r="DY37" s="4">
        <v>1</v>
      </c>
      <c r="DZ37" s="6"/>
      <c r="EA37" s="4">
        <v>-2.220446049250313e-16</v>
      </c>
      <c r="EB37" s="5">
        <f>IF(DT37="direct",IFERROR(EH37/DY37,0),0)</f>
        <v>0</v>
      </c>
      <c r="EC37" s="5">
        <f>IF(DT37="direct",EA37-EB37,IF(DT37="cash",EM37,EA37))</f>
        <v>-0.0046906436219055865</v>
      </c>
      <c r="ED37" s="6"/>
      <c r="EE37" s="4">
        <v>-2.220446049250313e-16</v>
      </c>
      <c r="EF37" s="4">
        <v>-2.220446049250313e-16</v>
      </c>
      <c r="EG37" s="5">
        <f>IF(DT37="direct",EA37*(DY37-DX37),EJ37)</f>
        <v>0</v>
      </c>
      <c r="EH37" s="5">
        <f>IF(DT37="direct",EF37*DZ37*C37/365,0)</f>
        <v>0</v>
      </c>
      <c r="EI37" s="5">
        <f>EG37-EH37</f>
        <v>0</v>
      </c>
      <c r="EJ37" s="4">
        <v>0</v>
      </c>
      <c r="EK37" s="5">
        <f>EJ37-EI37</f>
        <v>0</v>
      </c>
      <c r="EL37" s="4">
        <v>-0.004690643621905364</v>
      </c>
      <c r="EM37" s="4">
        <v>-0.0046906436219055865</v>
      </c>
      <c r="EN37" s="4">
        <v>1.833</v>
      </c>
      <c r="EO37" s="4">
        <v>1.803</v>
      </c>
      <c r="EP37" s="6"/>
      <c r="EQ37" s="6"/>
      <c r="ER37" s="6"/>
      <c r="ES37" s="9"/>
      <c r="ET37" s="7">
        <f>IFERROR(EI37/F37,0)</f>
        <v>0</v>
      </c>
      <c r="EU37" t="inlineStr">
        <is>
          <t xml:space="preserve">Keep cash / margin / financing</t>
        </is>
      </c>
      <c r="EV37" t="inlineStr">
        <is>
          <t xml:space="preserve">cash</t>
        </is>
      </c>
      <c r="EW37" t="inlineStr">
        <is>
          <t xml:space="preserve">keep</t>
        </is>
      </c>
      <c r="EX37" t="inlineStr">
        <is>
          <t xml:space="preserve">cash</t>
        </is>
      </c>
      <c r="EY37"/>
      <c r="EZ37" s="4">
        <v>1</v>
      </c>
      <c r="FA37" s="4">
        <v>1</v>
      </c>
      <c r="FB37" s="6"/>
      <c r="FC37" s="4">
        <v>0</v>
      </c>
      <c r="FD37" s="5">
        <f>IF(EV37="direct",IFERROR(FJ37/FA37,0),0)</f>
        <v>0</v>
      </c>
      <c r="FE37" s="5">
        <f>IF(EV37="direct",FC37-FD37,IF(EV37="cash",FO37,FC37))</f>
        <v>0</v>
      </c>
      <c r="FF37" s="6"/>
      <c r="FG37" s="4">
        <v>0</v>
      </c>
      <c r="FH37" s="4">
        <v>0</v>
      </c>
      <c r="FI37" s="5">
        <f>IF(EV37="direct",FC37*(FA37-EZ37),FL37)</f>
        <v>0</v>
      </c>
      <c r="FJ37" s="5">
        <f>IF(EV37="direct",FH37*FB37*C37/365,0)</f>
        <v>0</v>
      </c>
      <c r="FK37" s="5">
        <f>FI37-FJ37</f>
        <v>0</v>
      </c>
      <c r="FL37" s="4">
        <v>0</v>
      </c>
      <c r="FM37" s="5">
        <f>FL37-FK37</f>
        <v>0</v>
      </c>
      <c r="FN37" s="4">
        <v>0</v>
      </c>
      <c r="FO37" s="4">
        <v>0</v>
      </c>
      <c r="FP37" s="4">
        <v>1.833</v>
      </c>
      <c r="FQ37" s="4">
        <v>1.803</v>
      </c>
      <c r="FR37" s="6"/>
      <c r="FS37" s="6"/>
      <c r="FT37" s="6"/>
      <c r="FU37" s="9"/>
      <c r="FV37" s="7">
        <f>IFERROR(FK37/F37,0)</f>
        <v>0</v>
      </c>
      <c r="FW37"/>
      <c r="FX37"/>
      <c r="FY37"/>
      <c r="FZ37"/>
      <c r="GA37"/>
      <c r="GB37" s="4"/>
      <c r="GC37" s="4"/>
      <c r="GD37" s="6"/>
      <c r="GE37" s="4"/>
      <c r="GF37" s="5">
        <v>0</v>
      </c>
      <c r="GG37" s="5"/>
      <c r="GH37" s="6"/>
      <c r="GI37" s="4"/>
      <c r="GJ37" s="4"/>
      <c r="GK37" s="5">
        <v>0</v>
      </c>
      <c r="GL37" s="5">
        <v>0</v>
      </c>
      <c r="GM37" s="5"/>
      <c r="GN37" s="4"/>
      <c r="GO37" s="5">
        <v>0</v>
      </c>
      <c r="GP37" s="4"/>
      <c r="GQ37" s="4"/>
      <c r="GR37" s="4"/>
      <c r="GS37" s="4"/>
      <c r="GT37" s="6"/>
      <c r="GU37" s="6"/>
      <c r="GV37" s="6"/>
      <c r="GW37" s="9"/>
      <c r="GX37"/>
      <c r="GY37"/>
      <c r="GZ37"/>
      <c r="HA37"/>
      <c r="HB37"/>
      <c r="HC37"/>
      <c r="HD37" s="4"/>
      <c r="HE37" s="4"/>
      <c r="HF37" s="6"/>
      <c r="HG37" s="4"/>
      <c r="HH37" s="5">
        <v>0</v>
      </c>
      <c r="HI37" s="5"/>
      <c r="HJ37" s="6"/>
      <c r="HK37" s="4"/>
      <c r="HL37" s="4"/>
      <c r="HM37" s="5">
        <v>0</v>
      </c>
      <c r="HN37" s="5">
        <v>0</v>
      </c>
      <c r="HO37" s="5"/>
      <c r="HP37" s="4"/>
      <c r="HQ37" s="5">
        <v>0</v>
      </c>
      <c r="HR37" s="4"/>
      <c r="HS37" s="4"/>
      <c r="HT37" s="4"/>
      <c r="HU37" s="4"/>
      <c r="HV37" s="6"/>
      <c r="HW37" s="6"/>
      <c r="HX37" s="6"/>
      <c r="HY37" s="9"/>
      <c r="HZ37"/>
      <c r="IA37"/>
      <c r="IB37"/>
      <c r="IC37"/>
      <c r="ID37"/>
      <c r="IE37"/>
      <c r="IF37" s="4"/>
      <c r="IG37" s="4"/>
      <c r="IH37" s="6"/>
      <c r="II37" s="4"/>
      <c r="IJ37" s="5">
        <v>0</v>
      </c>
      <c r="IK37" s="5"/>
      <c r="IL37" s="6"/>
      <c r="IM37" s="4"/>
      <c r="IN37" s="4"/>
      <c r="IO37" s="5">
        <v>0</v>
      </c>
      <c r="IP37" s="5">
        <v>0</v>
      </c>
      <c r="IQ37" s="5"/>
      <c r="IR37" s="4"/>
      <c r="IS37" s="5">
        <v>0</v>
      </c>
      <c r="IT37" s="4"/>
      <c r="IU37" s="4"/>
      <c r="IV37" s="4"/>
      <c r="IW37" s="4"/>
      <c r="IX37" s="6"/>
      <c r="IY37" s="6"/>
      <c r="IZ37" s="6"/>
      <c r="JA37" s="9"/>
      <c r="JB37"/>
      <c r="JC37"/>
      <c r="JD37"/>
      <c r="JE37"/>
      <c r="JF37"/>
      <c r="JG37"/>
      <c r="JH37" s="4"/>
      <c r="JI37" s="4"/>
      <c r="JJ37" s="6"/>
      <c r="JK37" s="4"/>
      <c r="JL37" s="5">
        <v>0</v>
      </c>
      <c r="JM37" s="5"/>
      <c r="JN37" s="6"/>
      <c r="JO37" s="4"/>
      <c r="JP37" s="4"/>
      <c r="JQ37" s="5">
        <v>0</v>
      </c>
      <c r="JR37" s="5">
        <v>0</v>
      </c>
      <c r="JS37" s="5"/>
      <c r="JT37" s="4"/>
      <c r="JU37" s="5">
        <v>0</v>
      </c>
      <c r="JV37" s="4"/>
      <c r="JW37" s="4"/>
      <c r="JX37" s="4"/>
      <c r="JY37" s="4"/>
      <c r="JZ37" s="6"/>
      <c r="KA37" s="6"/>
      <c r="KB37" s="6"/>
      <c r="KC37" s="9"/>
      <c r="KD37"/>
      <c r="KE37"/>
      <c r="KF37"/>
      <c r="KG37"/>
      <c r="KH37"/>
      <c r="KI37"/>
      <c r="KJ37" s="4"/>
      <c r="KK37" s="4"/>
      <c r="KL37" s="6"/>
      <c r="KM37" s="4"/>
      <c r="KN37" s="5">
        <v>0</v>
      </c>
      <c r="KO37" s="5"/>
      <c r="KP37" s="6"/>
      <c r="KQ37" s="4"/>
      <c r="KR37" s="4"/>
      <c r="KS37" s="5">
        <v>0</v>
      </c>
      <c r="KT37" s="5">
        <v>0</v>
      </c>
      <c r="KU37" s="5"/>
      <c r="KV37" s="4"/>
      <c r="KW37" s="5">
        <v>0</v>
      </c>
      <c r="KX37" s="4"/>
      <c r="KY37" s="4"/>
      <c r="KZ37" s="4"/>
      <c r="LA37" s="4"/>
      <c r="LB37" s="6"/>
      <c r="LC37" s="6"/>
      <c r="LD37" s="6"/>
      <c r="LE37" s="9"/>
      <c r="LF37"/>
      <c r="LG37"/>
      <c r="LH37"/>
      <c r="LI37"/>
      <c r="LJ37"/>
      <c r="LK37"/>
      <c r="LL37" s="4"/>
      <c r="LM37" s="4"/>
      <c r="LN37" s="6"/>
      <c r="LO37" s="4"/>
      <c r="LP37" s="5">
        <v>0</v>
      </c>
      <c r="LQ37" s="5"/>
      <c r="LR37" s="6"/>
      <c r="LS37" s="4"/>
      <c r="LT37" s="4"/>
      <c r="LU37" s="5">
        <v>0</v>
      </c>
      <c r="LV37" s="5">
        <v>0</v>
      </c>
      <c r="LW37" s="5"/>
      <c r="LX37" s="4"/>
      <c r="LY37" s="5">
        <v>0</v>
      </c>
      <c r="LZ37" s="4"/>
      <c r="MA37" s="4"/>
      <c r="MB37" s="4"/>
      <c r="MC37" s="4"/>
      <c r="MD37" s="6"/>
      <c r="ME37" s="6"/>
      <c r="MF37" s="6"/>
      <c r="MG37" s="9"/>
      <c r="MH37"/>
    </row>
    <row r="38">
      <c r="A38" s="8">
        <v>25259</v>
      </c>
      <c r="B38" s="8">
        <v>25260</v>
      </c>
      <c r="C38" s="9">
        <f>B38-A38</f>
        <v>1</v>
      </c>
      <c r="D38" s="8">
        <v>25259</v>
      </c>
      <c r="E38" t="inlineStr">
        <is>
          <t xml:space="preserve">positive</t>
        </is>
      </c>
      <c r="F38" s="4">
        <v>1.0379762704773043</v>
      </c>
      <c r="G38" s="6">
        <v>0.019940860614503394</v>
      </c>
      <c r="H38" s="7">
        <f>SUM(CP38,DR38,ET38,FV38,GX38,HZ38,JB38,KD38,LF38,MH38)</f>
        <v>0.019940860614503394</v>
      </c>
      <c r="I38" s="7">
        <f>G38-H38</f>
        <v>0</v>
      </c>
      <c r="J38" s="5">
        <f>F38*(1+H38)</f>
        <v>1.0586744106080543</v>
      </c>
      <c r="K38" s="4">
        <v>1.0586744106080543</v>
      </c>
      <c r="L38" s="5">
        <f>K38-J38</f>
        <v>0</v>
      </c>
      <c r="M38" s="4">
        <v>1.803</v>
      </c>
      <c r="N38" s="4">
        <v>1.799</v>
      </c>
      <c r="O38" s="5">
        <f>M38/$M$3</f>
        <v>0.9208375893769152</v>
      </c>
      <c r="P38" s="5">
        <f>N38/$M$3</f>
        <v>0.9187946884576098</v>
      </c>
      <c r="Q38" s="7">
        <f>IFERROR(N38/M38-1,0)</f>
        <v>-0.002218524681087075</v>
      </c>
      <c r="R38" s="5">
        <f>SUM(IF(BQ38="lease",CB38,0),IF(CS38="lease",DD38,0),IF(DU38="lease",EF38,0),IF(EW38="lease",FH38,0),IF(FY38="lease",GJ38,0),IF(HA38="lease",HL38,0),IF(IC38="lease",IN38,0),IF(JE38="lease",JP38,0),IF(KG38="lease",KR38,0),IF(LI38="lease",LT38,0))</f>
        <v>1.0379762704773041</v>
      </c>
      <c r="S38" s="5">
        <f>SUM(IF(BQ38="lease",CI38,0),IF(CS38="lease",DK38,0),IF(DU38="lease",EM38,0),IF(EW38="lease",FO38,0),IF(FY38="lease",GQ38,0),IF(HA38="lease",HS38,0),IF(IC38="lease",IU38,0),IF(JE38="lease",JW38,0),IF(KG38="lease",KY38,0),IF(LI38="lease",MA38,0))</f>
        <v>1.0586744106080541</v>
      </c>
      <c r="T38" s="5">
        <f>SUM(IF(BQ38="keep",CB38,0),IF(CS38="keep",DD38,0),IF(DU38="keep",EF38,0),IF(EW38="keep",FH38,0),IF(FY38="keep",GJ38,0),IF(HA38="keep",HL38,0),IF(IC38="keep",IN38,0),IF(JE38="keep",JP38,0),IF(KG38="keep",KR38,0),IF(LI38="keep",LT38,0))</f>
        <v>0</v>
      </c>
      <c r="U38" s="5">
        <f>SUM(IF(BQ38="keep",CI38,0),IF(CS38="keep",DK38,0),IF(DU38="keep",EM38,0),IF(EW38="keep",FO38,0),IF(FY38="keep",GQ38,0),IF(HA38="keep",HS38,0),IF(IC38="keep",IU38,0),IF(JE38="keep",JW38,0),IF(KG38="keep",KY38,0),IF(LI38="keep",MA38,0))</f>
        <v>0</v>
      </c>
      <c r="V38" s="5">
        <f>R38/O38</f>
        <v>1.127208839486723</v>
      </c>
      <c r="W38" s="5">
        <f>S38/P38</f>
        <v>1.152242632557293</v>
      </c>
      <c r="X38" s="5">
        <f>T38/O38</f>
        <v>0</v>
      </c>
      <c r="Y38" s="5">
        <f>U38/P38</f>
        <v>0</v>
      </c>
      <c r="Z38" s="5">
        <f>V38+X38</f>
        <v>1.127208839486723</v>
      </c>
      <c r="AA38" s="7">
        <f>IFERROR(W38/V38-1,0)</f>
        <v>0.022208655746497774</v>
      </c>
      <c r="AB38" s="7">
        <f>IFERROR((W38-V38)/Z38,0)</f>
        <v>0.022208655746497833</v>
      </c>
      <c r="AC38" s="7">
        <f>IFERROR(Y38/X38-1,0)</f>
        <v>0</v>
      </c>
      <c r="AD38" s="7">
        <f>IFERROR((Y38-X38)/Z38,0)</f>
        <v>0</v>
      </c>
      <c r="AE38" s="7">
        <f>AB38+AD38</f>
        <v>0.022208655746497833</v>
      </c>
      <c r="AF38" s="7">
        <f>(1+Q38)*(1+AE38)-1</f>
        <v>0.019940860614503286</v>
      </c>
      <c r="AG38" s="7">
        <f>G38-AF38</f>
        <v>1.0755285551056204e-16</v>
      </c>
      <c r="AH38" s="5">
        <f>SUM(IF(BQ38="lease",CE38,0),IF(CS38="lease",DG38,0),IF(DU38="lease",EI38,0),IF(EW38="lease",FK38,0),IF(FY38="lease",GM38,0),IF(HA38="lease",HO38,0),IF(IC38="lease",IQ38,0),IF(JE38="lease",JS38,0),IF(KG38="lease",KU38,0),IF(LI38="lease",LW38,0))</f>
        <v>0.02069814013075</v>
      </c>
      <c r="AI38" s="5">
        <f>SUM(IF(BQ38="keep",CE38,0),IF(CS38="keep",DG38,0),IF(DU38="keep",EI38,0),IF(EW38="keep",FK38,0),IF(FY38="keep",GM38,0),IF(HA38="keep",HO38,0),IF(IC38="keep",IQ38,0),IF(JE38="keep",JS38,0),IF(KG38="keep",KU38,0),IF(LI38="keep",LW38,0))</f>
        <v>0</v>
      </c>
      <c r="AJ38" s="5">
        <f>SUM(IF(BQ38="lease",CH38,0),IF(CS38="lease",DJ38,0),IF(DU38="lease",EL38,0),IF(EW38="lease",FN38,0),IF(FY38="lease",GP38,0),IF(HA38="lease",HR38,0),IF(IC38="lease",IT38,0),IF(JE38="lease",JV38,0),IF(KG38="lease",KX38,0),IF(LI38="lease",LZ38,0))</f>
        <v>0</v>
      </c>
      <c r="AK38" s="5">
        <f>SUM(IF(BQ38="keep",CH38,0),IF(CS38="keep",DJ38,0),IF(DU38="keep",EL38,0),IF(EW38="keep",FN38,0),IF(FY38="keep",GP38,0),IF(HA38="keep",HR38,0),IF(IC38="keep",IT38,0),IF(JE38="keep",JV38,0),IF(KG38="keep",KX38,0),IF(LI38="keep",LZ38,0))</f>
        <v>0</v>
      </c>
      <c r="AL38" s="5">
        <f>R38-S37</f>
        <v>0</v>
      </c>
      <c r="AM38" s="5">
        <f>T38-U37</f>
        <v>0</v>
      </c>
      <c r="AN38" s="5">
        <f>AN37</f>
        <v>1</v>
      </c>
      <c r="AO38" s="5">
        <f>AO37+AH38</f>
        <v>0.058674410608054756</v>
      </c>
      <c r="AP38" s="5">
        <f>AP37+AL38</f>
        <v>-4.440892098500626e-16</v>
      </c>
      <c r="AQ38" s="5">
        <f>AN38+AO38+AP38</f>
        <v>1.0586744106080543</v>
      </c>
      <c r="AR38" s="5">
        <f>S38-AQ38</f>
        <v>-2.220446049250313e-16</v>
      </c>
      <c r="AS38" s="5">
        <f>AS37</f>
        <v>0</v>
      </c>
      <c r="AT38" s="5">
        <f>AT37+AI38</f>
        <v>0</v>
      </c>
      <c r="AU38" s="5">
        <f>AU37+AM38</f>
        <v>0</v>
      </c>
      <c r="AV38" s="5">
        <f>AS38+AT38+AU38</f>
        <v>0</v>
      </c>
      <c r="AW38" s="5">
        <f>U38-AV38</f>
        <v>0</v>
      </c>
      <c r="AX38" s="4">
        <v>1.0379762704773041</v>
      </c>
      <c r="AY38" s="4">
        <v>1.0586744106080541</v>
      </c>
      <c r="AZ38" s="5">
        <f>S38-AY38</f>
        <v>0</v>
      </c>
      <c r="BA38" s="4">
        <v>0</v>
      </c>
      <c r="BB38" s="4">
        <v>0</v>
      </c>
      <c r="BC38" s="5">
        <f>U38-BB38</f>
        <v>0</v>
      </c>
      <c r="BD38" s="7">
        <f>SUM(IF(BP38="direct",CC38/F38,0),IF(CR38="direct",DE38/F38,0),IF(DT38="direct",EG38/F38,0),IF(EV38="direct",FI38/F38,0),IF(FX38="direct",GK38/F38,0),IF(GZ38="direct",HM38/F38,0),IF(IB38="direct",IO38/F38,0),IF(JD38="direct",JQ38/F38,0),IF(KF38="direct",KS38/F38,0),IF(LH38="direct",LU38/F38,0))</f>
        <v>0</v>
      </c>
      <c r="BE38" s="7">
        <f>-SUM(IF(BP38="direct",CD38/F38,0),IF(CR38="direct",DF38/F38,0),IF(DT38="direct",EH38/F38,0),IF(EV38="direct",FJ38/F38,0),IF(FX38="direct",GL38/F38,0),IF(GZ38="direct",HN38/F38,0),IF(IB38="direct",IP38/F38,0),IF(JD38="direct",JR38/F38,0),IF(KF38="direct",KT38/F38,0),IF(LH38="direct",LV38/F38,0))</f>
        <v>0</v>
      </c>
      <c r="BF38" s="7">
        <f>BD38+BE38</f>
        <v>0</v>
      </c>
      <c r="BG38" s="7">
        <f>BF38-SUM(IF(BP38="direct",CP38,0),IF(CR38="direct",DR38,0),IF(DT38="direct",ET38,0),IF(EV38="direct",FV38,0),IF(FX38="direct",GX38,0),IF(GZ38="direct",HZ38,0),IF(IB38="direct",JB38,0),IF(JD38="direct",KD38,0),IF(KF38="direct",LF38,0),IF(LH38="direct",MH38,0))</f>
        <v>0</v>
      </c>
      <c r="BH38" s="7">
        <f>SUM(IF(BP38="treasury",CP38,0),IF(CR38="treasury",DR38,0),IF(DT38="treasury",ET38,0),IF(EV38="treasury",FV38,0),IF(FX38="treasury",GX38,0),IF(GZ38="treasury",HZ38,0),IF(IB38="treasury",JB38,0),IF(JD38="treasury",KD38,0),IF(KF38="treasury",LF38,0),IF(LH38="treasury",MH38,0))</f>
        <v>0.00016684931506849313</v>
      </c>
      <c r="BI38" s="7">
        <f>SUM(IF(BP38="future",CP38,0),IF(CR38="future",DR38,0),IF(DT38="future",ET38,0),IF(EV38="future",FV38,0),IF(FX38="future",GX38,0),IF(GZ38="future",HZ38,0),IF(IB38="future",JB38,0),IF(JD38="future",KD38,0),IF(KF38="future",LF38,0),IF(LH38="future",MH38,0))</f>
        <v>0.0197740112994349</v>
      </c>
      <c r="BJ38" s="7">
        <f>SUM(IF(BP38="cash",CP38,0),IF(CR38="cash",DR38,0),IF(DT38="cash",ET38,0),IF(EV38="cash",FV38,0),IF(FX38="cash",GX38,0),IF(GZ38="cash",HZ38,0),IF(IB38="cash",JB38,0),IF(JD38="cash",KD38,0),IF(KF38="cash",LF38,0),IF(LH38="cash",MH38,0))</f>
        <v>0</v>
      </c>
      <c r="BK38" s="7">
        <f>SUM(BF38,BH38,BI38,BJ38)</f>
        <v>0.019940860614503394</v>
      </c>
      <c r="BL38" s="7">
        <f>G38-BK38</f>
        <v>0</v>
      </c>
      <c r="BM38" s="5">
        <f>MAX(ABS(CG38),ABS(DI38),ABS(EK38),ABS(FM38),ABS(GO38),ABS(HQ38),ABS(IS38),ABS(JU38),ABS(KW38),ABS(LY38))</f>
        <v>8.502855537717569e-17</v>
      </c>
      <c r="BN38" s="9">
        <f>COUNTA(BO38,CQ38,DS38,EU38,FW38,GY38,IA38,JC38,KE38,LG38)</f>
        <v>4</v>
      </c>
      <c r="BO38" t="inlineStr">
        <is>
          <t xml:space="preserve">Treasury collateral</t>
        </is>
      </c>
      <c r="BP38" t="inlineStr">
        <is>
          <t xml:space="preserve">treasury</t>
        </is>
      </c>
      <c r="BQ38" t="inlineStr">
        <is>
          <t xml:space="preserve">lease</t>
        </is>
      </c>
      <c r="BR38" t="inlineStr">
        <is>
          <t xml:space="preserve">long</t>
        </is>
      </c>
      <c r="BS38"/>
      <c r="BT38" s="4">
        <v>100.9103391384757</v>
      </c>
      <c r="BU38" s="4">
        <v>100.9271759594443</v>
      </c>
      <c r="BV38" s="6"/>
      <c r="BW38" s="4">
        <v>0.010286124091337421</v>
      </c>
      <c r="BX38" s="5">
        <f>IF(BP38="direct",IFERROR(CD38/BU38,0),0)</f>
        <v>0</v>
      </c>
      <c r="BY38" s="5">
        <f>IF(BP38="direct",BW38-BX38,IF(BP38="cash",CI38,BW38))</f>
        <v>0.010286124091337421</v>
      </c>
      <c r="BZ38" s="6">
        <v>1</v>
      </c>
      <c r="CA38" s="4">
        <v>1.0379762704773043</v>
      </c>
      <c r="CB38" s="4">
        <v>1.0379762704773043</v>
      </c>
      <c r="CC38" s="5">
        <f>IF(BP38="direct",BW38*(BU38-BT38),CF38)</f>
        <v>0.00017318562978657222</v>
      </c>
      <c r="CD38" s="5">
        <f>IF(BP38="direct",CB38*BV38*C38/365,0)</f>
        <v>0</v>
      </c>
      <c r="CE38" s="5">
        <f>CC38-CD38</f>
        <v>0.0001731856297864872</v>
      </c>
      <c r="CF38" s="4">
        <v>0.0001731856297864872</v>
      </c>
      <c r="CG38" s="5">
        <f>CF38-CE38</f>
        <v>-8.502855537717569e-17</v>
      </c>
      <c r="CH38" s="4">
        <v>1.4468677991819057e-16</v>
      </c>
      <c r="CI38" s="4">
        <v>1.038149456107091</v>
      </c>
      <c r="CJ38" s="4">
        <v>1.803</v>
      </c>
      <c r="CK38" s="4">
        <v>1.799</v>
      </c>
      <c r="CL38" s="6"/>
      <c r="CM38" s="6"/>
      <c r="CN38" s="6"/>
      <c r="CO38" s="9">
        <v>30</v>
      </c>
      <c r="CP38" s="7">
        <f>IFERROR(CE38/F38,0)</f>
        <v>0.00016684931506849313</v>
      </c>
      <c r="CQ38" t="inlineStr">
        <is>
          <t xml:space="preserve">SI69H</t>
        </is>
      </c>
      <c r="CR38" t="inlineStr">
        <is>
          <t xml:space="preserve">future</t>
        </is>
      </c>
      <c r="CS38" t="inlineStr">
        <is>
          <t xml:space="preserve">lease</t>
        </is>
      </c>
      <c r="CT38" t="inlineStr">
        <is>
          <t xml:space="preserve">long</t>
        </is>
      </c>
      <c r="CU38" t="inlineStr">
        <is>
          <t xml:space="preserve">regular</t>
        </is>
      </c>
      <c r="CV38" s="4">
        <v>1.77</v>
      </c>
      <c r="CW38" s="4">
        <v>1.805</v>
      </c>
      <c r="CX38" s="6"/>
      <c r="CY38" s="4">
        <v>0.5864272714561042</v>
      </c>
      <c r="CZ38" s="5">
        <f>IF(CR38="direct",IFERROR(DF38/CW38,0),0)</f>
        <v>0</v>
      </c>
      <c r="DA38" s="5">
        <f>IF(CR38="direct",CY38-CZ38,IF(CR38="cash",DK38,CY38))</f>
        <v>0.5864272714561042</v>
      </c>
      <c r="DB38" s="6">
        <v>1</v>
      </c>
      <c r="DC38" s="4">
        <v>1.0379762704773043</v>
      </c>
      <c r="DD38" s="4">
        <v>0</v>
      </c>
      <c r="DE38" s="5">
        <f>IF(CR38="direct",CY38*(CW38-CV38),DH38)</f>
        <v>0.020524954500963515</v>
      </c>
      <c r="DF38" s="5">
        <f>IF(CR38="direct",DD38*CX38*C38/365,0)</f>
        <v>0</v>
      </c>
      <c r="DG38" s="5">
        <f>DE38-DF38</f>
        <v>0.020524954500963515</v>
      </c>
      <c r="DH38" s="4">
        <v>0.020524954500963515</v>
      </c>
      <c r="DI38" s="5">
        <f>DH38-DG38</f>
        <v>0</v>
      </c>
      <c r="DJ38" s="4">
        <v>-0.020524954500963515</v>
      </c>
      <c r="DK38" s="4">
        <v>0</v>
      </c>
      <c r="DL38" s="4">
        <v>1.803</v>
      </c>
      <c r="DM38" s="4">
        <v>1.799</v>
      </c>
      <c r="DN38" s="6">
        <v>-0.01830282861896837</v>
      </c>
      <c r="DO38" s="6">
        <v>0.060899999999999996</v>
      </c>
      <c r="DP38" s="6">
        <v>0.2835844148641152</v>
      </c>
      <c r="DQ38" s="9">
        <v>30</v>
      </c>
      <c r="DR38" s="7">
        <f>IFERROR(DG38/F38,0)</f>
        <v>0.0197740112994349</v>
      </c>
      <c r="DS38" t="inlineStr">
        <is>
          <t xml:space="preserve">Lease cash / margin / financing</t>
        </is>
      </c>
      <c r="DT38" t="inlineStr">
        <is>
          <t xml:space="preserve">cash</t>
        </is>
      </c>
      <c r="DU38" t="inlineStr">
        <is>
          <t xml:space="preserve">lease</t>
        </is>
      </c>
      <c r="DV38" t="inlineStr">
        <is>
          <t xml:space="preserve">cash</t>
        </is>
      </c>
      <c r="DW38"/>
      <c r="DX38" s="4">
        <v>1</v>
      </c>
      <c r="DY38" s="4">
        <v>1</v>
      </c>
      <c r="DZ38" s="6"/>
      <c r="EA38" s="4">
        <v>-2.220446049250313e-16</v>
      </c>
      <c r="EB38" s="5">
        <f>IF(DT38="direct",IFERROR(EH38/DY38,0),0)</f>
        <v>0</v>
      </c>
      <c r="EC38" s="5">
        <f>IF(DT38="direct",EA38-EB38,IF(DT38="cash",EM38,EA38))</f>
        <v>0.020524954500963147</v>
      </c>
      <c r="ED38" s="6"/>
      <c r="EE38" s="4">
        <v>-2.220446049250313e-16</v>
      </c>
      <c r="EF38" s="4">
        <v>-2.220446049250313e-16</v>
      </c>
      <c r="EG38" s="5">
        <f>IF(DT38="direct",EA38*(DY38-DX38),EJ38)</f>
        <v>0</v>
      </c>
      <c r="EH38" s="5">
        <f>IF(DT38="direct",EF38*DZ38*C38/365,0)</f>
        <v>0</v>
      </c>
      <c r="EI38" s="5">
        <f>EG38-EH38</f>
        <v>0</v>
      </c>
      <c r="EJ38" s="4">
        <v>0</v>
      </c>
      <c r="EK38" s="5">
        <f>EJ38-EI38</f>
        <v>0</v>
      </c>
      <c r="EL38" s="4">
        <v>0.02052495450096337</v>
      </c>
      <c r="EM38" s="4">
        <v>0.020524954500963147</v>
      </c>
      <c r="EN38" s="4">
        <v>1.803</v>
      </c>
      <c r="EO38" s="4">
        <v>1.799</v>
      </c>
      <c r="EP38" s="6"/>
      <c r="EQ38" s="6"/>
      <c r="ER38" s="6"/>
      <c r="ES38" s="9"/>
      <c r="ET38" s="7">
        <f>IFERROR(EI38/F38,0)</f>
        <v>0</v>
      </c>
      <c r="EU38" t="inlineStr">
        <is>
          <t xml:space="preserve">Keep cash / margin / financing</t>
        </is>
      </c>
      <c r="EV38" t="inlineStr">
        <is>
          <t xml:space="preserve">cash</t>
        </is>
      </c>
      <c r="EW38" t="inlineStr">
        <is>
          <t xml:space="preserve">keep</t>
        </is>
      </c>
      <c r="EX38" t="inlineStr">
        <is>
          <t xml:space="preserve">cash</t>
        </is>
      </c>
      <c r="EY38"/>
      <c r="EZ38" s="4">
        <v>1</v>
      </c>
      <c r="FA38" s="4">
        <v>1</v>
      </c>
      <c r="FB38" s="6"/>
      <c r="FC38" s="4">
        <v>0</v>
      </c>
      <c r="FD38" s="5">
        <f>IF(EV38="direct",IFERROR(FJ38/FA38,0),0)</f>
        <v>0</v>
      </c>
      <c r="FE38" s="5">
        <f>IF(EV38="direct",FC38-FD38,IF(EV38="cash",FO38,FC38))</f>
        <v>0</v>
      </c>
      <c r="FF38" s="6"/>
      <c r="FG38" s="4">
        <v>0</v>
      </c>
      <c r="FH38" s="4">
        <v>0</v>
      </c>
      <c r="FI38" s="5">
        <f>IF(EV38="direct",FC38*(FA38-EZ38),FL38)</f>
        <v>0</v>
      </c>
      <c r="FJ38" s="5">
        <f>IF(EV38="direct",FH38*FB38*C38/365,0)</f>
        <v>0</v>
      </c>
      <c r="FK38" s="5">
        <f>FI38-FJ38</f>
        <v>0</v>
      </c>
      <c r="FL38" s="4">
        <v>0</v>
      </c>
      <c r="FM38" s="5">
        <f>FL38-FK38</f>
        <v>0</v>
      </c>
      <c r="FN38" s="4">
        <v>0</v>
      </c>
      <c r="FO38" s="4">
        <v>0</v>
      </c>
      <c r="FP38" s="4">
        <v>1.803</v>
      </c>
      <c r="FQ38" s="4">
        <v>1.799</v>
      </c>
      <c r="FR38" s="6"/>
      <c r="FS38" s="6"/>
      <c r="FT38" s="6"/>
      <c r="FU38" s="9"/>
      <c r="FV38" s="7">
        <f>IFERROR(FK38/F38,0)</f>
        <v>0</v>
      </c>
      <c r="FW38"/>
      <c r="FX38"/>
      <c r="FY38"/>
      <c r="FZ38"/>
      <c r="GA38"/>
      <c r="GB38" s="4"/>
      <c r="GC38" s="4"/>
      <c r="GD38" s="6"/>
      <c r="GE38" s="4"/>
      <c r="GF38" s="5">
        <v>0</v>
      </c>
      <c r="GG38" s="5"/>
      <c r="GH38" s="6"/>
      <c r="GI38" s="4"/>
      <c r="GJ38" s="4"/>
      <c r="GK38" s="5">
        <v>0</v>
      </c>
      <c r="GL38" s="5">
        <v>0</v>
      </c>
      <c r="GM38" s="5"/>
      <c r="GN38" s="4"/>
      <c r="GO38" s="5">
        <v>0</v>
      </c>
      <c r="GP38" s="4"/>
      <c r="GQ38" s="4"/>
      <c r="GR38" s="4"/>
      <c r="GS38" s="4"/>
      <c r="GT38" s="6"/>
      <c r="GU38" s="6"/>
      <c r="GV38" s="6"/>
      <c r="GW38" s="9"/>
      <c r="GX38"/>
      <c r="GY38"/>
      <c r="GZ38"/>
      <c r="HA38"/>
      <c r="HB38"/>
      <c r="HC38"/>
      <c r="HD38" s="4"/>
      <c r="HE38" s="4"/>
      <c r="HF38" s="6"/>
      <c r="HG38" s="4"/>
      <c r="HH38" s="5">
        <v>0</v>
      </c>
      <c r="HI38" s="5"/>
      <c r="HJ38" s="6"/>
      <c r="HK38" s="4"/>
      <c r="HL38" s="4"/>
      <c r="HM38" s="5">
        <v>0</v>
      </c>
      <c r="HN38" s="5">
        <v>0</v>
      </c>
      <c r="HO38" s="5"/>
      <c r="HP38" s="4"/>
      <c r="HQ38" s="5">
        <v>0</v>
      </c>
      <c r="HR38" s="4"/>
      <c r="HS38" s="4"/>
      <c r="HT38" s="4"/>
      <c r="HU38" s="4"/>
      <c r="HV38" s="6"/>
      <c r="HW38" s="6"/>
      <c r="HX38" s="6"/>
      <c r="HY38" s="9"/>
      <c r="HZ38"/>
      <c r="IA38"/>
      <c r="IB38"/>
      <c r="IC38"/>
      <c r="ID38"/>
      <c r="IE38"/>
      <c r="IF38" s="4"/>
      <c r="IG38" s="4"/>
      <c r="IH38" s="6"/>
      <c r="II38" s="4"/>
      <c r="IJ38" s="5">
        <v>0</v>
      </c>
      <c r="IK38" s="5"/>
      <c r="IL38" s="6"/>
      <c r="IM38" s="4"/>
      <c r="IN38" s="4"/>
      <c r="IO38" s="5">
        <v>0</v>
      </c>
      <c r="IP38" s="5">
        <v>0</v>
      </c>
      <c r="IQ38" s="5"/>
      <c r="IR38" s="4"/>
      <c r="IS38" s="5">
        <v>0</v>
      </c>
      <c r="IT38" s="4"/>
      <c r="IU38" s="4"/>
      <c r="IV38" s="4"/>
      <c r="IW38" s="4"/>
      <c r="IX38" s="6"/>
      <c r="IY38" s="6"/>
      <c r="IZ38" s="6"/>
      <c r="JA38" s="9"/>
      <c r="JB38"/>
      <c r="JC38"/>
      <c r="JD38"/>
      <c r="JE38"/>
      <c r="JF38"/>
      <c r="JG38"/>
      <c r="JH38" s="4"/>
      <c r="JI38" s="4"/>
      <c r="JJ38" s="6"/>
      <c r="JK38" s="4"/>
      <c r="JL38" s="5">
        <v>0</v>
      </c>
      <c r="JM38" s="5"/>
      <c r="JN38" s="6"/>
      <c r="JO38" s="4"/>
      <c r="JP38" s="4"/>
      <c r="JQ38" s="5">
        <v>0</v>
      </c>
      <c r="JR38" s="5">
        <v>0</v>
      </c>
      <c r="JS38" s="5"/>
      <c r="JT38" s="4"/>
      <c r="JU38" s="5">
        <v>0</v>
      </c>
      <c r="JV38" s="4"/>
      <c r="JW38" s="4"/>
      <c r="JX38" s="4"/>
      <c r="JY38" s="4"/>
      <c r="JZ38" s="6"/>
      <c r="KA38" s="6"/>
      <c r="KB38" s="6"/>
      <c r="KC38" s="9"/>
      <c r="KD38"/>
      <c r="KE38"/>
      <c r="KF38"/>
      <c r="KG38"/>
      <c r="KH38"/>
      <c r="KI38"/>
      <c r="KJ38" s="4"/>
      <c r="KK38" s="4"/>
      <c r="KL38" s="6"/>
      <c r="KM38" s="4"/>
      <c r="KN38" s="5">
        <v>0</v>
      </c>
      <c r="KO38" s="5"/>
      <c r="KP38" s="6"/>
      <c r="KQ38" s="4"/>
      <c r="KR38" s="4"/>
      <c r="KS38" s="5">
        <v>0</v>
      </c>
      <c r="KT38" s="5">
        <v>0</v>
      </c>
      <c r="KU38" s="5"/>
      <c r="KV38" s="4"/>
      <c r="KW38" s="5">
        <v>0</v>
      </c>
      <c r="KX38" s="4"/>
      <c r="KY38" s="4"/>
      <c r="KZ38" s="4"/>
      <c r="LA38" s="4"/>
      <c r="LB38" s="6"/>
      <c r="LC38" s="6"/>
      <c r="LD38" s="6"/>
      <c r="LE38" s="9"/>
      <c r="LF38"/>
      <c r="LG38"/>
      <c r="LH38"/>
      <c r="LI38"/>
      <c r="LJ38"/>
      <c r="LK38"/>
      <c r="LL38" s="4"/>
      <c r="LM38" s="4"/>
      <c r="LN38" s="6"/>
      <c r="LO38" s="4"/>
      <c r="LP38" s="5">
        <v>0</v>
      </c>
      <c r="LQ38" s="5"/>
      <c r="LR38" s="6"/>
      <c r="LS38" s="4"/>
      <c r="LT38" s="4"/>
      <c r="LU38" s="5">
        <v>0</v>
      </c>
      <c r="LV38" s="5">
        <v>0</v>
      </c>
      <c r="LW38" s="5"/>
      <c r="LX38" s="4"/>
      <c r="LY38" s="5">
        <v>0</v>
      </c>
      <c r="LZ38" s="4"/>
      <c r="MA38" s="4"/>
      <c r="MB38" s="4"/>
      <c r="MC38" s="4"/>
      <c r="MD38" s="6"/>
      <c r="ME38" s="6"/>
      <c r="MF38" s="6"/>
      <c r="MG38" s="9"/>
      <c r="MH38"/>
    </row>
    <row r="39">
      <c r="A39" s="8">
        <v>25260</v>
      </c>
      <c r="B39" s="8">
        <v>25261</v>
      </c>
      <c r="C39" s="9">
        <f>B39-A39</f>
        <v>1</v>
      </c>
      <c r="D39" s="8">
        <v>25260</v>
      </c>
      <c r="E39" t="inlineStr">
        <is>
          <t xml:space="preserve">positive</t>
        </is>
      </c>
      <c r="F39" s="4">
        <v>1.0586744106080543</v>
      </c>
      <c r="G39" s="6">
        <v>0.016651900226716636</v>
      </c>
      <c r="H39" s="7">
        <f>SUM(CP39,DR39,ET39,FV39,GX39,HZ39,JB39,KD39,LF39,MH39)</f>
        <v>0.016651900226716632</v>
      </c>
      <c r="I39" s="7">
        <f>G39-H39</f>
        <v>3.469446951953614e-18</v>
      </c>
      <c r="J39" s="5">
        <f>F39*(1+H39)</f>
        <v>1.0763033512660778</v>
      </c>
      <c r="K39" s="4">
        <v>1.0763033512660778</v>
      </c>
      <c r="L39" s="5">
        <f>K39-J39</f>
        <v>0</v>
      </c>
      <c r="M39" s="4">
        <v>1.799</v>
      </c>
      <c r="N39" s="4">
        <v>1.834</v>
      </c>
      <c r="O39" s="5">
        <f>M39/$M$3</f>
        <v>0.9187946884576098</v>
      </c>
      <c r="P39" s="5">
        <f>N39/$M$3</f>
        <v>0.9366700715015323</v>
      </c>
      <c r="Q39" s="7">
        <f>IFERROR(N39/M39-1,0)</f>
        <v>0.01945525291828809</v>
      </c>
      <c r="R39" s="5">
        <f>SUM(IF(BQ39="lease",CB39,0),IF(CS39="lease",DD39,0),IF(DU39="lease",EF39,0),IF(EW39="lease",FH39,0),IF(FY39="lease",GJ39,0),IF(HA39="lease",HL39,0),IF(IC39="lease",IN39,0),IF(JE39="lease",JP39,0),IF(KG39="lease",KR39,0),IF(LI39="lease",LT39,0))</f>
        <v>1.0586744106080541</v>
      </c>
      <c r="S39" s="5">
        <f>SUM(IF(BQ39="lease",CI39,0),IF(CS39="lease",DK39,0),IF(DU39="lease",EM39,0),IF(EW39="lease",FO39,0),IF(FY39="lease",GQ39,0),IF(HA39="lease",HS39,0),IF(IC39="lease",IU39,0),IF(JE39="lease",JW39,0),IF(KG39="lease",KY39,0),IF(LI39="lease",MA39,0))</f>
        <v>1.0763033512660776</v>
      </c>
      <c r="T39" s="5">
        <f>SUM(IF(BQ39="keep",CB39,0),IF(CS39="keep",DD39,0),IF(DU39="keep",EF39,0),IF(EW39="keep",FH39,0),IF(FY39="keep",GJ39,0),IF(HA39="keep",HL39,0),IF(IC39="keep",IN39,0),IF(JE39="keep",JP39,0),IF(KG39="keep",KR39,0),IF(LI39="keep",LT39,0))</f>
        <v>0</v>
      </c>
      <c r="U39" s="5">
        <f>SUM(IF(BQ39="keep",CI39,0),IF(CS39="keep",DK39,0),IF(DU39="keep",EM39,0),IF(EW39="keep",FO39,0),IF(FY39="keep",GQ39,0),IF(HA39="keep",HS39,0),IF(IC39="keep",IU39,0),IF(JE39="keep",JW39,0),IF(KG39="keep",KY39,0),IF(LI39="keep",MA39,0))</f>
        <v>0</v>
      </c>
      <c r="V39" s="5">
        <f>R39/O39</f>
        <v>1.152242632557293</v>
      </c>
      <c r="W39" s="5">
        <f>S39/P39</f>
        <v>1.14907413401253</v>
      </c>
      <c r="X39" s="5">
        <f>T39/O39</f>
        <v>0</v>
      </c>
      <c r="Y39" s="5">
        <f>U39/P39</f>
        <v>0</v>
      </c>
      <c r="Z39" s="5">
        <f>V39+X39</f>
        <v>1.152242632557293</v>
      </c>
      <c r="AA39" s="7">
        <f>IFERROR(W39/V39-1,0)</f>
        <v>-0.0027498535944039393</v>
      </c>
      <c r="AB39" s="7">
        <f>IFERROR((W39-V39)/Z39,0)</f>
        <v>-0.002749853594403903</v>
      </c>
      <c r="AC39" s="7">
        <f>IFERROR(Y39/X39-1,0)</f>
        <v>0</v>
      </c>
      <c r="AD39" s="7">
        <f>IFERROR((Y39-X39)/Z39,0)</f>
        <v>0</v>
      </c>
      <c r="AE39" s="7">
        <f>AB39+AD39</f>
        <v>-0.002749853594403903</v>
      </c>
      <c r="AF39" s="7">
        <f>(1+Q39)*(1+AE39)-1</f>
        <v>0.016651900226716698</v>
      </c>
      <c r="AG39" s="7">
        <f>G39-AF39</f>
        <v>-6.245004513516506e-17</v>
      </c>
      <c r="AH39" s="5">
        <f>SUM(IF(BQ39="lease",CE39,0),IF(CS39="lease",DG39,0),IF(DU39="lease",EI39,0),IF(EW39="lease",FK39,0),IF(FY39="lease",GM39,0),IF(HA39="lease",HO39,0),IF(IC39="lease",IQ39,0),IF(JE39="lease",JS39,0),IF(KG39="lease",KU39,0),IF(LI39="lease",LW39,0))</f>
        <v>0.017628940658023357</v>
      </c>
      <c r="AI39" s="5">
        <f>SUM(IF(BQ39="keep",CE39,0),IF(CS39="keep",DG39,0),IF(DU39="keep",EI39,0),IF(EW39="keep",FK39,0),IF(FY39="keep",GM39,0),IF(HA39="keep",HO39,0),IF(IC39="keep",IQ39,0),IF(JE39="keep",JS39,0),IF(KG39="keep",KU39,0),IF(LI39="keep",LW39,0))</f>
        <v>0</v>
      </c>
      <c r="AJ39" s="5">
        <f>SUM(IF(BQ39="lease",CH39,0),IF(CS39="lease",DJ39,0),IF(DU39="lease",EL39,0),IF(EW39="lease",FN39,0),IF(FY39="lease",GP39,0),IF(HA39="lease",HR39,0),IF(IC39="lease",IT39,0),IF(JE39="lease",JV39,0),IF(KG39="lease",KX39,0),IF(LI39="lease",LZ39,0))</f>
        <v>0</v>
      </c>
      <c r="AK39" s="5">
        <f>SUM(IF(BQ39="keep",CH39,0),IF(CS39="keep",DJ39,0),IF(DU39="keep",EL39,0),IF(EW39="keep",FN39,0),IF(FY39="keep",GP39,0),IF(HA39="keep",HR39,0),IF(IC39="keep",IT39,0),IF(JE39="keep",JV39,0),IF(KG39="keep",KX39,0),IF(LI39="keep",LZ39,0))</f>
        <v>0</v>
      </c>
      <c r="AL39" s="5">
        <f>R39-S38</f>
        <v>0</v>
      </c>
      <c r="AM39" s="5">
        <f>T39-U38</f>
        <v>0</v>
      </c>
      <c r="AN39" s="5">
        <f>AN38</f>
        <v>1</v>
      </c>
      <c r="AO39" s="5">
        <f>AO38+AH39</f>
        <v>0.07630335126607811</v>
      </c>
      <c r="AP39" s="5">
        <f>AP38+AL39</f>
        <v>-4.440892098500626e-16</v>
      </c>
      <c r="AQ39" s="5">
        <f>AN39+AO39+AP39</f>
        <v>1.0763033512660776</v>
      </c>
      <c r="AR39" s="5">
        <f>S39-AQ39</f>
        <v>0</v>
      </c>
      <c r="AS39" s="5">
        <f>AS38</f>
        <v>0</v>
      </c>
      <c r="AT39" s="5">
        <f>AT38+AI39</f>
        <v>0</v>
      </c>
      <c r="AU39" s="5">
        <f>AU38+AM39</f>
        <v>0</v>
      </c>
      <c r="AV39" s="5">
        <f>AS39+AT39+AU39</f>
        <v>0</v>
      </c>
      <c r="AW39" s="5">
        <f>U39-AV39</f>
        <v>0</v>
      </c>
      <c r="AX39" s="4">
        <v>1.0586744106080541</v>
      </c>
      <c r="AY39" s="4">
        <v>1.0763033512660776</v>
      </c>
      <c r="AZ39" s="5">
        <f>S39-AY39</f>
        <v>0</v>
      </c>
      <c r="BA39" s="4">
        <v>0</v>
      </c>
      <c r="BB39" s="4">
        <v>0</v>
      </c>
      <c r="BC39" s="5">
        <f>U39-BB39</f>
        <v>0</v>
      </c>
      <c r="BD39" s="7">
        <f>SUM(IF(BP39="direct",CC39/F39,0),IF(CR39="direct",DE39/F39,0),IF(DT39="direct",EG39/F39,0),IF(EV39="direct",FI39/F39,0),IF(FX39="direct",GK39/F39,0),IF(GZ39="direct",HM39/F39,0),IF(IB39="direct",IO39/F39,0),IF(JD39="direct",JQ39/F39,0),IF(KF39="direct",KS39/F39,0),IF(LH39="direct",LU39/F39,0))</f>
        <v>0.01698798232620306</v>
      </c>
      <c r="BE39" s="7">
        <f>-SUM(IF(BP39="direct",CD39/F39,0),IF(CR39="direct",DF39/F39,0),IF(DT39="direct",EH39/F39,0),IF(EV39="direct",FJ39/F39,0),IF(FX39="direct",GL39/F39,0),IF(GZ39="direct",HN39/F39,0),IF(IB39="direct",IP39/F39,0),IF(JD39="direct",JR39/F39,0),IF(KF39="direct",KT39/F39,0),IF(LH39="direct",LV39/F39,0))</f>
        <v>-0.000005980700627170094</v>
      </c>
      <c r="BF39" s="7">
        <f>BD39+BE39</f>
        <v>0.01698200162557589</v>
      </c>
      <c r="BG39" s="7">
        <f>BF39-SUM(IF(BP39="direct",CP39,0),IF(CR39="direct",DR39,0),IF(DT39="direct",ET39,0),IF(EV39="direct",FV39,0),IF(FX39="direct",GX39,0),IF(GZ39="direct",HZ39,0),IF(IB39="direct",JB39,0),IF(JD39="direct",KD39,0),IF(KF39="direct",LF39,0),IF(LH39="direct",MH39,0))</f>
        <v>-6.245004513516506e-17</v>
      </c>
      <c r="BH39" s="7">
        <f>SUM(IF(BP39="treasury",CP39,0),IF(CR39="treasury",DR39,0),IF(DT39="treasury",ET39,0),IF(EV39="treasury",FV39,0),IF(FX39="treasury",GX39,0),IF(GZ39="treasury",HZ39,0),IF(IB39="treasury",JB39,0),IF(JD39="treasury",KD39,0),IF(KF39="treasury",LF39,0),IF(LH39="treasury",MH39,0))</f>
        <v>0.000021194192368282586</v>
      </c>
      <c r="BI39" s="7">
        <f>SUM(IF(BP39="future",CP39,0),IF(CR39="future",DR39,0),IF(DT39="future",ET39,0),IF(EV39="future",FV39,0),IF(FX39="future",GX39,0),IF(GZ39="future",HZ39,0),IF(IB39="future",JB39,0),IF(JD39="future",KD39,0),IF(KF39="future",LF39,0),IF(LH39="future",MH39,0))</f>
        <v>-0.00035129559122760415</v>
      </c>
      <c r="BJ39" s="7">
        <f>SUM(IF(BP39="cash",CP39,0),IF(CR39="cash",DR39,0),IF(DT39="cash",ET39,0),IF(EV39="cash",FV39,0),IF(FX39="cash",GX39,0),IF(GZ39="cash",HZ39,0),IF(IB39="cash",JB39,0),IF(JD39="cash",KD39,0),IF(KF39="cash",LF39,0),IF(LH39="cash",MH39,0))</f>
        <v>0</v>
      </c>
      <c r="BK39" s="7">
        <f>SUM(BF39,BH39,BI39,BJ39)</f>
        <v>0.016651900226716632</v>
      </c>
      <c r="BL39" s="7">
        <f>G39-BK39</f>
        <v>3.469446951953614e-18</v>
      </c>
      <c r="BM39" s="5">
        <f>MAX(ABS(CG39),ABS(DI39),ABS(EK39),ABS(FM39),ABS(GO39),ABS(HQ39),ABS(IS39),ABS(JU39),ABS(KW39),ABS(LY39))</f>
        <v>6.661660020270896e-17</v>
      </c>
      <c r="BN39" s="9">
        <f>COUNTA(BO39,CQ39,DS39,EU39,FW39,GY39,IA39,JC39,KE39,LG39)</f>
        <v>5</v>
      </c>
      <c r="BO39" t="inlineStr">
        <is>
          <t xml:space="preserve">Direct commodity holding</t>
        </is>
      </c>
      <c r="BP39" t="inlineStr">
        <is>
          <t xml:space="preserve">direct</t>
        </is>
      </c>
      <c r="BQ39" t="inlineStr">
        <is>
          <t xml:space="preserve">lease</t>
        </is>
      </c>
      <c r="BR39" t="inlineStr">
        <is>
          <t xml:space="preserve">long</t>
        </is>
      </c>
      <c r="BS39"/>
      <c r="BT39" s="4">
        <v>1.799</v>
      </c>
      <c r="BU39" s="4">
        <v>1.834</v>
      </c>
      <c r="BV39" s="6">
        <v>0.0025</v>
      </c>
      <c r="BW39" s="4">
        <v>0.513849776474657</v>
      </c>
      <c r="BX39" s="5">
        <f>IF(BP39="direct",IFERROR(CD39/BU39,0),0)</f>
        <v>0.0000034523526234964667</v>
      </c>
      <c r="BY39" s="5">
        <f>IF(BP39="direct",BW39-BX39,IF(BP39="cash",CI39,BW39))</f>
        <v>0.5138463241220336</v>
      </c>
      <c r="BZ39" s="6">
        <v>0.8731822915668337</v>
      </c>
      <c r="CA39" s="4">
        <v>0.9244157478779079</v>
      </c>
      <c r="CB39" s="4">
        <v>0.9244157478779079</v>
      </c>
      <c r="CC39" s="5">
        <f>IF(BP39="direct",BW39*(BU39-BT39),CF39)</f>
        <v>0.01798474217661307</v>
      </c>
      <c r="CD39" s="5">
        <f>IF(BP39="direct",CB39*BV39*C39/365,0)</f>
        <v>0.00000633161471149252</v>
      </c>
      <c r="CE39" s="5">
        <f>CC39-CD39</f>
        <v>0.017978410561901643</v>
      </c>
      <c r="CF39" s="4">
        <v>0.017978410561901643</v>
      </c>
      <c r="CG39" s="5">
        <f>CF39-CE39</f>
        <v>6.661660020270896e-17</v>
      </c>
      <c r="CH39" s="4">
        <v>0</v>
      </c>
      <c r="CI39" s="4">
        <v>0.9423941584398096</v>
      </c>
      <c r="CJ39" s="4">
        <v>1.799</v>
      </c>
      <c r="CK39" s="4">
        <v>1.834</v>
      </c>
      <c r="CL39" s="6"/>
      <c r="CM39" s="6"/>
      <c r="CN39" s="6"/>
      <c r="CO39" s="9"/>
      <c r="CP39" s="7">
        <f>IFERROR(CE39/F39,0)</f>
        <v>0.016982001625575952</v>
      </c>
      <c r="CQ39" t="inlineStr">
        <is>
          <t xml:space="preserve">Treasury collateral</t>
        </is>
      </c>
      <c r="CR39" t="inlineStr">
        <is>
          <t xml:space="preserve">treasury</t>
        </is>
      </c>
      <c r="CS39" t="inlineStr">
        <is>
          <t xml:space="preserve">lease</t>
        </is>
      </c>
      <c r="CT39" t="inlineStr">
        <is>
          <t xml:space="preserve">long</t>
        </is>
      </c>
      <c r="CU39"/>
      <c r="CV39" s="4">
        <v>100.9271759594443</v>
      </c>
      <c r="CW39" s="4">
        <v>100.944043240906</v>
      </c>
      <c r="CX39" s="6"/>
      <c r="CY39" s="4">
        <v>0.00133025284274372</v>
      </c>
      <c r="CZ39" s="5">
        <f>IF(CR39="direct",IFERROR(DF39/CW39,0),0)</f>
        <v>0</v>
      </c>
      <c r="DA39" s="5">
        <f>IF(CR39="direct",CY39-CZ39,IF(CR39="cash",DK39,CY39))</f>
        <v>0.00133025284274372</v>
      </c>
      <c r="DB39" s="6">
        <v>0.1268177084331663</v>
      </c>
      <c r="DC39" s="4">
        <v>0.13425866273014642</v>
      </c>
      <c r="DD39" s="4">
        <v>0.13425866273014642</v>
      </c>
      <c r="DE39" s="5">
        <f>IF(CR39="direct",CY39*(CW39-CV39),DH39)</f>
        <v>0.00002243774911378446</v>
      </c>
      <c r="DF39" s="5">
        <f>IF(CR39="direct",DD39*CX39*C39/365,0)</f>
        <v>0</v>
      </c>
      <c r="DG39" s="5">
        <f>DE39-DF39</f>
        <v>0.00002243774911380529</v>
      </c>
      <c r="DH39" s="4">
        <v>0.00002243774911380529</v>
      </c>
      <c r="DI39" s="5">
        <f>DH39-DG39</f>
        <v>2.0830234238877754e-17</v>
      </c>
      <c r="DJ39" s="4">
        <v>-2.0247475571166795e-17</v>
      </c>
      <c r="DK39" s="4">
        <v>0.1342811004792602</v>
      </c>
      <c r="DL39" s="4">
        <v>1.799</v>
      </c>
      <c r="DM39" s="4">
        <v>1.834</v>
      </c>
      <c r="DN39" s="6"/>
      <c r="DO39" s="6"/>
      <c r="DP39" s="6"/>
      <c r="DQ39" s="9">
        <v>29</v>
      </c>
      <c r="DR39" s="7">
        <f>IFERROR(DG39/F39,0)</f>
        <v>0.000021194192368282586</v>
      </c>
      <c r="DS39" t="inlineStr">
        <is>
          <t xml:space="preserve">SI69H</t>
        </is>
      </c>
      <c r="DT39" t="inlineStr">
        <is>
          <t xml:space="preserve">future</t>
        </is>
      </c>
      <c r="DU39" t="inlineStr">
        <is>
          <t xml:space="preserve">lease</t>
        </is>
      </c>
      <c r="DV39" t="inlineStr">
        <is>
          <t xml:space="preserve">long</t>
        </is>
      </c>
      <c r="DW39" t="inlineStr">
        <is>
          <t xml:space="preserve">regular</t>
        </is>
      </c>
      <c r="DX39" s="4">
        <v>1.805</v>
      </c>
      <c r="DY39" s="4">
        <v>1.8</v>
      </c>
      <c r="DZ39" s="6"/>
      <c r="EA39" s="4">
        <v>0.07438153059841907</v>
      </c>
      <c r="EB39" s="5">
        <f>IF(DT39="direct",IFERROR(EH39/DY39,0),0)</f>
        <v>0</v>
      </c>
      <c r="EC39" s="5">
        <f>IF(DT39="direct",EA39-EB39,IF(DT39="cash",EM39,EA39))</f>
        <v>0.07438153059841907</v>
      </c>
      <c r="ED39" s="6">
        <v>0.1268177084331663</v>
      </c>
      <c r="EE39" s="4">
        <v>0.13425866273014642</v>
      </c>
      <c r="EF39" s="4">
        <v>0</v>
      </c>
      <c r="EG39" s="5">
        <f>IF(DT39="direct",EA39*(DY39-DX39),EJ39)</f>
        <v>-0.0003719076529920918</v>
      </c>
      <c r="EH39" s="5">
        <f>IF(DT39="direct",EF39*DZ39*C39/365,0)</f>
        <v>0</v>
      </c>
      <c r="EI39" s="5">
        <f>EG39-EH39</f>
        <v>-0.0003719076529920918</v>
      </c>
      <c r="EJ39" s="4">
        <v>-0.0003719076529920918</v>
      </c>
      <c r="EK39" s="5">
        <f>EJ39-EI39</f>
        <v>0</v>
      </c>
      <c r="EL39" s="4">
        <v>0.0003719076529920918</v>
      </c>
      <c r="EM39" s="4">
        <v>0</v>
      </c>
      <c r="EN39" s="4">
        <v>1.799</v>
      </c>
      <c r="EO39" s="4">
        <v>1.834</v>
      </c>
      <c r="EP39" s="6">
        <v>0.0033351862145636346</v>
      </c>
      <c r="EQ39" s="6">
        <v>0.061</v>
      </c>
      <c r="ER39" s="6">
        <v>0.019022656264974944</v>
      </c>
      <c r="ES39" s="9">
        <v>29</v>
      </c>
      <c r="ET39" s="7">
        <f>IFERROR(EI39/F39,0)</f>
        <v>-0.00035129559122760415</v>
      </c>
      <c r="EU39" t="inlineStr">
        <is>
          <t xml:space="preserve">Lease cash / margin / financing</t>
        </is>
      </c>
      <c r="EV39" t="inlineStr">
        <is>
          <t xml:space="preserve">cash</t>
        </is>
      </c>
      <c r="EW39" t="inlineStr">
        <is>
          <t xml:space="preserve">lease</t>
        </is>
      </c>
      <c r="EX39" t="inlineStr">
        <is>
          <t xml:space="preserve">cash</t>
        </is>
      </c>
      <c r="EY39"/>
      <c r="EZ39" s="4">
        <v>1</v>
      </c>
      <c r="FA39" s="4">
        <v>1</v>
      </c>
      <c r="FB39" s="6"/>
      <c r="FC39" s="4">
        <v>-2.220446049250313e-16</v>
      </c>
      <c r="FD39" s="5">
        <f>IF(EV39="direct",IFERROR(FJ39/FA39,0),0)</f>
        <v>0</v>
      </c>
      <c r="FE39" s="5">
        <f>IF(EV39="direct",FC39-FD39,IF(EV39="cash",FO39,FC39))</f>
        <v>-0.0003719076529922936</v>
      </c>
      <c r="FF39" s="6"/>
      <c r="FG39" s="4">
        <v>-2.220446049250313e-16</v>
      </c>
      <c r="FH39" s="4">
        <v>-2.220446049250313e-16</v>
      </c>
      <c r="FI39" s="5">
        <f>IF(EV39="direct",FC39*(FA39-EZ39),FL39)</f>
        <v>0</v>
      </c>
      <c r="FJ39" s="5">
        <f>IF(EV39="direct",FH39*FB39*C39/365,0)</f>
        <v>0</v>
      </c>
      <c r="FK39" s="5">
        <f>FI39-FJ39</f>
        <v>0</v>
      </c>
      <c r="FL39" s="4">
        <v>0</v>
      </c>
      <c r="FM39" s="5">
        <f>FL39-FK39</f>
        <v>0</v>
      </c>
      <c r="FN39" s="4">
        <v>-0.00037190765299207154</v>
      </c>
      <c r="FO39" s="4">
        <v>-0.0003719076529922936</v>
      </c>
      <c r="FP39" s="4">
        <v>1.799</v>
      </c>
      <c r="FQ39" s="4">
        <v>1.834</v>
      </c>
      <c r="FR39" s="6"/>
      <c r="FS39" s="6"/>
      <c r="FT39" s="6"/>
      <c r="FU39" s="9"/>
      <c r="FV39" s="7">
        <f>IFERROR(FK39/F39,0)</f>
        <v>0</v>
      </c>
      <c r="FW39" t="inlineStr">
        <is>
          <t xml:space="preserve">Keep cash / margin / financing</t>
        </is>
      </c>
      <c r="FX39" t="inlineStr">
        <is>
          <t xml:space="preserve">cash</t>
        </is>
      </c>
      <c r="FY39" t="inlineStr">
        <is>
          <t xml:space="preserve">keep</t>
        </is>
      </c>
      <c r="FZ39" t="inlineStr">
        <is>
          <t xml:space="preserve">cash</t>
        </is>
      </c>
      <c r="GA39"/>
      <c r="GB39" s="4">
        <v>1</v>
      </c>
      <c r="GC39" s="4">
        <v>1</v>
      </c>
      <c r="GD39" s="6"/>
      <c r="GE39" s="4">
        <v>0</v>
      </c>
      <c r="GF39" s="5">
        <f>IF(FX39="direct",IFERROR(GL39/GC39,0),0)</f>
        <v>0</v>
      </c>
      <c r="GG39" s="5">
        <f>IF(FX39="direct",GE39-GF39,IF(FX39="cash",GQ39,GE39))</f>
        <v>0</v>
      </c>
      <c r="GH39" s="6"/>
      <c r="GI39" s="4">
        <v>0</v>
      </c>
      <c r="GJ39" s="4">
        <v>0</v>
      </c>
      <c r="GK39" s="5">
        <f>IF(FX39="direct",GE39*(GC39-GB39),GN39)</f>
        <v>0</v>
      </c>
      <c r="GL39" s="5">
        <f>IF(FX39="direct",GJ39*GD39*C39/365,0)</f>
        <v>0</v>
      </c>
      <c r="GM39" s="5">
        <f>GK39-GL39</f>
        <v>0</v>
      </c>
      <c r="GN39" s="4">
        <v>0</v>
      </c>
      <c r="GO39" s="5">
        <f>GN39-GM39</f>
        <v>0</v>
      </c>
      <c r="GP39" s="4">
        <v>0</v>
      </c>
      <c r="GQ39" s="4">
        <v>0</v>
      </c>
      <c r="GR39" s="4">
        <v>1.799</v>
      </c>
      <c r="GS39" s="4">
        <v>1.834</v>
      </c>
      <c r="GT39" s="6"/>
      <c r="GU39" s="6"/>
      <c r="GV39" s="6"/>
      <c r="GW39" s="9"/>
      <c r="GX39" s="7">
        <f>IFERROR(GM39/F39,0)</f>
        <v>0</v>
      </c>
      <c r="GY39"/>
      <c r="GZ39"/>
      <c r="HA39"/>
      <c r="HB39"/>
      <c r="HC39"/>
      <c r="HD39" s="4"/>
      <c r="HE39" s="4"/>
      <c r="HF39" s="6"/>
      <c r="HG39" s="4"/>
      <c r="HH39" s="5">
        <v>0</v>
      </c>
      <c r="HI39" s="5"/>
      <c r="HJ39" s="6"/>
      <c r="HK39" s="4"/>
      <c r="HL39" s="4"/>
      <c r="HM39" s="5">
        <v>0</v>
      </c>
      <c r="HN39" s="5">
        <v>0</v>
      </c>
      <c r="HO39" s="5"/>
      <c r="HP39" s="4"/>
      <c r="HQ39" s="5">
        <v>0</v>
      </c>
      <c r="HR39" s="4"/>
      <c r="HS39" s="4"/>
      <c r="HT39" s="4"/>
      <c r="HU39" s="4"/>
      <c r="HV39" s="6"/>
      <c r="HW39" s="6"/>
      <c r="HX39" s="6"/>
      <c r="HY39" s="9"/>
      <c r="HZ39"/>
      <c r="IA39"/>
      <c r="IB39"/>
      <c r="IC39"/>
      <c r="ID39"/>
      <c r="IE39"/>
      <c r="IF39" s="4"/>
      <c r="IG39" s="4"/>
      <c r="IH39" s="6"/>
      <c r="II39" s="4"/>
      <c r="IJ39" s="5">
        <v>0</v>
      </c>
      <c r="IK39" s="5"/>
      <c r="IL39" s="6"/>
      <c r="IM39" s="4"/>
      <c r="IN39" s="4"/>
      <c r="IO39" s="5">
        <v>0</v>
      </c>
      <c r="IP39" s="5">
        <v>0</v>
      </c>
      <c r="IQ39" s="5"/>
      <c r="IR39" s="4"/>
      <c r="IS39" s="5">
        <v>0</v>
      </c>
      <c r="IT39" s="4"/>
      <c r="IU39" s="4"/>
      <c r="IV39" s="4"/>
      <c r="IW39" s="4"/>
      <c r="IX39" s="6"/>
      <c r="IY39" s="6"/>
      <c r="IZ39" s="6"/>
      <c r="JA39" s="9"/>
      <c r="JB39"/>
      <c r="JC39"/>
      <c r="JD39"/>
      <c r="JE39"/>
      <c r="JF39"/>
      <c r="JG39"/>
      <c r="JH39" s="4"/>
      <c r="JI39" s="4"/>
      <c r="JJ39" s="6"/>
      <c r="JK39" s="4"/>
      <c r="JL39" s="5">
        <v>0</v>
      </c>
      <c r="JM39" s="5"/>
      <c r="JN39" s="6"/>
      <c r="JO39" s="4"/>
      <c r="JP39" s="4"/>
      <c r="JQ39" s="5">
        <v>0</v>
      </c>
      <c r="JR39" s="5">
        <v>0</v>
      </c>
      <c r="JS39" s="5"/>
      <c r="JT39" s="4"/>
      <c r="JU39" s="5">
        <v>0</v>
      </c>
      <c r="JV39" s="4"/>
      <c r="JW39" s="4"/>
      <c r="JX39" s="4"/>
      <c r="JY39" s="4"/>
      <c r="JZ39" s="6"/>
      <c r="KA39" s="6"/>
      <c r="KB39" s="6"/>
      <c r="KC39" s="9"/>
      <c r="KD39"/>
      <c r="KE39"/>
      <c r="KF39"/>
      <c r="KG39"/>
      <c r="KH39"/>
      <c r="KI39"/>
      <c r="KJ39" s="4"/>
      <c r="KK39" s="4"/>
      <c r="KL39" s="6"/>
      <c r="KM39" s="4"/>
      <c r="KN39" s="5">
        <v>0</v>
      </c>
      <c r="KO39" s="5"/>
      <c r="KP39" s="6"/>
      <c r="KQ39" s="4"/>
      <c r="KR39" s="4"/>
      <c r="KS39" s="5">
        <v>0</v>
      </c>
      <c r="KT39" s="5">
        <v>0</v>
      </c>
      <c r="KU39" s="5"/>
      <c r="KV39" s="4"/>
      <c r="KW39" s="5">
        <v>0</v>
      </c>
      <c r="KX39" s="4"/>
      <c r="KY39" s="4"/>
      <c r="KZ39" s="4"/>
      <c r="LA39" s="4"/>
      <c r="LB39" s="6"/>
      <c r="LC39" s="6"/>
      <c r="LD39" s="6"/>
      <c r="LE39" s="9"/>
      <c r="LF39"/>
      <c r="LG39"/>
      <c r="LH39"/>
      <c r="LI39"/>
      <c r="LJ39"/>
      <c r="LK39"/>
      <c r="LL39" s="4"/>
      <c r="LM39" s="4"/>
      <c r="LN39" s="6"/>
      <c r="LO39" s="4"/>
      <c r="LP39" s="5">
        <v>0</v>
      </c>
      <c r="LQ39" s="5"/>
      <c r="LR39" s="6"/>
      <c r="LS39" s="4"/>
      <c r="LT39" s="4"/>
      <c r="LU39" s="5">
        <v>0</v>
      </c>
      <c r="LV39" s="5">
        <v>0</v>
      </c>
      <c r="LW39" s="5"/>
      <c r="LX39" s="4"/>
      <c r="LY39" s="5">
        <v>0</v>
      </c>
      <c r="LZ39" s="4"/>
      <c r="MA39" s="4"/>
      <c r="MB39" s="4"/>
      <c r="MC39" s="4"/>
      <c r="MD39" s="6"/>
      <c r="ME39" s="6"/>
      <c r="MF39" s="6"/>
      <c r="MG39" s="9"/>
      <c r="MH39"/>
    </row>
    <row r="40">
      <c r="A40" s="8">
        <v>25261</v>
      </c>
      <c r="B40" s="8">
        <v>25262</v>
      </c>
      <c r="C40" s="9">
        <f>B40-A40</f>
        <v>1</v>
      </c>
      <c r="D40" s="8">
        <v>25261</v>
      </c>
      <c r="E40" t="inlineStr">
        <is>
          <t xml:space="preserve">positive</t>
        </is>
      </c>
      <c r="F40" s="4">
        <v>1.0763033512660778</v>
      </c>
      <c r="G40" s="6">
        <v>-0.0026081887366819884</v>
      </c>
      <c r="H40" s="7">
        <f>SUM(CP40,DR40,ET40,FV40,GX40,HZ40,JB40,KD40,LF40,MH40)</f>
        <v>-0.0026081887366819884</v>
      </c>
      <c r="I40" s="7">
        <f>G40-H40</f>
        <v>0</v>
      </c>
      <c r="J40" s="5">
        <f>F40*(1+H40)</f>
        <v>1.0734961489880526</v>
      </c>
      <c r="K40" s="4">
        <v>1.0734961489880526</v>
      </c>
      <c r="L40" s="5">
        <f>K40-J40</f>
        <v>0</v>
      </c>
      <c r="M40" s="4">
        <v>1.834</v>
      </c>
      <c r="N40" s="4">
        <v>1.825</v>
      </c>
      <c r="O40" s="5">
        <f>M40/$M$3</f>
        <v>0.9366700715015323</v>
      </c>
      <c r="P40" s="5">
        <f>N40/$M$3</f>
        <v>0.932073544433095</v>
      </c>
      <c r="Q40" s="7">
        <f>IFERROR(N40/M40-1,0)</f>
        <v>-0.004907306434024039</v>
      </c>
      <c r="R40" s="5">
        <f>SUM(IF(BQ40="lease",CB40,0),IF(CS40="lease",DD40,0),IF(DU40="lease",EF40,0),IF(EW40="lease",FH40,0),IF(FY40="lease",GJ40,0),IF(HA40="lease",HL40,0),IF(IC40="lease",IN40,0),IF(JE40="lease",JP40,0),IF(KG40="lease",KR40,0),IF(LI40="lease",LT40,0))</f>
        <v>1.0763033512660776</v>
      </c>
      <c r="S40" s="5">
        <f>SUM(IF(BQ40="lease",CI40,0),IF(CS40="lease",DK40,0),IF(DU40="lease",EM40,0),IF(EW40="lease",FO40,0),IF(FY40="lease",GQ40,0),IF(HA40="lease",HS40,0),IF(IC40="lease",IU40,0),IF(JE40="lease",JW40,0),IF(KG40="lease",KY40,0),IF(LI40="lease",MA40,0))</f>
        <v>1.0734961489880523</v>
      </c>
      <c r="T40" s="5">
        <f>SUM(IF(BQ40="keep",CB40,0),IF(CS40="keep",DD40,0),IF(DU40="keep",EF40,0),IF(EW40="keep",FH40,0),IF(FY40="keep",GJ40,0),IF(HA40="keep",HL40,0),IF(IC40="keep",IN40,0),IF(JE40="keep",JP40,0),IF(KG40="keep",KR40,0),IF(LI40="keep",LT40,0))</f>
        <v>0</v>
      </c>
      <c r="U40" s="5">
        <f>SUM(IF(BQ40="keep",CI40,0),IF(CS40="keep",DK40,0),IF(DU40="keep",EM40,0),IF(EW40="keep",FO40,0),IF(FY40="keep",GQ40,0),IF(HA40="keep",HS40,0),IF(IC40="keep",IU40,0),IF(JE40="keep",JW40,0),IF(KG40="keep",KY40,0),IF(LI40="keep",MA40,0))</f>
        <v>0</v>
      </c>
      <c r="V40" s="5">
        <f>R40/O40</f>
        <v>1.14907413401253</v>
      </c>
      <c r="W40" s="5">
        <f>S40/P40</f>
        <v>1.151729019023894</v>
      </c>
      <c r="X40" s="5">
        <f>T40/O40</f>
        <v>0</v>
      </c>
      <c r="Y40" s="5">
        <f>U40/P40</f>
        <v>0</v>
      </c>
      <c r="Z40" s="5">
        <f>V40+X40</f>
        <v>1.14907413401253</v>
      </c>
      <c r="AA40" s="7">
        <f>IFERROR(W40/V40-1,0)</f>
        <v>0.002310455812013945</v>
      </c>
      <c r="AB40" s="7">
        <f>IFERROR((W40-V40)/Z40,0)</f>
        <v>0.002310455812013934</v>
      </c>
      <c r="AC40" s="7">
        <f>IFERROR(Y40/X40-1,0)</f>
        <v>0</v>
      </c>
      <c r="AD40" s="7">
        <f>IFERROR((Y40-X40)/Z40,0)</f>
        <v>0</v>
      </c>
      <c r="AE40" s="7">
        <f>AB40+AD40</f>
        <v>0.002310455812013934</v>
      </c>
      <c r="AF40" s="7">
        <f>(1+Q40)*(1+AE40)-1</f>
        <v>-0.0026081887366818934</v>
      </c>
      <c r="AG40" s="7">
        <f>G40-AF40</f>
        <v>-9.497611030973019e-17</v>
      </c>
      <c r="AH40" s="5">
        <f>SUM(IF(BQ40="lease",CE40,0),IF(CS40="lease",DG40,0),IF(DU40="lease",EI40,0),IF(EW40="lease",FK40,0),IF(FY40="lease",GM40,0),IF(HA40="lease",HO40,0),IF(IC40="lease",IQ40,0),IF(JE40="lease",JS40,0),IF(KG40="lease",KU40,0),IF(LI40="lease",LW40,0))</f>
        <v>-0.0028072022780252616</v>
      </c>
      <c r="AI40" s="5">
        <f>SUM(IF(BQ40="keep",CE40,0),IF(CS40="keep",DG40,0),IF(DU40="keep",EI40,0),IF(EW40="keep",FK40,0),IF(FY40="keep",GM40,0),IF(HA40="keep",HO40,0),IF(IC40="keep",IQ40,0),IF(JE40="keep",JS40,0),IF(KG40="keep",KU40,0),IF(LI40="keep",LW40,0))</f>
        <v>0</v>
      </c>
      <c r="AJ40" s="5">
        <f>SUM(IF(BQ40="lease",CH40,0),IF(CS40="lease",DJ40,0),IF(DU40="lease",EL40,0),IF(EW40="lease",FN40,0),IF(FY40="lease",GP40,0),IF(HA40="lease",HR40,0),IF(IC40="lease",IT40,0),IF(JE40="lease",JV40,0),IF(KG40="lease",KX40,0),IF(LI40="lease",LZ40,0))</f>
        <v>0</v>
      </c>
      <c r="AK40" s="5">
        <f>SUM(IF(BQ40="keep",CH40,0),IF(CS40="keep",DJ40,0),IF(DU40="keep",EL40,0),IF(EW40="keep",FN40,0),IF(FY40="keep",GP40,0),IF(HA40="keep",HR40,0),IF(IC40="keep",IT40,0),IF(JE40="keep",JV40,0),IF(KG40="keep",KX40,0),IF(LI40="keep",LZ40,0))</f>
        <v>0</v>
      </c>
      <c r="AL40" s="5">
        <f>R40-S39</f>
        <v>0</v>
      </c>
      <c r="AM40" s="5">
        <f>T40-U39</f>
        <v>0</v>
      </c>
      <c r="AN40" s="5">
        <f>AN39</f>
        <v>1</v>
      </c>
      <c r="AO40" s="5">
        <f>AO39+AH40</f>
        <v>0.07349614898805285</v>
      </c>
      <c r="AP40" s="5">
        <f>AP39+AL40</f>
        <v>-4.440892098500626e-16</v>
      </c>
      <c r="AQ40" s="5">
        <f>AN40+AO40+AP40</f>
        <v>1.0734961489880523</v>
      </c>
      <c r="AR40" s="5">
        <f>S40-AQ40</f>
        <v>0</v>
      </c>
      <c r="AS40" s="5">
        <f>AS39</f>
        <v>0</v>
      </c>
      <c r="AT40" s="5">
        <f>AT39+AI40</f>
        <v>0</v>
      </c>
      <c r="AU40" s="5">
        <f>AU39+AM40</f>
        <v>0</v>
      </c>
      <c r="AV40" s="5">
        <f>AS40+AT40+AU40</f>
        <v>0</v>
      </c>
      <c r="AW40" s="5">
        <f>U40-AV40</f>
        <v>0</v>
      </c>
      <c r="AX40" s="4">
        <v>1.0763033512660776</v>
      </c>
      <c r="AY40" s="4">
        <v>1.0734961489880523</v>
      </c>
      <c r="AZ40" s="5">
        <f>S40-AY40</f>
        <v>0</v>
      </c>
      <c r="BA40" s="4">
        <v>0</v>
      </c>
      <c r="BB40" s="4">
        <v>0</v>
      </c>
      <c r="BC40" s="5">
        <f>U40-BB40</f>
        <v>0</v>
      </c>
      <c r="BD40" s="7">
        <f>SUM(IF(BP40="direct",CC40/F40,0),IF(CR40="direct",DE40/F40,0),IF(DT40="direct",EG40/F40,0),IF(EV40="direct",FI40/F40,0),IF(FX40="direct",GK40/F40,0),IF(GZ40="direct",HM40/F40,0),IF(IB40="direct",IO40/F40,0),IF(JD40="direct",JQ40/F40,0),IF(KF40="direct",KS40/F40,0),IF(LH40="direct",LU40/F40,0))</f>
        <v>0</v>
      </c>
      <c r="BE40" s="7">
        <f>-SUM(IF(BP40="direct",CD40/F40,0),IF(CR40="direct",DF40/F40,0),IF(DT40="direct",EH40/F40,0),IF(EV40="direct",FJ40/F40,0),IF(FX40="direct",GL40/F40,0),IF(GZ40="direct",HN40/F40,0),IF(IB40="direct",IP40/F40,0),IF(JD40="direct",JR40/F40,0),IF(KF40="direct",KT40/F40,0),IF(LH40="direct",LV40/F40,0))</f>
        <v>0</v>
      </c>
      <c r="BF40" s="7">
        <f>BD40+BE40</f>
        <v>0</v>
      </c>
      <c r="BG40" s="7">
        <f>BF40-SUM(IF(BP40="direct",CP40,0),IF(CR40="direct",DR40,0),IF(DT40="direct",ET40,0),IF(EV40="direct",FV40,0),IF(FX40="direct",GX40,0),IF(GZ40="direct",HZ40,0),IF(IB40="direct",JB40,0),IF(JD40="direct",KD40,0),IF(KF40="direct",LF40,0),IF(LH40="direct",MH40,0))</f>
        <v>0</v>
      </c>
      <c r="BH40" s="7">
        <f>SUM(IF(BP40="treasury",CP40,0),IF(CR40="treasury",DR40,0),IF(DT40="treasury",ET40,0),IF(EV40="treasury",FV40,0),IF(FX40="treasury",GX40,0),IF(GZ40="treasury",HZ40,0),IF(IB40="treasury",JB40,0),IF(JD40="treasury",KD40,0),IF(KF40="treasury",LF40,0),IF(LH40="treasury",MH40,0))</f>
        <v>0.0001695890410958904</v>
      </c>
      <c r="BI40" s="7">
        <f>SUM(IF(BP40="future",CP40,0),IF(CR40="future",DR40,0),IF(DT40="future",ET40,0),IF(EV40="future",FV40,0),IF(FX40="future",GX40,0),IF(GZ40="future",HZ40,0),IF(IB40="future",JB40,0),IF(JD40="future",KD40,0),IF(KF40="future",LF40,0),IF(LH40="future",MH40,0))</f>
        <v>-0.002777777777777879</v>
      </c>
      <c r="BJ40" s="7">
        <f>SUM(IF(BP40="cash",CP40,0),IF(CR40="cash",DR40,0),IF(DT40="cash",ET40,0),IF(EV40="cash",FV40,0),IF(FX40="cash",GX40,0),IF(GZ40="cash",HZ40,0),IF(IB40="cash",JB40,0),IF(JD40="cash",KD40,0),IF(KF40="cash",LF40,0),IF(LH40="cash",MH40,0))</f>
        <v>0</v>
      </c>
      <c r="BK40" s="7">
        <f>SUM(BF40,BH40,BI40,BJ40)</f>
        <v>-0.0026081887366819884</v>
      </c>
      <c r="BL40" s="7">
        <f>G40-BK40</f>
        <v>0</v>
      </c>
      <c r="BM40" s="5">
        <f>MAX(ABS(CG40),ABS(DI40),ABS(EK40),ABS(FM40),ABS(GO40),ABS(HQ40),ABS(IS40),ABS(JU40),ABS(KW40),ABS(LY40))</f>
        <v>2.2442984970449942e-17</v>
      </c>
      <c r="BN40" s="9">
        <f>COUNTA(BO40,CQ40,DS40,EU40,FW40,GY40,IA40,JC40,KE40,LG40)</f>
        <v>4</v>
      </c>
      <c r="BO40" t="inlineStr">
        <is>
          <t xml:space="preserve">Treasury collateral</t>
        </is>
      </c>
      <c r="BP40" t="inlineStr">
        <is>
          <t xml:space="preserve">treasury</t>
        </is>
      </c>
      <c r="BQ40" t="inlineStr">
        <is>
          <t xml:space="preserve">lease</t>
        </is>
      </c>
      <c r="BR40" t="inlineStr">
        <is>
          <t xml:space="preserve">long</t>
        </is>
      </c>
      <c r="BS40"/>
      <c r="BT40" s="4">
        <v>100.944043240906</v>
      </c>
      <c r="BU40" s="4">
        <v>100.96116224440357</v>
      </c>
      <c r="BV40" s="6"/>
      <c r="BW40" s="4">
        <v>0.010662376072032773</v>
      </c>
      <c r="BX40" s="5">
        <f>IF(BP40="direct",IFERROR(CD40/BU40,0),0)</f>
        <v>0</v>
      </c>
      <c r="BY40" s="5">
        <f>IF(BP40="direct",BW40-BX40,IF(BP40="cash",CI40,BW40))</f>
        <v>0.010662376072032773</v>
      </c>
      <c r="BZ40" s="6">
        <v>1</v>
      </c>
      <c r="CA40" s="4">
        <v>1.0763033512660778</v>
      </c>
      <c r="CB40" s="4">
        <v>1.0763033512660778</v>
      </c>
      <c r="CC40" s="5">
        <f>IF(BP40="direct",BW40*(BU40-BT40),CF40)</f>
        <v>0.00018252925326952987</v>
      </c>
      <c r="CD40" s="5">
        <f>IF(BP40="direct",CB40*BV40*C40/365,0)</f>
        <v>0</v>
      </c>
      <c r="CE40" s="5">
        <f>CC40-CD40</f>
        <v>0.00018252925326950743</v>
      </c>
      <c r="CF40" s="4">
        <v>0.00018252925326950743</v>
      </c>
      <c r="CG40" s="5">
        <f>CF40-CE40</f>
        <v>-2.2442984970449942e-17</v>
      </c>
      <c r="CH40" s="4">
        <v>5.139118297581291e-17</v>
      </c>
      <c r="CI40" s="4">
        <v>1.0764858805193473</v>
      </c>
      <c r="CJ40" s="4">
        <v>1.834</v>
      </c>
      <c r="CK40" s="4">
        <v>1.825</v>
      </c>
      <c r="CL40" s="6"/>
      <c r="CM40" s="6"/>
      <c r="CN40" s="6"/>
      <c r="CO40" s="9">
        <v>28</v>
      </c>
      <c r="CP40" s="7">
        <f>IFERROR(CE40/F40,0)</f>
        <v>0.0001695890410958904</v>
      </c>
      <c r="CQ40" t="inlineStr">
        <is>
          <t xml:space="preserve">SI69H</t>
        </is>
      </c>
      <c r="CR40" t="inlineStr">
        <is>
          <t xml:space="preserve">future</t>
        </is>
      </c>
      <c r="CS40" t="inlineStr">
        <is>
          <t xml:space="preserve">lease</t>
        </is>
      </c>
      <c r="CT40" t="inlineStr">
        <is>
          <t xml:space="preserve">long</t>
        </is>
      </c>
      <c r="CU40" t="inlineStr">
        <is>
          <t xml:space="preserve">regular</t>
        </is>
      </c>
      <c r="CV40" s="4">
        <v>1.8</v>
      </c>
      <c r="CW40" s="4">
        <v>1.795</v>
      </c>
      <c r="CX40" s="6"/>
      <c r="CY40" s="4">
        <v>0.5979463062589321</v>
      </c>
      <c r="CZ40" s="5">
        <f>IF(CR40="direct",IFERROR(DF40/CW40,0),0)</f>
        <v>0</v>
      </c>
      <c r="DA40" s="5">
        <f>IF(CR40="direct",CY40-CZ40,IF(CR40="cash",DK40,CY40))</f>
        <v>0.5979463062589321</v>
      </c>
      <c r="DB40" s="6">
        <v>1</v>
      </c>
      <c r="DC40" s="4">
        <v>1.0763033512660778</v>
      </c>
      <c r="DD40" s="4">
        <v>0</v>
      </c>
      <c r="DE40" s="5">
        <f>IF(CR40="direct",CY40*(CW40-CV40),DH40)</f>
        <v>-0.0029897315312947693</v>
      </c>
      <c r="DF40" s="5">
        <f>IF(CR40="direct",DD40*CX40*C40/365,0)</f>
        <v>0</v>
      </c>
      <c r="DG40" s="5">
        <f>DE40-DF40</f>
        <v>-0.0029897315312947693</v>
      </c>
      <c r="DH40" s="4">
        <v>-0.0029897315312947693</v>
      </c>
      <c r="DI40" s="5">
        <f>DH40-DG40</f>
        <v>0</v>
      </c>
      <c r="DJ40" s="4">
        <v>0.0029897315312947693</v>
      </c>
      <c r="DK40" s="4">
        <v>0</v>
      </c>
      <c r="DL40" s="4">
        <v>1.834</v>
      </c>
      <c r="DM40" s="4">
        <v>1.825</v>
      </c>
      <c r="DN40" s="6">
        <v>-0.018538713195201728</v>
      </c>
      <c r="DO40" s="6">
        <v>0.0619</v>
      </c>
      <c r="DP40" s="6">
        <v>0.3035653684374511</v>
      </c>
      <c r="DQ40" s="9">
        <v>28</v>
      </c>
      <c r="DR40" s="7">
        <f>IFERROR(DG40/F40,0)</f>
        <v>-0.002777777777777879</v>
      </c>
      <c r="DS40" t="inlineStr">
        <is>
          <t xml:space="preserve">Lease cash / margin / financing</t>
        </is>
      </c>
      <c r="DT40" t="inlineStr">
        <is>
          <t xml:space="preserve">cash</t>
        </is>
      </c>
      <c r="DU40" t="inlineStr">
        <is>
          <t xml:space="preserve">lease</t>
        </is>
      </c>
      <c r="DV40" t="inlineStr">
        <is>
          <t xml:space="preserve">cash</t>
        </is>
      </c>
      <c r="DW40"/>
      <c r="DX40" s="4">
        <v>1</v>
      </c>
      <c r="DY40" s="4">
        <v>1</v>
      </c>
      <c r="DZ40" s="6"/>
      <c r="EA40" s="4">
        <v>-2.220446049250313e-16</v>
      </c>
      <c r="EB40" s="5">
        <f>IF(DT40="direct",IFERROR(EH40/DY40,0),0)</f>
        <v>0</v>
      </c>
      <c r="EC40" s="5">
        <f>IF(DT40="direct",EA40-EB40,IF(DT40="cash",EM40,EA40))</f>
        <v>-0.0029897315312950425</v>
      </c>
      <c r="ED40" s="6"/>
      <c r="EE40" s="4">
        <v>-2.220446049250313e-16</v>
      </c>
      <c r="EF40" s="4">
        <v>-2.220446049250313e-16</v>
      </c>
      <c r="EG40" s="5">
        <f>IF(DT40="direct",EA40*(DY40-DX40),EJ40)</f>
        <v>0</v>
      </c>
      <c r="EH40" s="5">
        <f>IF(DT40="direct",EF40*DZ40*C40/365,0)</f>
        <v>0</v>
      </c>
      <c r="EI40" s="5">
        <f>EG40-EH40</f>
        <v>0</v>
      </c>
      <c r="EJ40" s="4">
        <v>0</v>
      </c>
      <c r="EK40" s="5">
        <f>EJ40-EI40</f>
        <v>0</v>
      </c>
      <c r="EL40" s="4">
        <v>-0.0029897315312948205</v>
      </c>
      <c r="EM40" s="4">
        <v>-0.0029897315312950425</v>
      </c>
      <c r="EN40" s="4">
        <v>1.834</v>
      </c>
      <c r="EO40" s="4">
        <v>1.825</v>
      </c>
      <c r="EP40" s="6"/>
      <c r="EQ40" s="6"/>
      <c r="ER40" s="6"/>
      <c r="ES40" s="9"/>
      <c r="ET40" s="7">
        <f>IFERROR(EI40/F40,0)</f>
        <v>0</v>
      </c>
      <c r="EU40" t="inlineStr">
        <is>
          <t xml:space="preserve">Keep cash / margin / financing</t>
        </is>
      </c>
      <c r="EV40" t="inlineStr">
        <is>
          <t xml:space="preserve">cash</t>
        </is>
      </c>
      <c r="EW40" t="inlineStr">
        <is>
          <t xml:space="preserve">keep</t>
        </is>
      </c>
      <c r="EX40" t="inlineStr">
        <is>
          <t xml:space="preserve">cash</t>
        </is>
      </c>
      <c r="EY40"/>
      <c r="EZ40" s="4">
        <v>1</v>
      </c>
      <c r="FA40" s="4">
        <v>1</v>
      </c>
      <c r="FB40" s="6"/>
      <c r="FC40" s="4">
        <v>0</v>
      </c>
      <c r="FD40" s="5">
        <f>IF(EV40="direct",IFERROR(FJ40/FA40,0),0)</f>
        <v>0</v>
      </c>
      <c r="FE40" s="5">
        <f>IF(EV40="direct",FC40-FD40,IF(EV40="cash",FO40,FC40))</f>
        <v>0</v>
      </c>
      <c r="FF40" s="6"/>
      <c r="FG40" s="4">
        <v>0</v>
      </c>
      <c r="FH40" s="4">
        <v>0</v>
      </c>
      <c r="FI40" s="5">
        <f>IF(EV40="direct",FC40*(FA40-EZ40),FL40)</f>
        <v>0</v>
      </c>
      <c r="FJ40" s="5">
        <f>IF(EV40="direct",FH40*FB40*C40/365,0)</f>
        <v>0</v>
      </c>
      <c r="FK40" s="5">
        <f>FI40-FJ40</f>
        <v>0</v>
      </c>
      <c r="FL40" s="4">
        <v>0</v>
      </c>
      <c r="FM40" s="5">
        <f>FL40-FK40</f>
        <v>0</v>
      </c>
      <c r="FN40" s="4">
        <v>0</v>
      </c>
      <c r="FO40" s="4">
        <v>0</v>
      </c>
      <c r="FP40" s="4">
        <v>1.834</v>
      </c>
      <c r="FQ40" s="4">
        <v>1.825</v>
      </c>
      <c r="FR40" s="6"/>
      <c r="FS40" s="6"/>
      <c r="FT40" s="6"/>
      <c r="FU40" s="9"/>
      <c r="FV40" s="7">
        <f>IFERROR(FK40/F40,0)</f>
        <v>0</v>
      </c>
      <c r="FW40"/>
      <c r="FX40"/>
      <c r="FY40"/>
      <c r="FZ40"/>
      <c r="GA40"/>
      <c r="GB40" s="4"/>
      <c r="GC40" s="4"/>
      <c r="GD40" s="6"/>
      <c r="GE40" s="4"/>
      <c r="GF40" s="5">
        <v>0</v>
      </c>
      <c r="GG40" s="5"/>
      <c r="GH40" s="6"/>
      <c r="GI40" s="4"/>
      <c r="GJ40" s="4"/>
      <c r="GK40" s="5">
        <v>0</v>
      </c>
      <c r="GL40" s="5">
        <v>0</v>
      </c>
      <c r="GM40" s="5"/>
      <c r="GN40" s="4"/>
      <c r="GO40" s="5">
        <v>0</v>
      </c>
      <c r="GP40" s="4"/>
      <c r="GQ40" s="4"/>
      <c r="GR40" s="4"/>
      <c r="GS40" s="4"/>
      <c r="GT40" s="6"/>
      <c r="GU40" s="6"/>
      <c r="GV40" s="6"/>
      <c r="GW40" s="9"/>
      <c r="GX40"/>
      <c r="GY40"/>
      <c r="GZ40"/>
      <c r="HA40"/>
      <c r="HB40"/>
      <c r="HC40"/>
      <c r="HD40" s="4"/>
      <c r="HE40" s="4"/>
      <c r="HF40" s="6"/>
      <c r="HG40" s="4"/>
      <c r="HH40" s="5">
        <v>0</v>
      </c>
      <c r="HI40" s="5"/>
      <c r="HJ40" s="6"/>
      <c r="HK40" s="4"/>
      <c r="HL40" s="4"/>
      <c r="HM40" s="5">
        <v>0</v>
      </c>
      <c r="HN40" s="5">
        <v>0</v>
      </c>
      <c r="HO40" s="5"/>
      <c r="HP40" s="4"/>
      <c r="HQ40" s="5">
        <v>0</v>
      </c>
      <c r="HR40" s="4"/>
      <c r="HS40" s="4"/>
      <c r="HT40" s="4"/>
      <c r="HU40" s="4"/>
      <c r="HV40" s="6"/>
      <c r="HW40" s="6"/>
      <c r="HX40" s="6"/>
      <c r="HY40" s="9"/>
      <c r="HZ40"/>
      <c r="IA40"/>
      <c r="IB40"/>
      <c r="IC40"/>
      <c r="ID40"/>
      <c r="IE40"/>
      <c r="IF40" s="4"/>
      <c r="IG40" s="4"/>
      <c r="IH40" s="6"/>
      <c r="II40" s="4"/>
      <c r="IJ40" s="5">
        <v>0</v>
      </c>
      <c r="IK40" s="5"/>
      <c r="IL40" s="6"/>
      <c r="IM40" s="4"/>
      <c r="IN40" s="4"/>
      <c r="IO40" s="5">
        <v>0</v>
      </c>
      <c r="IP40" s="5">
        <v>0</v>
      </c>
      <c r="IQ40" s="5"/>
      <c r="IR40" s="4"/>
      <c r="IS40" s="5">
        <v>0</v>
      </c>
      <c r="IT40" s="4"/>
      <c r="IU40" s="4"/>
      <c r="IV40" s="4"/>
      <c r="IW40" s="4"/>
      <c r="IX40" s="6"/>
      <c r="IY40" s="6"/>
      <c r="IZ40" s="6"/>
      <c r="JA40" s="9"/>
      <c r="JB40"/>
      <c r="JC40"/>
      <c r="JD40"/>
      <c r="JE40"/>
      <c r="JF40"/>
      <c r="JG40"/>
      <c r="JH40" s="4"/>
      <c r="JI40" s="4"/>
      <c r="JJ40" s="6"/>
      <c r="JK40" s="4"/>
      <c r="JL40" s="5">
        <v>0</v>
      </c>
      <c r="JM40" s="5"/>
      <c r="JN40" s="6"/>
      <c r="JO40" s="4"/>
      <c r="JP40" s="4"/>
      <c r="JQ40" s="5">
        <v>0</v>
      </c>
      <c r="JR40" s="5">
        <v>0</v>
      </c>
      <c r="JS40" s="5"/>
      <c r="JT40" s="4"/>
      <c r="JU40" s="5">
        <v>0</v>
      </c>
      <c r="JV40" s="4"/>
      <c r="JW40" s="4"/>
      <c r="JX40" s="4"/>
      <c r="JY40" s="4"/>
      <c r="JZ40" s="6"/>
      <c r="KA40" s="6"/>
      <c r="KB40" s="6"/>
      <c r="KC40" s="9"/>
      <c r="KD40"/>
      <c r="KE40"/>
      <c r="KF40"/>
      <c r="KG40"/>
      <c r="KH40"/>
      <c r="KI40"/>
      <c r="KJ40" s="4"/>
      <c r="KK40" s="4"/>
      <c r="KL40" s="6"/>
      <c r="KM40" s="4"/>
      <c r="KN40" s="5">
        <v>0</v>
      </c>
      <c r="KO40" s="5"/>
      <c r="KP40" s="6"/>
      <c r="KQ40" s="4"/>
      <c r="KR40" s="4"/>
      <c r="KS40" s="5">
        <v>0</v>
      </c>
      <c r="KT40" s="5">
        <v>0</v>
      </c>
      <c r="KU40" s="5"/>
      <c r="KV40" s="4"/>
      <c r="KW40" s="5">
        <v>0</v>
      </c>
      <c r="KX40" s="4"/>
      <c r="KY40" s="4"/>
      <c r="KZ40" s="4"/>
      <c r="LA40" s="4"/>
      <c r="LB40" s="6"/>
      <c r="LC40" s="6"/>
      <c r="LD40" s="6"/>
      <c r="LE40" s="9"/>
      <c r="LF40"/>
      <c r="LG40"/>
      <c r="LH40"/>
      <c r="LI40"/>
      <c r="LJ40"/>
      <c r="LK40"/>
      <c r="LL40" s="4"/>
      <c r="LM40" s="4"/>
      <c r="LN40" s="6"/>
      <c r="LO40" s="4"/>
      <c r="LP40" s="5">
        <v>0</v>
      </c>
      <c r="LQ40" s="5"/>
      <c r="LR40" s="6"/>
      <c r="LS40" s="4"/>
      <c r="LT40" s="4"/>
      <c r="LU40" s="5">
        <v>0</v>
      </c>
      <c r="LV40" s="5">
        <v>0</v>
      </c>
      <c r="LW40" s="5"/>
      <c r="LX40" s="4"/>
      <c r="LY40" s="5">
        <v>0</v>
      </c>
      <c r="LZ40" s="4"/>
      <c r="MA40" s="4"/>
      <c r="MB40" s="4"/>
      <c r="MC40" s="4"/>
      <c r="MD40" s="6"/>
      <c r="ME40" s="6"/>
      <c r="MF40" s="6"/>
      <c r="MG40" s="9"/>
      <c r="MH40"/>
    </row>
    <row r="41">
      <c r="A41" s="8">
        <v>25262</v>
      </c>
      <c r="B41" s="8">
        <v>25265</v>
      </c>
      <c r="C41" s="9">
        <f>B41-A41</f>
        <v>3</v>
      </c>
      <c r="D41" s="8">
        <v>25262</v>
      </c>
      <c r="E41" t="inlineStr">
        <is>
          <t xml:space="preserve">positive</t>
        </is>
      </c>
      <c r="F41" s="4">
        <v>1.0734961489880526</v>
      </c>
      <c r="G41" s="6">
        <v>-0.0022767481970465487</v>
      </c>
      <c r="H41" s="7">
        <f>SUM(CP41,DR41,ET41,FV41,GX41,HZ41,JB41,KD41,LF41,MH41)</f>
        <v>-0.0022767481970465487</v>
      </c>
      <c r="I41" s="7">
        <f>G41-H41</f>
        <v>0</v>
      </c>
      <c r="J41" s="5">
        <f>F41*(1+H41)</f>
        <v>1.0710520685663076</v>
      </c>
      <c r="K41" s="4">
        <v>1.0710520685663076</v>
      </c>
      <c r="L41" s="5">
        <f>K41-J41</f>
        <v>0</v>
      </c>
      <c r="M41" s="4">
        <v>1.825</v>
      </c>
      <c r="N41" s="4">
        <v>1.815</v>
      </c>
      <c r="O41" s="5">
        <f>M41/$M$3</f>
        <v>0.932073544433095</v>
      </c>
      <c r="P41" s="5">
        <f>N41/$M$3</f>
        <v>0.9269662921348315</v>
      </c>
      <c r="Q41" s="7">
        <f>IFERROR(N41/M41-1,0)</f>
        <v>-0.005479452054794498</v>
      </c>
      <c r="R41" s="5">
        <f>SUM(IF(BQ41="lease",CB41,0),IF(CS41="lease",DD41,0),IF(DU41="lease",EF41,0),IF(EW41="lease",FH41,0),IF(FY41="lease",GJ41,0),IF(HA41="lease",HL41,0),IF(IC41="lease",IN41,0),IF(JE41="lease",JP41,0),IF(KG41="lease",KR41,0),IF(LI41="lease",LT41,0))</f>
        <v>1.0734961489880523</v>
      </c>
      <c r="S41" s="5">
        <f>SUM(IF(BQ41="lease",CI41,0),IF(CS41="lease",DK41,0),IF(DU41="lease",EM41,0),IF(EW41="lease",FO41,0),IF(FY41="lease",GQ41,0),IF(HA41="lease",HS41,0),IF(IC41="lease",IU41,0),IF(JE41="lease",JW41,0),IF(KG41="lease",KY41,0),IF(LI41="lease",MA41,0))</f>
        <v>1.0710520685663074</v>
      </c>
      <c r="T41" s="5">
        <f>SUM(IF(BQ41="keep",CB41,0),IF(CS41="keep",DD41,0),IF(DU41="keep",EF41,0),IF(EW41="keep",FH41,0),IF(FY41="keep",GJ41,0),IF(HA41="keep",HL41,0),IF(IC41="keep",IN41,0),IF(JE41="keep",JP41,0),IF(KG41="keep",KR41,0),IF(LI41="keep",LT41,0))</f>
        <v>0</v>
      </c>
      <c r="U41" s="5">
        <f>SUM(IF(BQ41="keep",CI41,0),IF(CS41="keep",DK41,0),IF(DU41="keep",EM41,0),IF(EW41="keep",FO41,0),IF(FY41="keep",GQ41,0),IF(HA41="keep",HS41,0),IF(IC41="keep",IU41,0),IF(JE41="keep",JW41,0),IF(KG41="keep",KY41,0),IF(LI41="keep",MA41,0))</f>
        <v>0</v>
      </c>
      <c r="V41" s="5">
        <f>R41/O41</f>
        <v>1.151729019023894</v>
      </c>
      <c r="W41" s="5">
        <f>S41/P41</f>
        <v>1.1554379891200164</v>
      </c>
      <c r="X41" s="5">
        <f>T41/O41</f>
        <v>0</v>
      </c>
      <c r="Y41" s="5">
        <f>U41/P41</f>
        <v>0</v>
      </c>
      <c r="Z41" s="5">
        <f>V41+X41</f>
        <v>1.151729019023894</v>
      </c>
      <c r="AA41" s="7">
        <f>IFERROR(W41/V41-1,0)</f>
        <v>0.003220349609030171</v>
      </c>
      <c r="AB41" s="7">
        <f>IFERROR((W41-V41)/Z41,0)</f>
        <v>0.0032203496090302285</v>
      </c>
      <c r="AC41" s="7">
        <f>IFERROR(Y41/X41-1,0)</f>
        <v>0</v>
      </c>
      <c r="AD41" s="7">
        <f>IFERROR((Y41-X41)/Z41,0)</f>
        <v>0</v>
      </c>
      <c r="AE41" s="7">
        <f>AB41+AD41</f>
        <v>0.0032203496090302285</v>
      </c>
      <c r="AF41" s="7">
        <f>(1+Q41)*(1+AE41)-1</f>
        <v>-0.0022767481970467074</v>
      </c>
      <c r="AG41" s="7">
        <f>G41-AF41</f>
        <v>1.5872719805187785e-16</v>
      </c>
      <c r="AH41" s="5">
        <f>SUM(IF(BQ41="lease",CE41,0),IF(CS41="lease",DG41,0),IF(DU41="lease",EI41,0),IF(EW41="lease",FK41,0),IF(FY41="lease",GM41,0),IF(HA41="lease",HO41,0),IF(IC41="lease",IQ41,0),IF(JE41="lease",JS41,0),IF(KG41="lease",KU41,0),IF(LI41="lease",LW41,0))</f>
        <v>-0.002444080421744962</v>
      </c>
      <c r="AI41" s="5">
        <f>SUM(IF(BQ41="keep",CE41,0),IF(CS41="keep",DG41,0),IF(DU41="keep",EI41,0),IF(EW41="keep",FK41,0),IF(FY41="keep",GM41,0),IF(HA41="keep",HO41,0),IF(IC41="keep",IQ41,0),IF(JE41="keep",JS41,0),IF(KG41="keep",KU41,0),IF(LI41="keep",LW41,0))</f>
        <v>0</v>
      </c>
      <c r="AJ41" s="5">
        <f>SUM(IF(BQ41="lease",CH41,0),IF(CS41="lease",DJ41,0),IF(DU41="lease",EL41,0),IF(EW41="lease",FN41,0),IF(FY41="lease",GP41,0),IF(HA41="lease",HR41,0),IF(IC41="lease",IT41,0),IF(JE41="lease",JV41,0),IF(KG41="lease",KX41,0),IF(LI41="lease",LZ41,0))</f>
        <v>0</v>
      </c>
      <c r="AK41" s="5">
        <f>SUM(IF(BQ41="keep",CH41,0),IF(CS41="keep",DJ41,0),IF(DU41="keep",EL41,0),IF(EW41="keep",FN41,0),IF(FY41="keep",GP41,0),IF(HA41="keep",HR41,0),IF(IC41="keep",IT41,0),IF(JE41="keep",JV41,0),IF(KG41="keep",KX41,0),IF(LI41="keep",LZ41,0))</f>
        <v>0</v>
      </c>
      <c r="AL41" s="5">
        <f>R41-S40</f>
        <v>0</v>
      </c>
      <c r="AM41" s="5">
        <f>T41-U40</f>
        <v>0</v>
      </c>
      <c r="AN41" s="5">
        <f>AN40</f>
        <v>1</v>
      </c>
      <c r="AO41" s="5">
        <f>AO40+AH41</f>
        <v>0.07105206856630789</v>
      </c>
      <c r="AP41" s="5">
        <f>AP40+AL41</f>
        <v>-4.440892098500626e-16</v>
      </c>
      <c r="AQ41" s="5">
        <f>AN41+AO41+AP41</f>
        <v>1.0710520685663074</v>
      </c>
      <c r="AR41" s="5">
        <f>S41-AQ41</f>
        <v>0</v>
      </c>
      <c r="AS41" s="5">
        <f>AS40</f>
        <v>0</v>
      </c>
      <c r="AT41" s="5">
        <f>AT40+AI41</f>
        <v>0</v>
      </c>
      <c r="AU41" s="5">
        <f>AU40+AM41</f>
        <v>0</v>
      </c>
      <c r="AV41" s="5">
        <f>AS41+AT41+AU41</f>
        <v>0</v>
      </c>
      <c r="AW41" s="5">
        <f>U41-AV41</f>
        <v>0</v>
      </c>
      <c r="AX41" s="4">
        <v>1.0734961489880523</v>
      </c>
      <c r="AY41" s="4">
        <v>1.0710520685663074</v>
      </c>
      <c r="AZ41" s="5">
        <f>S41-AY41</f>
        <v>0</v>
      </c>
      <c r="BA41" s="4">
        <v>0</v>
      </c>
      <c r="BB41" s="4">
        <v>0</v>
      </c>
      <c r="BC41" s="5">
        <f>U41-BB41</f>
        <v>0</v>
      </c>
      <c r="BD41" s="7">
        <f>SUM(IF(BP41="direct",CC41/F41,0),IF(CR41="direct",DE41/F41,0),IF(DT41="direct",EG41/F41,0),IF(EV41="direct",FI41/F41,0),IF(FX41="direct",GK41/F41,0),IF(GZ41="direct",HM41/F41,0),IF(IB41="direct",IO41/F41,0),IF(JD41="direct",JQ41/F41,0),IF(KF41="direct",KS41/F41,0),IF(LH41="direct",LU41/F41,0))</f>
        <v>0</v>
      </c>
      <c r="BE41" s="7">
        <f>-SUM(IF(BP41="direct",CD41/F41,0),IF(CR41="direct",DF41/F41,0),IF(DT41="direct",EH41/F41,0),IF(EV41="direct",FJ41/F41,0),IF(FX41="direct",GL41/F41,0),IF(GZ41="direct",HN41/F41,0),IF(IB41="direct",IP41/F41,0),IF(JD41="direct",JR41/F41,0),IF(KF41="direct",KT41/F41,0),IF(LH41="direct",LV41/F41,0))</f>
        <v>0</v>
      </c>
      <c r="BF41" s="7">
        <f>BD41+BE41</f>
        <v>0</v>
      </c>
      <c r="BG41" s="7">
        <f>BF41-SUM(IF(BP41="direct",CP41,0),IF(CR41="direct",DR41,0),IF(DT41="direct",ET41,0),IF(EV41="direct",FV41,0),IF(FX41="direct",GX41,0),IF(GZ41="direct",HZ41,0),IF(IB41="direct",JB41,0),IF(JD41="direct",KD41,0),IF(KF41="direct",LF41,0),IF(LH41="direct",MH41,0))</f>
        <v>0</v>
      </c>
      <c r="BH41" s="7">
        <f>SUM(IF(BP41="treasury",CP41,0),IF(CR41="treasury",DR41,0),IF(DT41="treasury",ET41,0),IF(EV41="treasury",FV41,0),IF(FX41="treasury",GX41,0),IF(GZ41="treasury",HZ41,0),IF(IB41="treasury",JB41,0),IF(JD41="treasury",KD41,0),IF(KF41="treasury",LF41,0),IF(LH41="treasury",MH41,0))</f>
        <v>0.0005087671232876712</v>
      </c>
      <c r="BI41" s="7">
        <f>SUM(IF(BP41="future",CP41,0),IF(CR41="future",DR41,0),IF(DT41="future",ET41,0),IF(EV41="future",FV41,0),IF(FX41="future",GX41,0),IF(GZ41="future",HZ41,0),IF(IB41="future",JB41,0),IF(JD41="future",KD41,0),IF(KF41="future",LF41,0),IF(LH41="future",MH41,0))</f>
        <v>-0.0027855153203342198</v>
      </c>
      <c r="BJ41" s="7">
        <f>SUM(IF(BP41="cash",CP41,0),IF(CR41="cash",DR41,0),IF(DT41="cash",ET41,0),IF(EV41="cash",FV41,0),IF(FX41="cash",GX41,0),IF(GZ41="cash",HZ41,0),IF(IB41="cash",JB41,0),IF(JD41="cash",KD41,0),IF(KF41="cash",LF41,0),IF(LH41="cash",MH41,0))</f>
        <v>0</v>
      </c>
      <c r="BK41" s="7">
        <f>SUM(BF41,BH41,BI41,BJ41)</f>
        <v>-0.0022767481970465487</v>
      </c>
      <c r="BL41" s="7">
        <f>G41-BK41</f>
        <v>0</v>
      </c>
      <c r="BM41" s="5">
        <f>MAX(ABS(CG41),ABS(DI41),ABS(EK41),ABS(FM41),ABS(GO41),ABS(HQ41),ABS(IS41),ABS(JU41),ABS(KW41),ABS(LY41))</f>
        <v>2.3201926491189795e-17</v>
      </c>
      <c r="BN41" s="9">
        <f>COUNTA(BO41,CQ41,DS41,EU41,FW41,GY41,IA41,JC41,KE41,LG41)</f>
        <v>4</v>
      </c>
      <c r="BO41" t="inlineStr">
        <is>
          <t xml:space="preserve">Treasury collateral</t>
        </is>
      </c>
      <c r="BP41" t="inlineStr">
        <is>
          <t xml:space="preserve">treasury</t>
        </is>
      </c>
      <c r="BQ41" t="inlineStr">
        <is>
          <t xml:space="preserve">lease</t>
        </is>
      </c>
      <c r="BR41" t="inlineStr">
        <is>
          <t xml:space="preserve">long</t>
        </is>
      </c>
      <c r="BS41"/>
      <c r="BT41" s="4">
        <v>100.96116224440357</v>
      </c>
      <c r="BU41" s="4">
        <v>101.01252796448243</v>
      </c>
      <c r="BV41" s="6"/>
      <c r="BW41" s="4">
        <v>0.010632763382709158</v>
      </c>
      <c r="BX41" s="5">
        <f>IF(BP41="direct",IFERROR(CD41/BU41,0),0)</f>
        <v>0</v>
      </c>
      <c r="BY41" s="5">
        <f>IF(BP41="direct",BW41-BX41,IF(BP41="cash",CI41,BW41))</f>
        <v>0.010632763382709158</v>
      </c>
      <c r="BZ41" s="6">
        <v>1</v>
      </c>
      <c r="CA41" s="4">
        <v>1.0734961489880526</v>
      </c>
      <c r="CB41" s="4">
        <v>1.0734961489880526</v>
      </c>
      <c r="CC41" s="5">
        <f>IF(BP41="direct",BW41*(BU41-BT41),CF41)</f>
        <v>0.0005461595475810216</v>
      </c>
      <c r="CD41" s="5">
        <f>IF(BP41="direct",CB41*BV41*C41/365,0)</f>
        <v>0</v>
      </c>
      <c r="CE41" s="5">
        <f>CC41-CD41</f>
        <v>0.0005461595475810448</v>
      </c>
      <c r="CF41" s="4">
        <v>0.0005461595475810448</v>
      </c>
      <c r="CG41" s="5">
        <f>CF41-CE41</f>
        <v>2.3201926491189795e-17</v>
      </c>
      <c r="CH41" s="4">
        <v>3.729655473350135e-17</v>
      </c>
      <c r="CI41" s="4">
        <v>1.0740423085356336</v>
      </c>
      <c r="CJ41" s="4">
        <v>1.825</v>
      </c>
      <c r="CK41" s="4">
        <v>1.815</v>
      </c>
      <c r="CL41" s="6"/>
      <c r="CM41" s="6"/>
      <c r="CN41" s="6"/>
      <c r="CO41" s="9">
        <v>27</v>
      </c>
      <c r="CP41" s="7">
        <f>IFERROR(CE41/F41,0)</f>
        <v>0.0005087671232876712</v>
      </c>
      <c r="CQ41" t="inlineStr">
        <is>
          <t xml:space="preserve">SI69H</t>
        </is>
      </c>
      <c r="CR41" t="inlineStr">
        <is>
          <t xml:space="preserve">future</t>
        </is>
      </c>
      <c r="CS41" t="inlineStr">
        <is>
          <t xml:space="preserve">lease</t>
        </is>
      </c>
      <c r="CT41" t="inlineStr">
        <is>
          <t xml:space="preserve">long</t>
        </is>
      </c>
      <c r="CU41" t="inlineStr">
        <is>
          <t xml:space="preserve">regular</t>
        </is>
      </c>
      <c r="CV41" s="4">
        <v>1.795</v>
      </c>
      <c r="CW41" s="4">
        <v>1.79</v>
      </c>
      <c r="CX41" s="6"/>
      <c r="CY41" s="4">
        <v>0.5980479938652103</v>
      </c>
      <c r="CZ41" s="5">
        <f>IF(CR41="direct",IFERROR(DF41/CW41,0),0)</f>
        <v>0</v>
      </c>
      <c r="DA41" s="5">
        <f>IF(CR41="direct",CY41-CZ41,IF(CR41="cash",DK41,CY41))</f>
        <v>0.5980479938652103</v>
      </c>
      <c r="DB41" s="6">
        <v>1</v>
      </c>
      <c r="DC41" s="4">
        <v>1.0734961489880526</v>
      </c>
      <c r="DD41" s="4">
        <v>0</v>
      </c>
      <c r="DE41" s="5">
        <f>IF(CR41="direct",CY41*(CW41-CV41),DH41)</f>
        <v>-0.0029902399693260066</v>
      </c>
      <c r="DF41" s="5">
        <f>IF(CR41="direct",DD41*CX41*C41/365,0)</f>
        <v>0</v>
      </c>
      <c r="DG41" s="5">
        <f>DE41-DF41</f>
        <v>-0.0029902399693260066</v>
      </c>
      <c r="DH41" s="4">
        <v>-0.0029902399693260066</v>
      </c>
      <c r="DI41" s="5">
        <f>DH41-DG41</f>
        <v>0</v>
      </c>
      <c r="DJ41" s="4">
        <v>0.0029902399693260066</v>
      </c>
      <c r="DK41" s="4">
        <v>0</v>
      </c>
      <c r="DL41" s="4">
        <v>1.825</v>
      </c>
      <c r="DM41" s="4">
        <v>1.815</v>
      </c>
      <c r="DN41" s="6">
        <v>-0.016438356164383605</v>
      </c>
      <c r="DO41" s="6">
        <v>0.0619</v>
      </c>
      <c r="DP41" s="6">
        <v>0.28412222222222283</v>
      </c>
      <c r="DQ41" s="9">
        <v>27</v>
      </c>
      <c r="DR41" s="7">
        <f>IFERROR(DG41/F41,0)</f>
        <v>-0.0027855153203342198</v>
      </c>
      <c r="DS41" t="inlineStr">
        <is>
          <t xml:space="preserve">Lease cash / margin / financing</t>
        </is>
      </c>
      <c r="DT41" t="inlineStr">
        <is>
          <t xml:space="preserve">cash</t>
        </is>
      </c>
      <c r="DU41" t="inlineStr">
        <is>
          <t xml:space="preserve">lease</t>
        </is>
      </c>
      <c r="DV41" t="inlineStr">
        <is>
          <t xml:space="preserve">cash</t>
        </is>
      </c>
      <c r="DW41"/>
      <c r="DX41" s="4">
        <v>1</v>
      </c>
      <c r="DY41" s="4">
        <v>1</v>
      </c>
      <c r="DZ41" s="6"/>
      <c r="EA41" s="4">
        <v>-2.220446049250313e-16</v>
      </c>
      <c r="EB41" s="5">
        <f>IF(DT41="direct",IFERROR(EH41/DY41,0),0)</f>
        <v>0</v>
      </c>
      <c r="EC41" s="5">
        <f>IF(DT41="direct",EA41-EB41,IF(DT41="cash",EM41,EA41))</f>
        <v>-0.002990239969326266</v>
      </c>
      <c r="ED41" s="6"/>
      <c r="EE41" s="4">
        <v>-2.220446049250313e-16</v>
      </c>
      <c r="EF41" s="4">
        <v>-2.220446049250313e-16</v>
      </c>
      <c r="EG41" s="5">
        <f>IF(DT41="direct",EA41*(DY41-DX41),EJ41)</f>
        <v>0</v>
      </c>
      <c r="EH41" s="5">
        <f>IF(DT41="direct",EF41*DZ41*C41/365,0)</f>
        <v>0</v>
      </c>
      <c r="EI41" s="5">
        <f>EG41-EH41</f>
        <v>0</v>
      </c>
      <c r="EJ41" s="4">
        <v>0</v>
      </c>
      <c r="EK41" s="5">
        <f>EJ41-EI41</f>
        <v>0</v>
      </c>
      <c r="EL41" s="4">
        <v>-0.002990239969326044</v>
      </c>
      <c r="EM41" s="4">
        <v>-0.002990239969326266</v>
      </c>
      <c r="EN41" s="4">
        <v>1.825</v>
      </c>
      <c r="EO41" s="4">
        <v>1.815</v>
      </c>
      <c r="EP41" s="6"/>
      <c r="EQ41" s="6"/>
      <c r="ER41" s="6"/>
      <c r="ES41" s="9"/>
      <c r="ET41" s="7">
        <f>IFERROR(EI41/F41,0)</f>
        <v>0</v>
      </c>
      <c r="EU41" t="inlineStr">
        <is>
          <t xml:space="preserve">Keep cash / margin / financing</t>
        </is>
      </c>
      <c r="EV41" t="inlineStr">
        <is>
          <t xml:space="preserve">cash</t>
        </is>
      </c>
      <c r="EW41" t="inlineStr">
        <is>
          <t xml:space="preserve">keep</t>
        </is>
      </c>
      <c r="EX41" t="inlineStr">
        <is>
          <t xml:space="preserve">cash</t>
        </is>
      </c>
      <c r="EY41"/>
      <c r="EZ41" s="4">
        <v>1</v>
      </c>
      <c r="FA41" s="4">
        <v>1</v>
      </c>
      <c r="FB41" s="6"/>
      <c r="FC41" s="4">
        <v>0</v>
      </c>
      <c r="FD41" s="5">
        <f>IF(EV41="direct",IFERROR(FJ41/FA41,0),0)</f>
        <v>0</v>
      </c>
      <c r="FE41" s="5">
        <f>IF(EV41="direct",FC41-FD41,IF(EV41="cash",FO41,FC41))</f>
        <v>0</v>
      </c>
      <c r="FF41" s="6"/>
      <c r="FG41" s="4">
        <v>0</v>
      </c>
      <c r="FH41" s="4">
        <v>0</v>
      </c>
      <c r="FI41" s="5">
        <f>IF(EV41="direct",FC41*(FA41-EZ41),FL41)</f>
        <v>0</v>
      </c>
      <c r="FJ41" s="5">
        <f>IF(EV41="direct",FH41*FB41*C41/365,0)</f>
        <v>0</v>
      </c>
      <c r="FK41" s="5">
        <f>FI41-FJ41</f>
        <v>0</v>
      </c>
      <c r="FL41" s="4">
        <v>0</v>
      </c>
      <c r="FM41" s="5">
        <f>FL41-FK41</f>
        <v>0</v>
      </c>
      <c r="FN41" s="4">
        <v>0</v>
      </c>
      <c r="FO41" s="4">
        <v>0</v>
      </c>
      <c r="FP41" s="4">
        <v>1.825</v>
      </c>
      <c r="FQ41" s="4">
        <v>1.815</v>
      </c>
      <c r="FR41" s="6"/>
      <c r="FS41" s="6"/>
      <c r="FT41" s="6"/>
      <c r="FU41" s="9"/>
      <c r="FV41" s="7">
        <f>IFERROR(FK41/F41,0)</f>
        <v>0</v>
      </c>
      <c r="FW41"/>
      <c r="FX41"/>
      <c r="FY41"/>
      <c r="FZ41"/>
      <c r="GA41"/>
      <c r="GB41" s="4"/>
      <c r="GC41" s="4"/>
      <c r="GD41" s="6"/>
      <c r="GE41" s="4"/>
      <c r="GF41" s="5">
        <v>0</v>
      </c>
      <c r="GG41" s="5"/>
      <c r="GH41" s="6"/>
      <c r="GI41" s="4"/>
      <c r="GJ41" s="4"/>
      <c r="GK41" s="5">
        <v>0</v>
      </c>
      <c r="GL41" s="5">
        <v>0</v>
      </c>
      <c r="GM41" s="5"/>
      <c r="GN41" s="4"/>
      <c r="GO41" s="5">
        <v>0</v>
      </c>
      <c r="GP41" s="4"/>
      <c r="GQ41" s="4"/>
      <c r="GR41" s="4"/>
      <c r="GS41" s="4"/>
      <c r="GT41" s="6"/>
      <c r="GU41" s="6"/>
      <c r="GV41" s="6"/>
      <c r="GW41" s="9"/>
      <c r="GX41"/>
      <c r="GY41"/>
      <c r="GZ41"/>
      <c r="HA41"/>
      <c r="HB41"/>
      <c r="HC41"/>
      <c r="HD41" s="4"/>
      <c r="HE41" s="4"/>
      <c r="HF41" s="6"/>
      <c r="HG41" s="4"/>
      <c r="HH41" s="5">
        <v>0</v>
      </c>
      <c r="HI41" s="5"/>
      <c r="HJ41" s="6"/>
      <c r="HK41" s="4"/>
      <c r="HL41" s="4"/>
      <c r="HM41" s="5">
        <v>0</v>
      </c>
      <c r="HN41" s="5">
        <v>0</v>
      </c>
      <c r="HO41" s="5"/>
      <c r="HP41" s="4"/>
      <c r="HQ41" s="5">
        <v>0</v>
      </c>
      <c r="HR41" s="4"/>
      <c r="HS41" s="4"/>
      <c r="HT41" s="4"/>
      <c r="HU41" s="4"/>
      <c r="HV41" s="6"/>
      <c r="HW41" s="6"/>
      <c r="HX41" s="6"/>
      <c r="HY41" s="9"/>
      <c r="HZ41"/>
      <c r="IA41"/>
      <c r="IB41"/>
      <c r="IC41"/>
      <c r="ID41"/>
      <c r="IE41"/>
      <c r="IF41" s="4"/>
      <c r="IG41" s="4"/>
      <c r="IH41" s="6"/>
      <c r="II41" s="4"/>
      <c r="IJ41" s="5">
        <v>0</v>
      </c>
      <c r="IK41" s="5"/>
      <c r="IL41" s="6"/>
      <c r="IM41" s="4"/>
      <c r="IN41" s="4"/>
      <c r="IO41" s="5">
        <v>0</v>
      </c>
      <c r="IP41" s="5">
        <v>0</v>
      </c>
      <c r="IQ41" s="5"/>
      <c r="IR41" s="4"/>
      <c r="IS41" s="5">
        <v>0</v>
      </c>
      <c r="IT41" s="4"/>
      <c r="IU41" s="4"/>
      <c r="IV41" s="4"/>
      <c r="IW41" s="4"/>
      <c r="IX41" s="6"/>
      <c r="IY41" s="6"/>
      <c r="IZ41" s="6"/>
      <c r="JA41" s="9"/>
      <c r="JB41"/>
      <c r="JC41"/>
      <c r="JD41"/>
      <c r="JE41"/>
      <c r="JF41"/>
      <c r="JG41"/>
      <c r="JH41" s="4"/>
      <c r="JI41" s="4"/>
      <c r="JJ41" s="6"/>
      <c r="JK41" s="4"/>
      <c r="JL41" s="5">
        <v>0</v>
      </c>
      <c r="JM41" s="5"/>
      <c r="JN41" s="6"/>
      <c r="JO41" s="4"/>
      <c r="JP41" s="4"/>
      <c r="JQ41" s="5">
        <v>0</v>
      </c>
      <c r="JR41" s="5">
        <v>0</v>
      </c>
      <c r="JS41" s="5"/>
      <c r="JT41" s="4"/>
      <c r="JU41" s="5">
        <v>0</v>
      </c>
      <c r="JV41" s="4"/>
      <c r="JW41" s="4"/>
      <c r="JX41" s="4"/>
      <c r="JY41" s="4"/>
      <c r="JZ41" s="6"/>
      <c r="KA41" s="6"/>
      <c r="KB41" s="6"/>
      <c r="KC41" s="9"/>
      <c r="KD41"/>
      <c r="KE41"/>
      <c r="KF41"/>
      <c r="KG41"/>
      <c r="KH41"/>
      <c r="KI41"/>
      <c r="KJ41" s="4"/>
      <c r="KK41" s="4"/>
      <c r="KL41" s="6"/>
      <c r="KM41" s="4"/>
      <c r="KN41" s="5">
        <v>0</v>
      </c>
      <c r="KO41" s="5"/>
      <c r="KP41" s="6"/>
      <c r="KQ41" s="4"/>
      <c r="KR41" s="4"/>
      <c r="KS41" s="5">
        <v>0</v>
      </c>
      <c r="KT41" s="5">
        <v>0</v>
      </c>
      <c r="KU41" s="5"/>
      <c r="KV41" s="4"/>
      <c r="KW41" s="5">
        <v>0</v>
      </c>
      <c r="KX41" s="4"/>
      <c r="KY41" s="4"/>
      <c r="KZ41" s="4"/>
      <c r="LA41" s="4"/>
      <c r="LB41" s="6"/>
      <c r="LC41" s="6"/>
      <c r="LD41" s="6"/>
      <c r="LE41" s="9"/>
      <c r="LF41"/>
      <c r="LG41"/>
      <c r="LH41"/>
      <c r="LI41"/>
      <c r="LJ41"/>
      <c r="LK41"/>
      <c r="LL41" s="4"/>
      <c r="LM41" s="4"/>
      <c r="LN41" s="6"/>
      <c r="LO41" s="4"/>
      <c r="LP41" s="5">
        <v>0</v>
      </c>
      <c r="LQ41" s="5"/>
      <c r="LR41" s="6"/>
      <c r="LS41" s="4"/>
      <c r="LT41" s="4"/>
      <c r="LU41" s="5">
        <v>0</v>
      </c>
      <c r="LV41" s="5">
        <v>0</v>
      </c>
      <c r="LW41" s="5"/>
      <c r="LX41" s="4"/>
      <c r="LY41" s="5">
        <v>0</v>
      </c>
      <c r="LZ41" s="4"/>
      <c r="MA41" s="4"/>
      <c r="MB41" s="4"/>
      <c r="MC41" s="4"/>
      <c r="MD41" s="6"/>
      <c r="ME41" s="6"/>
      <c r="MF41" s="6"/>
      <c r="MG41" s="9"/>
      <c r="MH41"/>
    </row>
    <row r="42">
      <c r="A42" s="8">
        <v>25265</v>
      </c>
      <c r="B42" s="8">
        <v>25266</v>
      </c>
      <c r="C42" s="9">
        <f>B42-A42</f>
        <v>1</v>
      </c>
      <c r="D42" s="8">
        <v>25265</v>
      </c>
      <c r="E42" t="inlineStr">
        <is>
          <t xml:space="preserve">positive</t>
        </is>
      </c>
      <c r="F42" s="4">
        <v>1.0710520685663076</v>
      </c>
      <c r="G42" s="6">
        <v>0.028102001989745187</v>
      </c>
      <c r="H42" s="7">
        <f>SUM(CP42,DR42,ET42,FV42,GX42,HZ42,JB42,KD42,LF42,MH42)</f>
        <v>0.028102001989745187</v>
      </c>
      <c r="I42" s="7">
        <f>G42-H42</f>
        <v>0</v>
      </c>
      <c r="J42" s="5">
        <f>F42*(1+H42)</f>
        <v>1.1011507759282786</v>
      </c>
      <c r="K42" s="4">
        <v>1.1011507759282786</v>
      </c>
      <c r="L42" s="5">
        <f>K42-J42</f>
        <v>0</v>
      </c>
      <c r="M42" s="4">
        <v>1.815</v>
      </c>
      <c r="N42" s="4">
        <v>1.797</v>
      </c>
      <c r="O42" s="5">
        <f>M42/$M$3</f>
        <v>0.9269662921348315</v>
      </c>
      <c r="P42" s="5">
        <f>N42/$M$3</f>
        <v>0.9177732379979571</v>
      </c>
      <c r="Q42" s="7">
        <f>IFERROR(N42/M42-1,0)</f>
        <v>-0.00991735537190086</v>
      </c>
      <c r="R42" s="5">
        <f>SUM(IF(BQ42="lease",CB42,0),IF(CS42="lease",DD42,0),IF(DU42="lease",EF42,0),IF(EW42="lease",FH42,0),IF(FY42="lease",GJ42,0),IF(HA42="lease",HL42,0),IF(IC42="lease",IN42,0),IF(JE42="lease",JP42,0),IF(KG42="lease",KR42,0),IF(LI42="lease",LT42,0))</f>
        <v>1.0710520685663074</v>
      </c>
      <c r="S42" s="5">
        <f>SUM(IF(BQ42="lease",CI42,0),IF(CS42="lease",DK42,0),IF(DU42="lease",EM42,0),IF(EW42="lease",FO42,0),IF(FY42="lease",GQ42,0),IF(HA42="lease",HS42,0),IF(IC42="lease",IU42,0),IF(JE42="lease",JW42,0),IF(KG42="lease",KY42,0),IF(LI42="lease",MA42,0))</f>
        <v>1.1011507759282786</v>
      </c>
      <c r="T42" s="5">
        <f>SUM(IF(BQ42="keep",CB42,0),IF(CS42="keep",DD42,0),IF(DU42="keep",EF42,0),IF(EW42="keep",FH42,0),IF(FY42="keep",GJ42,0),IF(HA42="keep",HL42,0),IF(IC42="keep",IN42,0),IF(JE42="keep",JP42,0),IF(KG42="keep",KR42,0),IF(LI42="keep",LT42,0))</f>
        <v>0</v>
      </c>
      <c r="U42" s="5">
        <f>SUM(IF(BQ42="keep",CI42,0),IF(CS42="keep",DK42,0),IF(DU42="keep",EM42,0),IF(EW42="keep",FO42,0),IF(FY42="keep",GQ42,0),IF(HA42="keep",HS42,0),IF(IC42="keep",IU42,0),IF(JE42="keep",JW42,0),IF(KG42="keep",KY42,0),IF(LI42="keep",MA42,0))</f>
        <v>0</v>
      </c>
      <c r="V42" s="5">
        <f>R42/O42</f>
        <v>1.1554379891200164</v>
      </c>
      <c r="W42" s="5">
        <f>S42/P42</f>
        <v>1.199807022408219</v>
      </c>
      <c r="X42" s="5">
        <f>T42/O42</f>
        <v>0</v>
      </c>
      <c r="Y42" s="5">
        <f>U42/P42</f>
        <v>0</v>
      </c>
      <c r="Z42" s="5">
        <f>V42+X42</f>
        <v>1.1554379891200164</v>
      </c>
      <c r="AA42" s="7">
        <f>IFERROR(W42/V42-1,0)</f>
        <v>0.03840018564907499</v>
      </c>
      <c r="AB42" s="7">
        <f>IFERROR((W42-V42)/Z42,0)</f>
        <v>0.03840018564907499</v>
      </c>
      <c r="AC42" s="7">
        <f>IFERROR(Y42/X42-1,0)</f>
        <v>0</v>
      </c>
      <c r="AD42" s="7">
        <f>IFERROR((Y42-X42)/Z42,0)</f>
        <v>0</v>
      </c>
      <c r="AE42" s="7">
        <f>AB42+AD42</f>
        <v>0.03840018564907499</v>
      </c>
      <c r="AF42" s="7">
        <f>(1+Q42)*(1+AE42)-1</f>
        <v>0.02810200198974533</v>
      </c>
      <c r="AG42" s="7">
        <f>G42-AF42</f>
        <v>-1.4224732503009818e-16</v>
      </c>
      <c r="AH42" s="5">
        <f>SUM(IF(BQ42="lease",CE42,0),IF(CS42="lease",DG42,0),IF(DU42="lease",EI42,0),IF(EW42="lease",FK42,0),IF(FY42="lease",GM42,0),IF(HA42="lease",HO42,0),IF(IC42="lease",IQ42,0),IF(JE42="lease",JS42,0),IF(KG42="lease",KU42,0),IF(LI42="lease",LW42,0))</f>
        <v>0.030098707361971077</v>
      </c>
      <c r="AI42" s="5">
        <f>SUM(IF(BQ42="keep",CE42,0),IF(CS42="keep",DG42,0),IF(DU42="keep",EI42,0),IF(EW42="keep",FK42,0),IF(FY42="keep",GM42,0),IF(HA42="keep",HO42,0),IF(IC42="keep",IQ42,0),IF(JE42="keep",JS42,0),IF(KG42="keep",KU42,0),IF(LI42="keep",LW42,0))</f>
        <v>0</v>
      </c>
      <c r="AJ42" s="5">
        <f>SUM(IF(BQ42="lease",CH42,0),IF(CS42="lease",DJ42,0),IF(DU42="lease",EL42,0),IF(EW42="lease",FN42,0),IF(FY42="lease",GP42,0),IF(HA42="lease",HR42,0),IF(IC42="lease",IT42,0),IF(JE42="lease",JV42,0),IF(KG42="lease",KX42,0),IF(LI42="lease",LZ42,0))</f>
        <v>0</v>
      </c>
      <c r="AK42" s="5">
        <f>SUM(IF(BQ42="keep",CH42,0),IF(CS42="keep",DJ42,0),IF(DU42="keep",EL42,0),IF(EW42="keep",FN42,0),IF(FY42="keep",GP42,0),IF(HA42="keep",HR42,0),IF(IC42="keep",IT42,0),IF(JE42="keep",JV42,0),IF(KG42="keep",KX42,0),IF(LI42="keep",LZ42,0))</f>
        <v>0</v>
      </c>
      <c r="AL42" s="5">
        <f>R42-S41</f>
        <v>0</v>
      </c>
      <c r="AM42" s="5">
        <f>T42-U41</f>
        <v>0</v>
      </c>
      <c r="AN42" s="5">
        <f>AN41</f>
        <v>1</v>
      </c>
      <c r="AO42" s="5">
        <f>AO41+AH42</f>
        <v>0.10115077592827897</v>
      </c>
      <c r="AP42" s="5">
        <f>AP41+AL42</f>
        <v>-4.440892098500626e-16</v>
      </c>
      <c r="AQ42" s="5">
        <f>AN42+AO42+AP42</f>
        <v>1.1011507759282786</v>
      </c>
      <c r="AR42" s="5">
        <f>S42-AQ42</f>
        <v>0</v>
      </c>
      <c r="AS42" s="5">
        <f>AS41</f>
        <v>0</v>
      </c>
      <c r="AT42" s="5">
        <f>AT41+AI42</f>
        <v>0</v>
      </c>
      <c r="AU42" s="5">
        <f>AU41+AM42</f>
        <v>0</v>
      </c>
      <c r="AV42" s="5">
        <f>AS42+AT42+AU42</f>
        <v>0</v>
      </c>
      <c r="AW42" s="5">
        <f>U42-AV42</f>
        <v>0</v>
      </c>
      <c r="AX42" s="4">
        <v>1.0710520685663074</v>
      </c>
      <c r="AY42" s="4">
        <v>1.1011507759282786</v>
      </c>
      <c r="AZ42" s="5">
        <f>S42-AY42</f>
        <v>0</v>
      </c>
      <c r="BA42" s="4">
        <v>0</v>
      </c>
      <c r="BB42" s="4">
        <v>0</v>
      </c>
      <c r="BC42" s="5">
        <f>U42-BB42</f>
        <v>0</v>
      </c>
      <c r="BD42" s="7">
        <f>SUM(IF(BP42="direct",CC42/F42,0),IF(CR42="direct",DE42/F42,0),IF(DT42="direct",EG42/F42,0),IF(EV42="direct",FI42/F42,0),IF(FX42="direct",GK42/F42,0),IF(GZ42="direct",HM42/F42,0),IF(IB42="direct",IO42/F42,0),IF(JD42="direct",JQ42/F42,0),IF(KF42="direct",KS42/F42,0),IF(LH42="direct",LU42/F42,0))</f>
        <v>0</v>
      </c>
      <c r="BE42" s="7">
        <f>-SUM(IF(BP42="direct",CD42/F42,0),IF(CR42="direct",DF42/F42,0),IF(DT42="direct",EH42/F42,0),IF(EV42="direct",FJ42/F42,0),IF(FX42="direct",GL42/F42,0),IF(GZ42="direct",HN42/F42,0),IF(IB42="direct",IP42/F42,0),IF(JD42="direct",JR42/F42,0),IF(KF42="direct",KT42/F42,0),IF(LH42="direct",LV42/F42,0))</f>
        <v>0</v>
      </c>
      <c r="BF42" s="7">
        <f>BD42+BE42</f>
        <v>0</v>
      </c>
      <c r="BG42" s="7">
        <f>BF42-SUM(IF(BP42="direct",CP42,0),IF(CR42="direct",DR42,0),IF(DT42="direct",ET42,0),IF(EV42="direct",FV42,0),IF(FX42="direct",GX42,0),IF(GZ42="direct",HZ42,0),IF(IB42="direct",JB42,0),IF(JD42="direct",KD42,0),IF(KF42="direct",LF42,0),IF(LH42="direct",MH42,0))</f>
        <v>0</v>
      </c>
      <c r="BH42" s="7">
        <f>SUM(IF(BP42="treasury",CP42,0),IF(CR42="treasury",DR42,0),IF(DT42="treasury",ET42,0),IF(EV42="treasury",FV42,0),IF(FX42="treasury",GX42,0),IF(GZ42="treasury",HZ42,0),IF(IB42="treasury",JB42,0),IF(JD42="treasury",KD42,0),IF(KF42="treasury",LF42,0),IF(LH42="treasury",MH42,0))</f>
        <v>0.00016904109589041096</v>
      </c>
      <c r="BI42" s="7">
        <f>SUM(IF(BP42="future",CP42,0),IF(CR42="future",DR42,0),IF(DT42="future",ET42,0),IF(EV42="future",FV42,0),IF(FX42="future",GX42,0),IF(GZ42="future",HZ42,0),IF(IB42="future",JB42,0),IF(JD42="future",KD42,0),IF(KF42="future",LF42,0),IF(LH42="future",MH42,0))</f>
        <v>0.027932960893854775</v>
      </c>
      <c r="BJ42" s="7">
        <f>SUM(IF(BP42="cash",CP42,0),IF(CR42="cash",DR42,0),IF(DT42="cash",ET42,0),IF(EV42="cash",FV42,0),IF(FX42="cash",GX42,0),IF(GZ42="cash",HZ42,0),IF(IB42="cash",JB42,0),IF(JD42="cash",KD42,0),IF(KF42="cash",LF42,0),IF(LH42="cash",MH42,0))</f>
        <v>0</v>
      </c>
      <c r="BK42" s="7">
        <f>SUM(BF42,BH42,BI42,BJ42)</f>
        <v>0.028102001989745187</v>
      </c>
      <c r="BL42" s="7">
        <f>G42-BK42</f>
        <v>0</v>
      </c>
      <c r="BM42" s="5">
        <f>MAX(ABS(CG42),ABS(DI42),ABS(EK42),ABS(FM42),ABS(GO42),ABS(HQ42),ABS(IS42),ABS(JU42),ABS(KW42),ABS(LY42))</f>
        <v>2.1665069911691592e-16</v>
      </c>
      <c r="BN42" s="9">
        <f>COUNTA(BO42,CQ42,DS42,EU42,FW42,GY42,IA42,JC42,KE42,LG42)</f>
        <v>4</v>
      </c>
      <c r="BO42" t="inlineStr">
        <is>
          <t xml:space="preserve">Treasury collateral</t>
        </is>
      </c>
      <c r="BP42" t="inlineStr">
        <is>
          <t xml:space="preserve">treasury</t>
        </is>
      </c>
      <c r="BQ42" t="inlineStr">
        <is>
          <t xml:space="preserve">lease</t>
        </is>
      </c>
      <c r="BR42" t="inlineStr">
        <is>
          <t xml:space="preserve">long</t>
        </is>
      </c>
      <c r="BS42"/>
      <c r="BT42" s="4">
        <v>101.01252796448243</v>
      </c>
      <c r="BU42" s="4">
        <v>101.02960323290819</v>
      </c>
      <c r="BV42" s="6"/>
      <c r="BW42" s="4">
        <v>0.01060316071827156</v>
      </c>
      <c r="BX42" s="5">
        <f>IF(BP42="direct",IFERROR(CD42/BU42,0),0)</f>
        <v>0</v>
      </c>
      <c r="BY42" s="5">
        <f>IF(BP42="direct",BW42-BX42,IF(BP42="cash",CI42,BW42))</f>
        <v>0.01060316071827156</v>
      </c>
      <c r="BZ42" s="6">
        <v>1</v>
      </c>
      <c r="CA42" s="4">
        <v>1.0710520685663076</v>
      </c>
      <c r="CB42" s="4">
        <v>1.0710520685663076</v>
      </c>
      <c r="CC42" s="5">
        <f>IF(BP42="direct",BW42*(BU42-BT42),CF42)</f>
        <v>0.0001810518154259236</v>
      </c>
      <c r="CD42" s="5">
        <f>IF(BP42="direct",CB42*BV42*C42/365,0)</f>
        <v>0</v>
      </c>
      <c r="CE42" s="5">
        <f>CC42-CD42</f>
        <v>0.00018105181542614024</v>
      </c>
      <c r="CF42" s="4">
        <v>0.00018105181542614024</v>
      </c>
      <c r="CG42" s="5">
        <f>CF42-CE42</f>
        <v>2.1665069911691592e-16</v>
      </c>
      <c r="CH42" s="4">
        <v>-2.0361316799277773e-16</v>
      </c>
      <c r="CI42" s="4">
        <v>1.0712331203817336</v>
      </c>
      <c r="CJ42" s="4">
        <v>1.815</v>
      </c>
      <c r="CK42" s="4">
        <v>1.797</v>
      </c>
      <c r="CL42" s="6"/>
      <c r="CM42" s="6"/>
      <c r="CN42" s="6"/>
      <c r="CO42" s="9">
        <v>24</v>
      </c>
      <c r="CP42" s="7">
        <f>IFERROR(CE42/F42,0)</f>
        <v>0.00016904109589041096</v>
      </c>
      <c r="CQ42" t="inlineStr">
        <is>
          <t xml:space="preserve">SI69H</t>
        </is>
      </c>
      <c r="CR42" t="inlineStr">
        <is>
          <t xml:space="preserve">future</t>
        </is>
      </c>
      <c r="CS42" t="inlineStr">
        <is>
          <t xml:space="preserve">lease</t>
        </is>
      </c>
      <c r="CT42" t="inlineStr">
        <is>
          <t xml:space="preserve">long</t>
        </is>
      </c>
      <c r="CU42" t="inlineStr">
        <is>
          <t xml:space="preserve">regular</t>
        </is>
      </c>
      <c r="CV42" s="4">
        <v>1.79</v>
      </c>
      <c r="CW42" s="4">
        <v>1.84</v>
      </c>
      <c r="CX42" s="6"/>
      <c r="CY42" s="4">
        <v>0.5983531109308982</v>
      </c>
      <c r="CZ42" s="5">
        <f>IF(CR42="direct",IFERROR(DF42/CW42,0),0)</f>
        <v>0</v>
      </c>
      <c r="DA42" s="5">
        <f>IF(CR42="direct",CY42-CZ42,IF(CR42="cash",DK42,CY42))</f>
        <v>0.5983531109308982</v>
      </c>
      <c r="DB42" s="6">
        <v>1</v>
      </c>
      <c r="DC42" s="4">
        <v>1.0710520685663076</v>
      </c>
      <c r="DD42" s="4">
        <v>0</v>
      </c>
      <c r="DE42" s="5">
        <f>IF(CR42="direct",CY42*(CW42-CV42),DH42)</f>
        <v>0.029917655546544936</v>
      </c>
      <c r="DF42" s="5">
        <f>IF(CR42="direct",DD42*CX42*C42/365,0)</f>
        <v>0</v>
      </c>
      <c r="DG42" s="5">
        <f>DE42-DF42</f>
        <v>0.029917655546544936</v>
      </c>
      <c r="DH42" s="4">
        <v>0.029917655546544936</v>
      </c>
      <c r="DI42" s="5">
        <f>DH42-DG42</f>
        <v>0</v>
      </c>
      <c r="DJ42" s="4">
        <v>-0.029917655546544936</v>
      </c>
      <c r="DK42" s="4">
        <v>0</v>
      </c>
      <c r="DL42" s="4">
        <v>1.815</v>
      </c>
      <c r="DM42" s="4">
        <v>1.797</v>
      </c>
      <c r="DN42" s="6">
        <v>-0.01377410468319551</v>
      </c>
      <c r="DO42" s="6">
        <v>0.0617</v>
      </c>
      <c r="DP42" s="6">
        <v>0.27118117539026504</v>
      </c>
      <c r="DQ42" s="9">
        <v>24</v>
      </c>
      <c r="DR42" s="7">
        <f>IFERROR(DG42/F42,0)</f>
        <v>0.027932960893854775</v>
      </c>
      <c r="DS42" t="inlineStr">
        <is>
          <t xml:space="preserve">Lease cash / margin / financing</t>
        </is>
      </c>
      <c r="DT42" t="inlineStr">
        <is>
          <t xml:space="preserve">cash</t>
        </is>
      </c>
      <c r="DU42" t="inlineStr">
        <is>
          <t xml:space="preserve">lease</t>
        </is>
      </c>
      <c r="DV42" t="inlineStr">
        <is>
          <t xml:space="preserve">cash</t>
        </is>
      </c>
      <c r="DW42"/>
      <c r="DX42" s="4">
        <v>1</v>
      </c>
      <c r="DY42" s="4">
        <v>1</v>
      </c>
      <c r="DZ42" s="6"/>
      <c r="EA42" s="4">
        <v>-2.220446049250313e-16</v>
      </c>
      <c r="EB42" s="5">
        <f>IF(DT42="direct",IFERROR(EH42/DY42,0),0)</f>
        <v>0</v>
      </c>
      <c r="EC42" s="5">
        <f>IF(DT42="direct",EA42-EB42,IF(DT42="cash",EM42,EA42))</f>
        <v>0.02991765554654492</v>
      </c>
      <c r="ED42" s="6"/>
      <c r="EE42" s="4">
        <v>-2.220446049250313e-16</v>
      </c>
      <c r="EF42" s="4">
        <v>-2.220446049250313e-16</v>
      </c>
      <c r="EG42" s="5">
        <f>IF(DT42="direct",EA42*(DY42-DX42),EJ42)</f>
        <v>0</v>
      </c>
      <c r="EH42" s="5">
        <f>IF(DT42="direct",EF42*DZ42*C42/365,0)</f>
        <v>0</v>
      </c>
      <c r="EI42" s="5">
        <f>EG42-EH42</f>
        <v>0</v>
      </c>
      <c r="EJ42" s="4">
        <v>0</v>
      </c>
      <c r="EK42" s="5">
        <f>EJ42-EI42</f>
        <v>0</v>
      </c>
      <c r="EL42" s="4">
        <v>0.02991765554654514</v>
      </c>
      <c r="EM42" s="4">
        <v>0.02991765554654492</v>
      </c>
      <c r="EN42" s="4">
        <v>1.815</v>
      </c>
      <c r="EO42" s="4">
        <v>1.797</v>
      </c>
      <c r="EP42" s="6"/>
      <c r="EQ42" s="6"/>
      <c r="ER42" s="6"/>
      <c r="ES42" s="9"/>
      <c r="ET42" s="7">
        <f>IFERROR(EI42/F42,0)</f>
        <v>0</v>
      </c>
      <c r="EU42" t="inlineStr">
        <is>
          <t xml:space="preserve">Keep cash / margin / financing</t>
        </is>
      </c>
      <c r="EV42" t="inlineStr">
        <is>
          <t xml:space="preserve">cash</t>
        </is>
      </c>
      <c r="EW42" t="inlineStr">
        <is>
          <t xml:space="preserve">keep</t>
        </is>
      </c>
      <c r="EX42" t="inlineStr">
        <is>
          <t xml:space="preserve">cash</t>
        </is>
      </c>
      <c r="EY42"/>
      <c r="EZ42" s="4">
        <v>1</v>
      </c>
      <c r="FA42" s="4">
        <v>1</v>
      </c>
      <c r="FB42" s="6"/>
      <c r="FC42" s="4">
        <v>0</v>
      </c>
      <c r="FD42" s="5">
        <f>IF(EV42="direct",IFERROR(FJ42/FA42,0),0)</f>
        <v>0</v>
      </c>
      <c r="FE42" s="5">
        <f>IF(EV42="direct",FC42-FD42,IF(EV42="cash",FO42,FC42))</f>
        <v>0</v>
      </c>
      <c r="FF42" s="6"/>
      <c r="FG42" s="4">
        <v>0</v>
      </c>
      <c r="FH42" s="4">
        <v>0</v>
      </c>
      <c r="FI42" s="5">
        <f>IF(EV42="direct",FC42*(FA42-EZ42),FL42)</f>
        <v>0</v>
      </c>
      <c r="FJ42" s="5">
        <f>IF(EV42="direct",FH42*FB42*C42/365,0)</f>
        <v>0</v>
      </c>
      <c r="FK42" s="5">
        <f>FI42-FJ42</f>
        <v>0</v>
      </c>
      <c r="FL42" s="4">
        <v>0</v>
      </c>
      <c r="FM42" s="5">
        <f>FL42-FK42</f>
        <v>0</v>
      </c>
      <c r="FN42" s="4">
        <v>0</v>
      </c>
      <c r="FO42" s="4">
        <v>0</v>
      </c>
      <c r="FP42" s="4">
        <v>1.815</v>
      </c>
      <c r="FQ42" s="4">
        <v>1.797</v>
      </c>
      <c r="FR42" s="6"/>
      <c r="FS42" s="6"/>
      <c r="FT42" s="6"/>
      <c r="FU42" s="9"/>
      <c r="FV42" s="7">
        <f>IFERROR(FK42/F42,0)</f>
        <v>0</v>
      </c>
      <c r="FW42"/>
      <c r="FX42"/>
      <c r="FY42"/>
      <c r="FZ42"/>
      <c r="GA42"/>
      <c r="GB42" s="4"/>
      <c r="GC42" s="4"/>
      <c r="GD42" s="6"/>
      <c r="GE42" s="4"/>
      <c r="GF42" s="5">
        <v>0</v>
      </c>
      <c r="GG42" s="5"/>
      <c r="GH42" s="6"/>
      <c r="GI42" s="4"/>
      <c r="GJ42" s="4"/>
      <c r="GK42" s="5">
        <v>0</v>
      </c>
      <c r="GL42" s="5">
        <v>0</v>
      </c>
      <c r="GM42" s="5"/>
      <c r="GN42" s="4"/>
      <c r="GO42" s="5">
        <v>0</v>
      </c>
      <c r="GP42" s="4"/>
      <c r="GQ42" s="4"/>
      <c r="GR42" s="4"/>
      <c r="GS42" s="4"/>
      <c r="GT42" s="6"/>
      <c r="GU42" s="6"/>
      <c r="GV42" s="6"/>
      <c r="GW42" s="9"/>
      <c r="GX42"/>
      <c r="GY42"/>
      <c r="GZ42"/>
      <c r="HA42"/>
      <c r="HB42"/>
      <c r="HC42"/>
      <c r="HD42" s="4"/>
      <c r="HE42" s="4"/>
      <c r="HF42" s="6"/>
      <c r="HG42" s="4"/>
      <c r="HH42" s="5">
        <v>0</v>
      </c>
      <c r="HI42" s="5"/>
      <c r="HJ42" s="6"/>
      <c r="HK42" s="4"/>
      <c r="HL42" s="4"/>
      <c r="HM42" s="5">
        <v>0</v>
      </c>
      <c r="HN42" s="5">
        <v>0</v>
      </c>
      <c r="HO42" s="5"/>
      <c r="HP42" s="4"/>
      <c r="HQ42" s="5">
        <v>0</v>
      </c>
      <c r="HR42" s="4"/>
      <c r="HS42" s="4"/>
      <c r="HT42" s="4"/>
      <c r="HU42" s="4"/>
      <c r="HV42" s="6"/>
      <c r="HW42" s="6"/>
      <c r="HX42" s="6"/>
      <c r="HY42" s="9"/>
      <c r="HZ42"/>
      <c r="IA42"/>
      <c r="IB42"/>
      <c r="IC42"/>
      <c r="ID42"/>
      <c r="IE42"/>
      <c r="IF42" s="4"/>
      <c r="IG42" s="4"/>
      <c r="IH42" s="6"/>
      <c r="II42" s="4"/>
      <c r="IJ42" s="5">
        <v>0</v>
      </c>
      <c r="IK42" s="5"/>
      <c r="IL42" s="6"/>
      <c r="IM42" s="4"/>
      <c r="IN42" s="4"/>
      <c r="IO42" s="5">
        <v>0</v>
      </c>
      <c r="IP42" s="5">
        <v>0</v>
      </c>
      <c r="IQ42" s="5"/>
      <c r="IR42" s="4"/>
      <c r="IS42" s="5">
        <v>0</v>
      </c>
      <c r="IT42" s="4"/>
      <c r="IU42" s="4"/>
      <c r="IV42" s="4"/>
      <c r="IW42" s="4"/>
      <c r="IX42" s="6"/>
      <c r="IY42" s="6"/>
      <c r="IZ42" s="6"/>
      <c r="JA42" s="9"/>
      <c r="JB42"/>
      <c r="JC42"/>
      <c r="JD42"/>
      <c r="JE42"/>
      <c r="JF42"/>
      <c r="JG42"/>
      <c r="JH42" s="4"/>
      <c r="JI42" s="4"/>
      <c r="JJ42" s="6"/>
      <c r="JK42" s="4"/>
      <c r="JL42" s="5">
        <v>0</v>
      </c>
      <c r="JM42" s="5"/>
      <c r="JN42" s="6"/>
      <c r="JO42" s="4"/>
      <c r="JP42" s="4"/>
      <c r="JQ42" s="5">
        <v>0</v>
      </c>
      <c r="JR42" s="5">
        <v>0</v>
      </c>
      <c r="JS42" s="5"/>
      <c r="JT42" s="4"/>
      <c r="JU42" s="5">
        <v>0</v>
      </c>
      <c r="JV42" s="4"/>
      <c r="JW42" s="4"/>
      <c r="JX42" s="4"/>
      <c r="JY42" s="4"/>
      <c r="JZ42" s="6"/>
      <c r="KA42" s="6"/>
      <c r="KB42" s="6"/>
      <c r="KC42" s="9"/>
      <c r="KD42"/>
      <c r="KE42"/>
      <c r="KF42"/>
      <c r="KG42"/>
      <c r="KH42"/>
      <c r="KI42"/>
      <c r="KJ42" s="4"/>
      <c r="KK42" s="4"/>
      <c r="KL42" s="6"/>
      <c r="KM42" s="4"/>
      <c r="KN42" s="5">
        <v>0</v>
      </c>
      <c r="KO42" s="5"/>
      <c r="KP42" s="6"/>
      <c r="KQ42" s="4"/>
      <c r="KR42" s="4"/>
      <c r="KS42" s="5">
        <v>0</v>
      </c>
      <c r="KT42" s="5">
        <v>0</v>
      </c>
      <c r="KU42" s="5"/>
      <c r="KV42" s="4"/>
      <c r="KW42" s="5">
        <v>0</v>
      </c>
      <c r="KX42" s="4"/>
      <c r="KY42" s="4"/>
      <c r="KZ42" s="4"/>
      <c r="LA42" s="4"/>
      <c r="LB42" s="6"/>
      <c r="LC42" s="6"/>
      <c r="LD42" s="6"/>
      <c r="LE42" s="9"/>
      <c r="LF42"/>
      <c r="LG42"/>
      <c r="LH42"/>
      <c r="LI42"/>
      <c r="LJ42"/>
      <c r="LK42"/>
      <c r="LL42" s="4"/>
      <c r="LM42" s="4"/>
      <c r="LN42" s="6"/>
      <c r="LO42" s="4"/>
      <c r="LP42" s="5">
        <v>0</v>
      </c>
      <c r="LQ42" s="5"/>
      <c r="LR42" s="6"/>
      <c r="LS42" s="4"/>
      <c r="LT42" s="4"/>
      <c r="LU42" s="5">
        <v>0</v>
      </c>
      <c r="LV42" s="5">
        <v>0</v>
      </c>
      <c r="LW42" s="5"/>
      <c r="LX42" s="4"/>
      <c r="LY42" s="5">
        <v>0</v>
      </c>
      <c r="LZ42" s="4"/>
      <c r="MA42" s="4"/>
      <c r="MB42" s="4"/>
      <c r="MC42" s="4"/>
      <c r="MD42" s="6"/>
      <c r="ME42" s="6"/>
      <c r="MF42" s="6"/>
      <c r="MG42" s="9"/>
      <c r="MH42"/>
    </row>
    <row r="43">
      <c r="A43" s="8">
        <v>25266</v>
      </c>
      <c r="B43" s="8">
        <v>25267</v>
      </c>
      <c r="C43" s="9">
        <f>B43-A43</f>
        <v>1</v>
      </c>
      <c r="D43" s="8">
        <v>25266</v>
      </c>
      <c r="E43" t="inlineStr">
        <is>
          <t xml:space="preserve">neutral</t>
        </is>
      </c>
      <c r="F43" s="4">
        <v>1.1011507759282786</v>
      </c>
      <c r="G43" s="6">
        <v>0.03616454745732995</v>
      </c>
      <c r="H43" s="7">
        <f>SUM(CP43,DR43,ET43,FV43,GX43,HZ43,JB43,KD43,LF43,MH43)</f>
        <v>0.03616454745732995</v>
      </c>
      <c r="I43" s="7">
        <f>G43-H43</f>
        <v>0</v>
      </c>
      <c r="J43" s="5">
        <f>F43*(1+H43)</f>
        <v>1.1409733954220125</v>
      </c>
      <c r="K43" s="4">
        <v>1.1409733954220125</v>
      </c>
      <c r="L43" s="5">
        <f>K43-J43</f>
        <v>0</v>
      </c>
      <c r="M43" s="4">
        <v>1.797</v>
      </c>
      <c r="N43" s="4">
        <v>1.862</v>
      </c>
      <c r="O43" s="5">
        <f>M43/$M$3</f>
        <v>0.9177732379979571</v>
      </c>
      <c r="P43" s="5">
        <f>N43/$M$3</f>
        <v>0.9509703779366702</v>
      </c>
      <c r="Q43" s="7">
        <f>IFERROR(N43/M43-1,0)</f>
        <v>0.036171396772398445</v>
      </c>
      <c r="R43" s="5">
        <f>SUM(IF(BQ43="lease",CB43,0),IF(CS43="lease",DD43,0),IF(DU43="lease",EF43,0),IF(EW43="lease",FH43,0),IF(FY43="lease",GJ43,0),IF(HA43="lease",HL43,0),IF(IC43="lease",IN43,0),IF(JE43="lease",JP43,0),IF(KG43="lease",KR43,0),IF(LI43="lease",LT43,0))</f>
        <v>1.1011507759282786</v>
      </c>
      <c r="S43" s="5">
        <f>SUM(IF(BQ43="lease",CI43,0),IF(CS43="lease",DK43,0),IF(DU43="lease",EM43,0),IF(EW43="lease",FO43,0),IF(FY43="lease",GQ43,0),IF(HA43="lease",HS43,0),IF(IC43="lease",IU43,0),IF(JE43="lease",JW43,0),IF(KG43="lease",KY43,0),IF(LI43="lease",MA43,0))</f>
        <v>1.1409733954220127</v>
      </c>
      <c r="T43" s="5">
        <f>SUM(IF(BQ43="keep",CB43,0),IF(CS43="keep",DD43,0),IF(DU43="keep",EF43,0),IF(EW43="keep",FH43,0),IF(FY43="keep",GJ43,0),IF(HA43="keep",HL43,0),IF(IC43="keep",IN43,0),IF(JE43="keep",JP43,0),IF(KG43="keep",KR43,0),IF(LI43="keep",LT43,0))</f>
        <v>0</v>
      </c>
      <c r="U43" s="5">
        <f>SUM(IF(BQ43="keep",CI43,0),IF(CS43="keep",DK43,0),IF(DU43="keep",EM43,0),IF(EW43="keep",FO43,0),IF(FY43="keep",GQ43,0),IF(HA43="keep",HS43,0),IF(IC43="keep",IU43,0),IF(JE43="keep",JW43,0),IF(KG43="keep",KY43,0),IF(LI43="keep",MA43,0))</f>
        <v>0</v>
      </c>
      <c r="V43" s="5">
        <f>R43/O43</f>
        <v>1.199807022408219</v>
      </c>
      <c r="W43" s="5">
        <f>S43/P43</f>
        <v>1.1997990914265846</v>
      </c>
      <c r="X43" s="5">
        <f>T43/O43</f>
        <v>0</v>
      </c>
      <c r="Y43" s="5">
        <f>U43/P43</f>
        <v>0</v>
      </c>
      <c r="Z43" s="5">
        <f>V43+X43</f>
        <v>1.199807022408219</v>
      </c>
      <c r="AA43" s="7">
        <f>IFERROR(W43/V43-1,0)</f>
        <v>-0.000006610214381308488</v>
      </c>
      <c r="AB43" s="7">
        <f>IFERROR((W43-V43)/Z43,0)</f>
        <v>-0.000006610214381309312</v>
      </c>
      <c r="AC43" s="7">
        <f>IFERROR(Y43/X43-1,0)</f>
        <v>0</v>
      </c>
      <c r="AD43" s="7">
        <f>IFERROR((Y43-X43)/Z43,0)</f>
        <v>0</v>
      </c>
      <c r="AE43" s="7">
        <f>AB43+AD43</f>
        <v>-0.000006610214381309312</v>
      </c>
      <c r="AF43" s="7">
        <f>(1+Q43)*(1+AE43)-1</f>
        <v>0.03616454745733</v>
      </c>
      <c r="AG43" s="7">
        <f>G43-AF43</f>
        <v>-4.85722573273506e-17</v>
      </c>
      <c r="AH43" s="5">
        <f>SUM(IF(BQ43="lease",CE43,0),IF(CS43="lease",DG43,0),IF(DU43="lease",EI43,0),IF(EW43="lease",FK43,0),IF(FY43="lease",GM43,0),IF(HA43="lease",HO43,0),IF(IC43="lease",IQ43,0),IF(JE43="lease",JS43,0),IF(KG43="lease",KU43,0),IF(LI43="lease",LW43,0))</f>
        <v>0.03982261949373393</v>
      </c>
      <c r="AI43" s="5">
        <f>SUM(IF(BQ43="keep",CE43,0),IF(CS43="keep",DG43,0),IF(DU43="keep",EI43,0),IF(EW43="keep",FK43,0),IF(FY43="keep",GM43,0),IF(HA43="keep",HO43,0),IF(IC43="keep",IQ43,0),IF(JE43="keep",JS43,0),IF(KG43="keep",KU43,0),IF(LI43="keep",LW43,0))</f>
        <v>0</v>
      </c>
      <c r="AJ43" s="5">
        <f>SUM(IF(BQ43="lease",CH43,0),IF(CS43="lease",DJ43,0),IF(DU43="lease",EL43,0),IF(EW43="lease",FN43,0),IF(FY43="lease",GP43,0),IF(HA43="lease",HR43,0),IF(IC43="lease",IT43,0),IF(JE43="lease",JV43,0),IF(KG43="lease",KX43,0),IF(LI43="lease",LZ43,0))</f>
        <v>0</v>
      </c>
      <c r="AK43" s="5">
        <f>SUM(IF(BQ43="keep",CH43,0),IF(CS43="keep",DJ43,0),IF(DU43="keep",EL43,0),IF(EW43="keep",FN43,0),IF(FY43="keep",GP43,0),IF(HA43="keep",HR43,0),IF(IC43="keep",IT43,0),IF(JE43="keep",JV43,0),IF(KG43="keep",KX43,0),IF(LI43="keep",LZ43,0))</f>
        <v>0</v>
      </c>
      <c r="AL43" s="5">
        <f>R43-S42</f>
        <v>0</v>
      </c>
      <c r="AM43" s="5">
        <f>T43-U42</f>
        <v>0</v>
      </c>
      <c r="AN43" s="5">
        <f>AN42</f>
        <v>1</v>
      </c>
      <c r="AO43" s="5">
        <f>AO42+AH43</f>
        <v>0.1409733954220129</v>
      </c>
      <c r="AP43" s="5">
        <f>AP42+AL43</f>
        <v>-4.440892098500626e-16</v>
      </c>
      <c r="AQ43" s="5">
        <f>AN43+AO43+AP43</f>
        <v>1.1409733954220125</v>
      </c>
      <c r="AR43" s="5">
        <f>S43-AQ43</f>
        <v>2.220446049250313e-16</v>
      </c>
      <c r="AS43" s="5">
        <f>AS42</f>
        <v>0</v>
      </c>
      <c r="AT43" s="5">
        <f>AT42+AI43</f>
        <v>0</v>
      </c>
      <c r="AU43" s="5">
        <f>AU42+AM43</f>
        <v>0</v>
      </c>
      <c r="AV43" s="5">
        <f>AS43+AT43+AU43</f>
        <v>0</v>
      </c>
      <c r="AW43" s="5">
        <f>U43-AV43</f>
        <v>0</v>
      </c>
      <c r="AX43" s="4">
        <v>1.1011507759282786</v>
      </c>
      <c r="AY43" s="4">
        <v>1.1409733954220125</v>
      </c>
      <c r="AZ43" s="5">
        <f>S43-AY43</f>
        <v>2.220446049250313e-16</v>
      </c>
      <c r="BA43" s="4">
        <v>0</v>
      </c>
      <c r="BB43" s="4">
        <v>0</v>
      </c>
      <c r="BC43" s="5">
        <f>U43-BB43</f>
        <v>0</v>
      </c>
      <c r="BD43" s="7">
        <f>SUM(IF(BP43="direct",CC43/F43,0),IF(CR43="direct",DE43/F43,0),IF(DT43="direct",EG43/F43,0),IF(EV43="direct",FI43/F43,0),IF(FX43="direct",GK43/F43,0),IF(GZ43="direct",HM43/F43,0),IF(IB43="direct",IO43/F43,0),IF(JD43="direct",JQ43/F43,0),IF(KF43="direct",KS43/F43,0),IF(LH43="direct",LU43/F43,0))</f>
        <v>0.036171396772398536</v>
      </c>
      <c r="BE43" s="7">
        <f>-SUM(IF(BP43="direct",CD43/F43,0),IF(CR43="direct",DF43/F43,0),IF(DT43="direct",EH43/F43,0),IF(EV43="direct",FJ43/F43,0),IF(FX43="direct",GL43/F43,0),IF(GZ43="direct",HN43/F43,0),IF(IB43="direct",IP43/F43,0),IF(JD43="direct",JR43/F43,0),IF(KF43="direct",KT43/F43,0),IF(LH43="direct",LV43/F43,0))</f>
        <v>-0.000006849315068493151</v>
      </c>
      <c r="BF43" s="7">
        <f>BD43+BE43</f>
        <v>0.03616454745733004</v>
      </c>
      <c r="BG43" s="7">
        <f>BF43-SUM(IF(BP43="direct",CP43,0),IF(CR43="direct",DR43,0),IF(DT43="direct",ET43,0),IF(EV43="direct",FV43,0),IF(FX43="direct",GX43,0),IF(GZ43="direct",HZ43,0),IF(IB43="direct",JB43,0),IF(JD43="direct",KD43,0),IF(KF43="direct",LF43,0),IF(LH43="direct",MH43,0))</f>
        <v>9.020562075079397e-17</v>
      </c>
      <c r="BH43" s="7">
        <f>SUM(IF(BP43="treasury",CP43,0),IF(CR43="treasury",DR43,0),IF(DT43="treasury",ET43,0),IF(EV43="treasury",FV43,0),IF(FX43="treasury",GX43,0),IF(GZ43="treasury",HZ43,0),IF(IB43="treasury",JB43,0),IF(JD43="treasury",KD43,0),IF(KF43="treasury",LF43,0),IF(LH43="treasury",MH43,0))</f>
        <v>0</v>
      </c>
      <c r="BI43" s="7">
        <f>SUM(IF(BP43="future",CP43,0),IF(CR43="future",DR43,0),IF(DT43="future",ET43,0),IF(EV43="future",FV43,0),IF(FX43="future",GX43,0),IF(GZ43="future",HZ43,0),IF(IB43="future",JB43,0),IF(JD43="future",KD43,0),IF(KF43="future",LF43,0),IF(LH43="future",MH43,0))</f>
        <v>0</v>
      </c>
      <c r="BJ43" s="7">
        <f>SUM(IF(BP43="cash",CP43,0),IF(CR43="cash",DR43,0),IF(DT43="cash",ET43,0),IF(EV43="cash",FV43,0),IF(FX43="cash",GX43,0),IF(GZ43="cash",HZ43,0),IF(IB43="cash",JB43,0),IF(JD43="cash",KD43,0),IF(KF43="cash",LF43,0),IF(LH43="cash",MH43,0))</f>
        <v>0</v>
      </c>
      <c r="BK43" s="7">
        <f>SUM(BF43,BH43,BI43,BJ43)</f>
        <v>0.03616454745732995</v>
      </c>
      <c r="BL43" s="7">
        <f>G43-BK43</f>
        <v>0</v>
      </c>
      <c r="BM43" s="5">
        <f>MAX(ABS(CG43),ABS(DI43),ABS(EK43),ABS(FM43),ABS(GO43),ABS(HQ43),ABS(IS43),ABS(JU43),ABS(KW43),ABS(LY43))</f>
        <v>1.0177863190912947e-16</v>
      </c>
      <c r="BN43" s="9">
        <f>COUNTA(BO43,CQ43,DS43,EU43,FW43,GY43,IA43,JC43,KE43,LG43)</f>
        <v>3</v>
      </c>
      <c r="BO43" t="inlineStr">
        <is>
          <t xml:space="preserve">Direct commodity holding</t>
        </is>
      </c>
      <c r="BP43" t="inlineStr">
        <is>
          <t xml:space="preserve">direct</t>
        </is>
      </c>
      <c r="BQ43" t="inlineStr">
        <is>
          <t xml:space="preserve">lease</t>
        </is>
      </c>
      <c r="BR43" t="inlineStr">
        <is>
          <t xml:space="preserve">long</t>
        </is>
      </c>
      <c r="BS43"/>
      <c r="BT43" s="4">
        <v>1.797</v>
      </c>
      <c r="BU43" s="4">
        <v>1.862</v>
      </c>
      <c r="BV43" s="6">
        <v>0.0025</v>
      </c>
      <c r="BW43" s="4">
        <v>0.6127717172667104</v>
      </c>
      <c r="BX43" s="5">
        <f>IF(BP43="direct",IFERROR(CD43/BU43,0),0)</f>
        <v>0.000004050552417963739</v>
      </c>
      <c r="BY43" s="5">
        <f>IF(BP43="direct",BW43-BX43,IF(BP43="cash",CI43,BW43))</f>
        <v>0.6127676667142925</v>
      </c>
      <c r="BZ43" s="6">
        <v>1</v>
      </c>
      <c r="CA43" s="4">
        <v>1.1011507759282786</v>
      </c>
      <c r="CB43" s="4">
        <v>1.1011507759282786</v>
      </c>
      <c r="CC43" s="5">
        <f>IF(BP43="direct",BW43*(BU43-BT43),CF43)</f>
        <v>0.03983016162233628</v>
      </c>
      <c r="CD43" s="5">
        <f>IF(BP43="direct",CB43*BV43*C43/365,0)</f>
        <v>0.0000075421286022484834</v>
      </c>
      <c r="CE43" s="5">
        <f>CC43-CD43</f>
        <v>0.03982261949373393</v>
      </c>
      <c r="CF43" s="4">
        <v>0.03982261949373393</v>
      </c>
      <c r="CG43" s="5">
        <f>CF43-CE43</f>
        <v>-1.0177863190912947e-16</v>
      </c>
      <c r="CH43" s="4">
        <v>0</v>
      </c>
      <c r="CI43" s="4">
        <v>1.1409733954220127</v>
      </c>
      <c r="CJ43" s="4">
        <v>1.797</v>
      </c>
      <c r="CK43" s="4">
        <v>1.862</v>
      </c>
      <c r="CL43" s="6"/>
      <c r="CM43" s="6"/>
      <c r="CN43" s="6"/>
      <c r="CO43" s="9"/>
      <c r="CP43" s="7">
        <f>IFERROR(CE43/F43,0)</f>
        <v>0.03616454745732995</v>
      </c>
      <c r="CQ43" t="inlineStr">
        <is>
          <t xml:space="preserve">Lease cash / margin / financing</t>
        </is>
      </c>
      <c r="CR43" t="inlineStr">
        <is>
          <t xml:space="preserve">cash</t>
        </is>
      </c>
      <c r="CS43" t="inlineStr">
        <is>
          <t xml:space="preserve">lease</t>
        </is>
      </c>
      <c r="CT43" t="inlineStr">
        <is>
          <t xml:space="preserve">cash</t>
        </is>
      </c>
      <c r="CU43"/>
      <c r="CV43" s="4">
        <v>1</v>
      </c>
      <c r="CW43" s="4">
        <v>1</v>
      </c>
      <c r="CX43" s="6"/>
      <c r="CY43" s="4">
        <v>0</v>
      </c>
      <c r="CZ43" s="5">
        <f>IF(CR43="direct",IFERROR(DF43/CW43,0),0)</f>
        <v>0</v>
      </c>
      <c r="DA43" s="5">
        <f>IF(CR43="direct",CY43-CZ43,IF(CR43="cash",DK43,CY43))</f>
        <v>0</v>
      </c>
      <c r="DB43" s="6"/>
      <c r="DC43" s="4">
        <v>0</v>
      </c>
      <c r="DD43" s="4">
        <v>0</v>
      </c>
      <c r="DE43" s="5">
        <f>IF(CR43="direct",CY43*(CW43-CV43),DH43)</f>
        <v>0</v>
      </c>
      <c r="DF43" s="5">
        <f>IF(CR43="direct",DD43*CX43*C43/365,0)</f>
        <v>0</v>
      </c>
      <c r="DG43" s="5">
        <f>DE43-DF43</f>
        <v>0</v>
      </c>
      <c r="DH43" s="4">
        <v>0</v>
      </c>
      <c r="DI43" s="5">
        <f>DH43-DG43</f>
        <v>0</v>
      </c>
      <c r="DJ43" s="4">
        <v>0</v>
      </c>
      <c r="DK43" s="4">
        <v>0</v>
      </c>
      <c r="DL43" s="4">
        <v>1.797</v>
      </c>
      <c r="DM43" s="4">
        <v>1.862</v>
      </c>
      <c r="DN43" s="6"/>
      <c r="DO43" s="6"/>
      <c r="DP43" s="6"/>
      <c r="DQ43" s="9"/>
      <c r="DR43" s="7">
        <f>IFERROR(DG43/F43,0)</f>
        <v>0</v>
      </c>
      <c r="DS43" t="inlineStr">
        <is>
          <t xml:space="preserve">Keep cash / margin / financing</t>
        </is>
      </c>
      <c r="DT43" t="inlineStr">
        <is>
          <t xml:space="preserve">cash</t>
        </is>
      </c>
      <c r="DU43" t="inlineStr">
        <is>
          <t xml:space="preserve">keep</t>
        </is>
      </c>
      <c r="DV43" t="inlineStr">
        <is>
          <t xml:space="preserve">cash</t>
        </is>
      </c>
      <c r="DW43"/>
      <c r="DX43" s="4">
        <v>1</v>
      </c>
      <c r="DY43" s="4">
        <v>1</v>
      </c>
      <c r="DZ43" s="6"/>
      <c r="EA43" s="4">
        <v>0</v>
      </c>
      <c r="EB43" s="5">
        <f>IF(DT43="direct",IFERROR(EH43/DY43,0),0)</f>
        <v>0</v>
      </c>
      <c r="EC43" s="5">
        <f>IF(DT43="direct",EA43-EB43,IF(DT43="cash",EM43,EA43))</f>
        <v>0</v>
      </c>
      <c r="ED43" s="6"/>
      <c r="EE43" s="4">
        <v>0</v>
      </c>
      <c r="EF43" s="4">
        <v>0</v>
      </c>
      <c r="EG43" s="5">
        <f>IF(DT43="direct",EA43*(DY43-DX43),EJ43)</f>
        <v>0</v>
      </c>
      <c r="EH43" s="5">
        <f>IF(DT43="direct",EF43*DZ43*C43/365,0)</f>
        <v>0</v>
      </c>
      <c r="EI43" s="5">
        <f>EG43-EH43</f>
        <v>0</v>
      </c>
      <c r="EJ43" s="4">
        <v>0</v>
      </c>
      <c r="EK43" s="5">
        <f>EJ43-EI43</f>
        <v>0</v>
      </c>
      <c r="EL43" s="4">
        <v>0</v>
      </c>
      <c r="EM43" s="4">
        <v>0</v>
      </c>
      <c r="EN43" s="4">
        <v>1.797</v>
      </c>
      <c r="EO43" s="4">
        <v>1.862</v>
      </c>
      <c r="EP43" s="6"/>
      <c r="EQ43" s="6"/>
      <c r="ER43" s="6"/>
      <c r="ES43" s="9"/>
      <c r="ET43" s="7">
        <f>IFERROR(EI43/F43,0)</f>
        <v>0</v>
      </c>
      <c r="EU43"/>
      <c r="EV43"/>
      <c r="EW43"/>
      <c r="EX43"/>
      <c r="EY43"/>
      <c r="EZ43" s="4"/>
      <c r="FA43" s="4"/>
      <c r="FB43" s="6"/>
      <c r="FC43" s="4"/>
      <c r="FD43" s="5">
        <v>0</v>
      </c>
      <c r="FE43" s="5"/>
      <c r="FF43" s="6"/>
      <c r="FG43" s="4"/>
      <c r="FH43" s="4"/>
      <c r="FI43" s="5">
        <v>0</v>
      </c>
      <c r="FJ43" s="5">
        <v>0</v>
      </c>
      <c r="FK43" s="5"/>
      <c r="FL43" s="4"/>
      <c r="FM43" s="5">
        <v>0</v>
      </c>
      <c r="FN43" s="4"/>
      <c r="FO43" s="4"/>
      <c r="FP43" s="4"/>
      <c r="FQ43" s="4"/>
      <c r="FR43" s="6"/>
      <c r="FS43" s="6"/>
      <c r="FT43" s="6"/>
      <c r="FU43" s="9"/>
      <c r="FV43"/>
      <c r="FW43"/>
      <c r="FX43"/>
      <c r="FY43"/>
      <c r="FZ43"/>
      <c r="GA43"/>
      <c r="GB43" s="4"/>
      <c r="GC43" s="4"/>
      <c r="GD43" s="6"/>
      <c r="GE43" s="4"/>
      <c r="GF43" s="5">
        <v>0</v>
      </c>
      <c r="GG43" s="5"/>
      <c r="GH43" s="6"/>
      <c r="GI43" s="4"/>
      <c r="GJ43" s="4"/>
      <c r="GK43" s="5">
        <v>0</v>
      </c>
      <c r="GL43" s="5">
        <v>0</v>
      </c>
      <c r="GM43" s="5"/>
      <c r="GN43" s="4"/>
      <c r="GO43" s="5">
        <v>0</v>
      </c>
      <c r="GP43" s="4"/>
      <c r="GQ43" s="4"/>
      <c r="GR43" s="4"/>
      <c r="GS43" s="4"/>
      <c r="GT43" s="6"/>
      <c r="GU43" s="6"/>
      <c r="GV43" s="6"/>
      <c r="GW43" s="9"/>
      <c r="GX43"/>
      <c r="GY43"/>
      <c r="GZ43"/>
      <c r="HA43"/>
      <c r="HB43"/>
      <c r="HC43"/>
      <c r="HD43" s="4"/>
      <c r="HE43" s="4"/>
      <c r="HF43" s="6"/>
      <c r="HG43" s="4"/>
      <c r="HH43" s="5">
        <v>0</v>
      </c>
      <c r="HI43" s="5"/>
      <c r="HJ43" s="6"/>
      <c r="HK43" s="4"/>
      <c r="HL43" s="4"/>
      <c r="HM43" s="5">
        <v>0</v>
      </c>
      <c r="HN43" s="5">
        <v>0</v>
      </c>
      <c r="HO43" s="5"/>
      <c r="HP43" s="4"/>
      <c r="HQ43" s="5">
        <v>0</v>
      </c>
      <c r="HR43" s="4"/>
      <c r="HS43" s="4"/>
      <c r="HT43" s="4"/>
      <c r="HU43" s="4"/>
      <c r="HV43" s="6"/>
      <c r="HW43" s="6"/>
      <c r="HX43" s="6"/>
      <c r="HY43" s="9"/>
      <c r="HZ43"/>
      <c r="IA43"/>
      <c r="IB43"/>
      <c r="IC43"/>
      <c r="ID43"/>
      <c r="IE43"/>
      <c r="IF43" s="4"/>
      <c r="IG43" s="4"/>
      <c r="IH43" s="6"/>
      <c r="II43" s="4"/>
      <c r="IJ43" s="5">
        <v>0</v>
      </c>
      <c r="IK43" s="5"/>
      <c r="IL43" s="6"/>
      <c r="IM43" s="4"/>
      <c r="IN43" s="4"/>
      <c r="IO43" s="5">
        <v>0</v>
      </c>
      <c r="IP43" s="5">
        <v>0</v>
      </c>
      <c r="IQ43" s="5"/>
      <c r="IR43" s="4"/>
      <c r="IS43" s="5">
        <v>0</v>
      </c>
      <c r="IT43" s="4"/>
      <c r="IU43" s="4"/>
      <c r="IV43" s="4"/>
      <c r="IW43" s="4"/>
      <c r="IX43" s="6"/>
      <c r="IY43" s="6"/>
      <c r="IZ43" s="6"/>
      <c r="JA43" s="9"/>
      <c r="JB43"/>
      <c r="JC43"/>
      <c r="JD43"/>
      <c r="JE43"/>
      <c r="JF43"/>
      <c r="JG43"/>
      <c r="JH43" s="4"/>
      <c r="JI43" s="4"/>
      <c r="JJ43" s="6"/>
      <c r="JK43" s="4"/>
      <c r="JL43" s="5">
        <v>0</v>
      </c>
      <c r="JM43" s="5"/>
      <c r="JN43" s="6"/>
      <c r="JO43" s="4"/>
      <c r="JP43" s="4"/>
      <c r="JQ43" s="5">
        <v>0</v>
      </c>
      <c r="JR43" s="5">
        <v>0</v>
      </c>
      <c r="JS43" s="5"/>
      <c r="JT43" s="4"/>
      <c r="JU43" s="5">
        <v>0</v>
      </c>
      <c r="JV43" s="4"/>
      <c r="JW43" s="4"/>
      <c r="JX43" s="4"/>
      <c r="JY43" s="4"/>
      <c r="JZ43" s="6"/>
      <c r="KA43" s="6"/>
      <c r="KB43" s="6"/>
      <c r="KC43" s="9"/>
      <c r="KD43"/>
      <c r="KE43"/>
      <c r="KF43"/>
      <c r="KG43"/>
      <c r="KH43"/>
      <c r="KI43"/>
      <c r="KJ43" s="4"/>
      <c r="KK43" s="4"/>
      <c r="KL43" s="6"/>
      <c r="KM43" s="4"/>
      <c r="KN43" s="5">
        <v>0</v>
      </c>
      <c r="KO43" s="5"/>
      <c r="KP43" s="6"/>
      <c r="KQ43" s="4"/>
      <c r="KR43" s="4"/>
      <c r="KS43" s="5">
        <v>0</v>
      </c>
      <c r="KT43" s="5">
        <v>0</v>
      </c>
      <c r="KU43" s="5"/>
      <c r="KV43" s="4"/>
      <c r="KW43" s="5">
        <v>0</v>
      </c>
      <c r="KX43" s="4"/>
      <c r="KY43" s="4"/>
      <c r="KZ43" s="4"/>
      <c r="LA43" s="4"/>
      <c r="LB43" s="6"/>
      <c r="LC43" s="6"/>
      <c r="LD43" s="6"/>
      <c r="LE43" s="9"/>
      <c r="LF43"/>
      <c r="LG43"/>
      <c r="LH43"/>
      <c r="LI43"/>
      <c r="LJ43"/>
      <c r="LK43"/>
      <c r="LL43" s="4"/>
      <c r="LM43" s="4"/>
      <c r="LN43" s="6"/>
      <c r="LO43" s="4"/>
      <c r="LP43" s="5">
        <v>0</v>
      </c>
      <c r="LQ43" s="5"/>
      <c r="LR43" s="6"/>
      <c r="LS43" s="4"/>
      <c r="LT43" s="4"/>
      <c r="LU43" s="5">
        <v>0</v>
      </c>
      <c r="LV43" s="5">
        <v>0</v>
      </c>
      <c r="LW43" s="5"/>
      <c r="LX43" s="4"/>
      <c r="LY43" s="5">
        <v>0</v>
      </c>
      <c r="LZ43" s="4"/>
      <c r="MA43" s="4"/>
      <c r="MB43" s="4"/>
      <c r="MC43" s="4"/>
      <c r="MD43" s="6"/>
      <c r="ME43" s="6"/>
      <c r="MF43" s="6"/>
      <c r="MG43" s="9"/>
      <c r="MH43"/>
    </row>
    <row r="44">
      <c r="A44" s="8">
        <v>25267</v>
      </c>
      <c r="B44" s="8">
        <v>25268</v>
      </c>
      <c r="C44" s="9">
        <f>B44-A44</f>
        <v>1</v>
      </c>
      <c r="D44" s="8">
        <v>25267</v>
      </c>
      <c r="E44" t="inlineStr">
        <is>
          <t xml:space="preserve">positive</t>
        </is>
      </c>
      <c r="F44" s="4">
        <v>1.1409733954220125</v>
      </c>
      <c r="G44" s="6">
        <v>0.021226671053592775</v>
      </c>
      <c r="H44" s="7">
        <f>SUM(CP44,DR44,ET44,FV44,GX44,HZ44,JB44,KD44,LF44,MH44)</f>
        <v>0.02122667105359278</v>
      </c>
      <c r="I44" s="7">
        <f>G44-H44</f>
        <v>-3.469446951953614e-18</v>
      </c>
      <c r="J44" s="5">
        <f>F44*(1+H44)</f>
        <v>1.1651924623675365</v>
      </c>
      <c r="K44" s="4">
        <v>1.1651924623675365</v>
      </c>
      <c r="L44" s="5">
        <f>K44-J44</f>
        <v>0</v>
      </c>
      <c r="M44" s="4">
        <v>1.862</v>
      </c>
      <c r="N44" s="4">
        <v>1.886</v>
      </c>
      <c r="O44" s="5">
        <f>M44/$M$3</f>
        <v>0.9509703779366702</v>
      </c>
      <c r="P44" s="5">
        <f>N44/$M$3</f>
        <v>0.9632277834525025</v>
      </c>
      <c r="Q44" s="7">
        <f>IFERROR(N44/M44-1,0)</f>
        <v>0.012889366272824887</v>
      </c>
      <c r="R44" s="5">
        <f>SUM(IF(BQ44="lease",CB44,0),IF(CS44="lease",DD44,0),IF(DU44="lease",EF44,0),IF(EW44="lease",FH44,0),IF(FY44="lease",GJ44,0),IF(HA44="lease",HL44,0),IF(IC44="lease",IN44,0),IF(JE44="lease",JP44,0),IF(KG44="lease",KR44,0),IF(LI44="lease",LT44,0))</f>
        <v>1.1409733954220125</v>
      </c>
      <c r="S44" s="5">
        <f>SUM(IF(BQ44="lease",CI44,0),IF(CS44="lease",DK44,0),IF(DU44="lease",EM44,0),IF(EW44="lease",FO44,0),IF(FY44="lease",GQ44,0),IF(HA44="lease",HS44,0),IF(IC44="lease",IU44,0),IF(JE44="lease",JW44,0),IF(KG44="lease",KY44,0),IF(LI44="lease",MA44,0))</f>
        <v>1.1651924623675365</v>
      </c>
      <c r="T44" s="5">
        <f>SUM(IF(BQ44="keep",CB44,0),IF(CS44="keep",DD44,0),IF(DU44="keep",EF44,0),IF(EW44="keep",FH44,0),IF(FY44="keep",GJ44,0),IF(HA44="keep",HL44,0),IF(IC44="keep",IN44,0),IF(JE44="keep",JP44,0),IF(KG44="keep",KR44,0),IF(LI44="keep",LT44,0))</f>
        <v>0</v>
      </c>
      <c r="U44" s="5">
        <f>SUM(IF(BQ44="keep",CI44,0),IF(CS44="keep",DK44,0),IF(DU44="keep",EM44,0),IF(EW44="keep",FO44,0),IF(FY44="keep",GQ44,0),IF(HA44="keep",HS44,0),IF(IC44="keep",IU44,0),IF(JE44="keep",JW44,0),IF(KG44="keep",KY44,0),IF(LI44="keep",MA44,0))</f>
        <v>0</v>
      </c>
      <c r="V44" s="5">
        <f>R44/O44</f>
        <v>1.1997990914265844</v>
      </c>
      <c r="W44" s="5">
        <f>S44/P44</f>
        <v>1.2096748893508147</v>
      </c>
      <c r="X44" s="5">
        <f>T44/O44</f>
        <v>0</v>
      </c>
      <c r="Y44" s="5">
        <f>U44/P44</f>
        <v>0</v>
      </c>
      <c r="Z44" s="5">
        <f>V44+X44</f>
        <v>1.1997990914265844</v>
      </c>
      <c r="AA44" s="7">
        <f>IFERROR(W44/V44-1,0)</f>
        <v>0.008231209704024467</v>
      </c>
      <c r="AB44" s="7">
        <f>IFERROR((W44-V44)/Z44,0)</f>
        <v>0.008231209704024536</v>
      </c>
      <c r="AC44" s="7">
        <f>IFERROR(Y44/X44-1,0)</f>
        <v>0</v>
      </c>
      <c r="AD44" s="7">
        <f>IFERROR((Y44-X44)/Z44,0)</f>
        <v>0</v>
      </c>
      <c r="AE44" s="7">
        <f>AB44+AD44</f>
        <v>0.008231209704024536</v>
      </c>
      <c r="AF44" s="7">
        <f>(1+Q44)*(1+AE44)-1</f>
        <v>0.021226671053592883</v>
      </c>
      <c r="AG44" s="7">
        <f>G44-AF44</f>
        <v>-1.0755285551056204e-16</v>
      </c>
      <c r="AH44" s="5">
        <f>SUM(IF(BQ44="lease",CE44,0),IF(CS44="lease",DG44,0),IF(DU44="lease",EI44,0),IF(EW44="lease",FK44,0),IF(FY44="lease",GM44,0),IF(HA44="lease",HO44,0),IF(IC44="lease",IQ44,0),IF(JE44="lease",JS44,0),IF(KG44="lease",KU44,0),IF(LI44="lease",LW44,0))</f>
        <v>0.0242190669455239</v>
      </c>
      <c r="AI44" s="5">
        <f>SUM(IF(BQ44="keep",CE44,0),IF(CS44="keep",DG44,0),IF(DU44="keep",EI44,0),IF(EW44="keep",FK44,0),IF(FY44="keep",GM44,0),IF(HA44="keep",HO44,0),IF(IC44="keep",IQ44,0),IF(JE44="keep",JS44,0),IF(KG44="keep",KU44,0),IF(LI44="keep",LW44,0))</f>
        <v>0</v>
      </c>
      <c r="AJ44" s="5">
        <f>SUM(IF(BQ44="lease",CH44,0),IF(CS44="lease",DJ44,0),IF(DU44="lease",EL44,0),IF(EW44="lease",FN44,0),IF(FY44="lease",GP44,0),IF(HA44="lease",HR44,0),IF(IC44="lease",IT44,0),IF(JE44="lease",JV44,0),IF(KG44="lease",KX44,0),IF(LI44="lease",LZ44,0))</f>
        <v>0</v>
      </c>
      <c r="AK44" s="5">
        <f>SUM(IF(BQ44="keep",CH44,0),IF(CS44="keep",DJ44,0),IF(DU44="keep",EL44,0),IF(EW44="keep",FN44,0),IF(FY44="keep",GP44,0),IF(HA44="keep",HR44,0),IF(IC44="keep",IT44,0),IF(JE44="keep",JV44,0),IF(KG44="keep",KX44,0),IF(LI44="keep",LZ44,0))</f>
        <v>0</v>
      </c>
      <c r="AL44" s="5">
        <f>R44-S43</f>
        <v>-2.220446049250313e-16</v>
      </c>
      <c r="AM44" s="5">
        <f>T44-U43</f>
        <v>0</v>
      </c>
      <c r="AN44" s="5">
        <f>AN43</f>
        <v>1</v>
      </c>
      <c r="AO44" s="5">
        <f>AO43+AH44</f>
        <v>0.1651924623675368</v>
      </c>
      <c r="AP44" s="5">
        <f>AP43+AL44</f>
        <v>-6.661338147750939e-16</v>
      </c>
      <c r="AQ44" s="5">
        <f>AN44+AO44+AP44</f>
        <v>1.165192462367536</v>
      </c>
      <c r="AR44" s="5">
        <f>S44-AQ44</f>
        <v>4.440892098500626e-16</v>
      </c>
      <c r="AS44" s="5">
        <f>AS43</f>
        <v>0</v>
      </c>
      <c r="AT44" s="5">
        <f>AT43+AI44</f>
        <v>0</v>
      </c>
      <c r="AU44" s="5">
        <f>AU43+AM44</f>
        <v>0</v>
      </c>
      <c r="AV44" s="5">
        <f>AS44+AT44+AU44</f>
        <v>0</v>
      </c>
      <c r="AW44" s="5">
        <f>U44-AV44</f>
        <v>0</v>
      </c>
      <c r="AX44" s="4">
        <v>1.1409733954220125</v>
      </c>
      <c r="AY44" s="4">
        <v>1.1651924623675365</v>
      </c>
      <c r="AZ44" s="5">
        <f>S44-AY44</f>
        <v>0</v>
      </c>
      <c r="BA44" s="4">
        <v>0</v>
      </c>
      <c r="BB44" s="4">
        <v>0</v>
      </c>
      <c r="BC44" s="5">
        <f>U44-BB44</f>
        <v>0</v>
      </c>
      <c r="BD44" s="7">
        <f>SUM(IF(BP44="direct",CC44/F44,0),IF(CR44="direct",DE44/F44,0),IF(DT44="direct",EG44/F44,0),IF(EV44="direct",FI44/F44,0),IF(FX44="direct",GK44/F44,0),IF(GZ44="direct",HM44/F44,0),IF(IB44="direct",IO44/F44,0),IF(JD44="direct",JQ44/F44,0),IF(KF44="direct",KS44/F44,0),IF(LH44="direct",LU44/F44,0))</f>
        <v>0.0007654252178775177</v>
      </c>
      <c r="BE44" s="7">
        <f>-SUM(IF(BP44="direct",CD44/F44,0),IF(CR44="direct",DF44/F44,0),IF(DT44="direct",EH44/F44,0),IF(EV44="direct",FJ44/F44,0),IF(FX44="direct",GL44/F44,0),IF(GZ44="direct",HN44/F44,0),IF(IB44="direct",IP44/F44,0),IF(JD44="direct",JR44/F44,0),IF(KF44="direct",KT44/F44,0),IF(LH44="direct",LV44/F44,0))</f>
        <v>-4.067413686324058e-7</v>
      </c>
      <c r="BF44" s="7">
        <f>BD44+BE44</f>
        <v>0.0007650184765088853</v>
      </c>
      <c r="BG44" s="7">
        <f>BF44-SUM(IF(BP44="direct",CP44,0),IF(CR44="direct",DR44,0),IF(DT44="direct",ET44,0),IF(EV44="direct",FV44,0),IF(FX44="direct",GX44,0),IF(GZ44="direct",HZ44,0),IF(IB44="direct",JB44,0),IF(JD44="direct",KD44,0),IF(KF44="direct",LF44,0),IF(LH44="direct",MH44,0))</f>
        <v>-4.445228907190568e-18</v>
      </c>
      <c r="BH44" s="7">
        <f>SUM(IF(BP44="treasury",CP44,0),IF(CR44="treasury",DR44,0),IF(DT44="treasury",ET44,0),IF(EV44="treasury",FV44,0),IF(FX44="treasury",GX44,0),IF(GZ44="treasury",HZ44,0),IF(IB44="treasury",JB44,0),IF(JD44="treasury",KD44,0),IF(KF44="treasury",LF44,0),IF(LH44="treasury",MH44,0))</f>
        <v>0.00015694109532860773</v>
      </c>
      <c r="BI44" s="7">
        <f>SUM(IF(BP44="future",CP44,0),IF(CR44="future",DR44,0),IF(DT44="future",ET44,0),IF(EV44="future",FV44,0),IF(FX44="future",GX44,0),IF(GZ44="future",HZ44,0),IF(IB44="future",JB44,0),IF(JD44="future",KD44,0),IF(KF44="future",LF44,0),IF(LH44="future",MH44,0))</f>
        <v>0.02030471148175528</v>
      </c>
      <c r="BJ44" s="7">
        <f>SUM(IF(BP44="cash",CP44,0),IF(CR44="cash",DR44,0),IF(DT44="cash",ET44,0),IF(EV44="cash",FV44,0),IF(FX44="cash",GX44,0),IF(GZ44="cash",HZ44,0),IF(IB44="cash",JB44,0),IF(JD44="cash",KD44,0),IF(KF44="cash",LF44,0),IF(LH44="cash",MH44,0))</f>
        <v>0</v>
      </c>
      <c r="BK44" s="7">
        <f>SUM(BF44,BH44,BI44,BJ44)</f>
        <v>0.02122667105359278</v>
      </c>
      <c r="BL44" s="7">
        <f>G44-BK44</f>
        <v>-3.469446951953614e-18</v>
      </c>
      <c r="BM44" s="5">
        <f>MAX(ABS(CG44),ABS(DI44),ABS(EK44),ABS(FM44),ABS(GO44),ABS(HQ44),ABS(IS44),ABS(JU44),ABS(KW44),ABS(LY44))</f>
        <v>1.849919956803392e-16</v>
      </c>
      <c r="BN44" s="9">
        <f>COUNTA(BO44,CQ44,DS44,EU44,FW44,GY44,IA44,JC44,KE44,LG44)</f>
        <v>6</v>
      </c>
      <c r="BO44" t="inlineStr">
        <is>
          <t xml:space="preserve">Direct commodity holding</t>
        </is>
      </c>
      <c r="BP44" t="inlineStr">
        <is>
          <t xml:space="preserve">direct</t>
        </is>
      </c>
      <c r="BQ44" t="inlineStr">
        <is>
          <t xml:space="preserve">lease</t>
        </is>
      </c>
      <c r="BR44" t="inlineStr">
        <is>
          <t xml:space="preserve">long</t>
        </is>
      </c>
      <c r="BS44"/>
      <c r="BT44" s="4">
        <v>1.862</v>
      </c>
      <c r="BU44" s="4">
        <v>1.886</v>
      </c>
      <c r="BV44" s="6">
        <v>0.0025</v>
      </c>
      <c r="BW44" s="4">
        <v>0.03638874207430635</v>
      </c>
      <c r="BX44" s="5">
        <f>IF(BP44="direct",IFERROR(CD44/BU44,0),0)</f>
        <v>2.4606632048097164e-7</v>
      </c>
      <c r="BY44" s="5">
        <f>IF(BP44="direct",BW44-BX44,IF(BP44="cash",CI44,BW44))</f>
        <v>0.03638849600798587</v>
      </c>
      <c r="BZ44" s="6">
        <v>0.05938423982033125</v>
      </c>
      <c r="CA44" s="4">
        <v>0.06775583774235842</v>
      </c>
      <c r="CB44" s="4">
        <v>0.06775583774235842</v>
      </c>
      <c r="CC44" s="5">
        <f>IF(BP44="direct",BW44*(BU44-BT44),CF44)</f>
        <v>0.000873329809783345</v>
      </c>
      <c r="CD44" s="5">
        <f>IF(BP44="direct",CB44*BV44*C44/365,0)</f>
        <v>4.640810804271125e-7</v>
      </c>
      <c r="CE44" s="5">
        <f>CC44-CD44</f>
        <v>0.0008728657287029231</v>
      </c>
      <c r="CF44" s="4">
        <v>0.0008728657287029231</v>
      </c>
      <c r="CG44" s="5">
        <f>CF44-CE44</f>
        <v>5.180506444966504e-18</v>
      </c>
      <c r="CH44" s="4">
        <v>0</v>
      </c>
      <c r="CI44" s="4">
        <v>0.06862870347106134</v>
      </c>
      <c r="CJ44" s="4">
        <v>1.862</v>
      </c>
      <c r="CK44" s="4">
        <v>1.886</v>
      </c>
      <c r="CL44" s="6"/>
      <c r="CM44" s="6"/>
      <c r="CN44" s="6"/>
      <c r="CO44" s="9"/>
      <c r="CP44" s="7">
        <f>IFERROR(CE44/F44,0)</f>
        <v>0.0007650184765088898</v>
      </c>
      <c r="CQ44" t="inlineStr">
        <is>
          <t xml:space="preserve">Treasury collateral</t>
        </is>
      </c>
      <c r="CR44" t="inlineStr">
        <is>
          <t xml:space="preserve">treasury</t>
        </is>
      </c>
      <c r="CS44" t="inlineStr">
        <is>
          <t xml:space="preserve">lease</t>
        </is>
      </c>
      <c r="CT44" t="inlineStr">
        <is>
          <t xml:space="preserve">long</t>
        </is>
      </c>
      <c r="CU44"/>
      <c r="CV44" s="4">
        <v>101.0466537084127</v>
      </c>
      <c r="CW44" s="4">
        <v>101.0635132733739</v>
      </c>
      <c r="CX44" s="6"/>
      <c r="CY44" s="4">
        <v>0.010621010377806333</v>
      </c>
      <c r="CZ44" s="5">
        <f>IF(CR44="direct",IFERROR(DF44/CW44,0),0)</f>
        <v>0</v>
      </c>
      <c r="DA44" s="5">
        <f>IF(CR44="direct",CY44-CZ44,IF(CR44="cash",DK44,CY44))</f>
        <v>0.010621010377806333</v>
      </c>
      <c r="DB44" s="6">
        <v>0.9406157601796687</v>
      </c>
      <c r="DC44" s="4">
        <v>1.073217557679654</v>
      </c>
      <c r="DD44" s="4">
        <v>1.073217557679654</v>
      </c>
      <c r="DE44" s="5">
        <f>IF(CR44="direct",CY44*(CW44-CV44),DH44)</f>
        <v>0.0001790656144181463</v>
      </c>
      <c r="DF44" s="5">
        <f>IF(CR44="direct",DD44*CX44*C44/365,0)</f>
        <v>0</v>
      </c>
      <c r="DG44" s="5">
        <f>DE44-DF44</f>
        <v>0.0001790656144183313</v>
      </c>
      <c r="DH44" s="4">
        <v>0.0001790656144183313</v>
      </c>
      <c r="DI44" s="5">
        <f>DH44-DG44</f>
        <v>1.849919956803392e-16</v>
      </c>
      <c r="DJ44" s="4">
        <v>-5.900770323752358e-17</v>
      </c>
      <c r="DK44" s="4">
        <v>1.0733966232940724</v>
      </c>
      <c r="DL44" s="4">
        <v>1.862</v>
      </c>
      <c r="DM44" s="4">
        <v>1.886</v>
      </c>
      <c r="DN44" s="6"/>
      <c r="DO44" s="6"/>
      <c r="DP44" s="6"/>
      <c r="DQ44" s="9">
        <v>22</v>
      </c>
      <c r="DR44" s="7">
        <f>IFERROR(DG44/F44,0)</f>
        <v>0.00015694109532860773</v>
      </c>
      <c r="DS44" t="inlineStr">
        <is>
          <t xml:space="preserve">SI69H</t>
        </is>
      </c>
      <c r="DT44" t="inlineStr">
        <is>
          <t xml:space="preserve">future</t>
        </is>
      </c>
      <c r="DU44" t="inlineStr">
        <is>
          <t xml:space="preserve">lease</t>
        </is>
      </c>
      <c r="DV44" t="inlineStr">
        <is>
          <t xml:space="preserve">long</t>
        </is>
      </c>
      <c r="DW44" t="inlineStr">
        <is>
          <t xml:space="preserve">regular</t>
        </is>
      </c>
      <c r="DX44" s="4">
        <v>1.8530000000000002</v>
      </c>
      <c r="DY44" s="4">
        <v>1.893</v>
      </c>
      <c r="DZ44" s="6"/>
      <c r="EA44" s="4">
        <v>0.5791783619866333</v>
      </c>
      <c r="EB44" s="5">
        <f>IF(DT44="direct",IFERROR(EH44/DY44,0),0)</f>
        <v>0</v>
      </c>
      <c r="EC44" s="5">
        <f>IF(DT44="direct",EA44-EB44,IF(DT44="cash",EM44,EA44))</f>
        <v>0.5791783619866333</v>
      </c>
      <c r="ED44" s="6">
        <v>0.9406157137996018</v>
      </c>
      <c r="EE44" s="4">
        <v>1.0732175047612316</v>
      </c>
      <c r="EF44" s="4">
        <v>0</v>
      </c>
      <c r="EG44" s="5">
        <f>IF(DT44="direct",EA44*(DY44-DX44),EJ44)</f>
        <v>0.023167134479465296</v>
      </c>
      <c r="EH44" s="5">
        <f>IF(DT44="direct",EF44*DZ44*C44/365,0)</f>
        <v>0</v>
      </c>
      <c r="EI44" s="5">
        <f>EG44-EH44</f>
        <v>0.023167134479465296</v>
      </c>
      <c r="EJ44" s="4">
        <v>0.023167134479465296</v>
      </c>
      <c r="EK44" s="5">
        <f>EJ44-EI44</f>
        <v>0</v>
      </c>
      <c r="EL44" s="4">
        <v>-0.023167134479465296</v>
      </c>
      <c r="EM44" s="4">
        <v>0</v>
      </c>
      <c r="EN44" s="4">
        <v>1.862</v>
      </c>
      <c r="EO44" s="4">
        <v>1.886</v>
      </c>
      <c r="EP44" s="6">
        <v>-0.004833512352309333</v>
      </c>
      <c r="EQ44" s="6">
        <v>0.060899999999999996</v>
      </c>
      <c r="ER44" s="6">
        <v>0.1410923640269503</v>
      </c>
      <c r="ES44" s="9">
        <v>22</v>
      </c>
      <c r="ET44" s="7">
        <f>IFERROR(EI44/F44,0)</f>
        <v>0.020304710497562876</v>
      </c>
      <c r="EU44" t="inlineStr">
        <is>
          <t xml:space="preserve">SI69K</t>
        </is>
      </c>
      <c r="EV44" t="inlineStr">
        <is>
          <t xml:space="preserve">future</t>
        </is>
      </c>
      <c r="EW44" t="inlineStr">
        <is>
          <t xml:space="preserve">lease</t>
        </is>
      </c>
      <c r="EX44" t="inlineStr">
        <is>
          <t xml:space="preserve">long</t>
        </is>
      </c>
      <c r="EY44" t="inlineStr">
        <is>
          <t xml:space="preserve">regular</t>
        </is>
      </c>
      <c r="EZ44" s="4">
        <v>1.885</v>
      </c>
      <c r="FA44" s="4">
        <v>1.925</v>
      </c>
      <c r="FB44" s="6"/>
      <c r="FC44" s="4">
        <v>2.807343366343214e-8</v>
      </c>
      <c r="FD44" s="5">
        <f>IF(EV44="direct",IFERROR(FJ44/FA44,0),0)</f>
        <v>0</v>
      </c>
      <c r="FE44" s="5">
        <f>IF(EV44="direct",FC44-FD44,IF(EV44="cash",FO44,FC44))</f>
        <v>2.807343366343214e-8</v>
      </c>
      <c r="FF44" s="6">
        <v>4.638006693924411e-8</v>
      </c>
      <c r="FG44" s="4">
        <v>5.2918422455569583e-8</v>
      </c>
      <c r="FH44" s="4">
        <v>0</v>
      </c>
      <c r="FI44" s="5">
        <f>IF(EV44="direct",FC44*(FA44-EZ44),FL44)</f>
        <v>1.1229373465372824e-9</v>
      </c>
      <c r="FJ44" s="5">
        <f>IF(EV44="direct",FH44*FB44*C44/365,0)</f>
        <v>0</v>
      </c>
      <c r="FK44" s="5">
        <f>FI44-FJ44</f>
        <v>1.1229373465372824e-9</v>
      </c>
      <c r="FL44" s="4">
        <v>1.1229373465372824e-9</v>
      </c>
      <c r="FM44" s="5">
        <f>FL44-FK44</f>
        <v>0</v>
      </c>
      <c r="FN44" s="4">
        <v>-1.1229373465372824e-9</v>
      </c>
      <c r="FO44" s="4">
        <v>0</v>
      </c>
      <c r="FP44" s="4">
        <v>1.862</v>
      </c>
      <c r="FQ44" s="4">
        <v>1.886</v>
      </c>
      <c r="FR44" s="6">
        <v>0.01235230934479059</v>
      </c>
      <c r="FS44" s="6">
        <v>0.060899999999999996</v>
      </c>
      <c r="FT44" s="6">
        <v>0.0072262748708504035</v>
      </c>
      <c r="FU44" s="9">
        <v>84</v>
      </c>
      <c r="FV44" s="7">
        <f>IFERROR(FK44/F44,0)</f>
        <v>9.841924018937715e-10</v>
      </c>
      <c r="FW44" t="inlineStr">
        <is>
          <t xml:space="preserve">Lease cash / margin / financing</t>
        </is>
      </c>
      <c r="FX44" t="inlineStr">
        <is>
          <t xml:space="preserve">cash</t>
        </is>
      </c>
      <c r="FY44" t="inlineStr">
        <is>
          <t xml:space="preserve">lease</t>
        </is>
      </c>
      <c r="FZ44" t="inlineStr">
        <is>
          <t xml:space="preserve">cash</t>
        </is>
      </c>
      <c r="GA44"/>
      <c r="GB44" s="4">
        <v>1</v>
      </c>
      <c r="GC44" s="4">
        <v>1</v>
      </c>
      <c r="GD44" s="6"/>
      <c r="GE44" s="4">
        <v>0</v>
      </c>
      <c r="GF44" s="5">
        <f>IF(FX44="direct",IFERROR(GL44/GC44,0),0)</f>
        <v>0</v>
      </c>
      <c r="GG44" s="5">
        <f>IF(FX44="direct",GE44-GF44,IF(FX44="cash",GQ44,GE44))</f>
        <v>0.023167135602402703</v>
      </c>
      <c r="GH44" s="6"/>
      <c r="GI44" s="4">
        <v>0</v>
      </c>
      <c r="GJ44" s="4">
        <v>0</v>
      </c>
      <c r="GK44" s="5">
        <f>IF(FX44="direct",GE44*(GC44-GB44),GN44)</f>
        <v>0</v>
      </c>
      <c r="GL44" s="5">
        <f>IF(FX44="direct",GJ44*GD44*C44/365,0)</f>
        <v>0</v>
      </c>
      <c r="GM44" s="5">
        <f>GK44-GL44</f>
        <v>0</v>
      </c>
      <c r="GN44" s="4">
        <v>0</v>
      </c>
      <c r="GO44" s="5">
        <f>GN44-GM44</f>
        <v>0</v>
      </c>
      <c r="GP44" s="4">
        <v>0.023167135602402703</v>
      </c>
      <c r="GQ44" s="4">
        <v>0.023167135602402703</v>
      </c>
      <c r="GR44" s="4">
        <v>1.862</v>
      </c>
      <c r="GS44" s="4">
        <v>1.886</v>
      </c>
      <c r="GT44" s="6"/>
      <c r="GU44" s="6"/>
      <c r="GV44" s="6"/>
      <c r="GW44" s="9"/>
      <c r="GX44" s="7">
        <f>IFERROR(GM44/F44,0)</f>
        <v>0</v>
      </c>
      <c r="GY44" t="inlineStr">
        <is>
          <t xml:space="preserve">Keep cash / margin / financing</t>
        </is>
      </c>
      <c r="GZ44" t="inlineStr">
        <is>
          <t xml:space="preserve">cash</t>
        </is>
      </c>
      <c r="HA44" t="inlineStr">
        <is>
          <t xml:space="preserve">keep</t>
        </is>
      </c>
      <c r="HB44" t="inlineStr">
        <is>
          <t xml:space="preserve">cash</t>
        </is>
      </c>
      <c r="HC44"/>
      <c r="HD44" s="4">
        <v>1</v>
      </c>
      <c r="HE44" s="4">
        <v>1</v>
      </c>
      <c r="HF44" s="6"/>
      <c r="HG44" s="4">
        <v>0</v>
      </c>
      <c r="HH44" s="5">
        <f>IF(GZ44="direct",IFERROR(HN44/HE44,0),0)</f>
        <v>0</v>
      </c>
      <c r="HI44" s="5">
        <f>IF(GZ44="direct",HG44-HH44,IF(GZ44="cash",HS44,HG44))</f>
        <v>0</v>
      </c>
      <c r="HJ44" s="6"/>
      <c r="HK44" s="4">
        <v>0</v>
      </c>
      <c r="HL44" s="4">
        <v>0</v>
      </c>
      <c r="HM44" s="5">
        <f>IF(GZ44="direct",HG44*(HE44-HD44),HP44)</f>
        <v>0</v>
      </c>
      <c r="HN44" s="5">
        <f>IF(GZ44="direct",HL44*HF44*C44/365,0)</f>
        <v>0</v>
      </c>
      <c r="HO44" s="5">
        <f>HM44-HN44</f>
        <v>0</v>
      </c>
      <c r="HP44" s="4">
        <v>0</v>
      </c>
      <c r="HQ44" s="5">
        <f>HP44-HO44</f>
        <v>0</v>
      </c>
      <c r="HR44" s="4">
        <v>0</v>
      </c>
      <c r="HS44" s="4">
        <v>0</v>
      </c>
      <c r="HT44" s="4">
        <v>1.862</v>
      </c>
      <c r="HU44" s="4">
        <v>1.886</v>
      </c>
      <c r="HV44" s="6"/>
      <c r="HW44" s="6"/>
      <c r="HX44" s="6"/>
      <c r="HY44" s="9"/>
      <c r="HZ44" s="7">
        <f>IFERROR(HO44/F44,0)</f>
        <v>0</v>
      </c>
      <c r="IA44"/>
      <c r="IB44"/>
      <c r="IC44"/>
      <c r="ID44"/>
      <c r="IE44"/>
      <c r="IF44" s="4"/>
      <c r="IG44" s="4"/>
      <c r="IH44" s="6"/>
      <c r="II44" s="4"/>
      <c r="IJ44" s="5">
        <v>0</v>
      </c>
      <c r="IK44" s="5"/>
      <c r="IL44" s="6"/>
      <c r="IM44" s="4"/>
      <c r="IN44" s="4"/>
      <c r="IO44" s="5">
        <v>0</v>
      </c>
      <c r="IP44" s="5">
        <v>0</v>
      </c>
      <c r="IQ44" s="5"/>
      <c r="IR44" s="4"/>
      <c r="IS44" s="5">
        <v>0</v>
      </c>
      <c r="IT44" s="4"/>
      <c r="IU44" s="4"/>
      <c r="IV44" s="4"/>
      <c r="IW44" s="4"/>
      <c r="IX44" s="6"/>
      <c r="IY44" s="6"/>
      <c r="IZ44" s="6"/>
      <c r="JA44" s="9"/>
      <c r="JB44"/>
      <c r="JC44"/>
      <c r="JD44"/>
      <c r="JE44"/>
      <c r="JF44"/>
      <c r="JG44"/>
      <c r="JH44" s="4"/>
      <c r="JI44" s="4"/>
      <c r="JJ44" s="6"/>
      <c r="JK44" s="4"/>
      <c r="JL44" s="5">
        <v>0</v>
      </c>
      <c r="JM44" s="5"/>
      <c r="JN44" s="6"/>
      <c r="JO44" s="4"/>
      <c r="JP44" s="4"/>
      <c r="JQ44" s="5">
        <v>0</v>
      </c>
      <c r="JR44" s="5">
        <v>0</v>
      </c>
      <c r="JS44" s="5"/>
      <c r="JT44" s="4"/>
      <c r="JU44" s="5">
        <v>0</v>
      </c>
      <c r="JV44" s="4"/>
      <c r="JW44" s="4"/>
      <c r="JX44" s="4"/>
      <c r="JY44" s="4"/>
      <c r="JZ44" s="6"/>
      <c r="KA44" s="6"/>
      <c r="KB44" s="6"/>
      <c r="KC44" s="9"/>
      <c r="KD44"/>
      <c r="KE44"/>
      <c r="KF44"/>
      <c r="KG44"/>
      <c r="KH44"/>
      <c r="KI44"/>
      <c r="KJ44" s="4"/>
      <c r="KK44" s="4"/>
      <c r="KL44" s="6"/>
      <c r="KM44" s="4"/>
      <c r="KN44" s="5">
        <v>0</v>
      </c>
      <c r="KO44" s="5"/>
      <c r="KP44" s="6"/>
      <c r="KQ44" s="4"/>
      <c r="KR44" s="4"/>
      <c r="KS44" s="5">
        <v>0</v>
      </c>
      <c r="KT44" s="5">
        <v>0</v>
      </c>
      <c r="KU44" s="5"/>
      <c r="KV44" s="4"/>
      <c r="KW44" s="5">
        <v>0</v>
      </c>
      <c r="KX44" s="4"/>
      <c r="KY44" s="4"/>
      <c r="KZ44" s="4"/>
      <c r="LA44" s="4"/>
      <c r="LB44" s="6"/>
      <c r="LC44" s="6"/>
      <c r="LD44" s="6"/>
      <c r="LE44" s="9"/>
      <c r="LF44"/>
      <c r="LG44"/>
      <c r="LH44"/>
      <c r="LI44"/>
      <c r="LJ44"/>
      <c r="LK44"/>
      <c r="LL44" s="4"/>
      <c r="LM44" s="4"/>
      <c r="LN44" s="6"/>
      <c r="LO44" s="4"/>
      <c r="LP44" s="5">
        <v>0</v>
      </c>
      <c r="LQ44" s="5"/>
      <c r="LR44" s="6"/>
      <c r="LS44" s="4"/>
      <c r="LT44" s="4"/>
      <c r="LU44" s="5">
        <v>0</v>
      </c>
      <c r="LV44" s="5">
        <v>0</v>
      </c>
      <c r="LW44" s="5"/>
      <c r="LX44" s="4"/>
      <c r="LY44" s="5">
        <v>0</v>
      </c>
      <c r="LZ44" s="4"/>
      <c r="MA44" s="4"/>
      <c r="MB44" s="4"/>
      <c r="MC44" s="4"/>
      <c r="MD44" s="6"/>
      <c r="ME44" s="6"/>
      <c r="MF44" s="6"/>
      <c r="MG44" s="9"/>
      <c r="MH44"/>
    </row>
    <row r="45">
      <c r="A45" s="8">
        <v>25268</v>
      </c>
      <c r="B45" s="8">
        <v>25269</v>
      </c>
      <c r="C45" s="9">
        <f>B45-A45</f>
        <v>1</v>
      </c>
      <c r="D45" s="8">
        <v>25268</v>
      </c>
      <c r="E45" t="inlineStr">
        <is>
          <t xml:space="preserve">neutral</t>
        </is>
      </c>
      <c r="F45" s="4">
        <v>1.1651924623675365</v>
      </c>
      <c r="G45" s="6">
        <v>0.020671835732651588</v>
      </c>
      <c r="H45" s="7">
        <f>SUM(CP45,DR45,ET45,FV45,GX45,HZ45,JB45,KD45,LF45,MH45)</f>
        <v>0.020671835732651588</v>
      </c>
      <c r="I45" s="7">
        <f>G45-H45</f>
        <v>0</v>
      </c>
      <c r="J45" s="5">
        <f>F45*(1+H45)</f>
        <v>1.1892791295465222</v>
      </c>
      <c r="K45" s="4">
        <v>1.1892791295465222</v>
      </c>
      <c r="L45" s="5">
        <f>K45-J45</f>
        <v>0</v>
      </c>
      <c r="M45" s="4">
        <v>1.886</v>
      </c>
      <c r="N45" s="4">
        <v>1.925</v>
      </c>
      <c r="O45" s="5">
        <f>M45/$M$3</f>
        <v>0.9632277834525025</v>
      </c>
      <c r="P45" s="5">
        <f>N45/$M$3</f>
        <v>0.9831460674157304</v>
      </c>
      <c r="Q45" s="7">
        <f>IFERROR(N45/M45-1,0)</f>
        <v>0.02067868504772008</v>
      </c>
      <c r="R45" s="5">
        <f>SUM(IF(BQ45="lease",CB45,0),IF(CS45="lease",DD45,0),IF(DU45="lease",EF45,0),IF(EW45="lease",FH45,0),IF(FY45="lease",GJ45,0),IF(HA45="lease",HL45,0),IF(IC45="lease",IN45,0),IF(JE45="lease",JP45,0),IF(KG45="lease",KR45,0),IF(LI45="lease",LT45,0))</f>
        <v>1.1651924623675365</v>
      </c>
      <c r="S45" s="5">
        <f>SUM(IF(BQ45="lease",CI45,0),IF(CS45="lease",DK45,0),IF(DU45="lease",EM45,0),IF(EW45="lease",FO45,0),IF(FY45="lease",GQ45,0),IF(HA45="lease",HS45,0),IF(IC45="lease",IU45,0),IF(JE45="lease",JW45,0),IF(KG45="lease",KY45,0),IF(LI45="lease",MA45,0))</f>
        <v>1.189279129546522</v>
      </c>
      <c r="T45" s="5">
        <f>SUM(IF(BQ45="keep",CB45,0),IF(CS45="keep",DD45,0),IF(DU45="keep",EF45,0),IF(EW45="keep",FH45,0),IF(FY45="keep",GJ45,0),IF(HA45="keep",HL45,0),IF(IC45="keep",IN45,0),IF(JE45="keep",JP45,0),IF(KG45="keep",KR45,0),IF(LI45="keep",LT45,0))</f>
        <v>0</v>
      </c>
      <c r="U45" s="5">
        <f>SUM(IF(BQ45="keep",CI45,0),IF(CS45="keep",DK45,0),IF(DU45="keep",EM45,0),IF(EW45="keep",FO45,0),IF(FY45="keep",GQ45,0),IF(HA45="keep",HS45,0),IF(IC45="keep",IU45,0),IF(JE45="keep",JW45,0),IF(KG45="keep",KY45,0),IF(LI45="keep",MA45,0))</f>
        <v>0</v>
      </c>
      <c r="V45" s="5">
        <f>R45/O45</f>
        <v>1.2096748893508147</v>
      </c>
      <c r="W45" s="5">
        <f>S45/P45</f>
        <v>1.2096667717673193</v>
      </c>
      <c r="X45" s="5">
        <f>T45/O45</f>
        <v>0</v>
      </c>
      <c r="Y45" s="5">
        <f>U45/P45</f>
        <v>0</v>
      </c>
      <c r="Z45" s="5">
        <f>V45+X45</f>
        <v>1.2096748893508147</v>
      </c>
      <c r="AA45" s="7">
        <f>IFERROR(W45/V45-1,0)</f>
        <v>-0.000006710549724453507</v>
      </c>
      <c r="AB45" s="7">
        <f>IFERROR((W45-V45)/Z45,0)</f>
        <v>-0.000006710549724438119</v>
      </c>
      <c r="AC45" s="7">
        <f>IFERROR(Y45/X45-1,0)</f>
        <v>0</v>
      </c>
      <c r="AD45" s="7">
        <f>IFERROR((Y45-X45)/Z45,0)</f>
        <v>0</v>
      </c>
      <c r="AE45" s="7">
        <f>AB45+AD45</f>
        <v>-0.000006710549724438119</v>
      </c>
      <c r="AF45" s="7">
        <f>(1+Q45)*(1+AE45)-1</f>
        <v>0.02067183573265141</v>
      </c>
      <c r="AG45" s="7">
        <f>G45-AF45</f>
        <v>1.7694179454963432e-16</v>
      </c>
      <c r="AH45" s="5">
        <f>SUM(IF(BQ45="lease",CE45,0),IF(CS45="lease",DG45,0),IF(DU45="lease",EI45,0),IF(EW45="lease",FK45,0),IF(FY45="lease",GM45,0),IF(HA45="lease",HO45,0),IF(IC45="lease",IQ45,0),IF(JE45="lease",JS45,0),IF(KG45="lease",KU45,0),IF(LI45="lease",LW45,0))</f>
        <v>0.02408666717898553</v>
      </c>
      <c r="AI45" s="5">
        <f>SUM(IF(BQ45="keep",CE45,0),IF(CS45="keep",DG45,0),IF(DU45="keep",EI45,0),IF(EW45="keep",FK45,0),IF(FY45="keep",GM45,0),IF(HA45="keep",HO45,0),IF(IC45="keep",IQ45,0),IF(JE45="keep",JS45,0),IF(KG45="keep",KU45,0),IF(LI45="keep",LW45,0))</f>
        <v>0</v>
      </c>
      <c r="AJ45" s="5">
        <f>SUM(IF(BQ45="lease",CH45,0),IF(CS45="lease",DJ45,0),IF(DU45="lease",EL45,0),IF(EW45="lease",FN45,0),IF(FY45="lease",GP45,0),IF(HA45="lease",HR45,0),IF(IC45="lease",IT45,0),IF(JE45="lease",JV45,0),IF(KG45="lease",KX45,0),IF(LI45="lease",LZ45,0))</f>
        <v>0</v>
      </c>
      <c r="AK45" s="5">
        <f>SUM(IF(BQ45="keep",CH45,0),IF(CS45="keep",DJ45,0),IF(DU45="keep",EL45,0),IF(EW45="keep",FN45,0),IF(FY45="keep",GP45,0),IF(HA45="keep",HR45,0),IF(IC45="keep",IT45,0),IF(JE45="keep",JV45,0),IF(KG45="keep",KX45,0),IF(LI45="keep",LZ45,0))</f>
        <v>0</v>
      </c>
      <c r="AL45" s="5">
        <f>R45-S44</f>
        <v>0</v>
      </c>
      <c r="AM45" s="5">
        <f>T45-U44</f>
        <v>0</v>
      </c>
      <c r="AN45" s="5">
        <f>AN44</f>
        <v>1</v>
      </c>
      <c r="AO45" s="5">
        <f>AO44+AH45</f>
        <v>0.18927912954652232</v>
      </c>
      <c r="AP45" s="5">
        <f>AP44+AL45</f>
        <v>-6.661338147750939e-16</v>
      </c>
      <c r="AQ45" s="5">
        <f>AN45+AO45+AP45</f>
        <v>1.1892791295465217</v>
      </c>
      <c r="AR45" s="5">
        <f>S45-AQ45</f>
        <v>2.220446049250313e-16</v>
      </c>
      <c r="AS45" s="5">
        <f>AS44</f>
        <v>0</v>
      </c>
      <c r="AT45" s="5">
        <f>AT44+AI45</f>
        <v>0</v>
      </c>
      <c r="AU45" s="5">
        <f>AU44+AM45</f>
        <v>0</v>
      </c>
      <c r="AV45" s="5">
        <f>AS45+AT45+AU45</f>
        <v>0</v>
      </c>
      <c r="AW45" s="5">
        <f>U45-AV45</f>
        <v>0</v>
      </c>
      <c r="AX45" s="4">
        <v>1.1651924623675365</v>
      </c>
      <c r="AY45" s="4">
        <v>1.189279129546522</v>
      </c>
      <c r="AZ45" s="5">
        <f>S45-AY45</f>
        <v>0</v>
      </c>
      <c r="BA45" s="4">
        <v>0</v>
      </c>
      <c r="BB45" s="4">
        <v>0</v>
      </c>
      <c r="BC45" s="5">
        <f>U45-BB45</f>
        <v>0</v>
      </c>
      <c r="BD45" s="7">
        <f>SUM(IF(BP45="direct",CC45/F45,0),IF(CR45="direct",DE45/F45,0),IF(DT45="direct",EG45/F45,0),IF(EV45="direct",FI45/F45,0),IF(FX45="direct",GK45/F45,0),IF(GZ45="direct",HM45/F45,0),IF(IB45="direct",IO45/F45,0),IF(JD45="direct",JQ45/F45,0),IF(KF45="direct",KS45/F45,0),IF(LH45="direct",LU45/F45,0))</f>
        <v>0.02067868504772012</v>
      </c>
      <c r="BE45" s="7">
        <f>-SUM(IF(BP45="direct",CD45/F45,0),IF(CR45="direct",DF45/F45,0),IF(DT45="direct",EH45/F45,0),IF(EV45="direct",FJ45/F45,0),IF(FX45="direct",GL45/F45,0),IF(GZ45="direct",HN45/F45,0),IF(IB45="direct",IP45/F45,0),IF(JD45="direct",JR45/F45,0),IF(KF45="direct",KT45/F45,0),IF(LH45="direct",LV45/F45,0))</f>
        <v>-0.000006849315068493151</v>
      </c>
      <c r="BF45" s="7">
        <f>BD45+BE45</f>
        <v>0.02067183573265163</v>
      </c>
      <c r="BG45" s="7">
        <f>BF45-SUM(IF(BP45="direct",CP45,0),IF(CR45="direct",DR45,0),IF(DT45="direct",ET45,0),IF(EV45="direct",FV45,0),IF(FX45="direct",GX45,0),IF(GZ45="direct",HZ45,0),IF(IB45="direct",JB45,0),IF(JD45="direct",KD45,0),IF(KF45="direct",LF45,0),IF(LH45="direct",MH45,0))</f>
        <v>4.163336342344337e-17</v>
      </c>
      <c r="BH45" s="7">
        <f>SUM(IF(BP45="treasury",CP45,0),IF(CR45="treasury",DR45,0),IF(DT45="treasury",ET45,0),IF(EV45="treasury",FV45,0),IF(FX45="treasury",GX45,0),IF(GZ45="treasury",HZ45,0),IF(IB45="treasury",JB45,0),IF(JD45="treasury",KD45,0),IF(KF45="treasury",LF45,0),IF(LH45="treasury",MH45,0))</f>
        <v>0</v>
      </c>
      <c r="BI45" s="7">
        <f>SUM(IF(BP45="future",CP45,0),IF(CR45="future",DR45,0),IF(DT45="future",ET45,0),IF(EV45="future",FV45,0),IF(FX45="future",GX45,0),IF(GZ45="future",HZ45,0),IF(IB45="future",JB45,0),IF(JD45="future",KD45,0),IF(KF45="future",LF45,0),IF(LH45="future",MH45,0))</f>
        <v>0</v>
      </c>
      <c r="BJ45" s="7">
        <f>SUM(IF(BP45="cash",CP45,0),IF(CR45="cash",DR45,0),IF(DT45="cash",ET45,0),IF(EV45="cash",FV45,0),IF(FX45="cash",GX45,0),IF(GZ45="cash",HZ45,0),IF(IB45="cash",JB45,0),IF(JD45="cash",KD45,0),IF(KF45="cash",LF45,0),IF(LH45="cash",MH45,0))</f>
        <v>0</v>
      </c>
      <c r="BK45" s="7">
        <f>SUM(BF45,BH45,BI45,BJ45)</f>
        <v>0.020671835732651588</v>
      </c>
      <c r="BL45" s="7">
        <f>G45-BK45</f>
        <v>0</v>
      </c>
      <c r="BM45" s="5">
        <f>MAX(ABS(CG45),ABS(DI45),ABS(EK45),ABS(FM45),ABS(GO45),ABS(HQ45),ABS(IS45),ABS(JU45),ABS(KW45),ABS(LY45))</f>
        <v>4.694934220041136e-17</v>
      </c>
      <c r="BN45" s="9">
        <f>COUNTA(BO45,CQ45,DS45,EU45,FW45,GY45,IA45,JC45,KE45,LG45)</f>
        <v>3</v>
      </c>
      <c r="BO45" t="inlineStr">
        <is>
          <t xml:space="preserve">Direct commodity holding</t>
        </is>
      </c>
      <c r="BP45" t="inlineStr">
        <is>
          <t xml:space="preserve">direct</t>
        </is>
      </c>
      <c r="BQ45" t="inlineStr">
        <is>
          <t xml:space="preserve">lease</t>
        </is>
      </c>
      <c r="BR45" t="inlineStr">
        <is>
          <t xml:space="preserve">long</t>
        </is>
      </c>
      <c r="BS45"/>
      <c r="BT45" s="4">
        <v>1.886</v>
      </c>
      <c r="BU45" s="4">
        <v>1.925</v>
      </c>
      <c r="BV45" s="6">
        <v>0.0025</v>
      </c>
      <c r="BW45" s="4">
        <v>0.6178114858788635</v>
      </c>
      <c r="BX45" s="5">
        <f>IF(BP45="direct",IFERROR(CD45/BU45,0),0)</f>
        <v>0.000004145854696201874</v>
      </c>
      <c r="BY45" s="5">
        <f>IF(BP45="direct",BW45-BX45,IF(BP45="cash",CI45,BW45))</f>
        <v>0.6178073400241673</v>
      </c>
      <c r="BZ45" s="6">
        <v>1</v>
      </c>
      <c r="CA45" s="4">
        <v>1.1651924623675365</v>
      </c>
      <c r="CB45" s="4">
        <v>1.1651924623675365</v>
      </c>
      <c r="CC45" s="5">
        <f>IF(BP45="direct",BW45*(BU45-BT45),CF45)</f>
        <v>0.024094647949275766</v>
      </c>
      <c r="CD45" s="5">
        <f>IF(BP45="direct",CB45*BV45*C45/365,0)</f>
        <v>0.000007980770290188607</v>
      </c>
      <c r="CE45" s="5">
        <f>CC45-CD45</f>
        <v>0.02408666717898553</v>
      </c>
      <c r="CF45" s="4">
        <v>0.02408666717898553</v>
      </c>
      <c r="CG45" s="5">
        <f>CF45-CE45</f>
        <v>-4.694934220041136e-17</v>
      </c>
      <c r="CH45" s="4">
        <v>0</v>
      </c>
      <c r="CI45" s="4">
        <v>1.189279129546522</v>
      </c>
      <c r="CJ45" s="4">
        <v>1.886</v>
      </c>
      <c r="CK45" s="4">
        <v>1.925</v>
      </c>
      <c r="CL45" s="6"/>
      <c r="CM45" s="6"/>
      <c r="CN45" s="6"/>
      <c r="CO45" s="9"/>
      <c r="CP45" s="7">
        <f>IFERROR(CE45/F45,0)</f>
        <v>0.020671835732651588</v>
      </c>
      <c r="CQ45" t="inlineStr">
        <is>
          <t xml:space="preserve">Lease cash / margin / financing</t>
        </is>
      </c>
      <c r="CR45" t="inlineStr">
        <is>
          <t xml:space="preserve">cash</t>
        </is>
      </c>
      <c r="CS45" t="inlineStr">
        <is>
          <t xml:space="preserve">lease</t>
        </is>
      </c>
      <c r="CT45" t="inlineStr">
        <is>
          <t xml:space="preserve">cash</t>
        </is>
      </c>
      <c r="CU45"/>
      <c r="CV45" s="4">
        <v>1</v>
      </c>
      <c r="CW45" s="4">
        <v>1</v>
      </c>
      <c r="CX45" s="6"/>
      <c r="CY45" s="4">
        <v>0</v>
      </c>
      <c r="CZ45" s="5">
        <f>IF(CR45="direct",IFERROR(DF45/CW45,0),0)</f>
        <v>0</v>
      </c>
      <c r="DA45" s="5">
        <f>IF(CR45="direct",CY45-CZ45,IF(CR45="cash",DK45,CY45))</f>
        <v>0</v>
      </c>
      <c r="DB45" s="6"/>
      <c r="DC45" s="4">
        <v>0</v>
      </c>
      <c r="DD45" s="4">
        <v>0</v>
      </c>
      <c r="DE45" s="5">
        <f>IF(CR45="direct",CY45*(CW45-CV45),DH45)</f>
        <v>0</v>
      </c>
      <c r="DF45" s="5">
        <f>IF(CR45="direct",DD45*CX45*C45/365,0)</f>
        <v>0</v>
      </c>
      <c r="DG45" s="5">
        <f>DE45-DF45</f>
        <v>0</v>
      </c>
      <c r="DH45" s="4">
        <v>0</v>
      </c>
      <c r="DI45" s="5">
        <f>DH45-DG45</f>
        <v>0</v>
      </c>
      <c r="DJ45" s="4">
        <v>0</v>
      </c>
      <c r="DK45" s="4">
        <v>0</v>
      </c>
      <c r="DL45" s="4">
        <v>1.886</v>
      </c>
      <c r="DM45" s="4">
        <v>1.925</v>
      </c>
      <c r="DN45" s="6"/>
      <c r="DO45" s="6"/>
      <c r="DP45" s="6"/>
      <c r="DQ45" s="9"/>
      <c r="DR45" s="7">
        <f>IFERROR(DG45/F45,0)</f>
        <v>0</v>
      </c>
      <c r="DS45" t="inlineStr">
        <is>
          <t xml:space="preserve">Keep cash / margin / financing</t>
        </is>
      </c>
      <c r="DT45" t="inlineStr">
        <is>
          <t xml:space="preserve">cash</t>
        </is>
      </c>
      <c r="DU45" t="inlineStr">
        <is>
          <t xml:space="preserve">keep</t>
        </is>
      </c>
      <c r="DV45" t="inlineStr">
        <is>
          <t xml:space="preserve">cash</t>
        </is>
      </c>
      <c r="DW45"/>
      <c r="DX45" s="4">
        <v>1</v>
      </c>
      <c r="DY45" s="4">
        <v>1</v>
      </c>
      <c r="DZ45" s="6"/>
      <c r="EA45" s="4">
        <v>0</v>
      </c>
      <c r="EB45" s="5">
        <f>IF(DT45="direct",IFERROR(EH45/DY45,0),0)</f>
        <v>0</v>
      </c>
      <c r="EC45" s="5">
        <f>IF(DT45="direct",EA45-EB45,IF(DT45="cash",EM45,EA45))</f>
        <v>0</v>
      </c>
      <c r="ED45" s="6"/>
      <c r="EE45" s="4">
        <v>0</v>
      </c>
      <c r="EF45" s="4">
        <v>0</v>
      </c>
      <c r="EG45" s="5">
        <f>IF(DT45="direct",EA45*(DY45-DX45),EJ45)</f>
        <v>0</v>
      </c>
      <c r="EH45" s="5">
        <f>IF(DT45="direct",EF45*DZ45*C45/365,0)</f>
        <v>0</v>
      </c>
      <c r="EI45" s="5">
        <f>EG45-EH45</f>
        <v>0</v>
      </c>
      <c r="EJ45" s="4">
        <v>0</v>
      </c>
      <c r="EK45" s="5">
        <f>EJ45-EI45</f>
        <v>0</v>
      </c>
      <c r="EL45" s="4">
        <v>0</v>
      </c>
      <c r="EM45" s="4">
        <v>0</v>
      </c>
      <c r="EN45" s="4">
        <v>1.886</v>
      </c>
      <c r="EO45" s="4">
        <v>1.925</v>
      </c>
      <c r="EP45" s="6"/>
      <c r="EQ45" s="6"/>
      <c r="ER45" s="6"/>
      <c r="ES45" s="9"/>
      <c r="ET45" s="7">
        <f>IFERROR(EI45/F45,0)</f>
        <v>0</v>
      </c>
      <c r="EU45"/>
      <c r="EV45"/>
      <c r="EW45"/>
      <c r="EX45"/>
      <c r="EY45"/>
      <c r="EZ45" s="4"/>
      <c r="FA45" s="4"/>
      <c r="FB45" s="6"/>
      <c r="FC45" s="4"/>
      <c r="FD45" s="5">
        <v>0</v>
      </c>
      <c r="FE45" s="5"/>
      <c r="FF45" s="6"/>
      <c r="FG45" s="4"/>
      <c r="FH45" s="4"/>
      <c r="FI45" s="5">
        <v>0</v>
      </c>
      <c r="FJ45" s="5">
        <v>0</v>
      </c>
      <c r="FK45" s="5"/>
      <c r="FL45" s="4"/>
      <c r="FM45" s="5">
        <v>0</v>
      </c>
      <c r="FN45" s="4"/>
      <c r="FO45" s="4"/>
      <c r="FP45" s="4"/>
      <c r="FQ45" s="4"/>
      <c r="FR45" s="6"/>
      <c r="FS45" s="6"/>
      <c r="FT45" s="6"/>
      <c r="FU45" s="9"/>
      <c r="FV45"/>
      <c r="FW45"/>
      <c r="FX45"/>
      <c r="FY45"/>
      <c r="FZ45"/>
      <c r="GA45"/>
      <c r="GB45" s="4"/>
      <c r="GC45" s="4"/>
      <c r="GD45" s="6"/>
      <c r="GE45" s="4"/>
      <c r="GF45" s="5">
        <v>0</v>
      </c>
      <c r="GG45" s="5"/>
      <c r="GH45" s="6"/>
      <c r="GI45" s="4"/>
      <c r="GJ45" s="4"/>
      <c r="GK45" s="5">
        <v>0</v>
      </c>
      <c r="GL45" s="5">
        <v>0</v>
      </c>
      <c r="GM45" s="5"/>
      <c r="GN45" s="4"/>
      <c r="GO45" s="5">
        <v>0</v>
      </c>
      <c r="GP45" s="4"/>
      <c r="GQ45" s="4"/>
      <c r="GR45" s="4"/>
      <c r="GS45" s="4"/>
      <c r="GT45" s="6"/>
      <c r="GU45" s="6"/>
      <c r="GV45" s="6"/>
      <c r="GW45" s="9"/>
      <c r="GX45"/>
      <c r="GY45"/>
      <c r="GZ45"/>
      <c r="HA45"/>
      <c r="HB45"/>
      <c r="HC45"/>
      <c r="HD45" s="4"/>
      <c r="HE45" s="4"/>
      <c r="HF45" s="6"/>
      <c r="HG45" s="4"/>
      <c r="HH45" s="5">
        <v>0</v>
      </c>
      <c r="HI45" s="5"/>
      <c r="HJ45" s="6"/>
      <c r="HK45" s="4"/>
      <c r="HL45" s="4"/>
      <c r="HM45" s="5">
        <v>0</v>
      </c>
      <c r="HN45" s="5">
        <v>0</v>
      </c>
      <c r="HO45" s="5"/>
      <c r="HP45" s="4"/>
      <c r="HQ45" s="5">
        <v>0</v>
      </c>
      <c r="HR45" s="4"/>
      <c r="HS45" s="4"/>
      <c r="HT45" s="4"/>
      <c r="HU45" s="4"/>
      <c r="HV45" s="6"/>
      <c r="HW45" s="6"/>
      <c r="HX45" s="6"/>
      <c r="HY45" s="9"/>
      <c r="HZ45"/>
      <c r="IA45"/>
      <c r="IB45"/>
      <c r="IC45"/>
      <c r="ID45"/>
      <c r="IE45"/>
      <c r="IF45" s="4"/>
      <c r="IG45" s="4"/>
      <c r="IH45" s="6"/>
      <c r="II45" s="4"/>
      <c r="IJ45" s="5">
        <v>0</v>
      </c>
      <c r="IK45" s="5"/>
      <c r="IL45" s="6"/>
      <c r="IM45" s="4"/>
      <c r="IN45" s="4"/>
      <c r="IO45" s="5">
        <v>0</v>
      </c>
      <c r="IP45" s="5">
        <v>0</v>
      </c>
      <c r="IQ45" s="5"/>
      <c r="IR45" s="4"/>
      <c r="IS45" s="5">
        <v>0</v>
      </c>
      <c r="IT45" s="4"/>
      <c r="IU45" s="4"/>
      <c r="IV45" s="4"/>
      <c r="IW45" s="4"/>
      <c r="IX45" s="6"/>
      <c r="IY45" s="6"/>
      <c r="IZ45" s="6"/>
      <c r="JA45" s="9"/>
      <c r="JB45"/>
      <c r="JC45"/>
      <c r="JD45"/>
      <c r="JE45"/>
      <c r="JF45"/>
      <c r="JG45"/>
      <c r="JH45" s="4"/>
      <c r="JI45" s="4"/>
      <c r="JJ45" s="6"/>
      <c r="JK45" s="4"/>
      <c r="JL45" s="5">
        <v>0</v>
      </c>
      <c r="JM45" s="5"/>
      <c r="JN45" s="6"/>
      <c r="JO45" s="4"/>
      <c r="JP45" s="4"/>
      <c r="JQ45" s="5">
        <v>0</v>
      </c>
      <c r="JR45" s="5">
        <v>0</v>
      </c>
      <c r="JS45" s="5"/>
      <c r="JT45" s="4"/>
      <c r="JU45" s="5">
        <v>0</v>
      </c>
      <c r="JV45" s="4"/>
      <c r="JW45" s="4"/>
      <c r="JX45" s="4"/>
      <c r="JY45" s="4"/>
      <c r="JZ45" s="6"/>
      <c r="KA45" s="6"/>
      <c r="KB45" s="6"/>
      <c r="KC45" s="9"/>
      <c r="KD45"/>
      <c r="KE45"/>
      <c r="KF45"/>
      <c r="KG45"/>
      <c r="KH45"/>
      <c r="KI45"/>
      <c r="KJ45" s="4"/>
      <c r="KK45" s="4"/>
      <c r="KL45" s="6"/>
      <c r="KM45" s="4"/>
      <c r="KN45" s="5">
        <v>0</v>
      </c>
      <c r="KO45" s="5"/>
      <c r="KP45" s="6"/>
      <c r="KQ45" s="4"/>
      <c r="KR45" s="4"/>
      <c r="KS45" s="5">
        <v>0</v>
      </c>
      <c r="KT45" s="5">
        <v>0</v>
      </c>
      <c r="KU45" s="5"/>
      <c r="KV45" s="4"/>
      <c r="KW45" s="5">
        <v>0</v>
      </c>
      <c r="KX45" s="4"/>
      <c r="KY45" s="4"/>
      <c r="KZ45" s="4"/>
      <c r="LA45" s="4"/>
      <c r="LB45" s="6"/>
      <c r="LC45" s="6"/>
      <c r="LD45" s="6"/>
      <c r="LE45" s="9"/>
      <c r="LF45"/>
      <c r="LG45"/>
      <c r="LH45"/>
      <c r="LI45"/>
      <c r="LJ45"/>
      <c r="LK45"/>
      <c r="LL45" s="4"/>
      <c r="LM45" s="4"/>
      <c r="LN45" s="6"/>
      <c r="LO45" s="4"/>
      <c r="LP45" s="5">
        <v>0</v>
      </c>
      <c r="LQ45" s="5"/>
      <c r="LR45" s="6"/>
      <c r="LS45" s="4"/>
      <c r="LT45" s="4"/>
      <c r="LU45" s="5">
        <v>0</v>
      </c>
      <c r="LV45" s="5">
        <v>0</v>
      </c>
      <c r="LW45" s="5"/>
      <c r="LX45" s="4"/>
      <c r="LY45" s="5">
        <v>0</v>
      </c>
      <c r="LZ45" s="4"/>
      <c r="MA45" s="4"/>
      <c r="MB45" s="4"/>
      <c r="MC45" s="4"/>
      <c r="MD45" s="6"/>
      <c r="ME45" s="6"/>
      <c r="MF45" s="6"/>
      <c r="MG45" s="9"/>
      <c r="MH45"/>
    </row>
    <row r="46">
      <c r="A46" s="8">
        <v>25269</v>
      </c>
      <c r="B46" s="8">
        <v>25272</v>
      </c>
      <c r="C46" s="9">
        <f>B46-A46</f>
        <v>3</v>
      </c>
      <c r="D46" s="8">
        <v>25269</v>
      </c>
      <c r="E46" t="inlineStr">
        <is>
          <t xml:space="preserve">positive</t>
        </is>
      </c>
      <c r="F46" s="4">
        <v>1.1892791295465222</v>
      </c>
      <c r="G46" s="6">
        <v>-0.0005771866254235005</v>
      </c>
      <c r="H46" s="7">
        <f>SUM(CP46,DR46,ET46,FV46,GX46,HZ46,JB46,KD46,LF46,MH46)</f>
        <v>-0.0005771866254235006</v>
      </c>
      <c r="I46" s="7">
        <f>G46-H46</f>
        <v>1.0842021724855044e-19</v>
      </c>
      <c r="J46" s="5">
        <f>F46*(1+H46)</f>
        <v>1.1885926935390525</v>
      </c>
      <c r="K46" s="4">
        <v>1.1885926935390525</v>
      </c>
      <c r="L46" s="5">
        <f>K46-J46</f>
        <v>0</v>
      </c>
      <c r="M46" s="4">
        <v>1.925</v>
      </c>
      <c r="N46" s="4">
        <v>1.901</v>
      </c>
      <c r="O46" s="5">
        <f>M46/$M$3</f>
        <v>0.9831460674157304</v>
      </c>
      <c r="P46" s="5">
        <f>N46/$M$3</f>
        <v>0.9708886618998979</v>
      </c>
      <c r="Q46" s="7">
        <f>IFERROR(N46/M46-1,0)</f>
        <v>-0.012467532467532516</v>
      </c>
      <c r="R46" s="5">
        <f>SUM(IF(BQ46="lease",CB46,0),IF(CS46="lease",DD46,0),IF(DU46="lease",EF46,0),IF(EW46="lease",FH46,0),IF(FY46="lease",GJ46,0),IF(HA46="lease",HL46,0),IF(IC46="lease",IN46,0),IF(JE46="lease",JP46,0),IF(KG46="lease",KR46,0),IF(LI46="lease",LT46,0))</f>
        <v>1.189279129546522</v>
      </c>
      <c r="S46" s="5">
        <f>SUM(IF(BQ46="lease",CI46,0),IF(CS46="lease",DK46,0),IF(DU46="lease",EM46,0),IF(EW46="lease",FO46,0),IF(FY46="lease",GQ46,0),IF(HA46="lease",HS46,0),IF(IC46="lease",IU46,0),IF(JE46="lease",JW46,0),IF(KG46="lease",KY46,0),IF(LI46="lease",MA46,0))</f>
        <v>1.1885926935390523</v>
      </c>
      <c r="T46" s="5">
        <f>SUM(IF(BQ46="keep",CB46,0),IF(CS46="keep",DD46,0),IF(DU46="keep",EF46,0),IF(EW46="keep",FH46,0),IF(FY46="keep",GJ46,0),IF(HA46="keep",HL46,0),IF(IC46="keep",IN46,0),IF(JE46="keep",JP46,0),IF(KG46="keep",KR46,0),IF(LI46="keep",LT46,0))</f>
        <v>0</v>
      </c>
      <c r="U46" s="5">
        <f>SUM(IF(BQ46="keep",CI46,0),IF(CS46="keep",DK46,0),IF(DU46="keep",EM46,0),IF(EW46="keep",FO46,0),IF(FY46="keep",GQ46,0),IF(HA46="keep",HS46,0),IF(IC46="keep",IU46,0),IF(JE46="keep",JW46,0),IF(KG46="keep",KY46,0),IF(LI46="keep",MA46,0))</f>
        <v>0</v>
      </c>
      <c r="V46" s="5">
        <f>R46/O46</f>
        <v>1.2096667717673193</v>
      </c>
      <c r="W46" s="5">
        <f>S46/P46</f>
        <v>1.2242317169644736</v>
      </c>
      <c r="X46" s="5">
        <f>T46/O46</f>
        <v>0</v>
      </c>
      <c r="Y46" s="5">
        <f>U46/P46</f>
        <v>0</v>
      </c>
      <c r="Z46" s="5">
        <f>V46+X46</f>
        <v>1.2096667717673193</v>
      </c>
      <c r="AA46" s="7">
        <f>IFERROR(W46/V46-1,0)</f>
        <v>0.01204046067651765</v>
      </c>
      <c r="AB46" s="7">
        <f>IFERROR((W46-V46)/Z46,0)</f>
        <v>0.012040460676517555</v>
      </c>
      <c r="AC46" s="7">
        <f>IFERROR(Y46/X46-1,0)</f>
        <v>0</v>
      </c>
      <c r="AD46" s="7">
        <f>IFERROR((Y46-X46)/Z46,0)</f>
        <v>0</v>
      </c>
      <c r="AE46" s="7">
        <f>AB46+AD46</f>
        <v>0.012040460676517555</v>
      </c>
      <c r="AF46" s="7">
        <f>(1+Q46)*(1+AE46)-1</f>
        <v>-0.0005771866254233871</v>
      </c>
      <c r="AG46" s="7">
        <f>G46-AF46</f>
        <v>-1.1340754724198376e-16</v>
      </c>
      <c r="AH46" s="5">
        <f>SUM(IF(BQ46="lease",CE46,0),IF(CS46="lease",DG46,0),IF(DU46="lease",EI46,0),IF(EW46="lease",FK46,0),IF(FY46="lease",GM46,0),IF(HA46="lease",HO46,0),IF(IC46="lease",IQ46,0),IF(JE46="lease",JS46,0),IF(KG46="lease",KU46,0),IF(LI46="lease",LW46,0))</f>
        <v>-0.0006864360074695553</v>
      </c>
      <c r="AI46" s="5">
        <f>SUM(IF(BQ46="keep",CE46,0),IF(CS46="keep",DG46,0),IF(DU46="keep",EI46,0),IF(EW46="keep",FK46,0),IF(FY46="keep",GM46,0),IF(HA46="keep",HO46,0),IF(IC46="keep",IQ46,0),IF(JE46="keep",JS46,0),IF(KG46="keep",KU46,0),IF(LI46="keep",LW46,0))</f>
        <v>0</v>
      </c>
      <c r="AJ46" s="5">
        <f>SUM(IF(BQ46="lease",CH46,0),IF(CS46="lease",DJ46,0),IF(DU46="lease",EL46,0),IF(EW46="lease",FN46,0),IF(FY46="lease",GP46,0),IF(HA46="lease",HR46,0),IF(IC46="lease",IT46,0),IF(JE46="lease",JV46,0),IF(KG46="lease",KX46,0),IF(LI46="lease",LZ46,0))</f>
        <v>0</v>
      </c>
      <c r="AK46" s="5">
        <f>SUM(IF(BQ46="keep",CH46,0),IF(CS46="keep",DJ46,0),IF(DU46="keep",EL46,0),IF(EW46="keep",FN46,0),IF(FY46="keep",GP46,0),IF(HA46="keep",HR46,0),IF(IC46="keep",IT46,0),IF(JE46="keep",JV46,0),IF(KG46="keep",KX46,0),IF(LI46="keep",LZ46,0))</f>
        <v>0</v>
      </c>
      <c r="AL46" s="5">
        <f>R46-S45</f>
        <v>0</v>
      </c>
      <c r="AM46" s="5">
        <f>T46-U45</f>
        <v>0</v>
      </c>
      <c r="AN46" s="5">
        <f>AN45</f>
        <v>1</v>
      </c>
      <c r="AO46" s="5">
        <f>AO45+AH46</f>
        <v>0.18859269353905275</v>
      </c>
      <c r="AP46" s="5">
        <f>AP45+AL46</f>
        <v>-6.661338147750939e-16</v>
      </c>
      <c r="AQ46" s="5">
        <f>AN46+AO46+AP46</f>
        <v>1.188592693539052</v>
      </c>
      <c r="AR46" s="5">
        <f>S46-AQ46</f>
        <v>2.220446049250313e-16</v>
      </c>
      <c r="AS46" s="5">
        <f>AS45</f>
        <v>0</v>
      </c>
      <c r="AT46" s="5">
        <f>AT45+AI46</f>
        <v>0</v>
      </c>
      <c r="AU46" s="5">
        <f>AU45+AM46</f>
        <v>0</v>
      </c>
      <c r="AV46" s="5">
        <f>AS46+AT46+AU46</f>
        <v>0</v>
      </c>
      <c r="AW46" s="5">
        <f>U46-AV46</f>
        <v>0</v>
      </c>
      <c r="AX46" s="4">
        <v>1.189279129546522</v>
      </c>
      <c r="AY46" s="4">
        <v>1.1885926935390523</v>
      </c>
      <c r="AZ46" s="5">
        <f>S46-AY46</f>
        <v>0</v>
      </c>
      <c r="BA46" s="4">
        <v>0</v>
      </c>
      <c r="BB46" s="4">
        <v>0</v>
      </c>
      <c r="BC46" s="5">
        <f>U46-BB46</f>
        <v>0</v>
      </c>
      <c r="BD46" s="7">
        <f>SUM(IF(BP46="direct",CC46/F46,0),IF(CR46="direct",DE46/F46,0),IF(DT46="direct",EG46/F46,0),IF(EV46="direct",FI46/F46,0),IF(FX46="direct",GK46/F46,0),IF(GZ46="direct",HM46/F46,0),IF(IB46="direct",IO46/F46,0),IF(JD46="direct",JQ46/F46,0),IF(KF46="direct",KS46/F46,0),IF(LH46="direct",LU46/F46,0))</f>
        <v>0</v>
      </c>
      <c r="BE46" s="7">
        <f>-SUM(IF(BP46="direct",CD46/F46,0),IF(CR46="direct",DF46/F46,0),IF(DT46="direct",EH46/F46,0),IF(EV46="direct",FJ46/F46,0),IF(FX46="direct",GL46/F46,0),IF(GZ46="direct",HN46/F46,0),IF(IB46="direct",IP46/F46,0),IF(JD46="direct",JR46/F46,0),IF(KF46="direct",KT46/F46,0),IF(LH46="direct",LV46/F46,0))</f>
        <v>0</v>
      </c>
      <c r="BF46" s="7">
        <f>BD46+BE46</f>
        <v>0</v>
      </c>
      <c r="BG46" s="7">
        <f>BF46-SUM(IF(BP46="direct",CP46,0),IF(CR46="direct",DR46,0),IF(DT46="direct",ET46,0),IF(EV46="direct",FV46,0),IF(FX46="direct",GX46,0),IF(GZ46="direct",HZ46,0),IF(IB46="direct",JB46,0),IF(JD46="direct",KD46,0),IF(KF46="direct",LF46,0),IF(LH46="direct",MH46,0))</f>
        <v>0</v>
      </c>
      <c r="BH46" s="7">
        <f>SUM(IF(BP46="treasury",CP46,0),IF(CR46="treasury",DR46,0),IF(DT46="treasury",ET46,0),IF(EV46="treasury",FV46,0),IF(FX46="treasury",GX46,0),IF(GZ46="treasury",HZ46,0),IF(IB46="treasury",JB46,0),IF(JD46="treasury",KD46,0),IF(KF46="treasury",LF46,0),IF(LH46="treasury",MH46,0))</f>
        <v>0.0004980821917808219</v>
      </c>
      <c r="BI46" s="7">
        <f>SUM(IF(BP46="future",CP46,0),IF(CR46="future",DR46,0),IF(DT46="future",ET46,0),IF(EV46="future",FV46,0),IF(FX46="future",GX46,0),IF(GZ46="future",HZ46,0),IF(IB46="future",JB46,0),IF(JD46="future",KD46,0),IF(KF46="future",LF46,0),IF(LH46="future",MH46,0))</f>
        <v>-0.0010752688172043223</v>
      </c>
      <c r="BJ46" s="7">
        <f>SUM(IF(BP46="cash",CP46,0),IF(CR46="cash",DR46,0),IF(DT46="cash",ET46,0),IF(EV46="cash",FV46,0),IF(FX46="cash",GX46,0),IF(GZ46="cash",HZ46,0),IF(IB46="cash",JB46,0),IF(JD46="cash",KD46,0),IF(KF46="cash",LF46,0),IF(LH46="cash",MH46,0))</f>
        <v>0</v>
      </c>
      <c r="BK46" s="7">
        <f>SUM(BF46,BH46,BI46,BJ46)</f>
        <v>-0.0005771866254235005</v>
      </c>
      <c r="BL46" s="7">
        <f>G46-BK46</f>
        <v>0</v>
      </c>
      <c r="BM46" s="5">
        <f>MAX(ABS(CG46),ABS(DI46),ABS(EK46),ABS(FM46),ABS(GO46),ABS(HQ46),ABS(IS46),ABS(JU46),ABS(KW46),ABS(LY46))</f>
        <v>8.153200337090993e-17</v>
      </c>
      <c r="BN46" s="9">
        <f>COUNTA(BO46,CQ46,DS46,EU46,FW46,GY46,IA46,JC46,KE46,LG46)</f>
        <v>4</v>
      </c>
      <c r="BO46" t="inlineStr">
        <is>
          <t xml:space="preserve">Treasury collateral</t>
        </is>
      </c>
      <c r="BP46" t="inlineStr">
        <is>
          <t xml:space="preserve">treasury</t>
        </is>
      </c>
      <c r="BQ46" t="inlineStr">
        <is>
          <t xml:space="preserve">lease</t>
        </is>
      </c>
      <c r="BR46" t="inlineStr">
        <is>
          <t xml:space="preserve">long</t>
        </is>
      </c>
      <c r="BS46"/>
      <c r="BT46" s="4">
        <v>101.08034796270822</v>
      </c>
      <c r="BU46" s="4">
        <v>101.13069428396746</v>
      </c>
      <c r="BV46" s="6"/>
      <c r="BW46" s="4">
        <v>0.011765681000477812</v>
      </c>
      <c r="BX46" s="5">
        <f>IF(BP46="direct",IFERROR(CD46/BU46,0),0)</f>
        <v>0</v>
      </c>
      <c r="BY46" s="5">
        <f>IF(BP46="direct",BW46-BX46,IF(BP46="cash",CI46,BW46))</f>
        <v>0.011765681000477812</v>
      </c>
      <c r="BZ46" s="6">
        <v>1</v>
      </c>
      <c r="CA46" s="4">
        <v>1.1892791295465222</v>
      </c>
      <c r="CB46" s="4">
        <v>1.1892791295465222</v>
      </c>
      <c r="CC46" s="5">
        <f>IF(BP46="direct",BW46*(BU46-BT46),CF46)</f>
        <v>0.0005923587554838012</v>
      </c>
      <c r="CD46" s="5">
        <f>IF(BP46="direct",CB46*BV46*C46/365,0)</f>
        <v>0</v>
      </c>
      <c r="CE46" s="5">
        <f>CC46-CD46</f>
        <v>0.0005923587554837197</v>
      </c>
      <c r="CF46" s="4">
        <v>0.0005923587554837197</v>
      </c>
      <c r="CG46" s="5">
        <f>CF46-CE46</f>
        <v>-8.153200337090993e-17</v>
      </c>
      <c r="CH46" s="4">
        <v>1.929879867024198e-16</v>
      </c>
      <c r="CI46" s="4">
        <v>1.189871488302006</v>
      </c>
      <c r="CJ46" s="4">
        <v>1.925</v>
      </c>
      <c r="CK46" s="4">
        <v>1.901</v>
      </c>
      <c r="CL46" s="6"/>
      <c r="CM46" s="6"/>
      <c r="CN46" s="6"/>
      <c r="CO46" s="9">
        <v>20</v>
      </c>
      <c r="CP46" s="7">
        <f>IFERROR(CE46/F46,0)</f>
        <v>0.0004980821917808219</v>
      </c>
      <c r="CQ46" t="inlineStr">
        <is>
          <t xml:space="preserve">SI69H</t>
        </is>
      </c>
      <c r="CR46" t="inlineStr">
        <is>
          <t xml:space="preserve">future</t>
        </is>
      </c>
      <c r="CS46" t="inlineStr">
        <is>
          <t xml:space="preserve">lease</t>
        </is>
      </c>
      <c r="CT46" t="inlineStr">
        <is>
          <t xml:space="preserve">long</t>
        </is>
      </c>
      <c r="CU46" t="inlineStr">
        <is>
          <t xml:space="preserve">regular</t>
        </is>
      </c>
      <c r="CV46" s="4">
        <v>1.86</v>
      </c>
      <c r="CW46" s="4">
        <v>1.858</v>
      </c>
      <c r="CX46" s="6"/>
      <c r="CY46" s="4">
        <v>0.6393973814766247</v>
      </c>
      <c r="CZ46" s="5">
        <f>IF(CR46="direct",IFERROR(DF46/CW46,0),0)</f>
        <v>0</v>
      </c>
      <c r="DA46" s="5">
        <f>IF(CR46="direct",CY46-CZ46,IF(CR46="cash",DK46,CY46))</f>
        <v>0.6393973814766247</v>
      </c>
      <c r="DB46" s="6">
        <v>1</v>
      </c>
      <c r="DC46" s="4">
        <v>1.1892791295465222</v>
      </c>
      <c r="DD46" s="4">
        <v>0</v>
      </c>
      <c r="DE46" s="5">
        <f>IF(CR46="direct",CY46*(CW46-CV46),DH46)</f>
        <v>-0.001278794762953275</v>
      </c>
      <c r="DF46" s="5">
        <f>IF(CR46="direct",DD46*CX46*C46/365,0)</f>
        <v>0</v>
      </c>
      <c r="DG46" s="5">
        <f>DE46-DF46</f>
        <v>-0.001278794762953275</v>
      </c>
      <c r="DH46" s="4">
        <v>-0.001278794762953275</v>
      </c>
      <c r="DI46" s="5">
        <f>DH46-DG46</f>
        <v>0</v>
      </c>
      <c r="DJ46" s="4">
        <v>0.001278794762953275</v>
      </c>
      <c r="DK46" s="4">
        <v>0</v>
      </c>
      <c r="DL46" s="4">
        <v>1.925</v>
      </c>
      <c r="DM46" s="4">
        <v>1.901</v>
      </c>
      <c r="DN46" s="6">
        <v>-0.03376623376623378</v>
      </c>
      <c r="DO46" s="6">
        <v>0.06060000000000001</v>
      </c>
      <c r="DP46" s="6">
        <v>0.6768337662337665</v>
      </c>
      <c r="DQ46" s="9">
        <v>20</v>
      </c>
      <c r="DR46" s="7">
        <f>IFERROR(DG46/F46,0)</f>
        <v>-0.0010752688172043223</v>
      </c>
      <c r="DS46" t="inlineStr">
        <is>
          <t xml:space="preserve">Lease cash / margin / financing</t>
        </is>
      </c>
      <c r="DT46" t="inlineStr">
        <is>
          <t xml:space="preserve">cash</t>
        </is>
      </c>
      <c r="DU46" t="inlineStr">
        <is>
          <t xml:space="preserve">lease</t>
        </is>
      </c>
      <c r="DV46" t="inlineStr">
        <is>
          <t xml:space="preserve">cash</t>
        </is>
      </c>
      <c r="DW46"/>
      <c r="DX46" s="4">
        <v>1</v>
      </c>
      <c r="DY46" s="4">
        <v>1</v>
      </c>
      <c r="DZ46" s="6"/>
      <c r="EA46" s="4">
        <v>-2.220446049250313e-16</v>
      </c>
      <c r="EB46" s="5">
        <f>IF(DT46="direct",IFERROR(EH46/DY46,0),0)</f>
        <v>0</v>
      </c>
      <c r="EC46" s="5">
        <f>IF(DT46="direct",EA46-EB46,IF(DT46="cash",EM46,EA46))</f>
        <v>-0.00127879476295369</v>
      </c>
      <c r="ED46" s="6"/>
      <c r="EE46" s="4">
        <v>-2.220446049250313e-16</v>
      </c>
      <c r="EF46" s="4">
        <v>-2.220446049250313e-16</v>
      </c>
      <c r="EG46" s="5">
        <f>IF(DT46="direct",EA46*(DY46-DX46),EJ46)</f>
        <v>0</v>
      </c>
      <c r="EH46" s="5">
        <f>IF(DT46="direct",EF46*DZ46*C46/365,0)</f>
        <v>0</v>
      </c>
      <c r="EI46" s="5">
        <f>EG46-EH46</f>
        <v>0</v>
      </c>
      <c r="EJ46" s="4">
        <v>0</v>
      </c>
      <c r="EK46" s="5">
        <f>EJ46-EI46</f>
        <v>0</v>
      </c>
      <c r="EL46" s="4">
        <v>-0.001278794762953468</v>
      </c>
      <c r="EM46" s="4">
        <v>-0.00127879476295369</v>
      </c>
      <c r="EN46" s="4">
        <v>1.925</v>
      </c>
      <c r="EO46" s="4">
        <v>1.901</v>
      </c>
      <c r="EP46" s="6"/>
      <c r="EQ46" s="6"/>
      <c r="ER46" s="6"/>
      <c r="ES46" s="9"/>
      <c r="ET46" s="7">
        <f>IFERROR(EI46/F46,0)</f>
        <v>0</v>
      </c>
      <c r="EU46" t="inlineStr">
        <is>
          <t xml:space="preserve">Keep cash / margin / financing</t>
        </is>
      </c>
      <c r="EV46" t="inlineStr">
        <is>
          <t xml:space="preserve">cash</t>
        </is>
      </c>
      <c r="EW46" t="inlineStr">
        <is>
          <t xml:space="preserve">keep</t>
        </is>
      </c>
      <c r="EX46" t="inlineStr">
        <is>
          <t xml:space="preserve">cash</t>
        </is>
      </c>
      <c r="EY46"/>
      <c r="EZ46" s="4">
        <v>1</v>
      </c>
      <c r="FA46" s="4">
        <v>1</v>
      </c>
      <c r="FB46" s="6"/>
      <c r="FC46" s="4">
        <v>0</v>
      </c>
      <c r="FD46" s="5">
        <f>IF(EV46="direct",IFERROR(FJ46/FA46,0),0)</f>
        <v>0</v>
      </c>
      <c r="FE46" s="5">
        <f>IF(EV46="direct",FC46-FD46,IF(EV46="cash",FO46,FC46))</f>
        <v>0</v>
      </c>
      <c r="FF46" s="6"/>
      <c r="FG46" s="4">
        <v>0</v>
      </c>
      <c r="FH46" s="4">
        <v>0</v>
      </c>
      <c r="FI46" s="5">
        <f>IF(EV46="direct",FC46*(FA46-EZ46),FL46)</f>
        <v>0</v>
      </c>
      <c r="FJ46" s="5">
        <f>IF(EV46="direct",FH46*FB46*C46/365,0)</f>
        <v>0</v>
      </c>
      <c r="FK46" s="5">
        <f>FI46-FJ46</f>
        <v>0</v>
      </c>
      <c r="FL46" s="4">
        <v>0</v>
      </c>
      <c r="FM46" s="5">
        <f>FL46-FK46</f>
        <v>0</v>
      </c>
      <c r="FN46" s="4">
        <v>0</v>
      </c>
      <c r="FO46" s="4">
        <v>0</v>
      </c>
      <c r="FP46" s="4">
        <v>1.925</v>
      </c>
      <c r="FQ46" s="4">
        <v>1.901</v>
      </c>
      <c r="FR46" s="6"/>
      <c r="FS46" s="6"/>
      <c r="FT46" s="6"/>
      <c r="FU46" s="9"/>
      <c r="FV46" s="7">
        <f>IFERROR(FK46/F46,0)</f>
        <v>0</v>
      </c>
      <c r="FW46"/>
      <c r="FX46"/>
      <c r="FY46"/>
      <c r="FZ46"/>
      <c r="GA46"/>
      <c r="GB46" s="4"/>
      <c r="GC46" s="4"/>
      <c r="GD46" s="6"/>
      <c r="GE46" s="4"/>
      <c r="GF46" s="5">
        <v>0</v>
      </c>
      <c r="GG46" s="5"/>
      <c r="GH46" s="6"/>
      <c r="GI46" s="4"/>
      <c r="GJ46" s="4"/>
      <c r="GK46" s="5">
        <v>0</v>
      </c>
      <c r="GL46" s="5">
        <v>0</v>
      </c>
      <c r="GM46" s="5"/>
      <c r="GN46" s="4"/>
      <c r="GO46" s="5">
        <v>0</v>
      </c>
      <c r="GP46" s="4"/>
      <c r="GQ46" s="4"/>
      <c r="GR46" s="4"/>
      <c r="GS46" s="4"/>
      <c r="GT46" s="6"/>
      <c r="GU46" s="6"/>
      <c r="GV46" s="6"/>
      <c r="GW46" s="9"/>
      <c r="GX46"/>
      <c r="GY46"/>
      <c r="GZ46"/>
      <c r="HA46"/>
      <c r="HB46"/>
      <c r="HC46"/>
      <c r="HD46" s="4"/>
      <c r="HE46" s="4"/>
      <c r="HF46" s="6"/>
      <c r="HG46" s="4"/>
      <c r="HH46" s="5">
        <v>0</v>
      </c>
      <c r="HI46" s="5"/>
      <c r="HJ46" s="6"/>
      <c r="HK46" s="4"/>
      <c r="HL46" s="4"/>
      <c r="HM46" s="5">
        <v>0</v>
      </c>
      <c r="HN46" s="5">
        <v>0</v>
      </c>
      <c r="HO46" s="5"/>
      <c r="HP46" s="4"/>
      <c r="HQ46" s="5">
        <v>0</v>
      </c>
      <c r="HR46" s="4"/>
      <c r="HS46" s="4"/>
      <c r="HT46" s="4"/>
      <c r="HU46" s="4"/>
      <c r="HV46" s="6"/>
      <c r="HW46" s="6"/>
      <c r="HX46" s="6"/>
      <c r="HY46" s="9"/>
      <c r="HZ46"/>
      <c r="IA46"/>
      <c r="IB46"/>
      <c r="IC46"/>
      <c r="ID46"/>
      <c r="IE46"/>
      <c r="IF46" s="4"/>
      <c r="IG46" s="4"/>
      <c r="IH46" s="6"/>
      <c r="II46" s="4"/>
      <c r="IJ46" s="5">
        <v>0</v>
      </c>
      <c r="IK46" s="5"/>
      <c r="IL46" s="6"/>
      <c r="IM46" s="4"/>
      <c r="IN46" s="4"/>
      <c r="IO46" s="5">
        <v>0</v>
      </c>
      <c r="IP46" s="5">
        <v>0</v>
      </c>
      <c r="IQ46" s="5"/>
      <c r="IR46" s="4"/>
      <c r="IS46" s="5">
        <v>0</v>
      </c>
      <c r="IT46" s="4"/>
      <c r="IU46" s="4"/>
      <c r="IV46" s="4"/>
      <c r="IW46" s="4"/>
      <c r="IX46" s="6"/>
      <c r="IY46" s="6"/>
      <c r="IZ46" s="6"/>
      <c r="JA46" s="9"/>
      <c r="JB46"/>
      <c r="JC46"/>
      <c r="JD46"/>
      <c r="JE46"/>
      <c r="JF46"/>
      <c r="JG46"/>
      <c r="JH46" s="4"/>
      <c r="JI46" s="4"/>
      <c r="JJ46" s="6"/>
      <c r="JK46" s="4"/>
      <c r="JL46" s="5">
        <v>0</v>
      </c>
      <c r="JM46" s="5"/>
      <c r="JN46" s="6"/>
      <c r="JO46" s="4"/>
      <c r="JP46" s="4"/>
      <c r="JQ46" s="5">
        <v>0</v>
      </c>
      <c r="JR46" s="5">
        <v>0</v>
      </c>
      <c r="JS46" s="5"/>
      <c r="JT46" s="4"/>
      <c r="JU46" s="5">
        <v>0</v>
      </c>
      <c r="JV46" s="4"/>
      <c r="JW46" s="4"/>
      <c r="JX46" s="4"/>
      <c r="JY46" s="4"/>
      <c r="JZ46" s="6"/>
      <c r="KA46" s="6"/>
      <c r="KB46" s="6"/>
      <c r="KC46" s="9"/>
      <c r="KD46"/>
      <c r="KE46"/>
      <c r="KF46"/>
      <c r="KG46"/>
      <c r="KH46"/>
      <c r="KI46"/>
      <c r="KJ46" s="4"/>
      <c r="KK46" s="4"/>
      <c r="KL46" s="6"/>
      <c r="KM46" s="4"/>
      <c r="KN46" s="5">
        <v>0</v>
      </c>
      <c r="KO46" s="5"/>
      <c r="KP46" s="6"/>
      <c r="KQ46" s="4"/>
      <c r="KR46" s="4"/>
      <c r="KS46" s="5">
        <v>0</v>
      </c>
      <c r="KT46" s="5">
        <v>0</v>
      </c>
      <c r="KU46" s="5"/>
      <c r="KV46" s="4"/>
      <c r="KW46" s="5">
        <v>0</v>
      </c>
      <c r="KX46" s="4"/>
      <c r="KY46" s="4"/>
      <c r="KZ46" s="4"/>
      <c r="LA46" s="4"/>
      <c r="LB46" s="6"/>
      <c r="LC46" s="6"/>
      <c r="LD46" s="6"/>
      <c r="LE46" s="9"/>
      <c r="LF46"/>
      <c r="LG46"/>
      <c r="LH46"/>
      <c r="LI46"/>
      <c r="LJ46"/>
      <c r="LK46"/>
      <c r="LL46" s="4"/>
      <c r="LM46" s="4"/>
      <c r="LN46" s="6"/>
      <c r="LO46" s="4"/>
      <c r="LP46" s="5">
        <v>0</v>
      </c>
      <c r="LQ46" s="5"/>
      <c r="LR46" s="6"/>
      <c r="LS46" s="4"/>
      <c r="LT46" s="4"/>
      <c r="LU46" s="5">
        <v>0</v>
      </c>
      <c r="LV46" s="5">
        <v>0</v>
      </c>
      <c r="LW46" s="5"/>
      <c r="LX46" s="4"/>
      <c r="LY46" s="5">
        <v>0</v>
      </c>
      <c r="LZ46" s="4"/>
      <c r="MA46" s="4"/>
      <c r="MB46" s="4"/>
      <c r="MC46" s="4"/>
      <c r="MD46" s="6"/>
      <c r="ME46" s="6"/>
      <c r="MF46" s="6"/>
      <c r="MG46" s="9"/>
      <c r="MH46"/>
    </row>
    <row r="47">
      <c r="A47" s="8">
        <v>25272</v>
      </c>
      <c r="B47" s="8">
        <v>25273</v>
      </c>
      <c r="C47" s="9">
        <f>B47-A47</f>
        <v>1</v>
      </c>
      <c r="D47" s="8">
        <v>25272</v>
      </c>
      <c r="E47" t="inlineStr">
        <is>
          <t xml:space="preserve">positive</t>
        </is>
      </c>
      <c r="F47" s="4">
        <v>1.1885926935390525</v>
      </c>
      <c r="G47" s="6">
        <v>-0.022978507158972067</v>
      </c>
      <c r="H47" s="7">
        <f>SUM(CP47,DR47,ET47,FV47,GX47,HZ47,JB47,KD47,LF47,MH47)</f>
        <v>-0.02297850715897207</v>
      </c>
      <c r="I47" s="7">
        <f>G47-H47</f>
        <v>3.469446951953614e-18</v>
      </c>
      <c r="J47" s="5">
        <f>F47*(1+H47)</f>
        <v>1.1612806078214635</v>
      </c>
      <c r="K47" s="4">
        <v>1.1612806078214635</v>
      </c>
      <c r="L47" s="5">
        <f>K47-J47</f>
        <v>0</v>
      </c>
      <c r="M47" s="4">
        <v>1.901</v>
      </c>
      <c r="N47" s="4">
        <v>1.879</v>
      </c>
      <c r="O47" s="5">
        <f>M47/$M$3</f>
        <v>0.9708886618998979</v>
      </c>
      <c r="P47" s="5">
        <f>N47/$M$3</f>
        <v>0.9596527068437181</v>
      </c>
      <c r="Q47" s="7">
        <f>IFERROR(N47/M47-1,0)</f>
        <v>-0.011572856391372954</v>
      </c>
      <c r="R47" s="5">
        <f>SUM(IF(BQ47="lease",CB47,0),IF(CS47="lease",DD47,0),IF(DU47="lease",EF47,0),IF(EW47="lease",FH47,0),IF(FY47="lease",GJ47,0),IF(HA47="lease",HL47,0),IF(IC47="lease",IN47,0),IF(JE47="lease",JP47,0),IF(KG47="lease",KR47,0),IF(LI47="lease",LT47,0))</f>
        <v>1.1885926935390523</v>
      </c>
      <c r="S47" s="5">
        <f>SUM(IF(BQ47="lease",CI47,0),IF(CS47="lease",DK47,0),IF(DU47="lease",EM47,0),IF(EW47="lease",FO47,0),IF(FY47="lease",GQ47,0),IF(HA47="lease",HS47,0),IF(IC47="lease",IU47,0),IF(JE47="lease",JW47,0),IF(KG47="lease",KY47,0),IF(LI47="lease",MA47,0))</f>
        <v>1.1612806078214633</v>
      </c>
      <c r="T47" s="5">
        <f>SUM(IF(BQ47="keep",CB47,0),IF(CS47="keep",DD47,0),IF(DU47="keep",EF47,0),IF(EW47="keep",FH47,0),IF(FY47="keep",GJ47,0),IF(HA47="keep",HL47,0),IF(IC47="keep",IN47,0),IF(JE47="keep",JP47,0),IF(KG47="keep",KR47,0),IF(LI47="keep",LT47,0))</f>
        <v>0</v>
      </c>
      <c r="U47" s="5">
        <f>SUM(IF(BQ47="keep",CI47,0),IF(CS47="keep",DK47,0),IF(DU47="keep",EM47,0),IF(EW47="keep",FO47,0),IF(FY47="keep",GQ47,0),IF(HA47="keep",HS47,0),IF(IC47="keep",IU47,0),IF(JE47="keep",JW47,0),IF(KG47="keep",KY47,0),IF(LI47="keep",MA47,0))</f>
        <v>0</v>
      </c>
      <c r="V47" s="5">
        <f>R47/O47</f>
        <v>1.2242317169644736</v>
      </c>
      <c r="W47" s="5">
        <f>S47/P47</f>
        <v>1.2101050719076238</v>
      </c>
      <c r="X47" s="5">
        <f>T47/O47</f>
        <v>0</v>
      </c>
      <c r="Y47" s="5">
        <f>U47/P47</f>
        <v>0</v>
      </c>
      <c r="Z47" s="5">
        <f>V47+X47</f>
        <v>1.2242317169644736</v>
      </c>
      <c r="AA47" s="7">
        <f>IFERROR(W47/V47-1,0)</f>
        <v>-0.011539192181589053</v>
      </c>
      <c r="AB47" s="7">
        <f>IFERROR((W47-V47)/Z47,0)</f>
        <v>-0.011539192181589053</v>
      </c>
      <c r="AC47" s="7">
        <f>IFERROR(Y47/X47-1,0)</f>
        <v>0</v>
      </c>
      <c r="AD47" s="7">
        <f>IFERROR((Y47-X47)/Z47,0)</f>
        <v>0</v>
      </c>
      <c r="AE47" s="7">
        <f>AB47+AD47</f>
        <v>-0.011539192181589053</v>
      </c>
      <c r="AF47" s="7">
        <f>(1+Q47)*(1+AE47)-1</f>
        <v>-0.022978507158971984</v>
      </c>
      <c r="AG47" s="7">
        <f>G47-AF47</f>
        <v>-8.326672684688674e-17</v>
      </c>
      <c r="AH47" s="5">
        <f>SUM(IF(BQ47="lease",CE47,0),IF(CS47="lease",DG47,0),IF(DU47="lease",EI47,0),IF(EW47="lease",FK47,0),IF(FY47="lease",GM47,0),IF(HA47="lease",HO47,0),IF(IC47="lease",IQ47,0),IF(JE47="lease",JS47,0),IF(KG47="lease",KU47,0),IF(LI47="lease",LW47,0))</f>
        <v>-0.027312085717589012</v>
      </c>
      <c r="AI47" s="5">
        <f>SUM(IF(BQ47="keep",CE47,0),IF(CS47="keep",DG47,0),IF(DU47="keep",EI47,0),IF(EW47="keep",FK47,0),IF(FY47="keep",GM47,0),IF(HA47="keep",HO47,0),IF(IC47="keep",IQ47,0),IF(JE47="keep",JS47,0),IF(KG47="keep",KU47,0),IF(LI47="keep",LW47,0))</f>
        <v>0</v>
      </c>
      <c r="AJ47" s="5">
        <f>SUM(IF(BQ47="lease",CH47,0),IF(CS47="lease",DJ47,0),IF(DU47="lease",EL47,0),IF(EW47="lease",FN47,0),IF(FY47="lease",GP47,0),IF(HA47="lease",HR47,0),IF(IC47="lease",IT47,0),IF(JE47="lease",JV47,0),IF(KG47="lease",KX47,0),IF(LI47="lease",LZ47,0))</f>
        <v>0</v>
      </c>
      <c r="AK47" s="5">
        <f>SUM(IF(BQ47="keep",CH47,0),IF(CS47="keep",DJ47,0),IF(DU47="keep",EL47,0),IF(EW47="keep",FN47,0),IF(FY47="keep",GP47,0),IF(HA47="keep",HR47,0),IF(IC47="keep",IT47,0),IF(JE47="keep",JV47,0),IF(KG47="keep",KX47,0),IF(LI47="keep",LZ47,0))</f>
        <v>0</v>
      </c>
      <c r="AL47" s="5">
        <f>R47-S46</f>
        <v>0</v>
      </c>
      <c r="AM47" s="5">
        <f>T47-U46</f>
        <v>0</v>
      </c>
      <c r="AN47" s="5">
        <f>AN46</f>
        <v>1</v>
      </c>
      <c r="AO47" s="5">
        <f>AO46+AH47</f>
        <v>0.16128060782146375</v>
      </c>
      <c r="AP47" s="5">
        <f>AP46+AL47</f>
        <v>-6.661338147750939e-16</v>
      </c>
      <c r="AQ47" s="5">
        <f>AN47+AO47+AP47</f>
        <v>1.161280607821463</v>
      </c>
      <c r="AR47" s="5">
        <f>S47-AQ47</f>
        <v>2.220446049250313e-16</v>
      </c>
      <c r="AS47" s="5">
        <f>AS46</f>
        <v>0</v>
      </c>
      <c r="AT47" s="5">
        <f>AT46+AI47</f>
        <v>0</v>
      </c>
      <c r="AU47" s="5">
        <f>AU46+AM47</f>
        <v>0</v>
      </c>
      <c r="AV47" s="5">
        <f>AS47+AT47+AU47</f>
        <v>0</v>
      </c>
      <c r="AW47" s="5">
        <f>U47-AV47</f>
        <v>0</v>
      </c>
      <c r="AX47" s="4">
        <v>1.1885926935390523</v>
      </c>
      <c r="AY47" s="4">
        <v>1.1612806078214633</v>
      </c>
      <c r="AZ47" s="5">
        <f>S47-AY47</f>
        <v>0</v>
      </c>
      <c r="BA47" s="4">
        <v>0</v>
      </c>
      <c r="BB47" s="4">
        <v>0</v>
      </c>
      <c r="BC47" s="5">
        <f>U47-BB47</f>
        <v>0</v>
      </c>
      <c r="BD47" s="7">
        <f>SUM(IF(BP47="direct",CC47/F47,0),IF(CR47="direct",DE47/F47,0),IF(DT47="direct",EG47/F47,0),IF(EV47="direct",FI47/F47,0),IF(FX47="direct",GK47/F47,0),IF(GZ47="direct",HM47/F47,0),IF(IB47="direct",IO47/F47,0),IF(JD47="direct",JQ47/F47,0),IF(KF47="direct",KS47/F47,0),IF(LH47="direct",LU47/F47,0))</f>
        <v>0</v>
      </c>
      <c r="BE47" s="7">
        <f>-SUM(IF(BP47="direct",CD47/F47,0),IF(CR47="direct",DF47/F47,0),IF(DT47="direct",EH47/F47,0),IF(EV47="direct",FJ47/F47,0),IF(FX47="direct",GL47/F47,0),IF(GZ47="direct",HN47/F47,0),IF(IB47="direct",IP47/F47,0),IF(JD47="direct",JR47/F47,0),IF(KF47="direct",KT47/F47,0),IF(LH47="direct",LV47/F47,0))</f>
        <v>0</v>
      </c>
      <c r="BF47" s="7">
        <f>BD47+BE47</f>
        <v>0</v>
      </c>
      <c r="BG47" s="7">
        <f>BF47-SUM(IF(BP47="direct",CP47,0),IF(CR47="direct",DR47,0),IF(DT47="direct",ET47,0),IF(EV47="direct",FV47,0),IF(FX47="direct",GX47,0),IF(GZ47="direct",HZ47,0),IF(IB47="direct",JB47,0),IF(JD47="direct",KD47,0),IF(KF47="direct",LF47,0),IF(LH47="direct",MH47,0))</f>
        <v>0</v>
      </c>
      <c r="BH47" s="7">
        <f>SUM(IF(BP47="treasury",CP47,0),IF(CR47="treasury",DR47,0),IF(DT47="treasury",ET47,0),IF(EV47="treasury",FV47,0),IF(FX47="treasury",GX47,0),IF(GZ47="treasury",HZ47,0),IF(IB47="treasury",JB47,0),IF(JD47="treasury",KD47,0),IF(KF47="treasury",LF47,0),IF(LH47="treasury",MH47,0))</f>
        <v>0.00016465753424657536</v>
      </c>
      <c r="BI47" s="7">
        <f>SUM(IF(BP47="future",CP47,0),IF(CR47="future",DR47,0),IF(DT47="future",ET47,0),IF(EV47="future",FV47,0),IF(FX47="future",GX47,0),IF(GZ47="future",HZ47,0),IF(IB47="future",JB47,0),IF(JD47="future",KD47,0),IF(KF47="future",LF47,0),IF(LH47="future",MH47,0))</f>
        <v>-0.023143164693218643</v>
      </c>
      <c r="BJ47" s="7">
        <f>SUM(IF(BP47="cash",CP47,0),IF(CR47="cash",DR47,0),IF(DT47="cash",ET47,0),IF(EV47="cash",FV47,0),IF(FX47="cash",GX47,0),IF(GZ47="cash",HZ47,0),IF(IB47="cash",JB47,0),IF(JD47="cash",KD47,0),IF(KF47="cash",LF47,0),IF(LH47="cash",MH47,0))</f>
        <v>0</v>
      </c>
      <c r="BK47" s="7">
        <f>SUM(BF47,BH47,BI47,BJ47)</f>
        <v>-0.022978507158972067</v>
      </c>
      <c r="BL47" s="7">
        <f>G47-BK47</f>
        <v>0</v>
      </c>
      <c r="BM47" s="5">
        <f>MAX(ABS(CG47),ABS(DI47),ABS(EK47),ABS(FM47),ABS(GO47),ABS(HQ47),ABS(IS47),ABS(JU47),ABS(KW47),ABS(LY47))</f>
        <v>2.2833297752544723e-16</v>
      </c>
      <c r="BN47" s="9">
        <f>COUNTA(BO47,CQ47,DS47,EU47,FW47,GY47,IA47,JC47,KE47,LG47)</f>
        <v>4</v>
      </c>
      <c r="BO47" t="inlineStr">
        <is>
          <t xml:space="preserve">Treasury collateral</t>
        </is>
      </c>
      <c r="BP47" t="inlineStr">
        <is>
          <t xml:space="preserve">treasury</t>
        </is>
      </c>
      <c r="BQ47" t="inlineStr">
        <is>
          <t xml:space="preserve">lease</t>
        </is>
      </c>
      <c r="BR47" t="inlineStr">
        <is>
          <t xml:space="preserve">long</t>
        </is>
      </c>
      <c r="BS47"/>
      <c r="BT47" s="4">
        <v>101.13069428396746</v>
      </c>
      <c r="BU47" s="4">
        <v>101.14734621472492</v>
      </c>
      <c r="BV47" s="6"/>
      <c r="BW47" s="4">
        <v>0.01175303602882002</v>
      </c>
      <c r="BX47" s="5">
        <f>IF(BP47="direct",IFERROR(CD47/BU47,0),0)</f>
        <v>0</v>
      </c>
      <c r="BY47" s="5">
        <f>IF(BP47="direct",BW47-BX47,IF(BP47="cash",CI47,BW47))</f>
        <v>0.01175303602882002</v>
      </c>
      <c r="BZ47" s="6">
        <v>1</v>
      </c>
      <c r="CA47" s="4">
        <v>1.1885926935390525</v>
      </c>
      <c r="CB47" s="4">
        <v>1.1885926935390525</v>
      </c>
      <c r="CC47" s="5">
        <f>IF(BP47="direct",BW47*(BU47-BT47),CF47)</f>
        <v>0.0001957107421418641</v>
      </c>
      <c r="CD47" s="5">
        <f>IF(BP47="direct",CB47*BV47*C47/365,0)</f>
        <v>0</v>
      </c>
      <c r="CE47" s="5">
        <f>CC47-CD47</f>
        <v>0.00019571074214163578</v>
      </c>
      <c r="CF47" s="4">
        <v>0.00019571074214163578</v>
      </c>
      <c r="CG47" s="5">
        <f>CF47-CE47</f>
        <v>-2.2833297752544723e-16</v>
      </c>
      <c r="CH47" s="4">
        <v>1.1676857397668883e-16</v>
      </c>
      <c r="CI47" s="4">
        <v>1.1887884042811943</v>
      </c>
      <c r="CJ47" s="4">
        <v>1.901</v>
      </c>
      <c r="CK47" s="4">
        <v>1.879</v>
      </c>
      <c r="CL47" s="6"/>
      <c r="CM47" s="6"/>
      <c r="CN47" s="6"/>
      <c r="CO47" s="9">
        <v>17</v>
      </c>
      <c r="CP47" s="7">
        <f>IFERROR(CE47/F47,0)</f>
        <v>0.00016465753424657536</v>
      </c>
      <c r="CQ47" t="inlineStr">
        <is>
          <t xml:space="preserve">SI69H</t>
        </is>
      </c>
      <c r="CR47" t="inlineStr">
        <is>
          <t xml:space="preserve">future</t>
        </is>
      </c>
      <c r="CS47" t="inlineStr">
        <is>
          <t xml:space="preserve">lease</t>
        </is>
      </c>
      <c r="CT47" t="inlineStr">
        <is>
          <t xml:space="preserve">long</t>
        </is>
      </c>
      <c r="CU47" t="inlineStr">
        <is>
          <t xml:space="preserve">regular</t>
        </is>
      </c>
      <c r="CV47" s="4">
        <v>1.858</v>
      </c>
      <c r="CW47" s="4">
        <v>1.815</v>
      </c>
      <c r="CX47" s="6"/>
      <c r="CY47" s="4">
        <v>0.6397161967379185</v>
      </c>
      <c r="CZ47" s="5">
        <f>IF(CR47="direct",IFERROR(DF47/CW47,0),0)</f>
        <v>0</v>
      </c>
      <c r="DA47" s="5">
        <f>IF(CR47="direct",CY47-CZ47,IF(CR47="cash",DK47,CY47))</f>
        <v>0.6397161967379185</v>
      </c>
      <c r="DB47" s="6">
        <v>1</v>
      </c>
      <c r="DC47" s="4">
        <v>1.1885926935390525</v>
      </c>
      <c r="DD47" s="4">
        <v>0</v>
      </c>
      <c r="DE47" s="5">
        <f>IF(CR47="direct",CY47*(CW47-CV47),DH47)</f>
        <v>-0.027507796459730647</v>
      </c>
      <c r="DF47" s="5">
        <f>IF(CR47="direct",DD47*CX47*C47/365,0)</f>
        <v>0</v>
      </c>
      <c r="DG47" s="5">
        <f>DE47-DF47</f>
        <v>-0.027507796459730647</v>
      </c>
      <c r="DH47" s="4">
        <v>-0.027507796459730647</v>
      </c>
      <c r="DI47" s="5">
        <f>DH47-DG47</f>
        <v>0</v>
      </c>
      <c r="DJ47" s="4">
        <v>0.027507796459730647</v>
      </c>
      <c r="DK47" s="4">
        <v>0</v>
      </c>
      <c r="DL47" s="4">
        <v>1.901</v>
      </c>
      <c r="DM47" s="4">
        <v>1.879</v>
      </c>
      <c r="DN47" s="6">
        <v>-0.022619673855865274</v>
      </c>
      <c r="DO47" s="6">
        <v>0.0601</v>
      </c>
      <c r="DP47" s="6">
        <v>0.5457577033759309</v>
      </c>
      <c r="DQ47" s="9">
        <v>17</v>
      </c>
      <c r="DR47" s="7">
        <f>IFERROR(DG47/F47,0)</f>
        <v>-0.023143164693218643</v>
      </c>
      <c r="DS47" t="inlineStr">
        <is>
          <t xml:space="preserve">Lease cash / margin / financing</t>
        </is>
      </c>
      <c r="DT47" t="inlineStr">
        <is>
          <t xml:space="preserve">cash</t>
        </is>
      </c>
      <c r="DU47" t="inlineStr">
        <is>
          <t xml:space="preserve">lease</t>
        </is>
      </c>
      <c r="DV47" t="inlineStr">
        <is>
          <t xml:space="preserve">cash</t>
        </is>
      </c>
      <c r="DW47"/>
      <c r="DX47" s="4">
        <v>1</v>
      </c>
      <c r="DY47" s="4">
        <v>1</v>
      </c>
      <c r="DZ47" s="6"/>
      <c r="EA47" s="4">
        <v>-2.220446049250313e-16</v>
      </c>
      <c r="EB47" s="5">
        <f>IF(DT47="direct",IFERROR(EH47/DY47,0),0)</f>
        <v>0</v>
      </c>
      <c r="EC47" s="5">
        <f>IF(DT47="direct",EA47-EB47,IF(DT47="cash",EM47,EA47))</f>
        <v>-0.027507796459730987</v>
      </c>
      <c r="ED47" s="6"/>
      <c r="EE47" s="4">
        <v>-2.220446049250313e-16</v>
      </c>
      <c r="EF47" s="4">
        <v>-2.220446049250313e-16</v>
      </c>
      <c r="EG47" s="5">
        <f>IF(DT47="direct",EA47*(DY47-DX47),EJ47)</f>
        <v>0</v>
      </c>
      <c r="EH47" s="5">
        <f>IF(DT47="direct",EF47*DZ47*C47/365,0)</f>
        <v>0</v>
      </c>
      <c r="EI47" s="5">
        <f>EG47-EH47</f>
        <v>0</v>
      </c>
      <c r="EJ47" s="4">
        <v>0</v>
      </c>
      <c r="EK47" s="5">
        <f>EJ47-EI47</f>
        <v>0</v>
      </c>
      <c r="EL47" s="4">
        <v>-0.027507796459730765</v>
      </c>
      <c r="EM47" s="4">
        <v>-0.027507796459730987</v>
      </c>
      <c r="EN47" s="4">
        <v>1.901</v>
      </c>
      <c r="EO47" s="4">
        <v>1.879</v>
      </c>
      <c r="EP47" s="6"/>
      <c r="EQ47" s="6"/>
      <c r="ER47" s="6"/>
      <c r="ES47" s="9"/>
      <c r="ET47" s="7">
        <f>IFERROR(EI47/F47,0)</f>
        <v>0</v>
      </c>
      <c r="EU47" t="inlineStr">
        <is>
          <t xml:space="preserve">Keep cash / margin / financing</t>
        </is>
      </c>
      <c r="EV47" t="inlineStr">
        <is>
          <t xml:space="preserve">cash</t>
        </is>
      </c>
      <c r="EW47" t="inlineStr">
        <is>
          <t xml:space="preserve">keep</t>
        </is>
      </c>
      <c r="EX47" t="inlineStr">
        <is>
          <t xml:space="preserve">cash</t>
        </is>
      </c>
      <c r="EY47"/>
      <c r="EZ47" s="4">
        <v>1</v>
      </c>
      <c r="FA47" s="4">
        <v>1</v>
      </c>
      <c r="FB47" s="6"/>
      <c r="FC47" s="4">
        <v>0</v>
      </c>
      <c r="FD47" s="5">
        <f>IF(EV47="direct",IFERROR(FJ47/FA47,0),0)</f>
        <v>0</v>
      </c>
      <c r="FE47" s="5">
        <f>IF(EV47="direct",FC47-FD47,IF(EV47="cash",FO47,FC47))</f>
        <v>0</v>
      </c>
      <c r="FF47" s="6"/>
      <c r="FG47" s="4">
        <v>0</v>
      </c>
      <c r="FH47" s="4">
        <v>0</v>
      </c>
      <c r="FI47" s="5">
        <f>IF(EV47="direct",FC47*(FA47-EZ47),FL47)</f>
        <v>0</v>
      </c>
      <c r="FJ47" s="5">
        <f>IF(EV47="direct",FH47*FB47*C47/365,0)</f>
        <v>0</v>
      </c>
      <c r="FK47" s="5">
        <f>FI47-FJ47</f>
        <v>0</v>
      </c>
      <c r="FL47" s="4">
        <v>0</v>
      </c>
      <c r="FM47" s="5">
        <f>FL47-FK47</f>
        <v>0</v>
      </c>
      <c r="FN47" s="4">
        <v>0</v>
      </c>
      <c r="FO47" s="4">
        <v>0</v>
      </c>
      <c r="FP47" s="4">
        <v>1.901</v>
      </c>
      <c r="FQ47" s="4">
        <v>1.879</v>
      </c>
      <c r="FR47" s="6"/>
      <c r="FS47" s="6"/>
      <c r="FT47" s="6"/>
      <c r="FU47" s="9"/>
      <c r="FV47" s="7">
        <f>IFERROR(FK47/F47,0)</f>
        <v>0</v>
      </c>
      <c r="FW47"/>
      <c r="FX47"/>
      <c r="FY47"/>
      <c r="FZ47"/>
      <c r="GA47"/>
      <c r="GB47" s="4"/>
      <c r="GC47" s="4"/>
      <c r="GD47" s="6"/>
      <c r="GE47" s="4"/>
      <c r="GF47" s="5">
        <v>0</v>
      </c>
      <c r="GG47" s="5"/>
      <c r="GH47" s="6"/>
      <c r="GI47" s="4"/>
      <c r="GJ47" s="4"/>
      <c r="GK47" s="5">
        <v>0</v>
      </c>
      <c r="GL47" s="5">
        <v>0</v>
      </c>
      <c r="GM47" s="5"/>
      <c r="GN47" s="4"/>
      <c r="GO47" s="5">
        <v>0</v>
      </c>
      <c r="GP47" s="4"/>
      <c r="GQ47" s="4"/>
      <c r="GR47" s="4"/>
      <c r="GS47" s="4"/>
      <c r="GT47" s="6"/>
      <c r="GU47" s="6"/>
      <c r="GV47" s="6"/>
      <c r="GW47" s="9"/>
      <c r="GX47"/>
      <c r="GY47"/>
      <c r="GZ47"/>
      <c r="HA47"/>
      <c r="HB47"/>
      <c r="HC47"/>
      <c r="HD47" s="4"/>
      <c r="HE47" s="4"/>
      <c r="HF47" s="6"/>
      <c r="HG47" s="4"/>
      <c r="HH47" s="5">
        <v>0</v>
      </c>
      <c r="HI47" s="5"/>
      <c r="HJ47" s="6"/>
      <c r="HK47" s="4"/>
      <c r="HL47" s="4"/>
      <c r="HM47" s="5">
        <v>0</v>
      </c>
      <c r="HN47" s="5">
        <v>0</v>
      </c>
      <c r="HO47" s="5"/>
      <c r="HP47" s="4"/>
      <c r="HQ47" s="5">
        <v>0</v>
      </c>
      <c r="HR47" s="4"/>
      <c r="HS47" s="4"/>
      <c r="HT47" s="4"/>
      <c r="HU47" s="4"/>
      <c r="HV47" s="6"/>
      <c r="HW47" s="6"/>
      <c r="HX47" s="6"/>
      <c r="HY47" s="9"/>
      <c r="HZ47"/>
      <c r="IA47"/>
      <c r="IB47"/>
      <c r="IC47"/>
      <c r="ID47"/>
      <c r="IE47"/>
      <c r="IF47" s="4"/>
      <c r="IG47" s="4"/>
      <c r="IH47" s="6"/>
      <c r="II47" s="4"/>
      <c r="IJ47" s="5">
        <v>0</v>
      </c>
      <c r="IK47" s="5"/>
      <c r="IL47" s="6"/>
      <c r="IM47" s="4"/>
      <c r="IN47" s="4"/>
      <c r="IO47" s="5">
        <v>0</v>
      </c>
      <c r="IP47" s="5">
        <v>0</v>
      </c>
      <c r="IQ47" s="5"/>
      <c r="IR47" s="4"/>
      <c r="IS47" s="5">
        <v>0</v>
      </c>
      <c r="IT47" s="4"/>
      <c r="IU47" s="4"/>
      <c r="IV47" s="4"/>
      <c r="IW47" s="4"/>
      <c r="IX47" s="6"/>
      <c r="IY47" s="6"/>
      <c r="IZ47" s="6"/>
      <c r="JA47" s="9"/>
      <c r="JB47"/>
      <c r="JC47"/>
      <c r="JD47"/>
      <c r="JE47"/>
      <c r="JF47"/>
      <c r="JG47"/>
      <c r="JH47" s="4"/>
      <c r="JI47" s="4"/>
      <c r="JJ47" s="6"/>
      <c r="JK47" s="4"/>
      <c r="JL47" s="5">
        <v>0</v>
      </c>
      <c r="JM47" s="5"/>
      <c r="JN47" s="6"/>
      <c r="JO47" s="4"/>
      <c r="JP47" s="4"/>
      <c r="JQ47" s="5">
        <v>0</v>
      </c>
      <c r="JR47" s="5">
        <v>0</v>
      </c>
      <c r="JS47" s="5"/>
      <c r="JT47" s="4"/>
      <c r="JU47" s="5">
        <v>0</v>
      </c>
      <c r="JV47" s="4"/>
      <c r="JW47" s="4"/>
      <c r="JX47" s="4"/>
      <c r="JY47" s="4"/>
      <c r="JZ47" s="6"/>
      <c r="KA47" s="6"/>
      <c r="KB47" s="6"/>
      <c r="KC47" s="9"/>
      <c r="KD47"/>
      <c r="KE47"/>
      <c r="KF47"/>
      <c r="KG47"/>
      <c r="KH47"/>
      <c r="KI47"/>
      <c r="KJ47" s="4"/>
      <c r="KK47" s="4"/>
      <c r="KL47" s="6"/>
      <c r="KM47" s="4"/>
      <c r="KN47" s="5">
        <v>0</v>
      </c>
      <c r="KO47" s="5"/>
      <c r="KP47" s="6"/>
      <c r="KQ47" s="4"/>
      <c r="KR47" s="4"/>
      <c r="KS47" s="5">
        <v>0</v>
      </c>
      <c r="KT47" s="5">
        <v>0</v>
      </c>
      <c r="KU47" s="5"/>
      <c r="KV47" s="4"/>
      <c r="KW47" s="5">
        <v>0</v>
      </c>
      <c r="KX47" s="4"/>
      <c r="KY47" s="4"/>
      <c r="KZ47" s="4"/>
      <c r="LA47" s="4"/>
      <c r="LB47" s="6"/>
      <c r="LC47" s="6"/>
      <c r="LD47" s="6"/>
      <c r="LE47" s="9"/>
      <c r="LF47"/>
      <c r="LG47"/>
      <c r="LH47"/>
      <c r="LI47"/>
      <c r="LJ47"/>
      <c r="LK47"/>
      <c r="LL47" s="4"/>
      <c r="LM47" s="4"/>
      <c r="LN47" s="6"/>
      <c r="LO47" s="4"/>
      <c r="LP47" s="5">
        <v>0</v>
      </c>
      <c r="LQ47" s="5"/>
      <c r="LR47" s="6"/>
      <c r="LS47" s="4"/>
      <c r="LT47" s="4"/>
      <c r="LU47" s="5">
        <v>0</v>
      </c>
      <c r="LV47" s="5">
        <v>0</v>
      </c>
      <c r="LW47" s="5"/>
      <c r="LX47" s="4"/>
      <c r="LY47" s="5">
        <v>0</v>
      </c>
      <c r="LZ47" s="4"/>
      <c r="MA47" s="4"/>
      <c r="MB47" s="4"/>
      <c r="MC47" s="4"/>
      <c r="MD47" s="6"/>
      <c r="ME47" s="6"/>
      <c r="MF47" s="6"/>
      <c r="MG47" s="9"/>
      <c r="MH47"/>
    </row>
    <row r="48">
      <c r="A48" s="8">
        <v>25273</v>
      </c>
      <c r="B48" s="8">
        <v>25274</v>
      </c>
      <c r="C48" s="9">
        <f>B48-A48</f>
        <v>1</v>
      </c>
      <c r="D48" s="8">
        <v>25273</v>
      </c>
      <c r="E48" t="inlineStr">
        <is>
          <t xml:space="preserve">positive</t>
        </is>
      </c>
      <c r="F48" s="4">
        <v>1.1612806078214635</v>
      </c>
      <c r="G48" s="6">
        <v>0.009531048718819518</v>
      </c>
      <c r="H48" s="7">
        <f>SUM(CP48,DR48,ET48,FV48,GX48,HZ48,JB48,KD48,LF48,MH48)</f>
        <v>0.009531048718819516</v>
      </c>
      <c r="I48" s="7">
        <f>G48-H48</f>
        <v>1.734723475976807e-18</v>
      </c>
      <c r="J48" s="5">
        <f>F48*(1+H48)</f>
        <v>1.1723488298708302</v>
      </c>
      <c r="K48" s="4">
        <v>1.1723488298708302</v>
      </c>
      <c r="L48" s="5">
        <f>K48-J48</f>
        <v>0</v>
      </c>
      <c r="M48" s="4">
        <v>1.879</v>
      </c>
      <c r="N48" s="4">
        <v>1.833</v>
      </c>
      <c r="O48" s="5">
        <f>M48/$M$3</f>
        <v>0.9596527068437181</v>
      </c>
      <c r="P48" s="5">
        <f>N48/$M$3</f>
        <v>0.9361593462717058</v>
      </c>
      <c r="Q48" s="7">
        <f>IFERROR(N48/M48-1,0)</f>
        <v>-0.02448110697179351</v>
      </c>
      <c r="R48" s="5">
        <f>SUM(IF(BQ48="lease",CB48,0),IF(CS48="lease",DD48,0),IF(DU48="lease",EF48,0),IF(EW48="lease",FH48,0),IF(FY48="lease",GJ48,0),IF(HA48="lease",HL48,0),IF(IC48="lease",IN48,0),IF(JE48="lease",JP48,0),IF(KG48="lease",KR48,0),IF(LI48="lease",LT48,0))</f>
        <v>1.1612806078214633</v>
      </c>
      <c r="S48" s="5">
        <f>SUM(IF(BQ48="lease",CI48,0),IF(CS48="lease",DK48,0),IF(DU48="lease",EM48,0),IF(EW48="lease",FO48,0),IF(FY48="lease",GQ48,0),IF(HA48="lease",HS48,0),IF(IC48="lease",IU48,0),IF(JE48="lease",JW48,0),IF(KG48="lease",KY48,0),IF(LI48="lease",MA48,0))</f>
        <v>1.17234882987083</v>
      </c>
      <c r="T48" s="5">
        <f>SUM(IF(BQ48="keep",CB48,0),IF(CS48="keep",DD48,0),IF(DU48="keep",EF48,0),IF(EW48="keep",FH48,0),IF(FY48="keep",GJ48,0),IF(HA48="keep",HL48,0),IF(IC48="keep",IN48,0),IF(JE48="keep",JP48,0),IF(KG48="keep",KR48,0),IF(LI48="keep",LT48,0))</f>
        <v>0</v>
      </c>
      <c r="U48" s="5">
        <f>SUM(IF(BQ48="keep",CI48,0),IF(CS48="keep",DK48,0),IF(DU48="keep",EM48,0),IF(EW48="keep",FO48,0),IF(FY48="keep",GQ48,0),IF(HA48="keep",HS48,0),IF(IC48="keep",IU48,0),IF(JE48="keep",JW48,0),IF(KG48="keep",KY48,0),IF(LI48="keep",MA48,0))</f>
        <v>0</v>
      </c>
      <c r="V48" s="5">
        <f>R48/O48</f>
        <v>1.2101050719076238</v>
      </c>
      <c r="W48" s="5">
        <f>S48/P48</f>
        <v>1.2522962405275968</v>
      </c>
      <c r="X48" s="5">
        <f>T48/O48</f>
        <v>0</v>
      </c>
      <c r="Y48" s="5">
        <f>U48/P48</f>
        <v>0</v>
      </c>
      <c r="Z48" s="5">
        <f>V48+X48</f>
        <v>1.2101050719076238</v>
      </c>
      <c r="AA48" s="7">
        <f>IFERROR(W48/V48-1,0)</f>
        <v>0.034865706788140605</v>
      </c>
      <c r="AB48" s="7">
        <f>IFERROR((W48-V48)/Z48,0)</f>
        <v>0.03486570678814056</v>
      </c>
      <c r="AC48" s="7">
        <f>IFERROR(Y48/X48-1,0)</f>
        <v>0</v>
      </c>
      <c r="AD48" s="7">
        <f>IFERROR((Y48-X48)/Z48,0)</f>
        <v>0</v>
      </c>
      <c r="AE48" s="7">
        <f>AB48+AD48</f>
        <v>0.03486570678814056</v>
      </c>
      <c r="AF48" s="7">
        <f>(1+Q48)*(1+AE48)-1</f>
        <v>0.00953104871881938</v>
      </c>
      <c r="AG48" s="7">
        <f>G48-AF48</f>
        <v>1.3877787807814457e-16</v>
      </c>
      <c r="AH48" s="5">
        <f>SUM(IF(BQ48="lease",CE48,0),IF(CS48="lease",DG48,0),IF(DU48="lease",EI48,0),IF(EW48="lease",FK48,0),IF(FY48="lease",GM48,0),IF(HA48="lease",HO48,0),IF(IC48="lease",IQ48,0),IF(JE48="lease",JS48,0),IF(KG48="lease",KU48,0),IF(LI48="lease",LW48,0))</f>
        <v>0.01106822204936671</v>
      </c>
      <c r="AI48" s="5">
        <f>SUM(IF(BQ48="keep",CE48,0),IF(CS48="keep",DG48,0),IF(DU48="keep",EI48,0),IF(EW48="keep",FK48,0),IF(FY48="keep",GM48,0),IF(HA48="keep",HO48,0),IF(IC48="keep",IQ48,0),IF(JE48="keep",JS48,0),IF(KG48="keep",KU48,0),IF(LI48="keep",LW48,0))</f>
        <v>0</v>
      </c>
      <c r="AJ48" s="5">
        <f>SUM(IF(BQ48="lease",CH48,0),IF(CS48="lease",DJ48,0),IF(DU48="lease",EL48,0),IF(EW48="lease",FN48,0),IF(FY48="lease",GP48,0),IF(HA48="lease",HR48,0),IF(IC48="lease",IT48,0),IF(JE48="lease",JV48,0),IF(KG48="lease",KX48,0),IF(LI48="lease",LZ48,0))</f>
        <v>0</v>
      </c>
      <c r="AK48" s="5">
        <f>SUM(IF(BQ48="keep",CH48,0),IF(CS48="keep",DJ48,0),IF(DU48="keep",EL48,0),IF(EW48="keep",FN48,0),IF(FY48="keep",GP48,0),IF(HA48="keep",HR48,0),IF(IC48="keep",IT48,0),IF(JE48="keep",JV48,0),IF(KG48="keep",KX48,0),IF(LI48="keep",LZ48,0))</f>
        <v>0</v>
      </c>
      <c r="AL48" s="5">
        <f>R48-S47</f>
        <v>0</v>
      </c>
      <c r="AM48" s="5">
        <f>T48-U47</f>
        <v>0</v>
      </c>
      <c r="AN48" s="5">
        <f>AN47</f>
        <v>1</v>
      </c>
      <c r="AO48" s="5">
        <f>AO47+AH48</f>
        <v>0.17234882987083047</v>
      </c>
      <c r="AP48" s="5">
        <f>AP47+AL48</f>
        <v>-6.661338147750939e-16</v>
      </c>
      <c r="AQ48" s="5">
        <f>AN48+AO48+AP48</f>
        <v>1.1723488298708298</v>
      </c>
      <c r="AR48" s="5">
        <f>S48-AQ48</f>
        <v>2.220446049250313e-16</v>
      </c>
      <c r="AS48" s="5">
        <f>AS47</f>
        <v>0</v>
      </c>
      <c r="AT48" s="5">
        <f>AT47+AI48</f>
        <v>0</v>
      </c>
      <c r="AU48" s="5">
        <f>AU47+AM48</f>
        <v>0</v>
      </c>
      <c r="AV48" s="5">
        <f>AS48+AT48+AU48</f>
        <v>0</v>
      </c>
      <c r="AW48" s="5">
        <f>U48-AV48</f>
        <v>0</v>
      </c>
      <c r="AX48" s="4">
        <v>1.1612806078214633</v>
      </c>
      <c r="AY48" s="4">
        <v>1.17234882987083</v>
      </c>
      <c r="AZ48" s="5">
        <f>S48-AY48</f>
        <v>0</v>
      </c>
      <c r="BA48" s="4">
        <v>0</v>
      </c>
      <c r="BB48" s="4">
        <v>0</v>
      </c>
      <c r="BC48" s="5">
        <f>U48-BB48</f>
        <v>0</v>
      </c>
      <c r="BD48" s="7">
        <f>SUM(IF(BP48="direct",CC48/F48,0),IF(CR48="direct",DE48/F48,0),IF(DT48="direct",EG48/F48,0),IF(EV48="direct",FI48/F48,0),IF(FX48="direct",GK48/F48,0),IF(GZ48="direct",HM48/F48,0),IF(IB48="direct",IO48/F48,0),IF(JD48="direct",JQ48/F48,0),IF(KF48="direct",KS48/F48,0),IF(LH48="direct",LU48/F48,0))</f>
        <v>0</v>
      </c>
      <c r="BE48" s="7">
        <f>-SUM(IF(BP48="direct",CD48/F48,0),IF(CR48="direct",DF48/F48,0),IF(DT48="direct",EH48/F48,0),IF(EV48="direct",FJ48/F48,0),IF(FX48="direct",GL48/F48,0),IF(GZ48="direct",HN48/F48,0),IF(IB48="direct",IP48/F48,0),IF(JD48="direct",JR48/F48,0),IF(KF48="direct",KT48/F48,0),IF(LH48="direct",LV48/F48,0))</f>
        <v>0</v>
      </c>
      <c r="BF48" s="7">
        <f>BD48+BE48</f>
        <v>0</v>
      </c>
      <c r="BG48" s="7">
        <f>BF48-SUM(IF(BP48="direct",CP48,0),IF(CR48="direct",DR48,0),IF(DT48="direct",ET48,0),IF(EV48="direct",FV48,0),IF(FX48="direct",GX48,0),IF(GZ48="direct",HZ48,0),IF(IB48="direct",JB48,0),IF(JD48="direct",KD48,0),IF(KF48="direct",LF48,0),IF(LH48="direct",MH48,0))</f>
        <v>0</v>
      </c>
      <c r="BH48" s="7">
        <f>SUM(IF(BP48="treasury",CP48,0),IF(CR48="treasury",DR48,0),IF(DT48="treasury",ET48,0),IF(EV48="treasury",FV48,0),IF(FX48="treasury",GX48,0),IF(GZ48="treasury",HZ48,0),IF(IB48="treasury",JB48,0),IF(JD48="treasury",KD48,0),IF(KF48="treasury",LF48,0),IF(LH48="treasury",MH48,0))</f>
        <v>0.00016465753424657536</v>
      </c>
      <c r="BI48" s="7">
        <f>SUM(IF(BP48="future",CP48,0),IF(CR48="future",DR48,0),IF(DT48="future",ET48,0),IF(EV48="future",FV48,0),IF(FX48="future",GX48,0),IF(GZ48="future",HZ48,0),IF(IB48="future",JB48,0),IF(JD48="future",KD48,0),IF(KF48="future",LF48,0),IF(LH48="future",MH48,0))</f>
        <v>0.009366391184572942</v>
      </c>
      <c r="BJ48" s="7">
        <f>SUM(IF(BP48="cash",CP48,0),IF(CR48="cash",DR48,0),IF(DT48="cash",ET48,0),IF(EV48="cash",FV48,0),IF(FX48="cash",GX48,0),IF(GZ48="cash",HZ48,0),IF(IB48="cash",JB48,0),IF(JD48="cash",KD48,0),IF(KF48="cash",LF48,0),IF(LH48="cash",MH48,0))</f>
        <v>0</v>
      </c>
      <c r="BK48" s="7">
        <f>SUM(BF48,BH48,BI48,BJ48)</f>
        <v>0.009531048718819518</v>
      </c>
      <c r="BL48" s="7">
        <f>G48-BK48</f>
        <v>0</v>
      </c>
      <c r="BM48" s="5">
        <f>MAX(ABS(CG48),ABS(DI48),ABS(EK48),ABS(FM48),ABS(GO48),ABS(HQ48),ABS(IS48),ABS(JU48),ABS(KW48),ABS(LY48))</f>
        <v>2.7376104855258987e-17</v>
      </c>
      <c r="BN48" s="9">
        <f>COUNTA(BO48,CQ48,DS48,EU48,FW48,GY48,IA48,JC48,KE48,LG48)</f>
        <v>4</v>
      </c>
      <c r="BO48" t="inlineStr">
        <is>
          <t xml:space="preserve">Treasury collateral</t>
        </is>
      </c>
      <c r="BP48" t="inlineStr">
        <is>
          <t xml:space="preserve">treasury</t>
        </is>
      </c>
      <c r="BQ48" t="inlineStr">
        <is>
          <t xml:space="preserve">lease</t>
        </is>
      </c>
      <c r="BR48" t="inlineStr">
        <is>
          <t xml:space="preserve">long</t>
        </is>
      </c>
      <c r="BS48"/>
      <c r="BT48" s="4">
        <v>101.14734621472492</v>
      </c>
      <c r="BU48" s="4">
        <v>101.16400088734822</v>
      </c>
      <c r="BV48" s="6"/>
      <c r="BW48" s="4">
        <v>0.011481078360238832</v>
      </c>
      <c r="BX48" s="5">
        <f>IF(BP48="direct",IFERROR(CD48/BU48,0),0)</f>
        <v>0</v>
      </c>
      <c r="BY48" s="5">
        <f>IF(BP48="direct",BW48-BX48,IF(BP48="cash",CI48,BW48))</f>
        <v>0.011481078360238832</v>
      </c>
      <c r="BZ48" s="6">
        <v>1</v>
      </c>
      <c r="CA48" s="4">
        <v>1.1612806078214635</v>
      </c>
      <c r="CB48" s="4">
        <v>1.1612806078214635</v>
      </c>
      <c r="CC48" s="5">
        <f>IF(BP48="direct",BW48*(BU48-BT48),CF48)</f>
        <v>0.00019121360145227384</v>
      </c>
      <c r="CD48" s="5">
        <f>IF(BP48="direct",CB48*BV48*C48/365,0)</f>
        <v>0</v>
      </c>
      <c r="CE48" s="5">
        <f>CC48-CD48</f>
        <v>0.00019121360145224646</v>
      </c>
      <c r="CF48" s="4">
        <v>0.00019121360145224646</v>
      </c>
      <c r="CG48" s="5">
        <f>CF48-CE48</f>
        <v>-2.7376104855258987e-17</v>
      </c>
      <c r="CH48" s="4">
        <v>-1.1272992088418032e-16</v>
      </c>
      <c r="CI48" s="4">
        <v>1.1614718214229156</v>
      </c>
      <c r="CJ48" s="4">
        <v>1.879</v>
      </c>
      <c r="CK48" s="4">
        <v>1.833</v>
      </c>
      <c r="CL48" s="6"/>
      <c r="CM48" s="6"/>
      <c r="CN48" s="6"/>
      <c r="CO48" s="9">
        <v>16</v>
      </c>
      <c r="CP48" s="7">
        <f>IFERROR(CE48/F48,0)</f>
        <v>0.00016465753424657536</v>
      </c>
      <c r="CQ48" t="inlineStr">
        <is>
          <t xml:space="preserve">SI69H</t>
        </is>
      </c>
      <c r="CR48" t="inlineStr">
        <is>
          <t xml:space="preserve">future</t>
        </is>
      </c>
      <c r="CS48" t="inlineStr">
        <is>
          <t xml:space="preserve">lease</t>
        </is>
      </c>
      <c r="CT48" t="inlineStr">
        <is>
          <t xml:space="preserve">long</t>
        </is>
      </c>
      <c r="CU48" t="inlineStr">
        <is>
          <t xml:space="preserve">regular</t>
        </is>
      </c>
      <c r="CV48" s="4">
        <v>1.815</v>
      </c>
      <c r="CW48" s="4">
        <v>1.8319999999999999</v>
      </c>
      <c r="CX48" s="6"/>
      <c r="CY48" s="4">
        <v>0.6398240263479138</v>
      </c>
      <c r="CZ48" s="5">
        <f>IF(CR48="direct",IFERROR(DF48/CW48,0),0)</f>
        <v>0</v>
      </c>
      <c r="DA48" s="5">
        <f>IF(CR48="direct",CY48-CZ48,IF(CR48="cash",DK48,CY48))</f>
        <v>0.6398240263479138</v>
      </c>
      <c r="DB48" s="6">
        <v>1</v>
      </c>
      <c r="DC48" s="4">
        <v>1.1612806078214635</v>
      </c>
      <c r="DD48" s="4">
        <v>0</v>
      </c>
      <c r="DE48" s="5">
        <f>IF(CR48="direct",CY48*(CW48-CV48),DH48)</f>
        <v>0.010877008447914463</v>
      </c>
      <c r="DF48" s="5">
        <f>IF(CR48="direct",DD48*CX48*C48/365,0)</f>
        <v>0</v>
      </c>
      <c r="DG48" s="5">
        <f>DE48-DF48</f>
        <v>0.010877008447914463</v>
      </c>
      <c r="DH48" s="4">
        <v>0.010877008447914463</v>
      </c>
      <c r="DI48" s="5">
        <f>DH48-DG48</f>
        <v>0</v>
      </c>
      <c r="DJ48" s="4">
        <v>-0.010877008447914463</v>
      </c>
      <c r="DK48" s="4">
        <v>0</v>
      </c>
      <c r="DL48" s="4">
        <v>1.879</v>
      </c>
      <c r="DM48" s="4">
        <v>1.833</v>
      </c>
      <c r="DN48" s="6">
        <v>-0.034060670569451834</v>
      </c>
      <c r="DO48" s="6">
        <v>0.0601</v>
      </c>
      <c r="DP48" s="6">
        <v>0.83710904736562</v>
      </c>
      <c r="DQ48" s="9">
        <v>16</v>
      </c>
      <c r="DR48" s="7">
        <f>IFERROR(DG48/F48,0)</f>
        <v>0.009366391184572942</v>
      </c>
      <c r="DS48" t="inlineStr">
        <is>
          <t xml:space="preserve">Lease cash / margin / financing</t>
        </is>
      </c>
      <c r="DT48" t="inlineStr">
        <is>
          <t xml:space="preserve">cash</t>
        </is>
      </c>
      <c r="DU48" t="inlineStr">
        <is>
          <t xml:space="preserve">lease</t>
        </is>
      </c>
      <c r="DV48" t="inlineStr">
        <is>
          <t xml:space="preserve">cash</t>
        </is>
      </c>
      <c r="DW48"/>
      <c r="DX48" s="4">
        <v>1</v>
      </c>
      <c r="DY48" s="4">
        <v>1</v>
      </c>
      <c r="DZ48" s="6"/>
      <c r="EA48" s="4">
        <v>-2.220446049250313e-16</v>
      </c>
      <c r="EB48" s="5">
        <f>IF(DT48="direct",IFERROR(EH48/DY48,0),0)</f>
        <v>0</v>
      </c>
      <c r="EC48" s="5">
        <f>IF(DT48="direct",EA48-EB48,IF(DT48="cash",EM48,EA48))</f>
        <v>0.010877008447914354</v>
      </c>
      <c r="ED48" s="6"/>
      <c r="EE48" s="4">
        <v>-2.220446049250313e-16</v>
      </c>
      <c r="EF48" s="4">
        <v>-2.220446049250313e-16</v>
      </c>
      <c r="EG48" s="5">
        <f>IF(DT48="direct",EA48*(DY48-DX48),EJ48)</f>
        <v>0</v>
      </c>
      <c r="EH48" s="5">
        <f>IF(DT48="direct",EF48*DZ48*C48/365,0)</f>
        <v>0</v>
      </c>
      <c r="EI48" s="5">
        <f>EG48-EH48</f>
        <v>0</v>
      </c>
      <c r="EJ48" s="4">
        <v>0</v>
      </c>
      <c r="EK48" s="5">
        <f>EJ48-EI48</f>
        <v>0</v>
      </c>
      <c r="EL48" s="4">
        <v>0.010877008447914576</v>
      </c>
      <c r="EM48" s="4">
        <v>0.010877008447914354</v>
      </c>
      <c r="EN48" s="4">
        <v>1.879</v>
      </c>
      <c r="EO48" s="4">
        <v>1.833</v>
      </c>
      <c r="EP48" s="6"/>
      <c r="EQ48" s="6"/>
      <c r="ER48" s="6"/>
      <c r="ES48" s="9"/>
      <c r="ET48" s="7">
        <f>IFERROR(EI48/F48,0)</f>
        <v>0</v>
      </c>
      <c r="EU48" t="inlineStr">
        <is>
          <t xml:space="preserve">Keep cash / margin / financing</t>
        </is>
      </c>
      <c r="EV48" t="inlineStr">
        <is>
          <t xml:space="preserve">cash</t>
        </is>
      </c>
      <c r="EW48" t="inlineStr">
        <is>
          <t xml:space="preserve">keep</t>
        </is>
      </c>
      <c r="EX48" t="inlineStr">
        <is>
          <t xml:space="preserve">cash</t>
        </is>
      </c>
      <c r="EY48"/>
      <c r="EZ48" s="4">
        <v>1</v>
      </c>
      <c r="FA48" s="4">
        <v>1</v>
      </c>
      <c r="FB48" s="6"/>
      <c r="FC48" s="4">
        <v>0</v>
      </c>
      <c r="FD48" s="5">
        <f>IF(EV48="direct",IFERROR(FJ48/FA48,0),0)</f>
        <v>0</v>
      </c>
      <c r="FE48" s="5">
        <f>IF(EV48="direct",FC48-FD48,IF(EV48="cash",FO48,FC48))</f>
        <v>0</v>
      </c>
      <c r="FF48" s="6"/>
      <c r="FG48" s="4">
        <v>0</v>
      </c>
      <c r="FH48" s="4">
        <v>0</v>
      </c>
      <c r="FI48" s="5">
        <f>IF(EV48="direct",FC48*(FA48-EZ48),FL48)</f>
        <v>0</v>
      </c>
      <c r="FJ48" s="5">
        <f>IF(EV48="direct",FH48*FB48*C48/365,0)</f>
        <v>0</v>
      </c>
      <c r="FK48" s="5">
        <f>FI48-FJ48</f>
        <v>0</v>
      </c>
      <c r="FL48" s="4">
        <v>0</v>
      </c>
      <c r="FM48" s="5">
        <f>FL48-FK48</f>
        <v>0</v>
      </c>
      <c r="FN48" s="4">
        <v>0</v>
      </c>
      <c r="FO48" s="4">
        <v>0</v>
      </c>
      <c r="FP48" s="4">
        <v>1.879</v>
      </c>
      <c r="FQ48" s="4">
        <v>1.833</v>
      </c>
      <c r="FR48" s="6"/>
      <c r="FS48" s="6"/>
      <c r="FT48" s="6"/>
      <c r="FU48" s="9"/>
      <c r="FV48" s="7">
        <f>IFERROR(FK48/F48,0)</f>
        <v>0</v>
      </c>
      <c r="FW48"/>
      <c r="FX48"/>
      <c r="FY48"/>
      <c r="FZ48"/>
      <c r="GA48"/>
      <c r="GB48" s="4"/>
      <c r="GC48" s="4"/>
      <c r="GD48" s="6"/>
      <c r="GE48" s="4"/>
      <c r="GF48" s="5">
        <v>0</v>
      </c>
      <c r="GG48" s="5"/>
      <c r="GH48" s="6"/>
      <c r="GI48" s="4"/>
      <c r="GJ48" s="4"/>
      <c r="GK48" s="5">
        <v>0</v>
      </c>
      <c r="GL48" s="5">
        <v>0</v>
      </c>
      <c r="GM48" s="5"/>
      <c r="GN48" s="4"/>
      <c r="GO48" s="5">
        <v>0</v>
      </c>
      <c r="GP48" s="4"/>
      <c r="GQ48" s="4"/>
      <c r="GR48" s="4"/>
      <c r="GS48" s="4"/>
      <c r="GT48" s="6"/>
      <c r="GU48" s="6"/>
      <c r="GV48" s="6"/>
      <c r="GW48" s="9"/>
      <c r="GX48"/>
      <c r="GY48"/>
      <c r="GZ48"/>
      <c r="HA48"/>
      <c r="HB48"/>
      <c r="HC48"/>
      <c r="HD48" s="4"/>
      <c r="HE48" s="4"/>
      <c r="HF48" s="6"/>
      <c r="HG48" s="4"/>
      <c r="HH48" s="5">
        <v>0</v>
      </c>
      <c r="HI48" s="5"/>
      <c r="HJ48" s="6"/>
      <c r="HK48" s="4"/>
      <c r="HL48" s="4"/>
      <c r="HM48" s="5">
        <v>0</v>
      </c>
      <c r="HN48" s="5">
        <v>0</v>
      </c>
      <c r="HO48" s="5"/>
      <c r="HP48" s="4"/>
      <c r="HQ48" s="5">
        <v>0</v>
      </c>
      <c r="HR48" s="4"/>
      <c r="HS48" s="4"/>
      <c r="HT48" s="4"/>
      <c r="HU48" s="4"/>
      <c r="HV48" s="6"/>
      <c r="HW48" s="6"/>
      <c r="HX48" s="6"/>
      <c r="HY48" s="9"/>
      <c r="HZ48"/>
      <c r="IA48"/>
      <c r="IB48"/>
      <c r="IC48"/>
      <c r="ID48"/>
      <c r="IE48"/>
      <c r="IF48" s="4"/>
      <c r="IG48" s="4"/>
      <c r="IH48" s="6"/>
      <c r="II48" s="4"/>
      <c r="IJ48" s="5">
        <v>0</v>
      </c>
      <c r="IK48" s="5"/>
      <c r="IL48" s="6"/>
      <c r="IM48" s="4"/>
      <c r="IN48" s="4"/>
      <c r="IO48" s="5">
        <v>0</v>
      </c>
      <c r="IP48" s="5">
        <v>0</v>
      </c>
      <c r="IQ48" s="5"/>
      <c r="IR48" s="4"/>
      <c r="IS48" s="5">
        <v>0</v>
      </c>
      <c r="IT48" s="4"/>
      <c r="IU48" s="4"/>
      <c r="IV48" s="4"/>
      <c r="IW48" s="4"/>
      <c r="IX48" s="6"/>
      <c r="IY48" s="6"/>
      <c r="IZ48" s="6"/>
      <c r="JA48" s="9"/>
      <c r="JB48"/>
      <c r="JC48"/>
      <c r="JD48"/>
      <c r="JE48"/>
      <c r="JF48"/>
      <c r="JG48"/>
      <c r="JH48" s="4"/>
      <c r="JI48" s="4"/>
      <c r="JJ48" s="6"/>
      <c r="JK48" s="4"/>
      <c r="JL48" s="5">
        <v>0</v>
      </c>
      <c r="JM48" s="5"/>
      <c r="JN48" s="6"/>
      <c r="JO48" s="4"/>
      <c r="JP48" s="4"/>
      <c r="JQ48" s="5">
        <v>0</v>
      </c>
      <c r="JR48" s="5">
        <v>0</v>
      </c>
      <c r="JS48" s="5"/>
      <c r="JT48" s="4"/>
      <c r="JU48" s="5">
        <v>0</v>
      </c>
      <c r="JV48" s="4"/>
      <c r="JW48" s="4"/>
      <c r="JX48" s="4"/>
      <c r="JY48" s="4"/>
      <c r="JZ48" s="6"/>
      <c r="KA48" s="6"/>
      <c r="KB48" s="6"/>
      <c r="KC48" s="9"/>
      <c r="KD48"/>
      <c r="KE48"/>
      <c r="KF48"/>
      <c r="KG48"/>
      <c r="KH48"/>
      <c r="KI48"/>
      <c r="KJ48" s="4"/>
      <c r="KK48" s="4"/>
      <c r="KL48" s="6"/>
      <c r="KM48" s="4"/>
      <c r="KN48" s="5">
        <v>0</v>
      </c>
      <c r="KO48" s="5"/>
      <c r="KP48" s="6"/>
      <c r="KQ48" s="4"/>
      <c r="KR48" s="4"/>
      <c r="KS48" s="5">
        <v>0</v>
      </c>
      <c r="KT48" s="5">
        <v>0</v>
      </c>
      <c r="KU48" s="5"/>
      <c r="KV48" s="4"/>
      <c r="KW48" s="5">
        <v>0</v>
      </c>
      <c r="KX48" s="4"/>
      <c r="KY48" s="4"/>
      <c r="KZ48" s="4"/>
      <c r="LA48" s="4"/>
      <c r="LB48" s="6"/>
      <c r="LC48" s="6"/>
      <c r="LD48" s="6"/>
      <c r="LE48" s="9"/>
      <c r="LF48"/>
      <c r="LG48"/>
      <c r="LH48"/>
      <c r="LI48"/>
      <c r="LJ48"/>
      <c r="LK48"/>
      <c r="LL48" s="4"/>
      <c r="LM48" s="4"/>
      <c r="LN48" s="6"/>
      <c r="LO48" s="4"/>
      <c r="LP48" s="5">
        <v>0</v>
      </c>
      <c r="LQ48" s="5"/>
      <c r="LR48" s="6"/>
      <c r="LS48" s="4"/>
      <c r="LT48" s="4"/>
      <c r="LU48" s="5">
        <v>0</v>
      </c>
      <c r="LV48" s="5">
        <v>0</v>
      </c>
      <c r="LW48" s="5"/>
      <c r="LX48" s="4"/>
      <c r="LY48" s="5">
        <v>0</v>
      </c>
      <c r="LZ48" s="4"/>
      <c r="MA48" s="4"/>
      <c r="MB48" s="4"/>
      <c r="MC48" s="4"/>
      <c r="MD48" s="6"/>
      <c r="ME48" s="6"/>
      <c r="MF48" s="6"/>
      <c r="MG48" s="9"/>
      <c r="MH48"/>
    </row>
    <row r="49">
      <c r="A49" s="8">
        <v>25274</v>
      </c>
      <c r="B49" s="8">
        <v>25275</v>
      </c>
      <c r="C49" s="9">
        <f>B49-A49</f>
        <v>1</v>
      </c>
      <c r="D49" s="8">
        <v>25274</v>
      </c>
      <c r="E49" t="inlineStr">
        <is>
          <t xml:space="preserve">positive</t>
        </is>
      </c>
      <c r="F49" s="4">
        <v>1.1723488298708302</v>
      </c>
      <c r="G49" s="6">
        <v>0.00084173141302739</v>
      </c>
      <c r="H49" s="7">
        <f>SUM(CP49,DR49,ET49,FV49,GX49,HZ49,JB49,KD49,LF49,MH49)</f>
        <v>0.0008417314130273914</v>
      </c>
      <c r="I49" s="7">
        <f>G49-H49</f>
        <v>-1.4094628242311558e-18</v>
      </c>
      <c r="J49" s="5">
        <f>F49*(1+H49)</f>
        <v>1.1733356327079583</v>
      </c>
      <c r="K49" s="4">
        <v>1.1733356327079583</v>
      </c>
      <c r="L49" s="5">
        <f>K49-J49</f>
        <v>0</v>
      </c>
      <c r="M49" s="4">
        <v>1.833</v>
      </c>
      <c r="N49" s="4">
        <v>1.871</v>
      </c>
      <c r="O49" s="5">
        <f>M49/$M$3</f>
        <v>0.9361593462717058</v>
      </c>
      <c r="P49" s="5">
        <f>N49/$M$3</f>
        <v>0.9555669050051072</v>
      </c>
      <c r="Q49" s="7">
        <f>IFERROR(N49/M49-1,0)</f>
        <v>0.020731042007637868</v>
      </c>
      <c r="R49" s="5">
        <f>SUM(IF(BQ49="lease",CB49,0),IF(CS49="lease",DD49,0),IF(DU49="lease",EF49,0),IF(EW49="lease",FH49,0),IF(FY49="lease",GJ49,0),IF(HA49="lease",HL49,0),IF(IC49="lease",IN49,0),IF(JE49="lease",JP49,0),IF(KG49="lease",KR49,0),IF(LI49="lease",LT49,0))</f>
        <v>1.17234882987083</v>
      </c>
      <c r="S49" s="5">
        <f>SUM(IF(BQ49="lease",CI49,0),IF(CS49="lease",DK49,0),IF(DU49="lease",EM49,0),IF(EW49="lease",FO49,0),IF(FY49="lease",GQ49,0),IF(HA49="lease",HS49,0),IF(IC49="lease",IU49,0),IF(JE49="lease",JW49,0),IF(KG49="lease",KY49,0),IF(LI49="lease",MA49,0))</f>
        <v>1.1733356327079583</v>
      </c>
      <c r="T49" s="5">
        <f>SUM(IF(BQ49="keep",CB49,0),IF(CS49="keep",DD49,0),IF(DU49="keep",EF49,0),IF(EW49="keep",FH49,0),IF(FY49="keep",GJ49,0),IF(HA49="keep",HL49,0),IF(IC49="keep",IN49,0),IF(JE49="keep",JP49,0),IF(KG49="keep",KR49,0),IF(LI49="keep",LT49,0))</f>
        <v>0</v>
      </c>
      <c r="U49" s="5">
        <f>SUM(IF(BQ49="keep",CI49,0),IF(CS49="keep",DK49,0),IF(DU49="keep",EM49,0),IF(EW49="keep",FO49,0),IF(FY49="keep",GQ49,0),IF(HA49="keep",HS49,0),IF(IC49="keep",IU49,0),IF(JE49="keep",JW49,0),IF(KG49="keep",KY49,0),IF(LI49="keep",MA49,0))</f>
        <v>0</v>
      </c>
      <c r="V49" s="5">
        <f>R49/O49</f>
        <v>1.2522962405275968</v>
      </c>
      <c r="W49" s="5">
        <f>S49/P49</f>
        <v>1.2278947989535982</v>
      </c>
      <c r="X49" s="5">
        <f>T49/O49</f>
        <v>0</v>
      </c>
      <c r="Y49" s="5">
        <f>U49/P49</f>
        <v>0</v>
      </c>
      <c r="Z49" s="5">
        <f>V49+X49</f>
        <v>1.2522962405275968</v>
      </c>
      <c r="AA49" s="7">
        <f>IFERROR(W49/V49-1,0)</f>
        <v>-0.01948535880273683</v>
      </c>
      <c r="AB49" s="7">
        <f>IFERROR((W49-V49)/Z49,0)</f>
        <v>-0.019485358802736788</v>
      </c>
      <c r="AC49" s="7">
        <f>IFERROR(Y49/X49-1,0)</f>
        <v>0</v>
      </c>
      <c r="AD49" s="7">
        <f>IFERROR((Y49-X49)/Z49,0)</f>
        <v>0</v>
      </c>
      <c r="AE49" s="7">
        <f>AB49+AD49</f>
        <v>-0.019485358802736788</v>
      </c>
      <c r="AF49" s="7">
        <f>(1+Q49)*(1+AE49)-1</f>
        <v>0.0008417314130275688</v>
      </c>
      <c r="AG49" s="7">
        <f>G49-AF49</f>
        <v>-1.7878493824285968e-16</v>
      </c>
      <c r="AH49" s="5">
        <f>SUM(IF(BQ49="lease",CE49,0),IF(CS49="lease",DG49,0),IF(DU49="lease",EI49,0),IF(EW49="lease",FK49,0),IF(FY49="lease",GM49,0),IF(HA49="lease",HO49,0),IF(IC49="lease",IQ49,0),IF(JE49="lease",JS49,0),IF(KG49="lease",KU49,0),IF(LI49="lease",LW49,0))</f>
        <v>0.000986802837128183</v>
      </c>
      <c r="AI49" s="5">
        <f>SUM(IF(BQ49="keep",CE49,0),IF(CS49="keep",DG49,0),IF(DU49="keep",EI49,0),IF(EW49="keep",FK49,0),IF(FY49="keep",GM49,0),IF(HA49="keep",HO49,0),IF(IC49="keep",IQ49,0),IF(JE49="keep",JS49,0),IF(KG49="keep",KU49,0),IF(LI49="keep",LW49,0))</f>
        <v>0</v>
      </c>
      <c r="AJ49" s="5">
        <f>SUM(IF(BQ49="lease",CH49,0),IF(CS49="lease",DJ49,0),IF(DU49="lease",EL49,0),IF(EW49="lease",FN49,0),IF(FY49="lease",GP49,0),IF(HA49="lease",HR49,0),IF(IC49="lease",IT49,0),IF(JE49="lease",JV49,0),IF(KG49="lease",KX49,0),IF(LI49="lease",LZ49,0))</f>
        <v>0</v>
      </c>
      <c r="AK49" s="5">
        <f>SUM(IF(BQ49="keep",CH49,0),IF(CS49="keep",DJ49,0),IF(DU49="keep",EL49,0),IF(EW49="keep",FN49,0),IF(FY49="keep",GP49,0),IF(HA49="keep",HR49,0),IF(IC49="keep",IT49,0),IF(JE49="keep",JV49,0),IF(KG49="keep",KX49,0),IF(LI49="keep",LZ49,0))</f>
        <v>0</v>
      </c>
      <c r="AL49" s="5">
        <f>R49-S48</f>
        <v>0</v>
      </c>
      <c r="AM49" s="5">
        <f>T49-U48</f>
        <v>0</v>
      </c>
      <c r="AN49" s="5">
        <f>AN48</f>
        <v>1</v>
      </c>
      <c r="AO49" s="5">
        <f>AO48+AH49</f>
        <v>0.17333563270795865</v>
      </c>
      <c r="AP49" s="5">
        <f>AP48+AL49</f>
        <v>-6.661338147750939e-16</v>
      </c>
      <c r="AQ49" s="5">
        <f>AN49+AO49+AP49</f>
        <v>1.173335632707958</v>
      </c>
      <c r="AR49" s="5">
        <f>S49-AQ49</f>
        <v>2.220446049250313e-16</v>
      </c>
      <c r="AS49" s="5">
        <f>AS48</f>
        <v>0</v>
      </c>
      <c r="AT49" s="5">
        <f>AT48+AI49</f>
        <v>0</v>
      </c>
      <c r="AU49" s="5">
        <f>AU48+AM49</f>
        <v>0</v>
      </c>
      <c r="AV49" s="5">
        <f>AS49+AT49+AU49</f>
        <v>0</v>
      </c>
      <c r="AW49" s="5">
        <f>U49-AV49</f>
        <v>0</v>
      </c>
      <c r="AX49" s="4">
        <v>1.17234882987083</v>
      </c>
      <c r="AY49" s="4">
        <v>1.1733356327079583</v>
      </c>
      <c r="AZ49" s="5">
        <f>S49-AY49</f>
        <v>0</v>
      </c>
      <c r="BA49" s="4">
        <v>0</v>
      </c>
      <c r="BB49" s="4">
        <v>0</v>
      </c>
      <c r="BC49" s="5">
        <f>U49-BB49</f>
        <v>0</v>
      </c>
      <c r="BD49" s="7">
        <f>SUM(IF(BP49="direct",CC49/F49,0),IF(CR49="direct",DE49/F49,0),IF(DT49="direct",EG49/F49,0),IF(EV49="direct",FI49/F49,0),IF(FX49="direct",GK49/F49,0),IF(GZ49="direct",HM49/F49,0),IF(IB49="direct",IO49/F49,0),IF(JD49="direct",JQ49/F49,0),IF(KF49="direct",KS49/F49,0),IF(LH49="direct",LU49/F49,0))</f>
        <v>0.010617729203421687</v>
      </c>
      <c r="BE49" s="7">
        <f>-SUM(IF(BP49="direct",CD49/F49,0),IF(CR49="direct",DF49/F49,0),IF(DT49="direct",EH49/F49,0),IF(EV49="direct",FJ49/F49,0),IF(FX49="direct",GL49/F49,0),IF(GZ49="direct",HN49/F49,0),IF(IB49="direct",IP49/F49,0),IF(JD49="direct",JR49/F49,0),IF(KF49="direct",KT49/F49,0),IF(LH49="direct",LV49/F49,0))</f>
        <v>-0.000003507984432204746</v>
      </c>
      <c r="BF49" s="7">
        <f>BD49+BE49</f>
        <v>0.010614221218989483</v>
      </c>
      <c r="BG49" s="7">
        <f>BF49-SUM(IF(BP49="direct",CP49,0),IF(CR49="direct",DR49,0),IF(DT49="direct",ET49,0),IF(EV49="direct",FV49,0),IF(FX49="direct",GX49,0),IF(GZ49="direct",HZ49,0),IF(IB49="direct",JB49,0),IF(JD49="direct",KD49,0),IF(KF49="direct",LF49,0),IF(LH49="direct",MH49,0))</f>
        <v>-4.85722573273506e-17</v>
      </c>
      <c r="BH49" s="7">
        <f>SUM(IF(BP49="treasury",CP49,0),IF(CR49="treasury",DR49,0),IF(DT49="treasury",ET49,0),IF(EV49="treasury",FV49,0),IF(FX49="treasury",GX49,0),IF(GZ49="treasury",HZ49,0),IF(IB49="treasury",JB49,0),IF(JD49="treasury",KD49,0),IF(KF49="treasury",LF49,0),IF(LH49="treasury",MH49,0))</f>
        <v>0.00008005828204547017</v>
      </c>
      <c r="BI49" s="7">
        <f>SUM(IF(BP49="future",CP49,0),IF(CR49="future",DR49,0),IF(DT49="future",ET49,0),IF(EV49="future",FV49,0),IF(FX49="future",GX49,0),IF(GZ49="future",HZ49,0),IF(IB49="future",JB49,0),IF(JD49="future",KD49,0),IF(KF49="future",LF49,0),IF(LH49="future",MH49,0))</f>
        <v>-0.009852548088007609</v>
      </c>
      <c r="BJ49" s="7">
        <f>SUM(IF(BP49="cash",CP49,0),IF(CR49="cash",DR49,0),IF(DT49="cash",ET49,0),IF(EV49="cash",FV49,0),IF(FX49="cash",GX49,0),IF(GZ49="cash",HZ49,0),IF(IB49="cash",JB49,0),IF(JD49="cash",KD49,0),IF(KF49="cash",LF49,0),IF(LH49="cash",MH49,0))</f>
        <v>0</v>
      </c>
      <c r="BK49" s="7">
        <f>SUM(BF49,BH49,BI49,BJ49)</f>
        <v>0.0008417314130273919</v>
      </c>
      <c r="BL49" s="7">
        <f>G49-BK49</f>
        <v>-1.8431436932253575e-18</v>
      </c>
      <c r="BM49" s="5">
        <f>MAX(ABS(CG49),ABS(DI49),ABS(EK49),ABS(FM49),ABS(GO49),ABS(HQ49),ABS(IS49),ABS(JU49),ABS(KW49),ABS(LY49))</f>
        <v>5.805055600712622e-17</v>
      </c>
      <c r="BN49" s="9">
        <f>COUNTA(BO49,CQ49,DS49,EU49,FW49,GY49,IA49,JC49,KE49,LG49)</f>
        <v>5</v>
      </c>
      <c r="BO49" t="inlineStr">
        <is>
          <t xml:space="preserve">Direct commodity holding</t>
        </is>
      </c>
      <c r="BP49" t="inlineStr">
        <is>
          <t xml:space="preserve">direct</t>
        </is>
      </c>
      <c r="BQ49" t="inlineStr">
        <is>
          <t xml:space="preserve">lease</t>
        </is>
      </c>
      <c r="BR49" t="inlineStr">
        <is>
          <t xml:space="preserve">long</t>
        </is>
      </c>
      <c r="BS49"/>
      <c r="BT49" s="4">
        <v>1.833</v>
      </c>
      <c r="BU49" s="4">
        <v>1.871</v>
      </c>
      <c r="BV49" s="6">
        <v>0.0025</v>
      </c>
      <c r="BW49" s="4">
        <v>0.3275705896714933</v>
      </c>
      <c r="BX49" s="5">
        <f>IF(BP49="direct",IFERROR(CD49/BU49,0),0)</f>
        <v>0.0000021980659777126257</v>
      </c>
      <c r="BY49" s="5">
        <f>IF(BP49="direct",BW49-BX49,IF(BP49="cash",CI49,BW49))</f>
        <v>0.32756839160551554</v>
      </c>
      <c r="BZ49" s="6">
        <v>0.5121657271018929</v>
      </c>
      <c r="CA49" s="4">
        <v>0.6004368908678471</v>
      </c>
      <c r="CB49" s="4">
        <v>0.6004368908678471</v>
      </c>
      <c r="CC49" s="5">
        <f>IF(BP49="direct",BW49*(BU49-BT49),CF49)</f>
        <v>0.012447682407516756</v>
      </c>
      <c r="CD49" s="5">
        <f>IF(BP49="direct",CB49*BV49*C49/365,0)</f>
        <v>0.0000041125814443003226</v>
      </c>
      <c r="CE49" s="5">
        <f>CC49-CD49</f>
        <v>0.012443569826072514</v>
      </c>
      <c r="CF49" s="4">
        <v>0.012443569826072514</v>
      </c>
      <c r="CG49" s="5">
        <f>CF49-CE49</f>
        <v>5.805055600712622e-17</v>
      </c>
      <c r="CH49" s="4">
        <v>0</v>
      </c>
      <c r="CI49" s="4">
        <v>0.6128804606939195</v>
      </c>
      <c r="CJ49" s="4">
        <v>1.833</v>
      </c>
      <c r="CK49" s="4">
        <v>1.871</v>
      </c>
      <c r="CL49" s="6"/>
      <c r="CM49" s="6"/>
      <c r="CN49" s="6"/>
      <c r="CO49" s="9"/>
      <c r="CP49" s="7">
        <f>IFERROR(CE49/F49,0)</f>
        <v>0.010614221218989531</v>
      </c>
      <c r="CQ49" t="inlineStr">
        <is>
          <t xml:space="preserve">Treasury collateral</t>
        </is>
      </c>
      <c r="CR49" t="inlineStr">
        <is>
          <t xml:space="preserve">treasury</t>
        </is>
      </c>
      <c r="CS49" t="inlineStr">
        <is>
          <t xml:space="preserve">lease</t>
        </is>
      </c>
      <c r="CT49" t="inlineStr">
        <is>
          <t xml:space="preserve">long</t>
        </is>
      </c>
      <c r="CU49"/>
      <c r="CV49" s="4">
        <v>101.16400088734822</v>
      </c>
      <c r="CW49" s="4">
        <v>101.1806028699596</v>
      </c>
      <c r="CX49" s="6"/>
      <c r="CY49" s="4">
        <v>0.00565331475610419</v>
      </c>
      <c r="CZ49" s="5">
        <f>IF(CR49="direct",IFERROR(DF49/CW49,0),0)</f>
        <v>0</v>
      </c>
      <c r="DA49" s="5">
        <f>IF(CR49="direct",CY49-CZ49,IF(CR49="cash",DK49,CY49))</f>
        <v>0.00565331475610419</v>
      </c>
      <c r="DB49" s="6">
        <v>0.48783427289810705</v>
      </c>
      <c r="DC49" s="4">
        <v>0.5719119390029831</v>
      </c>
      <c r="DD49" s="4">
        <v>0.5719119390029831</v>
      </c>
      <c r="DE49" s="5">
        <f>IF(CR49="direct",CY49*(CW49-CV49),DH49)</f>
        <v>0.00009385623327748163</v>
      </c>
      <c r="DF49" s="5">
        <f>IF(CR49="direct",DD49*CX49*C49/365,0)</f>
        <v>0</v>
      </c>
      <c r="DG49" s="5">
        <f>DE49-DF49</f>
        <v>0.00009385623327747586</v>
      </c>
      <c r="DH49" s="4">
        <v>0.00009385623327747586</v>
      </c>
      <c r="DI49" s="5">
        <f>DH49-DG49</f>
        <v>-5.773376568485311e-18</v>
      </c>
      <c r="DJ49" s="4">
        <v>3.583288180064592e-17</v>
      </c>
      <c r="DK49" s="4">
        <v>0.5720057952362606</v>
      </c>
      <c r="DL49" s="4">
        <v>1.833</v>
      </c>
      <c r="DM49" s="4">
        <v>1.871</v>
      </c>
      <c r="DN49" s="6"/>
      <c r="DO49" s="6"/>
      <c r="DP49" s="6"/>
      <c r="DQ49" s="9">
        <v>15</v>
      </c>
      <c r="DR49" s="7">
        <f>IFERROR(DG49/F49,0)</f>
        <v>0.00008005828204547017</v>
      </c>
      <c r="DS49" t="inlineStr">
        <is>
          <t xml:space="preserve">SI69H</t>
        </is>
      </c>
      <c r="DT49" t="inlineStr">
        <is>
          <t xml:space="preserve">future</t>
        </is>
      </c>
      <c r="DU49" t="inlineStr">
        <is>
          <t xml:space="preserve">lease</t>
        </is>
      </c>
      <c r="DV49" t="inlineStr">
        <is>
          <t xml:space="preserve">long</t>
        </is>
      </c>
      <c r="DW49" t="inlineStr">
        <is>
          <t xml:space="preserve">regular</t>
        </is>
      </c>
      <c r="DX49" s="4">
        <v>1.8319999999999999</v>
      </c>
      <c r="DY49" s="4">
        <v>1.795</v>
      </c>
      <c r="DZ49" s="6"/>
      <c r="EA49" s="4">
        <v>0.3121790060059952</v>
      </c>
      <c r="EB49" s="5">
        <f>IF(DT49="direct",IFERROR(EH49/DY49,0),0)</f>
        <v>0</v>
      </c>
      <c r="EC49" s="5">
        <f>IF(DT49="direct",EA49-EB49,IF(DT49="cash",EM49,EA49))</f>
        <v>0.3121790060059952</v>
      </c>
      <c r="ED49" s="6">
        <v>0.48783427289810705</v>
      </c>
      <c r="EE49" s="4">
        <v>0.5719119390029831</v>
      </c>
      <c r="EF49" s="4">
        <v>0</v>
      </c>
      <c r="EG49" s="5">
        <f>IF(DT49="direct",EA49*(DY49-DX49),EJ49)</f>
        <v>-0.011550623222221806</v>
      </c>
      <c r="EH49" s="5">
        <f>IF(DT49="direct",EF49*DZ49*C49/365,0)</f>
        <v>0</v>
      </c>
      <c r="EI49" s="5">
        <f>EG49-EH49</f>
        <v>-0.011550623222221806</v>
      </c>
      <c r="EJ49" s="4">
        <v>-0.011550623222221806</v>
      </c>
      <c r="EK49" s="5">
        <f>EJ49-EI49</f>
        <v>0</v>
      </c>
      <c r="EL49" s="4">
        <v>0.011550623222221806</v>
      </c>
      <c r="EM49" s="4">
        <v>0</v>
      </c>
      <c r="EN49" s="4">
        <v>1.833</v>
      </c>
      <c r="EO49" s="4">
        <v>1.871</v>
      </c>
      <c r="EP49" s="6">
        <v>-0.0005455537370431252</v>
      </c>
      <c r="EQ49" s="6">
        <v>0.0599</v>
      </c>
      <c r="ER49" s="6">
        <v>0.07317514093471605</v>
      </c>
      <c r="ES49" s="9">
        <v>15</v>
      </c>
      <c r="ET49" s="7">
        <f>IFERROR(EI49/F49,0)</f>
        <v>-0.009852548088007609</v>
      </c>
      <c r="EU49" t="inlineStr">
        <is>
          <t xml:space="preserve">Lease cash / margin / financing</t>
        </is>
      </c>
      <c r="EV49" t="inlineStr">
        <is>
          <t xml:space="preserve">cash</t>
        </is>
      </c>
      <c r="EW49" t="inlineStr">
        <is>
          <t xml:space="preserve">lease</t>
        </is>
      </c>
      <c r="EX49" t="inlineStr">
        <is>
          <t xml:space="preserve">cash</t>
        </is>
      </c>
      <c r="EY49"/>
      <c r="EZ49" s="4">
        <v>1</v>
      </c>
      <c r="FA49" s="4">
        <v>1</v>
      </c>
      <c r="FB49" s="6"/>
      <c r="FC49" s="4">
        <v>-2.220446049250313e-16</v>
      </c>
      <c r="FD49" s="5">
        <f>IF(EV49="direct",IFERROR(FJ49/FA49,0),0)</f>
        <v>0</v>
      </c>
      <c r="FE49" s="5">
        <f>IF(EV49="direct",FC49-FD49,IF(EV49="cash",FO49,FC49))</f>
        <v>-0.011550623222222065</v>
      </c>
      <c r="FF49" s="6"/>
      <c r="FG49" s="4">
        <v>-2.220446049250313e-16</v>
      </c>
      <c r="FH49" s="4">
        <v>-2.220446049250313e-16</v>
      </c>
      <c r="FI49" s="5">
        <f>IF(EV49="direct",FC49*(FA49-EZ49),FL49)</f>
        <v>0</v>
      </c>
      <c r="FJ49" s="5">
        <f>IF(EV49="direct",FH49*FB49*C49/365,0)</f>
        <v>0</v>
      </c>
      <c r="FK49" s="5">
        <f>FI49-FJ49</f>
        <v>0</v>
      </c>
      <c r="FL49" s="4">
        <v>0</v>
      </c>
      <c r="FM49" s="5">
        <f>FL49-FK49</f>
        <v>0</v>
      </c>
      <c r="FN49" s="4">
        <v>-0.011550623222221843</v>
      </c>
      <c r="FO49" s="4">
        <v>-0.011550623222222065</v>
      </c>
      <c r="FP49" s="4">
        <v>1.833</v>
      </c>
      <c r="FQ49" s="4">
        <v>1.871</v>
      </c>
      <c r="FR49" s="6"/>
      <c r="FS49" s="6"/>
      <c r="FT49" s="6"/>
      <c r="FU49" s="9"/>
      <c r="FV49" s="7">
        <f>IFERROR(FK49/F49,0)</f>
        <v>0</v>
      </c>
      <c r="FW49" t="inlineStr">
        <is>
          <t xml:space="preserve">Keep cash / margin / financing</t>
        </is>
      </c>
      <c r="FX49" t="inlineStr">
        <is>
          <t xml:space="preserve">cash</t>
        </is>
      </c>
      <c r="FY49" t="inlineStr">
        <is>
          <t xml:space="preserve">keep</t>
        </is>
      </c>
      <c r="FZ49" t="inlineStr">
        <is>
          <t xml:space="preserve">cash</t>
        </is>
      </c>
      <c r="GA49"/>
      <c r="GB49" s="4">
        <v>1</v>
      </c>
      <c r="GC49" s="4">
        <v>1</v>
      </c>
      <c r="GD49" s="6"/>
      <c r="GE49" s="4">
        <v>0</v>
      </c>
      <c r="GF49" s="5">
        <f>IF(FX49="direct",IFERROR(GL49/GC49,0),0)</f>
        <v>0</v>
      </c>
      <c r="GG49" s="5">
        <f>IF(FX49="direct",GE49-GF49,IF(FX49="cash",GQ49,GE49))</f>
        <v>0</v>
      </c>
      <c r="GH49" s="6"/>
      <c r="GI49" s="4">
        <v>0</v>
      </c>
      <c r="GJ49" s="4">
        <v>0</v>
      </c>
      <c r="GK49" s="5">
        <f>IF(FX49="direct",GE49*(GC49-GB49),GN49)</f>
        <v>0</v>
      </c>
      <c r="GL49" s="5">
        <f>IF(FX49="direct",GJ49*GD49*C49/365,0)</f>
        <v>0</v>
      </c>
      <c r="GM49" s="5">
        <f>GK49-GL49</f>
        <v>0</v>
      </c>
      <c r="GN49" s="4">
        <v>0</v>
      </c>
      <c r="GO49" s="5">
        <f>GN49-GM49</f>
        <v>0</v>
      </c>
      <c r="GP49" s="4">
        <v>0</v>
      </c>
      <c r="GQ49" s="4">
        <v>0</v>
      </c>
      <c r="GR49" s="4">
        <v>1.833</v>
      </c>
      <c r="GS49" s="4">
        <v>1.871</v>
      </c>
      <c r="GT49" s="6"/>
      <c r="GU49" s="6"/>
      <c r="GV49" s="6"/>
      <c r="GW49" s="9"/>
      <c r="GX49" s="7">
        <f>IFERROR(GM49/F49,0)</f>
        <v>0</v>
      </c>
      <c r="GY49"/>
      <c r="GZ49"/>
      <c r="HA49"/>
      <c r="HB49"/>
      <c r="HC49"/>
      <c r="HD49" s="4"/>
      <c r="HE49" s="4"/>
      <c r="HF49" s="6"/>
      <c r="HG49" s="4"/>
      <c r="HH49" s="5">
        <v>0</v>
      </c>
      <c r="HI49" s="5"/>
      <c r="HJ49" s="6"/>
      <c r="HK49" s="4"/>
      <c r="HL49" s="4"/>
      <c r="HM49" s="5">
        <v>0</v>
      </c>
      <c r="HN49" s="5">
        <v>0</v>
      </c>
      <c r="HO49" s="5"/>
      <c r="HP49" s="4"/>
      <c r="HQ49" s="5">
        <v>0</v>
      </c>
      <c r="HR49" s="4"/>
      <c r="HS49" s="4"/>
      <c r="HT49" s="4"/>
      <c r="HU49" s="4"/>
      <c r="HV49" s="6"/>
      <c r="HW49" s="6"/>
      <c r="HX49" s="6"/>
      <c r="HY49" s="9"/>
      <c r="HZ49"/>
      <c r="IA49"/>
      <c r="IB49"/>
      <c r="IC49"/>
      <c r="ID49"/>
      <c r="IE49"/>
      <c r="IF49" s="4"/>
      <c r="IG49" s="4"/>
      <c r="IH49" s="6"/>
      <c r="II49" s="4"/>
      <c r="IJ49" s="5">
        <v>0</v>
      </c>
      <c r="IK49" s="5"/>
      <c r="IL49" s="6"/>
      <c r="IM49" s="4"/>
      <c r="IN49" s="4"/>
      <c r="IO49" s="5">
        <v>0</v>
      </c>
      <c r="IP49" s="5">
        <v>0</v>
      </c>
      <c r="IQ49" s="5"/>
      <c r="IR49" s="4"/>
      <c r="IS49" s="5">
        <v>0</v>
      </c>
      <c r="IT49" s="4"/>
      <c r="IU49" s="4"/>
      <c r="IV49" s="4"/>
      <c r="IW49" s="4"/>
      <c r="IX49" s="6"/>
      <c r="IY49" s="6"/>
      <c r="IZ49" s="6"/>
      <c r="JA49" s="9"/>
      <c r="JB49"/>
      <c r="JC49"/>
      <c r="JD49"/>
      <c r="JE49"/>
      <c r="JF49"/>
      <c r="JG49"/>
      <c r="JH49" s="4"/>
      <c r="JI49" s="4"/>
      <c r="JJ49" s="6"/>
      <c r="JK49" s="4"/>
      <c r="JL49" s="5">
        <v>0</v>
      </c>
      <c r="JM49" s="5"/>
      <c r="JN49" s="6"/>
      <c r="JO49" s="4"/>
      <c r="JP49" s="4"/>
      <c r="JQ49" s="5">
        <v>0</v>
      </c>
      <c r="JR49" s="5">
        <v>0</v>
      </c>
      <c r="JS49" s="5"/>
      <c r="JT49" s="4"/>
      <c r="JU49" s="5">
        <v>0</v>
      </c>
      <c r="JV49" s="4"/>
      <c r="JW49" s="4"/>
      <c r="JX49" s="4"/>
      <c r="JY49" s="4"/>
      <c r="JZ49" s="6"/>
      <c r="KA49" s="6"/>
      <c r="KB49" s="6"/>
      <c r="KC49" s="9"/>
      <c r="KD49"/>
      <c r="KE49"/>
      <c r="KF49"/>
      <c r="KG49"/>
      <c r="KH49"/>
      <c r="KI49"/>
      <c r="KJ49" s="4"/>
      <c r="KK49" s="4"/>
      <c r="KL49" s="6"/>
      <c r="KM49" s="4"/>
      <c r="KN49" s="5">
        <v>0</v>
      </c>
      <c r="KO49" s="5"/>
      <c r="KP49" s="6"/>
      <c r="KQ49" s="4"/>
      <c r="KR49" s="4"/>
      <c r="KS49" s="5">
        <v>0</v>
      </c>
      <c r="KT49" s="5">
        <v>0</v>
      </c>
      <c r="KU49" s="5"/>
      <c r="KV49" s="4"/>
      <c r="KW49" s="5">
        <v>0</v>
      </c>
      <c r="KX49" s="4"/>
      <c r="KY49" s="4"/>
      <c r="KZ49" s="4"/>
      <c r="LA49" s="4"/>
      <c r="LB49" s="6"/>
      <c r="LC49" s="6"/>
      <c r="LD49" s="6"/>
      <c r="LE49" s="9"/>
      <c r="LF49"/>
      <c r="LG49"/>
      <c r="LH49"/>
      <c r="LI49"/>
      <c r="LJ49"/>
      <c r="LK49"/>
      <c r="LL49" s="4"/>
      <c r="LM49" s="4"/>
      <c r="LN49" s="6"/>
      <c r="LO49" s="4"/>
      <c r="LP49" s="5">
        <v>0</v>
      </c>
      <c r="LQ49" s="5"/>
      <c r="LR49" s="6"/>
      <c r="LS49" s="4"/>
      <c r="LT49" s="4"/>
      <c r="LU49" s="5">
        <v>0</v>
      </c>
      <c r="LV49" s="5">
        <v>0</v>
      </c>
      <c r="LW49" s="5"/>
      <c r="LX49" s="4"/>
      <c r="LY49" s="5">
        <v>0</v>
      </c>
      <c r="LZ49" s="4"/>
      <c r="MA49" s="4"/>
      <c r="MB49" s="4"/>
      <c r="MC49" s="4"/>
      <c r="MD49" s="6"/>
      <c r="ME49" s="6"/>
      <c r="MF49" s="6"/>
      <c r="MG49" s="9"/>
      <c r="MH49"/>
    </row>
    <row r="50">
      <c r="A50" s="8">
        <v>25275</v>
      </c>
      <c r="B50" s="8">
        <v>25276</v>
      </c>
      <c r="C50" s="9">
        <f>B50-A50</f>
        <v>1</v>
      </c>
      <c r="D50" s="8">
        <v>25275</v>
      </c>
      <c r="E50" t="inlineStr">
        <is>
          <t xml:space="preserve">positive</t>
        </is>
      </c>
      <c r="F50" s="4">
        <v>1.1733356327079583</v>
      </c>
      <c r="G50" s="6">
        <v>0.00796464837638818</v>
      </c>
      <c r="H50" s="7">
        <f>SUM(CP50,DR50,ET50,FV50,GX50,HZ50,JB50,KD50,LF50,MH50)</f>
        <v>0.00796464837638818</v>
      </c>
      <c r="I50" s="7">
        <f>G50-H50</f>
        <v>0</v>
      </c>
      <c r="J50" s="5">
        <f>F50*(1+H50)</f>
        <v>1.182680838449964</v>
      </c>
      <c r="K50" s="4">
        <v>1.182680838449964</v>
      </c>
      <c r="L50" s="5">
        <f>K50-J50</f>
        <v>0</v>
      </c>
      <c r="M50" s="4">
        <v>1.871</v>
      </c>
      <c r="N50" s="4">
        <v>1.836</v>
      </c>
      <c r="O50" s="5">
        <f>M50/$M$3</f>
        <v>0.9555669050051072</v>
      </c>
      <c r="P50" s="5">
        <f>N50/$M$3</f>
        <v>0.937691521961185</v>
      </c>
      <c r="Q50" s="7">
        <f>IFERROR(N50/M50-1,0)</f>
        <v>-0.018706574024585754</v>
      </c>
      <c r="R50" s="5">
        <f>SUM(IF(BQ50="lease",CB50,0),IF(CS50="lease",DD50,0),IF(DU50="lease",EF50,0),IF(EW50="lease",FH50,0),IF(FY50="lease",GJ50,0),IF(HA50="lease",HL50,0),IF(IC50="lease",IN50,0),IF(JE50="lease",JP50,0),IF(KG50="lease",KR50,0),IF(LI50="lease",LT50,0))</f>
        <v>1.1733356327079583</v>
      </c>
      <c r="S50" s="5">
        <f>SUM(IF(BQ50="lease",CI50,0),IF(CS50="lease",DK50,0),IF(DU50="lease",EM50,0),IF(EW50="lease",FO50,0),IF(FY50="lease",GQ50,0),IF(HA50="lease",HS50,0),IF(IC50="lease",IU50,0),IF(JE50="lease",JW50,0),IF(KG50="lease",KY50,0),IF(LI50="lease",MA50,0))</f>
        <v>1.182680838449964</v>
      </c>
      <c r="T50" s="5">
        <f>SUM(IF(BQ50="keep",CB50,0),IF(CS50="keep",DD50,0),IF(DU50="keep",EF50,0),IF(EW50="keep",FH50,0),IF(FY50="keep",GJ50,0),IF(HA50="keep",HL50,0),IF(IC50="keep",IN50,0),IF(JE50="keep",JP50,0),IF(KG50="keep",KR50,0),IF(LI50="keep",LT50,0))</f>
        <v>0</v>
      </c>
      <c r="U50" s="5">
        <f>SUM(IF(BQ50="keep",CI50,0),IF(CS50="keep",DK50,0),IF(DU50="keep",EM50,0),IF(EW50="keep",FO50,0),IF(FY50="keep",GQ50,0),IF(HA50="keep",HS50,0),IF(IC50="keep",IU50,0),IF(JE50="keep",JW50,0),IF(KG50="keep",KY50,0),IF(LI50="keep",MA50,0))</f>
        <v>0</v>
      </c>
      <c r="V50" s="5">
        <f>R50/O50</f>
        <v>1.2278947989535982</v>
      </c>
      <c r="W50" s="5">
        <f>S50/P50</f>
        <v>1.2612685630092753</v>
      </c>
      <c r="X50" s="5">
        <f>T50/O50</f>
        <v>0</v>
      </c>
      <c r="Y50" s="5">
        <f>U50/P50</f>
        <v>0</v>
      </c>
      <c r="Z50" s="5">
        <f>V50+X50</f>
        <v>1.2278947989535982</v>
      </c>
      <c r="AA50" s="7">
        <f>IFERROR(W50/V50-1,0)</f>
        <v>0.027179660736504463</v>
      </c>
      <c r="AB50" s="7">
        <f>IFERROR((W50-V50)/Z50,0)</f>
        <v>0.027179660736504376</v>
      </c>
      <c r="AC50" s="7">
        <f>IFERROR(Y50/X50-1,0)</f>
        <v>0</v>
      </c>
      <c r="AD50" s="7">
        <f>IFERROR((Y50-X50)/Z50,0)</f>
        <v>0</v>
      </c>
      <c r="AE50" s="7">
        <f>AB50+AD50</f>
        <v>0.027179660736504376</v>
      </c>
      <c r="AF50" s="7">
        <f>(1+Q50)*(1+AE50)-1</f>
        <v>0.007964648376388217</v>
      </c>
      <c r="AG50" s="7">
        <f>G50-AF50</f>
        <v>-3.642919299551295e-17</v>
      </c>
      <c r="AH50" s="5">
        <f>SUM(IF(BQ50="lease",CE50,0),IF(CS50="lease",DG50,0),IF(DU50="lease",EI50,0),IF(EW50="lease",FK50,0),IF(FY50="lease",GM50,0),IF(HA50="lease",HO50,0),IF(IC50="lease",IQ50,0),IF(JE50="lease",JS50,0),IF(KG50="lease",KU50,0),IF(LI50="lease",LW50,0))</f>
        <v>0.00934520574200584</v>
      </c>
      <c r="AI50" s="5">
        <f>SUM(IF(BQ50="keep",CE50,0),IF(CS50="keep",DG50,0),IF(DU50="keep",EI50,0),IF(EW50="keep",FK50,0),IF(FY50="keep",GM50,0),IF(HA50="keep",HO50,0),IF(IC50="keep",IQ50,0),IF(JE50="keep",JS50,0),IF(KG50="keep",KU50,0),IF(LI50="keep",LW50,0))</f>
        <v>0</v>
      </c>
      <c r="AJ50" s="5">
        <f>SUM(IF(BQ50="lease",CH50,0),IF(CS50="lease",DJ50,0),IF(DU50="lease",EL50,0),IF(EW50="lease",FN50,0),IF(FY50="lease",GP50,0),IF(HA50="lease",HR50,0),IF(IC50="lease",IT50,0),IF(JE50="lease",JV50,0),IF(KG50="lease",KX50,0),IF(LI50="lease",LZ50,0))</f>
        <v>0</v>
      </c>
      <c r="AK50" s="5">
        <f>SUM(IF(BQ50="keep",CH50,0),IF(CS50="keep",DJ50,0),IF(DU50="keep",EL50,0),IF(EW50="keep",FN50,0),IF(FY50="keep",GP50,0),IF(HA50="keep",HR50,0),IF(IC50="keep",IT50,0),IF(JE50="keep",JV50,0),IF(KG50="keep",KX50,0),IF(LI50="keep",LZ50,0))</f>
        <v>0</v>
      </c>
      <c r="AL50" s="5">
        <f>R50-S49</f>
        <v>0</v>
      </c>
      <c r="AM50" s="5">
        <f>T50-U49</f>
        <v>0</v>
      </c>
      <c r="AN50" s="5">
        <f>AN49</f>
        <v>1</v>
      </c>
      <c r="AO50" s="5">
        <f>AO49+AH50</f>
        <v>0.1826808384499645</v>
      </c>
      <c r="AP50" s="5">
        <f>AP49+AL50</f>
        <v>-6.661338147750939e-16</v>
      </c>
      <c r="AQ50" s="5">
        <f>AN50+AO50+AP50</f>
        <v>1.1826808384499639</v>
      </c>
      <c r="AR50" s="5">
        <f>S50-AQ50</f>
        <v>2.220446049250313e-16</v>
      </c>
      <c r="AS50" s="5">
        <f>AS49</f>
        <v>0</v>
      </c>
      <c r="AT50" s="5">
        <f>AT49+AI50</f>
        <v>0</v>
      </c>
      <c r="AU50" s="5">
        <f>AU49+AM50</f>
        <v>0</v>
      </c>
      <c r="AV50" s="5">
        <f>AS50+AT50+AU50</f>
        <v>0</v>
      </c>
      <c r="AW50" s="5">
        <f>U50-AV50</f>
        <v>0</v>
      </c>
      <c r="AX50" s="4">
        <v>1.1733356327079583</v>
      </c>
      <c r="AY50" s="4">
        <v>1.182680838449964</v>
      </c>
      <c r="AZ50" s="5">
        <f>S50-AY50</f>
        <v>0</v>
      </c>
      <c r="BA50" s="4">
        <v>0</v>
      </c>
      <c r="BB50" s="4">
        <v>0</v>
      </c>
      <c r="BC50" s="5">
        <f>U50-BB50</f>
        <v>0</v>
      </c>
      <c r="BD50" s="7">
        <f>SUM(IF(BP50="direct",CC50/F50,0),IF(CR50="direct",DE50/F50,0),IF(DT50="direct",EG50/F50,0),IF(EV50="direct",FI50/F50,0),IF(FX50="direct",GK50/F50,0),IF(GZ50="direct",HM50/F50,0),IF(IB50="direct",IO50/F50,0),IF(JD50="direct",JQ50/F50,0),IF(KF50="direct",KS50/F50,0),IF(LH50="direct",LU50/F50,0))</f>
        <v>0</v>
      </c>
      <c r="BE50" s="7">
        <f>-SUM(IF(BP50="direct",CD50/F50,0),IF(CR50="direct",DF50/F50,0),IF(DT50="direct",EH50/F50,0),IF(EV50="direct",FJ50/F50,0),IF(FX50="direct",GL50/F50,0),IF(GZ50="direct",HN50/F50,0),IF(IB50="direct",IP50/F50,0),IF(JD50="direct",JR50/F50,0),IF(KF50="direct",KT50/F50,0),IF(LH50="direct",LV50/F50,0))</f>
        <v>0</v>
      </c>
      <c r="BF50" s="7">
        <f>BD50+BE50</f>
        <v>0</v>
      </c>
      <c r="BG50" s="7">
        <f>BF50-SUM(IF(BP50="direct",CP50,0),IF(CR50="direct",DR50,0),IF(DT50="direct",ET50,0),IF(EV50="direct",FV50,0),IF(FX50="direct",GX50,0),IF(GZ50="direct",HZ50,0),IF(IB50="direct",JB50,0),IF(JD50="direct",KD50,0),IF(KF50="direct",LF50,0),IF(LH50="direct",MH50,0))</f>
        <v>0</v>
      </c>
      <c r="BH50" s="7">
        <f>SUM(IF(BP50="treasury",CP50,0),IF(CR50="treasury",DR50,0),IF(DT50="treasury",ET50,0),IF(EV50="treasury",FV50,0),IF(FX50="treasury",GX50,0),IF(GZ50="treasury",HZ50,0),IF(IB50="treasury",JB50,0),IF(JD50="treasury",KD50,0),IF(KF50="treasury",LF50,0),IF(LH50="treasury",MH50,0))</f>
        <v>0.0001652054794520548</v>
      </c>
      <c r="BI50" s="7">
        <f>SUM(IF(BP50="future",CP50,0),IF(CR50="future",DR50,0),IF(DT50="future",ET50,0),IF(EV50="future",FV50,0),IF(FX50="future",GX50,0),IF(GZ50="future",HZ50,0),IF(IB50="future",JB50,0),IF(JD50="future",KD50,0),IF(KF50="future",LF50,0),IF(LH50="future",MH50,0))</f>
        <v>0.007799442896936125</v>
      </c>
      <c r="BJ50" s="7">
        <f>SUM(IF(BP50="cash",CP50,0),IF(CR50="cash",DR50,0),IF(DT50="cash",ET50,0),IF(EV50="cash",FV50,0),IF(FX50="cash",GX50,0),IF(GZ50="cash",HZ50,0),IF(IB50="cash",JB50,0),IF(JD50="cash",KD50,0),IF(KF50="cash",LF50,0),IF(LH50="cash",MH50,0))</f>
        <v>0</v>
      </c>
      <c r="BK50" s="7">
        <f>SUM(BF50,BH50,BI50,BJ50)</f>
        <v>0.00796464837638818</v>
      </c>
      <c r="BL50" s="7">
        <f>G50-BK50</f>
        <v>0</v>
      </c>
      <c r="BM50" s="5">
        <f>MAX(ABS(CG50),ABS(DI50),ABS(EK50),ABS(FM50),ABS(GO50),ABS(HQ50),ABS(IS50),ABS(JU50),ABS(KW50),ABS(LY50))</f>
        <v>6.304635633003208e-17</v>
      </c>
      <c r="BN50" s="9">
        <f>COUNTA(BO50,CQ50,DS50,EU50,FW50,GY50,IA50,JC50,KE50,LG50)</f>
        <v>4</v>
      </c>
      <c r="BO50" t="inlineStr">
        <is>
          <t xml:space="preserve">Treasury collateral</t>
        </is>
      </c>
      <c r="BP50" t="inlineStr">
        <is>
          <t xml:space="preserve">treasury</t>
        </is>
      </c>
      <c r="BQ50" t="inlineStr">
        <is>
          <t xml:space="preserve">lease</t>
        </is>
      </c>
      <c r="BR50" t="inlineStr">
        <is>
          <t xml:space="preserve">long</t>
        </is>
      </c>
      <c r="BS50"/>
      <c r="BT50" s="4">
        <v>101.1806028699596</v>
      </c>
      <c r="BU50" s="4">
        <v>101.19731845996797</v>
      </c>
      <c r="BV50" s="6"/>
      <c r="BW50" s="4">
        <v>0.011596448325337268</v>
      </c>
      <c r="BX50" s="5">
        <f>IF(BP50="direct",IFERROR(CD50/BU50,0),0)</f>
        <v>0</v>
      </c>
      <c r="BY50" s="5">
        <f>IF(BP50="direct",BW50-BX50,IF(BP50="cash",CI50,BW50))</f>
        <v>0.011596448325337268</v>
      </c>
      <c r="BZ50" s="6">
        <v>1</v>
      </c>
      <c r="CA50" s="4">
        <v>1.1733356327079583</v>
      </c>
      <c r="CB50" s="4">
        <v>1.1733356327079583</v>
      </c>
      <c r="CC50" s="5">
        <f>IF(BP50="direct",BW50*(BU50-BT50),CF50)</f>
        <v>0.00019384147575963526</v>
      </c>
      <c r="CD50" s="5">
        <f>IF(BP50="direct",CB50*BV50*C50/365,0)</f>
        <v>0</v>
      </c>
      <c r="CE50" s="5">
        <f>CC50-CD50</f>
        <v>0.0001938414757596983</v>
      </c>
      <c r="CF50" s="4">
        <v>0.0001938414757596983</v>
      </c>
      <c r="CG50" s="5">
        <f>CF50-CE50</f>
        <v>6.304635633003208e-17</v>
      </c>
      <c r="CH50" s="4">
        <v>-7.201812930734963e-17</v>
      </c>
      <c r="CI50" s="4">
        <v>1.173529474183718</v>
      </c>
      <c r="CJ50" s="4">
        <v>1.871</v>
      </c>
      <c r="CK50" s="4">
        <v>1.836</v>
      </c>
      <c r="CL50" s="6"/>
      <c r="CM50" s="6"/>
      <c r="CN50" s="6"/>
      <c r="CO50" s="9">
        <v>14</v>
      </c>
      <c r="CP50" s="7">
        <f>IFERROR(CE50/F50,0)</f>
        <v>0.0001652054794520548</v>
      </c>
      <c r="CQ50" t="inlineStr">
        <is>
          <t xml:space="preserve">SI69H</t>
        </is>
      </c>
      <c r="CR50" t="inlineStr">
        <is>
          <t xml:space="preserve">future</t>
        </is>
      </c>
      <c r="CS50" t="inlineStr">
        <is>
          <t xml:space="preserve">lease</t>
        </is>
      </c>
      <c r="CT50" t="inlineStr">
        <is>
          <t xml:space="preserve">long</t>
        </is>
      </c>
      <c r="CU50" t="inlineStr">
        <is>
          <t xml:space="preserve">regular</t>
        </is>
      </c>
      <c r="CV50" s="4">
        <v>1.795</v>
      </c>
      <c r="CW50" s="4">
        <v>1.8090000000000002</v>
      </c>
      <c r="CX50" s="6"/>
      <c r="CY50" s="4">
        <v>0.6536688761604225</v>
      </c>
      <c r="CZ50" s="5">
        <f>IF(CR50="direct",IFERROR(DF50/CW50,0),0)</f>
        <v>0</v>
      </c>
      <c r="DA50" s="5">
        <f>IF(CR50="direct",CY50-CZ50,IF(CR50="cash",DK50,CY50))</f>
        <v>0.6536688761604225</v>
      </c>
      <c r="DB50" s="6">
        <v>1</v>
      </c>
      <c r="DC50" s="4">
        <v>1.1733356327079583</v>
      </c>
      <c r="DD50" s="4">
        <v>0</v>
      </c>
      <c r="DE50" s="5">
        <f>IF(CR50="direct",CY50*(CW50-CV50),DH50)</f>
        <v>0.00915136426624614</v>
      </c>
      <c r="DF50" s="5">
        <f>IF(CR50="direct",DD50*CX50*C50/365,0)</f>
        <v>0</v>
      </c>
      <c r="DG50" s="5">
        <f>DE50-DF50</f>
        <v>0.00915136426624614</v>
      </c>
      <c r="DH50" s="4">
        <v>0.00915136426624614</v>
      </c>
      <c r="DI50" s="5">
        <f>DH50-DG50</f>
        <v>0</v>
      </c>
      <c r="DJ50" s="4">
        <v>-0.00915136426624614</v>
      </c>
      <c r="DK50" s="4">
        <v>0</v>
      </c>
      <c r="DL50" s="4">
        <v>1.871</v>
      </c>
      <c r="DM50" s="4">
        <v>1.836</v>
      </c>
      <c r="DN50" s="6">
        <v>-0.04061998931052912</v>
      </c>
      <c r="DO50" s="6">
        <v>0.0603</v>
      </c>
      <c r="DP50" s="6">
        <v>1.1193211498816522</v>
      </c>
      <c r="DQ50" s="9">
        <v>14</v>
      </c>
      <c r="DR50" s="7">
        <f>IFERROR(DG50/F50,0)</f>
        <v>0.007799442896936125</v>
      </c>
      <c r="DS50" t="inlineStr">
        <is>
          <t xml:space="preserve">Lease cash / margin / financing</t>
        </is>
      </c>
      <c r="DT50" t="inlineStr">
        <is>
          <t xml:space="preserve">cash</t>
        </is>
      </c>
      <c r="DU50" t="inlineStr">
        <is>
          <t xml:space="preserve">lease</t>
        </is>
      </c>
      <c r="DV50" t="inlineStr">
        <is>
          <t xml:space="preserve">cash</t>
        </is>
      </c>
      <c r="DW50"/>
      <c r="DX50" s="4">
        <v>1</v>
      </c>
      <c r="DY50" s="4">
        <v>1</v>
      </c>
      <c r="DZ50" s="6"/>
      <c r="EA50" s="4">
        <v>0</v>
      </c>
      <c r="EB50" s="5">
        <f>IF(DT50="direct",IFERROR(EH50/DY50,0),0)</f>
        <v>0</v>
      </c>
      <c r="EC50" s="5">
        <f>IF(DT50="direct",EA50-EB50,IF(DT50="cash",EM50,EA50))</f>
        <v>0.009151364266246213</v>
      </c>
      <c r="ED50" s="6"/>
      <c r="EE50" s="4">
        <v>0</v>
      </c>
      <c r="EF50" s="4">
        <v>0</v>
      </c>
      <c r="EG50" s="5">
        <f>IF(DT50="direct",EA50*(DY50-DX50),EJ50)</f>
        <v>0</v>
      </c>
      <c r="EH50" s="5">
        <f>IF(DT50="direct",EF50*DZ50*C50/365,0)</f>
        <v>0</v>
      </c>
      <c r="EI50" s="5">
        <f>EG50-EH50</f>
        <v>0</v>
      </c>
      <c r="EJ50" s="4">
        <v>0</v>
      </c>
      <c r="EK50" s="5">
        <f>EJ50-EI50</f>
        <v>0</v>
      </c>
      <c r="EL50" s="4">
        <v>0.009151364266246213</v>
      </c>
      <c r="EM50" s="4">
        <v>0.009151364266246213</v>
      </c>
      <c r="EN50" s="4">
        <v>1.871</v>
      </c>
      <c r="EO50" s="4">
        <v>1.836</v>
      </c>
      <c r="EP50" s="6"/>
      <c r="EQ50" s="6"/>
      <c r="ER50" s="6"/>
      <c r="ES50" s="9"/>
      <c r="ET50" s="7">
        <f>IFERROR(EI50/F50,0)</f>
        <v>0</v>
      </c>
      <c r="EU50" t="inlineStr">
        <is>
          <t xml:space="preserve">Keep cash / margin / financing</t>
        </is>
      </c>
      <c r="EV50" t="inlineStr">
        <is>
          <t xml:space="preserve">cash</t>
        </is>
      </c>
      <c r="EW50" t="inlineStr">
        <is>
          <t xml:space="preserve">keep</t>
        </is>
      </c>
      <c r="EX50" t="inlineStr">
        <is>
          <t xml:space="preserve">cash</t>
        </is>
      </c>
      <c r="EY50"/>
      <c r="EZ50" s="4">
        <v>1</v>
      </c>
      <c r="FA50" s="4">
        <v>1</v>
      </c>
      <c r="FB50" s="6"/>
      <c r="FC50" s="4">
        <v>0</v>
      </c>
      <c r="FD50" s="5">
        <f>IF(EV50="direct",IFERROR(FJ50/FA50,0),0)</f>
        <v>0</v>
      </c>
      <c r="FE50" s="5">
        <f>IF(EV50="direct",FC50-FD50,IF(EV50="cash",FO50,FC50))</f>
        <v>0</v>
      </c>
      <c r="FF50" s="6"/>
      <c r="FG50" s="4">
        <v>0</v>
      </c>
      <c r="FH50" s="4">
        <v>0</v>
      </c>
      <c r="FI50" s="5">
        <f>IF(EV50="direct",FC50*(FA50-EZ50),FL50)</f>
        <v>0</v>
      </c>
      <c r="FJ50" s="5">
        <f>IF(EV50="direct",FH50*FB50*C50/365,0)</f>
        <v>0</v>
      </c>
      <c r="FK50" s="5">
        <f>FI50-FJ50</f>
        <v>0</v>
      </c>
      <c r="FL50" s="4">
        <v>0</v>
      </c>
      <c r="FM50" s="5">
        <f>FL50-FK50</f>
        <v>0</v>
      </c>
      <c r="FN50" s="4">
        <v>0</v>
      </c>
      <c r="FO50" s="4">
        <v>0</v>
      </c>
      <c r="FP50" s="4">
        <v>1.871</v>
      </c>
      <c r="FQ50" s="4">
        <v>1.836</v>
      </c>
      <c r="FR50" s="6"/>
      <c r="FS50" s="6"/>
      <c r="FT50" s="6"/>
      <c r="FU50" s="9"/>
      <c r="FV50" s="7">
        <f>IFERROR(FK50/F50,0)</f>
        <v>0</v>
      </c>
      <c r="FW50"/>
      <c r="FX50"/>
      <c r="FY50"/>
      <c r="FZ50"/>
      <c r="GA50"/>
      <c r="GB50" s="4"/>
      <c r="GC50" s="4"/>
      <c r="GD50" s="6"/>
      <c r="GE50" s="4"/>
      <c r="GF50" s="5">
        <v>0</v>
      </c>
      <c r="GG50" s="5"/>
      <c r="GH50" s="6"/>
      <c r="GI50" s="4"/>
      <c r="GJ50" s="4"/>
      <c r="GK50" s="5">
        <v>0</v>
      </c>
      <c r="GL50" s="5">
        <v>0</v>
      </c>
      <c r="GM50" s="5"/>
      <c r="GN50" s="4"/>
      <c r="GO50" s="5">
        <v>0</v>
      </c>
      <c r="GP50" s="4"/>
      <c r="GQ50" s="4"/>
      <c r="GR50" s="4"/>
      <c r="GS50" s="4"/>
      <c r="GT50" s="6"/>
      <c r="GU50" s="6"/>
      <c r="GV50" s="6"/>
      <c r="GW50" s="9"/>
      <c r="GX50"/>
      <c r="GY50"/>
      <c r="GZ50"/>
      <c r="HA50"/>
      <c r="HB50"/>
      <c r="HC50"/>
      <c r="HD50" s="4"/>
      <c r="HE50" s="4"/>
      <c r="HF50" s="6"/>
      <c r="HG50" s="4"/>
      <c r="HH50" s="5">
        <v>0</v>
      </c>
      <c r="HI50" s="5"/>
      <c r="HJ50" s="6"/>
      <c r="HK50" s="4"/>
      <c r="HL50" s="4"/>
      <c r="HM50" s="5">
        <v>0</v>
      </c>
      <c r="HN50" s="5">
        <v>0</v>
      </c>
      <c r="HO50" s="5"/>
      <c r="HP50" s="4"/>
      <c r="HQ50" s="5">
        <v>0</v>
      </c>
      <c r="HR50" s="4"/>
      <c r="HS50" s="4"/>
      <c r="HT50" s="4"/>
      <c r="HU50" s="4"/>
      <c r="HV50" s="6"/>
      <c r="HW50" s="6"/>
      <c r="HX50" s="6"/>
      <c r="HY50" s="9"/>
      <c r="HZ50"/>
      <c r="IA50"/>
      <c r="IB50"/>
      <c r="IC50"/>
      <c r="ID50"/>
      <c r="IE50"/>
      <c r="IF50" s="4"/>
      <c r="IG50" s="4"/>
      <c r="IH50" s="6"/>
      <c r="II50" s="4"/>
      <c r="IJ50" s="5">
        <v>0</v>
      </c>
      <c r="IK50" s="5"/>
      <c r="IL50" s="6"/>
      <c r="IM50" s="4"/>
      <c r="IN50" s="4"/>
      <c r="IO50" s="5">
        <v>0</v>
      </c>
      <c r="IP50" s="5">
        <v>0</v>
      </c>
      <c r="IQ50" s="5"/>
      <c r="IR50" s="4"/>
      <c r="IS50" s="5">
        <v>0</v>
      </c>
      <c r="IT50" s="4"/>
      <c r="IU50" s="4"/>
      <c r="IV50" s="4"/>
      <c r="IW50" s="4"/>
      <c r="IX50" s="6"/>
      <c r="IY50" s="6"/>
      <c r="IZ50" s="6"/>
      <c r="JA50" s="9"/>
      <c r="JB50"/>
      <c r="JC50"/>
      <c r="JD50"/>
      <c r="JE50"/>
      <c r="JF50"/>
      <c r="JG50"/>
      <c r="JH50" s="4"/>
      <c r="JI50" s="4"/>
      <c r="JJ50" s="6"/>
      <c r="JK50" s="4"/>
      <c r="JL50" s="5">
        <v>0</v>
      </c>
      <c r="JM50" s="5"/>
      <c r="JN50" s="6"/>
      <c r="JO50" s="4"/>
      <c r="JP50" s="4"/>
      <c r="JQ50" s="5">
        <v>0</v>
      </c>
      <c r="JR50" s="5">
        <v>0</v>
      </c>
      <c r="JS50" s="5"/>
      <c r="JT50" s="4"/>
      <c r="JU50" s="5">
        <v>0</v>
      </c>
      <c r="JV50" s="4"/>
      <c r="JW50" s="4"/>
      <c r="JX50" s="4"/>
      <c r="JY50" s="4"/>
      <c r="JZ50" s="6"/>
      <c r="KA50" s="6"/>
      <c r="KB50" s="6"/>
      <c r="KC50" s="9"/>
      <c r="KD50"/>
      <c r="KE50"/>
      <c r="KF50"/>
      <c r="KG50"/>
      <c r="KH50"/>
      <c r="KI50"/>
      <c r="KJ50" s="4"/>
      <c r="KK50" s="4"/>
      <c r="KL50" s="6"/>
      <c r="KM50" s="4"/>
      <c r="KN50" s="5">
        <v>0</v>
      </c>
      <c r="KO50" s="5"/>
      <c r="KP50" s="6"/>
      <c r="KQ50" s="4"/>
      <c r="KR50" s="4"/>
      <c r="KS50" s="5">
        <v>0</v>
      </c>
      <c r="KT50" s="5">
        <v>0</v>
      </c>
      <c r="KU50" s="5"/>
      <c r="KV50" s="4"/>
      <c r="KW50" s="5">
        <v>0</v>
      </c>
      <c r="KX50" s="4"/>
      <c r="KY50" s="4"/>
      <c r="KZ50" s="4"/>
      <c r="LA50" s="4"/>
      <c r="LB50" s="6"/>
      <c r="LC50" s="6"/>
      <c r="LD50" s="6"/>
      <c r="LE50" s="9"/>
      <c r="LF50"/>
      <c r="LG50"/>
      <c r="LH50"/>
      <c r="LI50"/>
      <c r="LJ50"/>
      <c r="LK50"/>
      <c r="LL50" s="4"/>
      <c r="LM50" s="4"/>
      <c r="LN50" s="6"/>
      <c r="LO50" s="4"/>
      <c r="LP50" s="5">
        <v>0</v>
      </c>
      <c r="LQ50" s="5"/>
      <c r="LR50" s="6"/>
      <c r="LS50" s="4"/>
      <c r="LT50" s="4"/>
      <c r="LU50" s="5">
        <v>0</v>
      </c>
      <c r="LV50" s="5">
        <v>0</v>
      </c>
      <c r="LW50" s="5"/>
      <c r="LX50" s="4"/>
      <c r="LY50" s="5">
        <v>0</v>
      </c>
      <c r="LZ50" s="4"/>
      <c r="MA50" s="4"/>
      <c r="MB50" s="4"/>
      <c r="MC50" s="4"/>
      <c r="MD50" s="6"/>
      <c r="ME50" s="6"/>
      <c r="MF50" s="6"/>
      <c r="MG50" s="9"/>
      <c r="MH50"/>
    </row>
    <row r="51">
      <c r="A51" s="8">
        <v>25276</v>
      </c>
      <c r="B51" s="8">
        <v>25279</v>
      </c>
      <c r="C51" s="9">
        <f>B51-A51</f>
        <v>3</v>
      </c>
      <c r="D51" s="8">
        <v>25276</v>
      </c>
      <c r="E51" t="inlineStr">
        <is>
          <t xml:space="preserve">positive</t>
        </is>
      </c>
      <c r="F51" s="4">
        <v>1.182680838449964</v>
      </c>
      <c r="G51" s="6">
        <v>-0.002269163467290738</v>
      </c>
      <c r="H51" s="7">
        <f>SUM(CP51,DR51,ET51,FV51,GX51,HZ51,JB51,KD51,LF51,MH51)</f>
        <v>-0.002269163467290738</v>
      </c>
      <c r="I51" s="7">
        <f>G51-H51</f>
        <v>0</v>
      </c>
      <c r="J51" s="5">
        <f>F51*(1+H51)</f>
        <v>1.1799971422978885</v>
      </c>
      <c r="K51" s="4">
        <v>1.1799971422978885</v>
      </c>
      <c r="L51" s="5">
        <f>K51-J51</f>
        <v>0</v>
      </c>
      <c r="M51" s="4">
        <v>1.836</v>
      </c>
      <c r="N51" s="4">
        <v>1.831</v>
      </c>
      <c r="O51" s="5">
        <f>M51/$M$3</f>
        <v>0.937691521961185</v>
      </c>
      <c r="P51" s="5">
        <f>N51/$M$3</f>
        <v>0.9351378958120531</v>
      </c>
      <c r="Q51" s="7">
        <f>IFERROR(N51/M51-1,0)</f>
        <v>-0.002723311546841023</v>
      </c>
      <c r="R51" s="5">
        <f>SUM(IF(BQ51="lease",CB51,0),IF(CS51="lease",DD51,0),IF(DU51="lease",EF51,0),IF(EW51="lease",FH51,0),IF(FY51="lease",GJ51,0),IF(HA51="lease",HL51,0),IF(IC51="lease",IN51,0),IF(JE51="lease",JP51,0),IF(KG51="lease",KR51,0),IF(LI51="lease",LT51,0))</f>
        <v>1.182680838449964</v>
      </c>
      <c r="S51" s="5">
        <f>SUM(IF(BQ51="lease",CI51,0),IF(CS51="lease",DK51,0),IF(DU51="lease",EM51,0),IF(EW51="lease",FO51,0),IF(FY51="lease",GQ51,0),IF(HA51="lease",HS51,0),IF(IC51="lease",IU51,0),IF(JE51="lease",JW51,0),IF(KG51="lease",KY51,0),IF(LI51="lease",MA51,0))</f>
        <v>1.1799971422978885</v>
      </c>
      <c r="T51" s="5">
        <f>SUM(IF(BQ51="keep",CB51,0),IF(CS51="keep",DD51,0),IF(DU51="keep",EF51,0),IF(EW51="keep",FH51,0),IF(FY51="keep",GJ51,0),IF(HA51="keep",HL51,0),IF(IC51="keep",IN51,0),IF(JE51="keep",JP51,0),IF(KG51="keep",KR51,0),IF(LI51="keep",LT51,0))</f>
        <v>0</v>
      </c>
      <c r="U51" s="5">
        <f>SUM(IF(BQ51="keep",CI51,0),IF(CS51="keep",DK51,0),IF(DU51="keep",EM51,0),IF(EW51="keep",FO51,0),IF(FY51="keep",GQ51,0),IF(HA51="keep",HS51,0),IF(IC51="keep",IU51,0),IF(JE51="keep",JW51,0),IF(KG51="keep",KY51,0),IF(LI51="keep",MA51,0))</f>
        <v>0</v>
      </c>
      <c r="V51" s="5">
        <f>R51/O51</f>
        <v>1.2612685630092753</v>
      </c>
      <c r="W51" s="5">
        <f>S51/P51</f>
        <v>1.2618429298849076</v>
      </c>
      <c r="X51" s="5">
        <f>T51/O51</f>
        <v>0</v>
      </c>
      <c r="Y51" s="5">
        <f>U51/P51</f>
        <v>0</v>
      </c>
      <c r="Z51" s="5">
        <f>V51+X51</f>
        <v>1.2612685630092753</v>
      </c>
      <c r="AA51" s="7">
        <f>IFERROR(W51/V51-1,0)</f>
        <v>0.00045538824361246455</v>
      </c>
      <c r="AB51" s="7">
        <f>IFERROR((W51-V51)/Z51,0)</f>
        <v>0.00045538824361245013</v>
      </c>
      <c r="AC51" s="7">
        <f>IFERROR(Y51/X51-1,0)</f>
        <v>0</v>
      </c>
      <c r="AD51" s="7">
        <f>IFERROR((Y51-X51)/Z51,0)</f>
        <v>0</v>
      </c>
      <c r="AE51" s="7">
        <f>AB51+AD51</f>
        <v>0.00045538824361245013</v>
      </c>
      <c r="AF51" s="7">
        <f>(1+Q51)*(1+AE51)-1</f>
        <v>-0.002269163467290669</v>
      </c>
      <c r="AG51" s="7">
        <f>G51-AF51</f>
        <v>-6.895525817007808e-17</v>
      </c>
      <c r="AH51" s="5">
        <f>SUM(IF(BQ51="lease",CE51,0),IF(CS51="lease",DG51,0),IF(DU51="lease",EI51,0),IF(EW51="lease",FK51,0),IF(FY51="lease",GM51,0),IF(HA51="lease",HO51,0),IF(IC51="lease",IQ51,0),IF(JE51="lease",JS51,0),IF(KG51="lease",KU51,0),IF(LI51="lease",LW51,0))</f>
        <v>-0.0026836961520754375</v>
      </c>
      <c r="AI51" s="5">
        <f>SUM(IF(BQ51="keep",CE51,0),IF(CS51="keep",DG51,0),IF(DU51="keep",EI51,0),IF(EW51="keep",FK51,0),IF(FY51="keep",GM51,0),IF(HA51="keep",HO51,0),IF(IC51="keep",IQ51,0),IF(JE51="keep",JS51,0),IF(KG51="keep",KU51,0),IF(LI51="keep",LW51,0))</f>
        <v>0</v>
      </c>
      <c r="AJ51" s="5">
        <f>SUM(IF(BQ51="lease",CH51,0),IF(CS51="lease",DJ51,0),IF(DU51="lease",EL51,0),IF(EW51="lease",FN51,0),IF(FY51="lease",GP51,0),IF(HA51="lease",HR51,0),IF(IC51="lease",IT51,0),IF(JE51="lease",JV51,0),IF(KG51="lease",KX51,0),IF(LI51="lease",LZ51,0))</f>
        <v>0</v>
      </c>
      <c r="AK51" s="5">
        <f>SUM(IF(BQ51="keep",CH51,0),IF(CS51="keep",DJ51,0),IF(DU51="keep",EL51,0),IF(EW51="keep",FN51,0),IF(FY51="keep",GP51,0),IF(HA51="keep",HR51,0),IF(IC51="keep",IT51,0),IF(JE51="keep",JV51,0),IF(KG51="keep",KX51,0),IF(LI51="keep",LZ51,0))</f>
        <v>0</v>
      </c>
      <c r="AL51" s="5">
        <f>R51-S50</f>
        <v>0</v>
      </c>
      <c r="AM51" s="5">
        <f>T51-U50</f>
        <v>0</v>
      </c>
      <c r="AN51" s="5">
        <f>AN50</f>
        <v>1</v>
      </c>
      <c r="AO51" s="5">
        <f>AO50+AH51</f>
        <v>0.17999714229788905</v>
      </c>
      <c r="AP51" s="5">
        <f>AP50+AL51</f>
        <v>-6.661338147750939e-16</v>
      </c>
      <c r="AQ51" s="5">
        <f>AN51+AO51+AP51</f>
        <v>1.1799971422978883</v>
      </c>
      <c r="AR51" s="5">
        <f>S51-AQ51</f>
        <v>2.220446049250313e-16</v>
      </c>
      <c r="AS51" s="5">
        <f>AS50</f>
        <v>0</v>
      </c>
      <c r="AT51" s="5">
        <f>AT50+AI51</f>
        <v>0</v>
      </c>
      <c r="AU51" s="5">
        <f>AU50+AM51</f>
        <v>0</v>
      </c>
      <c r="AV51" s="5">
        <f>AS51+AT51+AU51</f>
        <v>0</v>
      </c>
      <c r="AW51" s="5">
        <f>U51-AV51</f>
        <v>0</v>
      </c>
      <c r="AX51" s="4">
        <v>1.182680838449964</v>
      </c>
      <c r="AY51" s="4">
        <v>1.1799971422978885</v>
      </c>
      <c r="AZ51" s="5">
        <f>S51-AY51</f>
        <v>0</v>
      </c>
      <c r="BA51" s="4">
        <v>0</v>
      </c>
      <c r="BB51" s="4">
        <v>0</v>
      </c>
      <c r="BC51" s="5">
        <f>U51-BB51</f>
        <v>0</v>
      </c>
      <c r="BD51" s="7">
        <f>SUM(IF(BP51="direct",CC51/F51,0),IF(CR51="direct",DE51/F51,0),IF(DT51="direct",EG51/F51,0),IF(EV51="direct",FI51/F51,0),IF(FX51="direct",GK51/F51,0),IF(GZ51="direct",HM51/F51,0),IF(IB51="direct",IO51/F51,0),IF(JD51="direct",JQ51/F51,0),IF(KF51="direct",KS51/F51,0),IF(LH51="direct",LU51/F51,0))</f>
        <v>0</v>
      </c>
      <c r="BE51" s="7">
        <f>-SUM(IF(BP51="direct",CD51/F51,0),IF(CR51="direct",DF51/F51,0),IF(DT51="direct",EH51/F51,0),IF(EV51="direct",FJ51/F51,0),IF(FX51="direct",GL51/F51,0),IF(GZ51="direct",HN51/F51,0),IF(IB51="direct",IP51/F51,0),IF(JD51="direct",JR51/F51,0),IF(KF51="direct",KT51/F51,0),IF(LH51="direct",LV51/F51,0))</f>
        <v>0</v>
      </c>
      <c r="BF51" s="7">
        <f>BD51+BE51</f>
        <v>0</v>
      </c>
      <c r="BG51" s="7">
        <f>BF51-SUM(IF(BP51="direct",CP51,0),IF(CR51="direct",DR51,0),IF(DT51="direct",ET51,0),IF(EV51="direct",FV51,0),IF(FX51="direct",GX51,0),IF(GZ51="direct",HZ51,0),IF(IB51="direct",JB51,0),IF(JD51="direct",KD51,0),IF(KF51="direct",LF51,0),IF(LH51="direct",MH51,0))</f>
        <v>0</v>
      </c>
      <c r="BH51" s="7">
        <f>SUM(IF(BP51="treasury",CP51,0),IF(CR51="treasury",DR51,0),IF(DT51="treasury",ET51,0),IF(EV51="treasury",FV51,0),IF(FX51="treasury",GX51,0),IF(GZ51="treasury",HZ51,0),IF(IB51="treasury",JB51,0),IF(JD51="treasury",KD51,0),IF(KF51="treasury",LF51,0),IF(LH51="treasury",MH51,0))</f>
        <v>0.0004947945205479451</v>
      </c>
      <c r="BI51" s="7">
        <f>SUM(IF(BP51="future",CP51,0),IF(CR51="future",DR51,0),IF(DT51="future",ET51,0),IF(EV51="future",FV51,0),IF(FX51="future",GX51,0),IF(GZ51="future",HZ51,0),IF(IB51="future",JB51,0),IF(JD51="future",KD51,0),IF(KF51="future",LF51,0),IF(LH51="future",MH51,0))</f>
        <v>-0.0027639579878386833</v>
      </c>
      <c r="BJ51" s="7">
        <f>SUM(IF(BP51="cash",CP51,0),IF(CR51="cash",DR51,0),IF(DT51="cash",ET51,0),IF(EV51="cash",FV51,0),IF(FX51="cash",GX51,0),IF(GZ51="cash",HZ51,0),IF(IB51="cash",JB51,0),IF(JD51="cash",KD51,0),IF(KF51="cash",LF51,0),IF(LH51="cash",MH51,0))</f>
        <v>0</v>
      </c>
      <c r="BK51" s="7">
        <f>SUM(BF51,BH51,BI51,BJ51)</f>
        <v>-0.002269163467290738</v>
      </c>
      <c r="BL51" s="7">
        <f>G51-BK51</f>
        <v>0</v>
      </c>
      <c r="BM51" s="5">
        <f>MAX(ABS(CG51),ABS(DI51),ABS(EK51),ABS(FM51),ABS(GO51),ABS(HQ51),ABS(IS51),ABS(JU51),ABS(KW51),ABS(LY51))</f>
        <v>1.32164244825983e-16</v>
      </c>
      <c r="BN51" s="9">
        <f>COUNTA(BO51,CQ51,DS51,EU51,FW51,GY51,IA51,JC51,KE51,LG51)</f>
        <v>4</v>
      </c>
      <c r="BO51" t="inlineStr">
        <is>
          <t xml:space="preserve">Treasury collateral</t>
        </is>
      </c>
      <c r="BP51" t="inlineStr">
        <is>
          <t xml:space="preserve">treasury</t>
        </is>
      </c>
      <c r="BQ51" t="inlineStr">
        <is>
          <t xml:space="preserve">lease</t>
        </is>
      </c>
      <c r="BR51" t="inlineStr">
        <is>
          <t xml:space="preserve">long</t>
        </is>
      </c>
      <c r="BS51"/>
      <c r="BT51" s="4">
        <v>101.19731845996797</v>
      </c>
      <c r="BU51" s="4">
        <v>101.24739033863612</v>
      </c>
      <c r="BV51" s="6"/>
      <c r="BW51" s="4">
        <v>0.011686879222178337</v>
      </c>
      <c r="BX51" s="5">
        <f>IF(BP51="direct",IFERROR(CD51/BU51,0),0)</f>
        <v>0</v>
      </c>
      <c r="BY51" s="5">
        <f>IF(BP51="direct",BW51-BX51,IF(BP51="cash",CI51,BW51))</f>
        <v>0.011686879222178337</v>
      </c>
      <c r="BZ51" s="6">
        <v>1</v>
      </c>
      <c r="CA51" s="4">
        <v>1.182680838449964</v>
      </c>
      <c r="CB51" s="4">
        <v>1.182680838449964</v>
      </c>
      <c r="CC51" s="5">
        <f>IF(BP51="direct",BW51*(BU51-BT51),CF51)</f>
        <v>0.0005851839984222239</v>
      </c>
      <c r="CD51" s="5">
        <f>IF(BP51="direct",CB51*BV51*C51/365,0)</f>
        <v>0</v>
      </c>
      <c r="CE51" s="5">
        <f>CC51-CD51</f>
        <v>0.0005851839984220917</v>
      </c>
      <c r="CF51" s="4">
        <v>0.0005851839984220917</v>
      </c>
      <c r="CG51" s="5">
        <f>CF51-CE51</f>
        <v>-1.32164244825983e-16</v>
      </c>
      <c r="CH51" s="4">
        <v>2.0166160408230382e-17</v>
      </c>
      <c r="CI51" s="4">
        <v>1.1832660224483862</v>
      </c>
      <c r="CJ51" s="4">
        <v>1.836</v>
      </c>
      <c r="CK51" s="4">
        <v>1.831</v>
      </c>
      <c r="CL51" s="6"/>
      <c r="CM51" s="6"/>
      <c r="CN51" s="6"/>
      <c r="CO51" s="9">
        <v>13</v>
      </c>
      <c r="CP51" s="7">
        <f>IFERROR(CE51/F51,0)</f>
        <v>0.0004947945205479451</v>
      </c>
      <c r="CQ51" t="inlineStr">
        <is>
          <t xml:space="preserve">SI69H</t>
        </is>
      </c>
      <c r="CR51" t="inlineStr">
        <is>
          <t xml:space="preserve">future</t>
        </is>
      </c>
      <c r="CS51" t="inlineStr">
        <is>
          <t xml:space="preserve">lease</t>
        </is>
      </c>
      <c r="CT51" t="inlineStr">
        <is>
          <t xml:space="preserve">long</t>
        </is>
      </c>
      <c r="CU51" t="inlineStr">
        <is>
          <t xml:space="preserve">regular</t>
        </is>
      </c>
      <c r="CV51" s="4">
        <v>1.8090000000000002</v>
      </c>
      <c r="CW51" s="4">
        <v>1.804</v>
      </c>
      <c r="CX51" s="6"/>
      <c r="CY51" s="4">
        <v>0.6537760300994826</v>
      </c>
      <c r="CZ51" s="5">
        <f>IF(CR51="direct",IFERROR(DF51/CW51,0),0)</f>
        <v>0</v>
      </c>
      <c r="DA51" s="5">
        <f>IF(CR51="direct",CY51-CZ51,IF(CR51="cash",DK51,CY51))</f>
        <v>0.6537760300994826</v>
      </c>
      <c r="DB51" s="6">
        <v>1</v>
      </c>
      <c r="DC51" s="4">
        <v>1.182680838449964</v>
      </c>
      <c r="DD51" s="4">
        <v>0</v>
      </c>
      <c r="DE51" s="5">
        <f>IF(CR51="direct",CY51*(CW51-CV51),DH51)</f>
        <v>-0.0032688801504975294</v>
      </c>
      <c r="DF51" s="5">
        <f>IF(CR51="direct",DD51*CX51*C51/365,0)</f>
        <v>0</v>
      </c>
      <c r="DG51" s="5">
        <f>DE51-DF51</f>
        <v>-0.0032688801504975294</v>
      </c>
      <c r="DH51" s="4">
        <v>-0.0032688801504975294</v>
      </c>
      <c r="DI51" s="5">
        <f>DH51-DG51</f>
        <v>0</v>
      </c>
      <c r="DJ51" s="4">
        <v>0.0032688801504975294</v>
      </c>
      <c r="DK51" s="4">
        <v>0</v>
      </c>
      <c r="DL51" s="4">
        <v>1.836</v>
      </c>
      <c r="DM51" s="4">
        <v>1.831</v>
      </c>
      <c r="DN51" s="6">
        <v>-0.014705882352941124</v>
      </c>
      <c r="DO51" s="6">
        <v>0.0602</v>
      </c>
      <c r="DP51" s="6">
        <v>0.47309592760180846</v>
      </c>
      <c r="DQ51" s="9">
        <v>13</v>
      </c>
      <c r="DR51" s="7">
        <f>IFERROR(DG51/F51,0)</f>
        <v>-0.0027639579878386833</v>
      </c>
      <c r="DS51" t="inlineStr">
        <is>
          <t xml:space="preserve">Lease cash / margin / financing</t>
        </is>
      </c>
      <c r="DT51" t="inlineStr">
        <is>
          <t xml:space="preserve">cash</t>
        </is>
      </c>
      <c r="DU51" t="inlineStr">
        <is>
          <t xml:space="preserve">lease</t>
        </is>
      </c>
      <c r="DV51" t="inlineStr">
        <is>
          <t xml:space="preserve">cash</t>
        </is>
      </c>
      <c r="DW51"/>
      <c r="DX51" s="4">
        <v>1</v>
      </c>
      <c r="DY51" s="4">
        <v>1</v>
      </c>
      <c r="DZ51" s="6"/>
      <c r="EA51" s="4">
        <v>0</v>
      </c>
      <c r="EB51" s="5">
        <f>IF(DT51="direct",IFERROR(EH51/DY51,0),0)</f>
        <v>0</v>
      </c>
      <c r="EC51" s="5">
        <f>IF(DT51="direct",EA51-EB51,IF(DT51="cash",EM51,EA51))</f>
        <v>-0.0032688801504975494</v>
      </c>
      <c r="ED51" s="6"/>
      <c r="EE51" s="4">
        <v>0</v>
      </c>
      <c r="EF51" s="4">
        <v>0</v>
      </c>
      <c r="EG51" s="5">
        <f>IF(DT51="direct",EA51*(DY51-DX51),EJ51)</f>
        <v>0</v>
      </c>
      <c r="EH51" s="5">
        <f>IF(DT51="direct",EF51*DZ51*C51/365,0)</f>
        <v>0</v>
      </c>
      <c r="EI51" s="5">
        <f>EG51-EH51</f>
        <v>0</v>
      </c>
      <c r="EJ51" s="4">
        <v>0</v>
      </c>
      <c r="EK51" s="5">
        <f>EJ51-EI51</f>
        <v>0</v>
      </c>
      <c r="EL51" s="4">
        <v>-0.0032688801504975494</v>
      </c>
      <c r="EM51" s="4">
        <v>-0.0032688801504975494</v>
      </c>
      <c r="EN51" s="4">
        <v>1.836</v>
      </c>
      <c r="EO51" s="4">
        <v>1.831</v>
      </c>
      <c r="EP51" s="6"/>
      <c r="EQ51" s="6"/>
      <c r="ER51" s="6"/>
      <c r="ES51" s="9"/>
      <c r="ET51" s="7">
        <f>IFERROR(EI51/F51,0)</f>
        <v>0</v>
      </c>
      <c r="EU51" t="inlineStr">
        <is>
          <t xml:space="preserve">Keep cash / margin / financing</t>
        </is>
      </c>
      <c r="EV51" t="inlineStr">
        <is>
          <t xml:space="preserve">cash</t>
        </is>
      </c>
      <c r="EW51" t="inlineStr">
        <is>
          <t xml:space="preserve">keep</t>
        </is>
      </c>
      <c r="EX51" t="inlineStr">
        <is>
          <t xml:space="preserve">cash</t>
        </is>
      </c>
      <c r="EY51"/>
      <c r="EZ51" s="4">
        <v>1</v>
      </c>
      <c r="FA51" s="4">
        <v>1</v>
      </c>
      <c r="FB51" s="6"/>
      <c r="FC51" s="4">
        <v>0</v>
      </c>
      <c r="FD51" s="5">
        <f>IF(EV51="direct",IFERROR(FJ51/FA51,0),0)</f>
        <v>0</v>
      </c>
      <c r="FE51" s="5">
        <f>IF(EV51="direct",FC51-FD51,IF(EV51="cash",FO51,FC51))</f>
        <v>0</v>
      </c>
      <c r="FF51" s="6"/>
      <c r="FG51" s="4">
        <v>0</v>
      </c>
      <c r="FH51" s="4">
        <v>0</v>
      </c>
      <c r="FI51" s="5">
        <f>IF(EV51="direct",FC51*(FA51-EZ51),FL51)</f>
        <v>0</v>
      </c>
      <c r="FJ51" s="5">
        <f>IF(EV51="direct",FH51*FB51*C51/365,0)</f>
        <v>0</v>
      </c>
      <c r="FK51" s="5">
        <f>FI51-FJ51</f>
        <v>0</v>
      </c>
      <c r="FL51" s="4">
        <v>0</v>
      </c>
      <c r="FM51" s="5">
        <f>FL51-FK51</f>
        <v>0</v>
      </c>
      <c r="FN51" s="4">
        <v>0</v>
      </c>
      <c r="FO51" s="4">
        <v>0</v>
      </c>
      <c r="FP51" s="4">
        <v>1.836</v>
      </c>
      <c r="FQ51" s="4">
        <v>1.831</v>
      </c>
      <c r="FR51" s="6"/>
      <c r="FS51" s="6"/>
      <c r="FT51" s="6"/>
      <c r="FU51" s="9"/>
      <c r="FV51" s="7">
        <f>IFERROR(FK51/F51,0)</f>
        <v>0</v>
      </c>
      <c r="FW51"/>
      <c r="FX51"/>
      <c r="FY51"/>
      <c r="FZ51"/>
      <c r="GA51"/>
      <c r="GB51" s="4"/>
      <c r="GC51" s="4"/>
      <c r="GD51" s="6"/>
      <c r="GE51" s="4"/>
      <c r="GF51" s="5">
        <v>0</v>
      </c>
      <c r="GG51" s="5"/>
      <c r="GH51" s="6"/>
      <c r="GI51" s="4"/>
      <c r="GJ51" s="4"/>
      <c r="GK51" s="5">
        <v>0</v>
      </c>
      <c r="GL51" s="5">
        <v>0</v>
      </c>
      <c r="GM51" s="5"/>
      <c r="GN51" s="4"/>
      <c r="GO51" s="5">
        <v>0</v>
      </c>
      <c r="GP51" s="4"/>
      <c r="GQ51" s="4"/>
      <c r="GR51" s="4"/>
      <c r="GS51" s="4"/>
      <c r="GT51" s="6"/>
      <c r="GU51" s="6"/>
      <c r="GV51" s="6"/>
      <c r="GW51" s="9"/>
      <c r="GX51"/>
      <c r="GY51"/>
      <c r="GZ51"/>
      <c r="HA51"/>
      <c r="HB51"/>
      <c r="HC51"/>
      <c r="HD51" s="4"/>
      <c r="HE51" s="4"/>
      <c r="HF51" s="6"/>
      <c r="HG51" s="4"/>
      <c r="HH51" s="5">
        <v>0</v>
      </c>
      <c r="HI51" s="5"/>
      <c r="HJ51" s="6"/>
      <c r="HK51" s="4"/>
      <c r="HL51" s="4"/>
      <c r="HM51" s="5">
        <v>0</v>
      </c>
      <c r="HN51" s="5">
        <v>0</v>
      </c>
      <c r="HO51" s="5"/>
      <c r="HP51" s="4"/>
      <c r="HQ51" s="5">
        <v>0</v>
      </c>
      <c r="HR51" s="4"/>
      <c r="HS51" s="4"/>
      <c r="HT51" s="4"/>
      <c r="HU51" s="4"/>
      <c r="HV51" s="6"/>
      <c r="HW51" s="6"/>
      <c r="HX51" s="6"/>
      <c r="HY51" s="9"/>
      <c r="HZ51"/>
      <c r="IA51"/>
      <c r="IB51"/>
      <c r="IC51"/>
      <c r="ID51"/>
      <c r="IE51"/>
      <c r="IF51" s="4"/>
      <c r="IG51" s="4"/>
      <c r="IH51" s="6"/>
      <c r="II51" s="4"/>
      <c r="IJ51" s="5">
        <v>0</v>
      </c>
      <c r="IK51" s="5"/>
      <c r="IL51" s="6"/>
      <c r="IM51" s="4"/>
      <c r="IN51" s="4"/>
      <c r="IO51" s="5">
        <v>0</v>
      </c>
      <c r="IP51" s="5">
        <v>0</v>
      </c>
      <c r="IQ51" s="5"/>
      <c r="IR51" s="4"/>
      <c r="IS51" s="5">
        <v>0</v>
      </c>
      <c r="IT51" s="4"/>
      <c r="IU51" s="4"/>
      <c r="IV51" s="4"/>
      <c r="IW51" s="4"/>
      <c r="IX51" s="6"/>
      <c r="IY51" s="6"/>
      <c r="IZ51" s="6"/>
      <c r="JA51" s="9"/>
      <c r="JB51"/>
      <c r="JC51"/>
      <c r="JD51"/>
      <c r="JE51"/>
      <c r="JF51"/>
      <c r="JG51"/>
      <c r="JH51" s="4"/>
      <c r="JI51" s="4"/>
      <c r="JJ51" s="6"/>
      <c r="JK51" s="4"/>
      <c r="JL51" s="5">
        <v>0</v>
      </c>
      <c r="JM51" s="5"/>
      <c r="JN51" s="6"/>
      <c r="JO51" s="4"/>
      <c r="JP51" s="4"/>
      <c r="JQ51" s="5">
        <v>0</v>
      </c>
      <c r="JR51" s="5">
        <v>0</v>
      </c>
      <c r="JS51" s="5"/>
      <c r="JT51" s="4"/>
      <c r="JU51" s="5">
        <v>0</v>
      </c>
      <c r="JV51" s="4"/>
      <c r="JW51" s="4"/>
      <c r="JX51" s="4"/>
      <c r="JY51" s="4"/>
      <c r="JZ51" s="6"/>
      <c r="KA51" s="6"/>
      <c r="KB51" s="6"/>
      <c r="KC51" s="9"/>
      <c r="KD51"/>
      <c r="KE51"/>
      <c r="KF51"/>
      <c r="KG51"/>
      <c r="KH51"/>
      <c r="KI51"/>
      <c r="KJ51" s="4"/>
      <c r="KK51" s="4"/>
      <c r="KL51" s="6"/>
      <c r="KM51" s="4"/>
      <c r="KN51" s="5">
        <v>0</v>
      </c>
      <c r="KO51" s="5"/>
      <c r="KP51" s="6"/>
      <c r="KQ51" s="4"/>
      <c r="KR51" s="4"/>
      <c r="KS51" s="5">
        <v>0</v>
      </c>
      <c r="KT51" s="5">
        <v>0</v>
      </c>
      <c r="KU51" s="5"/>
      <c r="KV51" s="4"/>
      <c r="KW51" s="5">
        <v>0</v>
      </c>
      <c r="KX51" s="4"/>
      <c r="KY51" s="4"/>
      <c r="KZ51" s="4"/>
      <c r="LA51" s="4"/>
      <c r="LB51" s="6"/>
      <c r="LC51" s="6"/>
      <c r="LD51" s="6"/>
      <c r="LE51" s="9"/>
      <c r="LF51"/>
      <c r="LG51"/>
      <c r="LH51"/>
      <c r="LI51"/>
      <c r="LJ51"/>
      <c r="LK51"/>
      <c r="LL51" s="4"/>
      <c r="LM51" s="4"/>
      <c r="LN51" s="6"/>
      <c r="LO51" s="4"/>
      <c r="LP51" s="5">
        <v>0</v>
      </c>
      <c r="LQ51" s="5"/>
      <c r="LR51" s="6"/>
      <c r="LS51" s="4"/>
      <c r="LT51" s="4"/>
      <c r="LU51" s="5">
        <v>0</v>
      </c>
      <c r="LV51" s="5">
        <v>0</v>
      </c>
      <c r="LW51" s="5"/>
      <c r="LX51" s="4"/>
      <c r="LY51" s="5">
        <v>0</v>
      </c>
      <c r="LZ51" s="4"/>
      <c r="MA51" s="4"/>
      <c r="MB51" s="4"/>
      <c r="MC51" s="4"/>
      <c r="MD51" s="6"/>
      <c r="ME51" s="6"/>
      <c r="MF51" s="6"/>
      <c r="MG51" s="9"/>
      <c r="MH51"/>
    </row>
    <row r="52">
      <c r="A52" s="8">
        <v>25279</v>
      </c>
      <c r="B52" s="8">
        <v>25280</v>
      </c>
      <c r="C52" s="9">
        <f>B52-A52</f>
        <v>1</v>
      </c>
      <c r="D52" s="8">
        <v>25279</v>
      </c>
      <c r="E52" t="inlineStr">
        <is>
          <t xml:space="preserve">positive</t>
        </is>
      </c>
      <c r="F52" s="4">
        <v>1.1799971422978885</v>
      </c>
      <c r="G52" s="6">
        <v>0.011807373568629683</v>
      </c>
      <c r="H52" s="7">
        <f>SUM(CP52,DR52,ET52,FV52,GX52,HZ52,JB52,KD52,LF52,MH52)</f>
        <v>0.011807373568629681</v>
      </c>
      <c r="I52" s="7">
        <f>G52-H52</f>
        <v>1.734723475976807e-18</v>
      </c>
      <c r="J52" s="5">
        <f>F52*(1+H52)</f>
        <v>1.1939298093669153</v>
      </c>
      <c r="K52" s="4">
        <v>1.1939298093669153</v>
      </c>
      <c r="L52" s="5">
        <f>K52-J52</f>
        <v>0</v>
      </c>
      <c r="M52" s="4">
        <v>1.831</v>
      </c>
      <c r="N52" s="4">
        <v>1.813</v>
      </c>
      <c r="O52" s="5">
        <f>M52/$M$3</f>
        <v>0.9351378958120531</v>
      </c>
      <c r="P52" s="5">
        <f>N52/$M$3</f>
        <v>0.9259448416751788</v>
      </c>
      <c r="Q52" s="7">
        <f>IFERROR(N52/M52-1,0)</f>
        <v>-0.00983069361004918</v>
      </c>
      <c r="R52" s="5">
        <f>SUM(IF(BQ52="lease",CB52,0),IF(CS52="lease",DD52,0),IF(DU52="lease",EF52,0),IF(EW52="lease",FH52,0),IF(FY52="lease",GJ52,0),IF(HA52="lease",HL52,0),IF(IC52="lease",IN52,0),IF(JE52="lease",JP52,0),IF(KG52="lease",KR52,0),IF(LI52="lease",LT52,0))</f>
        <v>1.1799971422978885</v>
      </c>
      <c r="S52" s="5">
        <f>SUM(IF(BQ52="lease",CI52,0),IF(CS52="lease",DK52,0),IF(DU52="lease",EM52,0),IF(EW52="lease",FO52,0),IF(FY52="lease",GQ52,0),IF(HA52="lease",HS52,0),IF(IC52="lease",IU52,0),IF(JE52="lease",JW52,0),IF(KG52="lease",KY52,0),IF(LI52="lease",MA52,0))</f>
        <v>1.1939298093669153</v>
      </c>
      <c r="T52" s="5">
        <f>SUM(IF(BQ52="keep",CB52,0),IF(CS52="keep",DD52,0),IF(DU52="keep",EF52,0),IF(EW52="keep",FH52,0),IF(FY52="keep",GJ52,0),IF(HA52="keep",HL52,0),IF(IC52="keep",IN52,0),IF(JE52="keep",JP52,0),IF(KG52="keep",KR52,0),IF(LI52="keep",LT52,0))</f>
        <v>0</v>
      </c>
      <c r="U52" s="5">
        <f>SUM(IF(BQ52="keep",CI52,0),IF(CS52="keep",DK52,0),IF(DU52="keep",EM52,0),IF(EW52="keep",FO52,0),IF(FY52="keep",GQ52,0),IF(HA52="keep",HS52,0),IF(IC52="keep",IU52,0),IF(JE52="keep",JW52,0),IF(KG52="keep",KY52,0),IF(LI52="keep",MA52,0))</f>
        <v>0</v>
      </c>
      <c r="V52" s="5">
        <f>R52/O52</f>
        <v>1.2618429298849076</v>
      </c>
      <c r="W52" s="5">
        <f>S52/P52</f>
        <v>1.2894178525871043</v>
      </c>
      <c r="X52" s="5">
        <f>T52/O52</f>
        <v>0</v>
      </c>
      <c r="Y52" s="5">
        <f>U52/P52</f>
        <v>0</v>
      </c>
      <c r="Z52" s="5">
        <f>V52+X52</f>
        <v>1.2618429298849076</v>
      </c>
      <c r="AA52" s="7">
        <f>IFERROR(W52/V52-1,0)</f>
        <v>0.021852896306762792</v>
      </c>
      <c r="AB52" s="7">
        <f>IFERROR((W52-V52)/Z52,0)</f>
        <v>0.02185289630676279</v>
      </c>
      <c r="AC52" s="7">
        <f>IFERROR(Y52/X52-1,0)</f>
        <v>0</v>
      </c>
      <c r="AD52" s="7">
        <f>IFERROR((Y52-X52)/Z52,0)</f>
        <v>0</v>
      </c>
      <c r="AE52" s="7">
        <f>AB52+AD52</f>
        <v>0.02185289630676279</v>
      </c>
      <c r="AF52" s="7">
        <f>(1+Q52)*(1+AE52)-1</f>
        <v>0.011807373568629709</v>
      </c>
      <c r="AG52" s="7">
        <f>G52-AF52</f>
        <v>-2.6020852139652106e-17</v>
      </c>
      <c r="AH52" s="5">
        <f>SUM(IF(BQ52="lease",CE52,0),IF(CS52="lease",DG52,0),IF(DU52="lease",EI52,0),IF(EW52="lease",FK52,0),IF(FY52="lease",GM52,0),IF(HA52="lease",HO52,0),IF(IC52="lease",IQ52,0),IF(JE52="lease",JS52,0),IF(KG52="lease",KU52,0),IF(LI52="lease",LW52,0))</f>
        <v>0.013932667069026647</v>
      </c>
      <c r="AI52" s="5">
        <f>SUM(IF(BQ52="keep",CE52,0),IF(CS52="keep",DG52,0),IF(DU52="keep",EI52,0),IF(EW52="keep",FK52,0),IF(FY52="keep",GM52,0),IF(HA52="keep",HO52,0),IF(IC52="keep",IQ52,0),IF(JE52="keep",JS52,0),IF(KG52="keep",KU52,0),IF(LI52="keep",LW52,0))</f>
        <v>0</v>
      </c>
      <c r="AJ52" s="5">
        <f>SUM(IF(BQ52="lease",CH52,0),IF(CS52="lease",DJ52,0),IF(DU52="lease",EL52,0),IF(EW52="lease",FN52,0),IF(FY52="lease",GP52,0),IF(HA52="lease",HR52,0),IF(IC52="lease",IT52,0),IF(JE52="lease",JV52,0),IF(KG52="lease",KX52,0),IF(LI52="lease",LZ52,0))</f>
        <v>0</v>
      </c>
      <c r="AK52" s="5">
        <f>SUM(IF(BQ52="keep",CH52,0),IF(CS52="keep",DJ52,0),IF(DU52="keep",EL52,0),IF(EW52="keep",FN52,0),IF(FY52="keep",GP52,0),IF(HA52="keep",HR52,0),IF(IC52="keep",IT52,0),IF(JE52="keep",JV52,0),IF(KG52="keep",KX52,0),IF(LI52="keep",LZ52,0))</f>
        <v>0</v>
      </c>
      <c r="AL52" s="5">
        <f>R52-S51</f>
        <v>0</v>
      </c>
      <c r="AM52" s="5">
        <f>T52-U51</f>
        <v>0</v>
      </c>
      <c r="AN52" s="5">
        <f>AN51</f>
        <v>1</v>
      </c>
      <c r="AO52" s="5">
        <f>AO51+AH52</f>
        <v>0.1939298093669157</v>
      </c>
      <c r="AP52" s="5">
        <f>AP51+AL52</f>
        <v>-6.661338147750939e-16</v>
      </c>
      <c r="AQ52" s="5">
        <f>AN52+AO52+AP52</f>
        <v>1.193929809366915</v>
      </c>
      <c r="AR52" s="5">
        <f>S52-AQ52</f>
        <v>2.220446049250313e-16</v>
      </c>
      <c r="AS52" s="5">
        <f>AS51</f>
        <v>0</v>
      </c>
      <c r="AT52" s="5">
        <f>AT51+AI52</f>
        <v>0</v>
      </c>
      <c r="AU52" s="5">
        <f>AU51+AM52</f>
        <v>0</v>
      </c>
      <c r="AV52" s="5">
        <f>AS52+AT52+AU52</f>
        <v>0</v>
      </c>
      <c r="AW52" s="5">
        <f>U52-AV52</f>
        <v>0</v>
      </c>
      <c r="AX52" s="4">
        <v>1.1799971422978885</v>
      </c>
      <c r="AY52" s="4">
        <v>1.1939298093669153</v>
      </c>
      <c r="AZ52" s="5">
        <f>S52-AY52</f>
        <v>0</v>
      </c>
      <c r="BA52" s="4">
        <v>0</v>
      </c>
      <c r="BB52" s="4">
        <v>0</v>
      </c>
      <c r="BC52" s="5">
        <f>U52-BB52</f>
        <v>0</v>
      </c>
      <c r="BD52" s="7">
        <f>SUM(IF(BP52="direct",CC52/F52,0),IF(CR52="direct",DE52/F52,0),IF(DT52="direct",EG52/F52,0),IF(EV52="direct",FI52/F52,0),IF(FX52="direct",GK52/F52,0),IF(GZ52="direct",HM52/F52,0),IF(IB52="direct",IO52/F52,0),IF(JD52="direct",JQ52/F52,0),IF(KF52="direct",KS52/F52,0),IF(LH52="direct",LU52/F52,0))</f>
        <v>0</v>
      </c>
      <c r="BE52" s="7">
        <f>-SUM(IF(BP52="direct",CD52/F52,0),IF(CR52="direct",DF52/F52,0),IF(DT52="direct",EH52/F52,0),IF(EV52="direct",FJ52/F52,0),IF(FX52="direct",GL52/F52,0),IF(GZ52="direct",HN52/F52,0),IF(IB52="direct",IP52/F52,0),IF(JD52="direct",JR52/F52,0),IF(KF52="direct",KT52/F52,0),IF(LH52="direct",LV52/F52,0))</f>
        <v>0</v>
      </c>
      <c r="BF52" s="7">
        <f>BD52+BE52</f>
        <v>0</v>
      </c>
      <c r="BG52" s="7">
        <f>BF52-SUM(IF(BP52="direct",CP52,0),IF(CR52="direct",DR52,0),IF(DT52="direct",ET52,0),IF(EV52="direct",FV52,0),IF(FX52="direct",GX52,0),IF(GZ52="direct",HZ52,0),IF(IB52="direct",JB52,0),IF(JD52="direct",KD52,0),IF(KF52="direct",LF52,0),IF(LH52="direct",MH52,0))</f>
        <v>0</v>
      </c>
      <c r="BH52" s="7">
        <f>SUM(IF(BP52="treasury",CP52,0),IF(CR52="treasury",DR52,0),IF(DT52="treasury",ET52,0),IF(EV52="treasury",FV52,0),IF(FX52="treasury",GX52,0),IF(GZ52="treasury",HZ52,0),IF(IB52="treasury",JB52,0),IF(JD52="treasury",KD52,0),IF(KF52="treasury",LF52,0),IF(LH52="treasury",MH52,0))</f>
        <v>0.00016657534246575342</v>
      </c>
      <c r="BI52" s="7">
        <f>SUM(IF(BP52="future",CP52,0),IF(CR52="future",DR52,0),IF(DT52="future",ET52,0),IF(EV52="future",FV52,0),IF(FX52="future",GX52,0),IF(GZ52="future",HZ52,0),IF(IB52="future",JB52,0),IF(JD52="future",KD52,0),IF(KF52="future",LF52,0),IF(LH52="future",MH52,0))</f>
        <v>0.011640798226163929</v>
      </c>
      <c r="BJ52" s="7">
        <f>SUM(IF(BP52="cash",CP52,0),IF(CR52="cash",DR52,0),IF(DT52="cash",ET52,0),IF(EV52="cash",FV52,0),IF(FX52="cash",GX52,0),IF(GZ52="cash",HZ52,0),IF(IB52="cash",JB52,0),IF(JD52="cash",KD52,0),IF(KF52="cash",LF52,0),IF(LH52="cash",MH52,0))</f>
        <v>0</v>
      </c>
      <c r="BK52" s="7">
        <f>SUM(BF52,BH52,BI52,BJ52)</f>
        <v>0.011807373568629683</v>
      </c>
      <c r="BL52" s="7">
        <f>G52-BK52</f>
        <v>0</v>
      </c>
      <c r="BM52" s="5">
        <f>MAX(ABS(CG52),ABS(DI52),ABS(EK52),ABS(FM52),ABS(GO52),ABS(HQ52),ABS(IS52),ABS(JU52),ABS(KW52),ABS(LY52))</f>
        <v>3.585998685495806e-17</v>
      </c>
      <c r="BN52" s="9">
        <f>COUNTA(BO52,CQ52,DS52,EU52,FW52,GY52,IA52,JC52,KE52,LG52)</f>
        <v>4</v>
      </c>
      <c r="BO52" t="inlineStr">
        <is>
          <t xml:space="preserve">Treasury collateral</t>
        </is>
      </c>
      <c r="BP52" t="inlineStr">
        <is>
          <t xml:space="preserve">treasury</t>
        </is>
      </c>
      <c r="BQ52" t="inlineStr">
        <is>
          <t xml:space="preserve">lease</t>
        </is>
      </c>
      <c r="BR52" t="inlineStr">
        <is>
          <t xml:space="preserve">long</t>
        </is>
      </c>
      <c r="BS52"/>
      <c r="BT52" s="4">
        <v>101.24739033863612</v>
      </c>
      <c r="BU52" s="4">
        <v>101.26425565735555</v>
      </c>
      <c r="BV52" s="6"/>
      <c r="BW52" s="4">
        <v>0.01165459315396893</v>
      </c>
      <c r="BX52" s="5">
        <f>IF(BP52="direct",IFERROR(CD52/BU52,0),0)</f>
        <v>0</v>
      </c>
      <c r="BY52" s="5">
        <f>IF(BP52="direct",BW52-BX52,IF(BP52="cash",CI52,BW52))</f>
        <v>0.01165459315396893</v>
      </c>
      <c r="BZ52" s="6">
        <v>1</v>
      </c>
      <c r="CA52" s="4">
        <v>1.1799971422978885</v>
      </c>
      <c r="CB52" s="4">
        <v>1.1799971422978885</v>
      </c>
      <c r="CC52" s="5">
        <f>IF(BP52="direct",BW52*(BU52-BT52),CF52)</f>
        <v>0.00019655842808691701</v>
      </c>
      <c r="CD52" s="5">
        <f>IF(BP52="direct",CB52*BV52*C52/365,0)</f>
        <v>0</v>
      </c>
      <c r="CE52" s="5">
        <f>CC52-CD52</f>
        <v>0.00019655842808688115</v>
      </c>
      <c r="CF52" s="4">
        <v>0.00019655842808688115</v>
      </c>
      <c r="CG52" s="5">
        <f>CF52-CE52</f>
        <v>-3.585998685495806e-17</v>
      </c>
      <c r="CH52" s="4">
        <v>-1.3509159069169385e-16</v>
      </c>
      <c r="CI52" s="4">
        <v>1.1801937007259753</v>
      </c>
      <c r="CJ52" s="4">
        <v>1.831</v>
      </c>
      <c r="CK52" s="4">
        <v>1.813</v>
      </c>
      <c r="CL52" s="6"/>
      <c r="CM52" s="6"/>
      <c r="CN52" s="6"/>
      <c r="CO52" s="9">
        <v>10</v>
      </c>
      <c r="CP52" s="7">
        <f>IFERROR(CE52/F52,0)</f>
        <v>0.00016657534246575342</v>
      </c>
      <c r="CQ52" t="inlineStr">
        <is>
          <t xml:space="preserve">SI69H</t>
        </is>
      </c>
      <c r="CR52" t="inlineStr">
        <is>
          <t xml:space="preserve">future</t>
        </is>
      </c>
      <c r="CS52" t="inlineStr">
        <is>
          <t xml:space="preserve">lease</t>
        </is>
      </c>
      <c r="CT52" t="inlineStr">
        <is>
          <t xml:space="preserve">long</t>
        </is>
      </c>
      <c r="CU52" t="inlineStr">
        <is>
          <t xml:space="preserve">regular</t>
        </is>
      </c>
      <c r="CV52" s="4">
        <v>1.804</v>
      </c>
      <c r="CW52" s="4">
        <v>1.825</v>
      </c>
      <c r="CX52" s="6"/>
      <c r="CY52" s="4">
        <v>0.6541004114733306</v>
      </c>
      <c r="CZ52" s="5">
        <f>IF(CR52="direct",IFERROR(DF52/CW52,0),0)</f>
        <v>0</v>
      </c>
      <c r="DA52" s="5">
        <f>IF(CR52="direct",CY52-CZ52,IF(CR52="cash",DK52,CY52))</f>
        <v>0.6541004114733306</v>
      </c>
      <c r="DB52" s="6">
        <v>1</v>
      </c>
      <c r="DC52" s="4">
        <v>1.1799971422978885</v>
      </c>
      <c r="DD52" s="4">
        <v>0</v>
      </c>
      <c r="DE52" s="5">
        <f>IF(CR52="direct",CY52*(CW52-CV52),DH52)</f>
        <v>0.013736108640939765</v>
      </c>
      <c r="DF52" s="5">
        <f>IF(CR52="direct",DD52*CX52*C52/365,0)</f>
        <v>0</v>
      </c>
      <c r="DG52" s="5">
        <f>DE52-DF52</f>
        <v>0.013736108640939765</v>
      </c>
      <c r="DH52" s="4">
        <v>0.013736108640939765</v>
      </c>
      <c r="DI52" s="5">
        <f>DH52-DG52</f>
        <v>0</v>
      </c>
      <c r="DJ52" s="4">
        <v>-0.013736108640939765</v>
      </c>
      <c r="DK52" s="4">
        <v>0</v>
      </c>
      <c r="DL52" s="4">
        <v>1.831</v>
      </c>
      <c r="DM52" s="4">
        <v>1.813</v>
      </c>
      <c r="DN52" s="6">
        <v>-0.014746040415073658</v>
      </c>
      <c r="DO52" s="6">
        <v>0.0608</v>
      </c>
      <c r="DP52" s="6">
        <v>0.5990304751501885</v>
      </c>
      <c r="DQ52" s="9">
        <v>10</v>
      </c>
      <c r="DR52" s="7">
        <f>IFERROR(DG52/F52,0)</f>
        <v>0.011640798226163929</v>
      </c>
      <c r="DS52" t="inlineStr">
        <is>
          <t xml:space="preserve">Lease cash / margin / financing</t>
        </is>
      </c>
      <c r="DT52" t="inlineStr">
        <is>
          <t xml:space="preserve">cash</t>
        </is>
      </c>
      <c r="DU52" t="inlineStr">
        <is>
          <t xml:space="preserve">lease</t>
        </is>
      </c>
      <c r="DV52" t="inlineStr">
        <is>
          <t xml:space="preserve">cash</t>
        </is>
      </c>
      <c r="DW52"/>
      <c r="DX52" s="4">
        <v>1</v>
      </c>
      <c r="DY52" s="4">
        <v>1</v>
      </c>
      <c r="DZ52" s="6"/>
      <c r="EA52" s="4">
        <v>0</v>
      </c>
      <c r="EB52" s="5">
        <f>IF(DT52="direct",IFERROR(EH52/DY52,0),0)</f>
        <v>0</v>
      </c>
      <c r="EC52" s="5">
        <f>IF(DT52="direct",EA52-EB52,IF(DT52="cash",EM52,EA52))</f>
        <v>0.0137361086409399</v>
      </c>
      <c r="ED52" s="6"/>
      <c r="EE52" s="4">
        <v>0</v>
      </c>
      <c r="EF52" s="4">
        <v>0</v>
      </c>
      <c r="EG52" s="5">
        <f>IF(DT52="direct",EA52*(DY52-DX52),EJ52)</f>
        <v>0</v>
      </c>
      <c r="EH52" s="5">
        <f>IF(DT52="direct",EF52*DZ52*C52/365,0)</f>
        <v>0</v>
      </c>
      <c r="EI52" s="5">
        <f>EG52-EH52</f>
        <v>0</v>
      </c>
      <c r="EJ52" s="4">
        <v>0</v>
      </c>
      <c r="EK52" s="5">
        <f>EJ52-EI52</f>
        <v>0</v>
      </c>
      <c r="EL52" s="4">
        <v>0.0137361086409399</v>
      </c>
      <c r="EM52" s="4">
        <v>0.0137361086409399</v>
      </c>
      <c r="EN52" s="4">
        <v>1.831</v>
      </c>
      <c r="EO52" s="4">
        <v>1.813</v>
      </c>
      <c r="EP52" s="6"/>
      <c r="EQ52" s="6"/>
      <c r="ER52" s="6"/>
      <c r="ES52" s="9"/>
      <c r="ET52" s="7">
        <f>IFERROR(EI52/F52,0)</f>
        <v>0</v>
      </c>
      <c r="EU52" t="inlineStr">
        <is>
          <t xml:space="preserve">Keep cash / margin / financing</t>
        </is>
      </c>
      <c r="EV52" t="inlineStr">
        <is>
          <t xml:space="preserve">cash</t>
        </is>
      </c>
      <c r="EW52" t="inlineStr">
        <is>
          <t xml:space="preserve">keep</t>
        </is>
      </c>
      <c r="EX52" t="inlineStr">
        <is>
          <t xml:space="preserve">cash</t>
        </is>
      </c>
      <c r="EY52"/>
      <c r="EZ52" s="4">
        <v>1</v>
      </c>
      <c r="FA52" s="4">
        <v>1</v>
      </c>
      <c r="FB52" s="6"/>
      <c r="FC52" s="4">
        <v>0</v>
      </c>
      <c r="FD52" s="5">
        <f>IF(EV52="direct",IFERROR(FJ52/FA52,0),0)</f>
        <v>0</v>
      </c>
      <c r="FE52" s="5">
        <f>IF(EV52="direct",FC52-FD52,IF(EV52="cash",FO52,FC52))</f>
        <v>0</v>
      </c>
      <c r="FF52" s="6"/>
      <c r="FG52" s="4">
        <v>0</v>
      </c>
      <c r="FH52" s="4">
        <v>0</v>
      </c>
      <c r="FI52" s="5">
        <f>IF(EV52="direct",FC52*(FA52-EZ52),FL52)</f>
        <v>0</v>
      </c>
      <c r="FJ52" s="5">
        <f>IF(EV52="direct",FH52*FB52*C52/365,0)</f>
        <v>0</v>
      </c>
      <c r="FK52" s="5">
        <f>FI52-FJ52</f>
        <v>0</v>
      </c>
      <c r="FL52" s="4">
        <v>0</v>
      </c>
      <c r="FM52" s="5">
        <f>FL52-FK52</f>
        <v>0</v>
      </c>
      <c r="FN52" s="4">
        <v>0</v>
      </c>
      <c r="FO52" s="4">
        <v>0</v>
      </c>
      <c r="FP52" s="4">
        <v>1.831</v>
      </c>
      <c r="FQ52" s="4">
        <v>1.813</v>
      </c>
      <c r="FR52" s="6"/>
      <c r="FS52" s="6"/>
      <c r="FT52" s="6"/>
      <c r="FU52" s="9"/>
      <c r="FV52" s="7">
        <f>IFERROR(FK52/F52,0)</f>
        <v>0</v>
      </c>
      <c r="FW52"/>
      <c r="FX52"/>
      <c r="FY52"/>
      <c r="FZ52"/>
      <c r="GA52"/>
      <c r="GB52" s="4"/>
      <c r="GC52" s="4"/>
      <c r="GD52" s="6"/>
      <c r="GE52" s="4"/>
      <c r="GF52" s="5">
        <v>0</v>
      </c>
      <c r="GG52" s="5"/>
      <c r="GH52" s="6"/>
      <c r="GI52" s="4"/>
      <c r="GJ52" s="4"/>
      <c r="GK52" s="5">
        <v>0</v>
      </c>
      <c r="GL52" s="5">
        <v>0</v>
      </c>
      <c r="GM52" s="5"/>
      <c r="GN52" s="4"/>
      <c r="GO52" s="5">
        <v>0</v>
      </c>
      <c r="GP52" s="4"/>
      <c r="GQ52" s="4"/>
      <c r="GR52" s="4"/>
      <c r="GS52" s="4"/>
      <c r="GT52" s="6"/>
      <c r="GU52" s="6"/>
      <c r="GV52" s="6"/>
      <c r="GW52" s="9"/>
      <c r="GX52"/>
      <c r="GY52"/>
      <c r="GZ52"/>
      <c r="HA52"/>
      <c r="HB52"/>
      <c r="HC52"/>
      <c r="HD52" s="4"/>
      <c r="HE52" s="4"/>
      <c r="HF52" s="6"/>
      <c r="HG52" s="4"/>
      <c r="HH52" s="5">
        <v>0</v>
      </c>
      <c r="HI52" s="5"/>
      <c r="HJ52" s="6"/>
      <c r="HK52" s="4"/>
      <c r="HL52" s="4"/>
      <c r="HM52" s="5">
        <v>0</v>
      </c>
      <c r="HN52" s="5">
        <v>0</v>
      </c>
      <c r="HO52" s="5"/>
      <c r="HP52" s="4"/>
      <c r="HQ52" s="5">
        <v>0</v>
      </c>
      <c r="HR52" s="4"/>
      <c r="HS52" s="4"/>
      <c r="HT52" s="4"/>
      <c r="HU52" s="4"/>
      <c r="HV52" s="6"/>
      <c r="HW52" s="6"/>
      <c r="HX52" s="6"/>
      <c r="HY52" s="9"/>
      <c r="HZ52"/>
      <c r="IA52"/>
      <c r="IB52"/>
      <c r="IC52"/>
      <c r="ID52"/>
      <c r="IE52"/>
      <c r="IF52" s="4"/>
      <c r="IG52" s="4"/>
      <c r="IH52" s="6"/>
      <c r="II52" s="4"/>
      <c r="IJ52" s="5">
        <v>0</v>
      </c>
      <c r="IK52" s="5"/>
      <c r="IL52" s="6"/>
      <c r="IM52" s="4"/>
      <c r="IN52" s="4"/>
      <c r="IO52" s="5">
        <v>0</v>
      </c>
      <c r="IP52" s="5">
        <v>0</v>
      </c>
      <c r="IQ52" s="5"/>
      <c r="IR52" s="4"/>
      <c r="IS52" s="5">
        <v>0</v>
      </c>
      <c r="IT52" s="4"/>
      <c r="IU52" s="4"/>
      <c r="IV52" s="4"/>
      <c r="IW52" s="4"/>
      <c r="IX52" s="6"/>
      <c r="IY52" s="6"/>
      <c r="IZ52" s="6"/>
      <c r="JA52" s="9"/>
      <c r="JB52"/>
      <c r="JC52"/>
      <c r="JD52"/>
      <c r="JE52"/>
      <c r="JF52"/>
      <c r="JG52"/>
      <c r="JH52" s="4"/>
      <c r="JI52" s="4"/>
      <c r="JJ52" s="6"/>
      <c r="JK52" s="4"/>
      <c r="JL52" s="5">
        <v>0</v>
      </c>
      <c r="JM52" s="5"/>
      <c r="JN52" s="6"/>
      <c r="JO52" s="4"/>
      <c r="JP52" s="4"/>
      <c r="JQ52" s="5">
        <v>0</v>
      </c>
      <c r="JR52" s="5">
        <v>0</v>
      </c>
      <c r="JS52" s="5"/>
      <c r="JT52" s="4"/>
      <c r="JU52" s="5">
        <v>0</v>
      </c>
      <c r="JV52" s="4"/>
      <c r="JW52" s="4"/>
      <c r="JX52" s="4"/>
      <c r="JY52" s="4"/>
      <c r="JZ52" s="6"/>
      <c r="KA52" s="6"/>
      <c r="KB52" s="6"/>
      <c r="KC52" s="9"/>
      <c r="KD52"/>
      <c r="KE52"/>
      <c r="KF52"/>
      <c r="KG52"/>
      <c r="KH52"/>
      <c r="KI52"/>
      <c r="KJ52" s="4"/>
      <c r="KK52" s="4"/>
      <c r="KL52" s="6"/>
      <c r="KM52" s="4"/>
      <c r="KN52" s="5">
        <v>0</v>
      </c>
      <c r="KO52" s="5"/>
      <c r="KP52" s="6"/>
      <c r="KQ52" s="4"/>
      <c r="KR52" s="4"/>
      <c r="KS52" s="5">
        <v>0</v>
      </c>
      <c r="KT52" s="5">
        <v>0</v>
      </c>
      <c r="KU52" s="5"/>
      <c r="KV52" s="4"/>
      <c r="KW52" s="5">
        <v>0</v>
      </c>
      <c r="KX52" s="4"/>
      <c r="KY52" s="4"/>
      <c r="KZ52" s="4"/>
      <c r="LA52" s="4"/>
      <c r="LB52" s="6"/>
      <c r="LC52" s="6"/>
      <c r="LD52" s="6"/>
      <c r="LE52" s="9"/>
      <c r="LF52"/>
      <c r="LG52"/>
      <c r="LH52"/>
      <c r="LI52"/>
      <c r="LJ52"/>
      <c r="LK52"/>
      <c r="LL52" s="4"/>
      <c r="LM52" s="4"/>
      <c r="LN52" s="6"/>
      <c r="LO52" s="4"/>
      <c r="LP52" s="5">
        <v>0</v>
      </c>
      <c r="LQ52" s="5"/>
      <c r="LR52" s="6"/>
      <c r="LS52" s="4"/>
      <c r="LT52" s="4"/>
      <c r="LU52" s="5">
        <v>0</v>
      </c>
      <c r="LV52" s="5">
        <v>0</v>
      </c>
      <c r="LW52" s="5"/>
      <c r="LX52" s="4"/>
      <c r="LY52" s="5">
        <v>0</v>
      </c>
      <c r="LZ52" s="4"/>
      <c r="MA52" s="4"/>
      <c r="MB52" s="4"/>
      <c r="MC52" s="4"/>
      <c r="MD52" s="6"/>
      <c r="ME52" s="6"/>
      <c r="MF52" s="6"/>
      <c r="MG52" s="9"/>
      <c r="MH52"/>
    </row>
    <row r="53">
      <c r="A53" s="8">
        <v>25280</v>
      </c>
      <c r="B53" s="8">
        <v>25281</v>
      </c>
      <c r="C53" s="9">
        <f>B53-A53</f>
        <v>1</v>
      </c>
      <c r="D53" s="8">
        <v>25280</v>
      </c>
      <c r="E53" t="inlineStr">
        <is>
          <t xml:space="preserve">neutral</t>
        </is>
      </c>
      <c r="F53" s="4">
        <v>1.1939298093669153</v>
      </c>
      <c r="G53" s="6">
        <v>0.006060442466509119</v>
      </c>
      <c r="H53" s="7">
        <f>SUM(CP53,DR53,ET53,FV53,GX53,HZ53,JB53,KD53,LF53,MH53)</f>
        <v>0.006060442466509118</v>
      </c>
      <c r="I53" s="7">
        <f>G53-H53</f>
        <v>8.673617379884035e-19</v>
      </c>
      <c r="J53" s="5">
        <f>F53*(1+H53)</f>
        <v>1.2011655522856337</v>
      </c>
      <c r="K53" s="4">
        <v>1.2011655522856337</v>
      </c>
      <c r="L53" s="5">
        <f>K53-J53</f>
        <v>0</v>
      </c>
      <c r="M53" s="4">
        <v>1.813</v>
      </c>
      <c r="N53" s="4">
        <v>1.824</v>
      </c>
      <c r="O53" s="5">
        <f>M53/$M$3</f>
        <v>0.9259448416751788</v>
      </c>
      <c r="P53" s="5">
        <f>N53/$M$3</f>
        <v>0.9315628192032687</v>
      </c>
      <c r="Q53" s="7">
        <f>IFERROR(N53/M53-1,0)</f>
        <v>0.006067291781577611</v>
      </c>
      <c r="R53" s="5">
        <f>SUM(IF(BQ53="lease",CB53,0),IF(CS53="lease",DD53,0),IF(DU53="lease",EF53,0),IF(EW53="lease",FH53,0),IF(FY53="lease",GJ53,0),IF(HA53="lease",HL53,0),IF(IC53="lease",IN53,0),IF(JE53="lease",JP53,0),IF(KG53="lease",KR53,0),IF(LI53="lease",LT53,0))</f>
        <v>1.1939298093669153</v>
      </c>
      <c r="S53" s="5">
        <f>SUM(IF(BQ53="lease",CI53,0),IF(CS53="lease",DK53,0),IF(DU53="lease",EM53,0),IF(EW53="lease",FO53,0),IF(FY53="lease",GQ53,0),IF(HA53="lease",HS53,0),IF(IC53="lease",IU53,0),IF(JE53="lease",JW53,0),IF(KG53="lease",KY53,0),IF(LI53="lease",MA53,0))</f>
        <v>1.2011655522856337</v>
      </c>
      <c r="T53" s="5">
        <f>SUM(IF(BQ53="keep",CB53,0),IF(CS53="keep",DD53,0),IF(DU53="keep",EF53,0),IF(EW53="keep",FH53,0),IF(FY53="keep",GJ53,0),IF(HA53="keep",HL53,0),IF(IC53="keep",IN53,0),IF(JE53="keep",JP53,0),IF(KG53="keep",KR53,0),IF(LI53="keep",LT53,0))</f>
        <v>0</v>
      </c>
      <c r="U53" s="5">
        <f>SUM(IF(BQ53="keep",CI53,0),IF(CS53="keep",DK53,0),IF(DU53="keep",EM53,0),IF(EW53="keep",FO53,0),IF(FY53="keep",GQ53,0),IF(HA53="keep",HS53,0),IF(IC53="keep",IU53,0),IF(JE53="keep",JW53,0),IF(KG53="keep",KY53,0),IF(LI53="keep",MA53,0))</f>
        <v>0</v>
      </c>
      <c r="V53" s="5">
        <f>R53/O53</f>
        <v>1.2894178525871043</v>
      </c>
      <c r="W53" s="5">
        <f>S53/P53</f>
        <v>1.2894090742188984</v>
      </c>
      <c r="X53" s="5">
        <f>T53/O53</f>
        <v>0</v>
      </c>
      <c r="Y53" s="5">
        <f>U53/P53</f>
        <v>0</v>
      </c>
      <c r="Z53" s="5">
        <f>V53+X53</f>
        <v>1.2894178525871043</v>
      </c>
      <c r="AA53" s="7">
        <f>IFERROR(W53/V53-1,0)</f>
        <v>-0.000006808008891967532</v>
      </c>
      <c r="AB53" s="7">
        <f>IFERROR((W53-V53)/Z53,0)</f>
        <v>-0.0000068080088919850545</v>
      </c>
      <c r="AC53" s="7">
        <f>IFERROR(Y53/X53-1,0)</f>
        <v>0</v>
      </c>
      <c r="AD53" s="7">
        <f>IFERROR((Y53-X53)/Z53,0)</f>
        <v>0</v>
      </c>
      <c r="AE53" s="7">
        <f>AB53+AD53</f>
        <v>-0.0000068080088919850545</v>
      </c>
      <c r="AF53" s="7">
        <f>(1+Q53)*(1+AE53)-1</f>
        <v>0.006060442466509164</v>
      </c>
      <c r="AG53" s="7">
        <f>G53-AF53</f>
        <v>-4.5102810375396984e-17</v>
      </c>
      <c r="AH53" s="5">
        <f>SUM(IF(BQ53="lease",CE53,0),IF(CS53="lease",DG53,0),IF(DU53="lease",EI53,0),IF(EW53="lease",FK53,0),IF(FY53="lease",GM53,0),IF(HA53="lease",HO53,0),IF(IC53="lease",IQ53,0),IF(JE53="lease",JS53,0),IF(KG53="lease",KU53,0),IF(LI53="lease",LW53,0))</f>
        <v>0.0072357429187183886</v>
      </c>
      <c r="AI53" s="5">
        <f>SUM(IF(BQ53="keep",CE53,0),IF(CS53="keep",DG53,0),IF(DU53="keep",EI53,0),IF(EW53="keep",FK53,0),IF(FY53="keep",GM53,0),IF(HA53="keep",HO53,0),IF(IC53="keep",IQ53,0),IF(JE53="keep",JS53,0),IF(KG53="keep",KU53,0),IF(LI53="keep",LW53,0))</f>
        <v>0</v>
      </c>
      <c r="AJ53" s="5">
        <f>SUM(IF(BQ53="lease",CH53,0),IF(CS53="lease",DJ53,0),IF(DU53="lease",EL53,0),IF(EW53="lease",FN53,0),IF(FY53="lease",GP53,0),IF(HA53="lease",HR53,0),IF(IC53="lease",IT53,0),IF(JE53="lease",JV53,0),IF(KG53="lease",KX53,0),IF(LI53="lease",LZ53,0))</f>
        <v>0</v>
      </c>
      <c r="AK53" s="5">
        <f>SUM(IF(BQ53="keep",CH53,0),IF(CS53="keep",DJ53,0),IF(DU53="keep",EL53,0),IF(EW53="keep",FN53,0),IF(FY53="keep",GP53,0),IF(HA53="keep",HR53,0),IF(IC53="keep",IT53,0),IF(JE53="keep",JV53,0),IF(KG53="keep",KX53,0),IF(LI53="keep",LZ53,0))</f>
        <v>0</v>
      </c>
      <c r="AL53" s="5">
        <f>R53-S52</f>
        <v>0</v>
      </c>
      <c r="AM53" s="5">
        <f>T53-U52</f>
        <v>0</v>
      </c>
      <c r="AN53" s="5">
        <f>AN52</f>
        <v>1</v>
      </c>
      <c r="AO53" s="5">
        <f>AO52+AH53</f>
        <v>0.2011655522856341</v>
      </c>
      <c r="AP53" s="5">
        <f>AP52+AL53</f>
        <v>-6.661338147750939e-16</v>
      </c>
      <c r="AQ53" s="5">
        <f>AN53+AO53+AP53</f>
        <v>1.2011655522856335</v>
      </c>
      <c r="AR53" s="5">
        <f>S53-AQ53</f>
        <v>2.220446049250313e-16</v>
      </c>
      <c r="AS53" s="5">
        <f>AS52</f>
        <v>0</v>
      </c>
      <c r="AT53" s="5">
        <f>AT52+AI53</f>
        <v>0</v>
      </c>
      <c r="AU53" s="5">
        <f>AU52+AM53</f>
        <v>0</v>
      </c>
      <c r="AV53" s="5">
        <f>AS53+AT53+AU53</f>
        <v>0</v>
      </c>
      <c r="AW53" s="5">
        <f>U53-AV53</f>
        <v>0</v>
      </c>
      <c r="AX53" s="4">
        <v>1.1939298093669153</v>
      </c>
      <c r="AY53" s="4">
        <v>1.2011655522856337</v>
      </c>
      <c r="AZ53" s="5">
        <f>S53-AY53</f>
        <v>0</v>
      </c>
      <c r="BA53" s="4">
        <v>0</v>
      </c>
      <c r="BB53" s="4">
        <v>0</v>
      </c>
      <c r="BC53" s="5">
        <f>U53-BB53</f>
        <v>0</v>
      </c>
      <c r="BD53" s="7">
        <f>SUM(IF(BP53="direct",CC53/F53,0),IF(CR53="direct",DE53/F53,0),IF(DT53="direct",EG53/F53,0),IF(EV53="direct",FI53/F53,0),IF(FX53="direct",GK53/F53,0),IF(GZ53="direct",HM53/F53,0),IF(IB53="direct",IO53/F53,0),IF(JD53="direct",JQ53/F53,0),IF(KF53="direct",KS53/F53,0),IF(LH53="direct",LU53/F53,0))</f>
        <v>0.006067291781577563</v>
      </c>
      <c r="BE53" s="7">
        <f>-SUM(IF(BP53="direct",CD53/F53,0),IF(CR53="direct",DF53/F53,0),IF(DT53="direct",EH53/F53,0),IF(EV53="direct",FJ53/F53,0),IF(FX53="direct",GL53/F53,0),IF(GZ53="direct",HN53/F53,0),IF(IB53="direct",IP53/F53,0),IF(JD53="direct",JR53/F53,0),IF(KF53="direct",KT53/F53,0),IF(LH53="direct",LV53/F53,0))</f>
        <v>-0.00000684931506849315</v>
      </c>
      <c r="BF53" s="7">
        <f>BD53+BE53</f>
        <v>0.00606044246650907</v>
      </c>
      <c r="BG53" s="7">
        <f>BF53-SUM(IF(BP53="direct",CP53,0),IF(CR53="direct",DR53,0),IF(DT53="direct",ET53,0),IF(EV53="direct",FV53,0),IF(FX53="direct",GX53,0),IF(GZ53="direct",HZ53,0),IF(IB53="direct",JB53,0),IF(JD53="direct",KD53,0),IF(KF53="direct",LF53,0),IF(LH53="direct",MH53,0))</f>
        <v>-4.7704895589362195e-17</v>
      </c>
      <c r="BH53" s="7">
        <f>SUM(IF(BP53="treasury",CP53,0),IF(CR53="treasury",DR53,0),IF(DT53="treasury",ET53,0),IF(EV53="treasury",FV53,0),IF(FX53="treasury",GX53,0),IF(GZ53="treasury",HZ53,0),IF(IB53="treasury",JB53,0),IF(JD53="treasury",KD53,0),IF(KF53="treasury",LF53,0),IF(LH53="treasury",MH53,0))</f>
        <v>0</v>
      </c>
      <c r="BI53" s="7">
        <f>SUM(IF(BP53="future",CP53,0),IF(CR53="future",DR53,0),IF(DT53="future",ET53,0),IF(EV53="future",FV53,0),IF(FX53="future",GX53,0),IF(GZ53="future",HZ53,0),IF(IB53="future",JB53,0),IF(JD53="future",KD53,0),IF(KF53="future",LF53,0),IF(LH53="future",MH53,0))</f>
        <v>0</v>
      </c>
      <c r="BJ53" s="7">
        <f>SUM(IF(BP53="cash",CP53,0),IF(CR53="cash",DR53,0),IF(DT53="cash",ET53,0),IF(EV53="cash",FV53,0),IF(FX53="cash",GX53,0),IF(GZ53="cash",HZ53,0),IF(IB53="cash",JB53,0),IF(JD53="cash",KD53,0),IF(KF53="cash",LF53,0),IF(LH53="cash",MH53,0))</f>
        <v>0</v>
      </c>
      <c r="BK53" s="7">
        <f>SUM(BF53,BH53,BI53,BJ53)</f>
        <v>0.006060442466509118</v>
      </c>
      <c r="BL53" s="7">
        <f>G53-BK53</f>
        <v>8.673617379884035e-19</v>
      </c>
      <c r="BM53" s="5">
        <f>MAX(ABS(CG53),ABS(DI53),ABS(EK53),ABS(FM53),ABS(GO53),ABS(HQ53),ABS(IS53),ABS(JU53),ABS(KW53),ABS(LY53))</f>
        <v>5.673426680709304e-17</v>
      </c>
      <c r="BN53" s="9">
        <f>COUNTA(BO53,CQ53,DS53,EU53,FW53,GY53,IA53,JC53,KE53,LG53)</f>
        <v>3</v>
      </c>
      <c r="BO53" t="inlineStr">
        <is>
          <t xml:space="preserve">Direct commodity holding</t>
        </is>
      </c>
      <c r="BP53" t="inlineStr">
        <is>
          <t xml:space="preserve">direct</t>
        </is>
      </c>
      <c r="BQ53" t="inlineStr">
        <is>
          <t xml:space="preserve">lease</t>
        </is>
      </c>
      <c r="BR53" t="inlineStr">
        <is>
          <t xml:space="preserve">long</t>
        </is>
      </c>
      <c r="BS53"/>
      <c r="BT53" s="4">
        <v>1.813</v>
      </c>
      <c r="BU53" s="4">
        <v>1.824</v>
      </c>
      <c r="BV53" s="6">
        <v>0.0025</v>
      </c>
      <c r="BW53" s="4">
        <v>0.658538229104752</v>
      </c>
      <c r="BX53" s="5">
        <f>IF(BP53="direct",IFERROR(CD53/BU53,0),0)</f>
        <v>0.000004483334119528491</v>
      </c>
      <c r="BY53" s="5">
        <f>IF(BP53="direct",BW53-BX53,IF(BP53="cash",CI53,BW53))</f>
        <v>0.6585337457706325</v>
      </c>
      <c r="BZ53" s="6">
        <v>1</v>
      </c>
      <c r="CA53" s="4">
        <v>1.1939298093669153</v>
      </c>
      <c r="CB53" s="4">
        <v>1.1939298093669153</v>
      </c>
      <c r="CC53" s="5">
        <f>IF(BP53="direct",BW53*(BU53-BT53),CF53)</f>
        <v>0.007243920520152352</v>
      </c>
      <c r="CD53" s="5">
        <f>IF(BP53="direct",CB53*BV53*C53/365,0)</f>
        <v>0.000008177601434019967</v>
      </c>
      <c r="CE53" s="5">
        <f>CC53-CD53</f>
        <v>0.0072357429187183886</v>
      </c>
      <c r="CF53" s="4">
        <v>0.0072357429187183886</v>
      </c>
      <c r="CG53" s="5">
        <f>CF53-CE53</f>
        <v>5.673426680709304e-17</v>
      </c>
      <c r="CH53" s="4">
        <v>0</v>
      </c>
      <c r="CI53" s="4">
        <v>1.2011655522856337</v>
      </c>
      <c r="CJ53" s="4">
        <v>1.813</v>
      </c>
      <c r="CK53" s="4">
        <v>1.824</v>
      </c>
      <c r="CL53" s="6"/>
      <c r="CM53" s="6"/>
      <c r="CN53" s="6"/>
      <c r="CO53" s="9"/>
      <c r="CP53" s="7">
        <f>IFERROR(CE53/F53,0)</f>
        <v>0.006060442466509118</v>
      </c>
      <c r="CQ53" t="inlineStr">
        <is>
          <t xml:space="preserve">Lease cash / margin / financing</t>
        </is>
      </c>
      <c r="CR53" t="inlineStr">
        <is>
          <t xml:space="preserve">cash</t>
        </is>
      </c>
      <c r="CS53" t="inlineStr">
        <is>
          <t xml:space="preserve">lease</t>
        </is>
      </c>
      <c r="CT53" t="inlineStr">
        <is>
          <t xml:space="preserve">cash</t>
        </is>
      </c>
      <c r="CU53"/>
      <c r="CV53" s="4">
        <v>1</v>
      </c>
      <c r="CW53" s="4">
        <v>1</v>
      </c>
      <c r="CX53" s="6"/>
      <c r="CY53" s="4">
        <v>0</v>
      </c>
      <c r="CZ53" s="5">
        <f>IF(CR53="direct",IFERROR(DF53/CW53,0),0)</f>
        <v>0</v>
      </c>
      <c r="DA53" s="5">
        <f>IF(CR53="direct",CY53-CZ53,IF(CR53="cash",DK53,CY53))</f>
        <v>0</v>
      </c>
      <c r="DB53" s="6"/>
      <c r="DC53" s="4">
        <v>0</v>
      </c>
      <c r="DD53" s="4">
        <v>0</v>
      </c>
      <c r="DE53" s="5">
        <f>IF(CR53="direct",CY53*(CW53-CV53),DH53)</f>
        <v>0</v>
      </c>
      <c r="DF53" s="5">
        <f>IF(CR53="direct",DD53*CX53*C53/365,0)</f>
        <v>0</v>
      </c>
      <c r="DG53" s="5">
        <f>DE53-DF53</f>
        <v>0</v>
      </c>
      <c r="DH53" s="4">
        <v>0</v>
      </c>
      <c r="DI53" s="5">
        <f>DH53-DG53</f>
        <v>0</v>
      </c>
      <c r="DJ53" s="4">
        <v>0</v>
      </c>
      <c r="DK53" s="4">
        <v>0</v>
      </c>
      <c r="DL53" s="4">
        <v>1.813</v>
      </c>
      <c r="DM53" s="4">
        <v>1.824</v>
      </c>
      <c r="DN53" s="6"/>
      <c r="DO53" s="6"/>
      <c r="DP53" s="6"/>
      <c r="DQ53" s="9"/>
      <c r="DR53" s="7">
        <f>IFERROR(DG53/F53,0)</f>
        <v>0</v>
      </c>
      <c r="DS53" t="inlineStr">
        <is>
          <t xml:space="preserve">Keep cash / margin / financing</t>
        </is>
      </c>
      <c r="DT53" t="inlineStr">
        <is>
          <t xml:space="preserve">cash</t>
        </is>
      </c>
      <c r="DU53" t="inlineStr">
        <is>
          <t xml:space="preserve">keep</t>
        </is>
      </c>
      <c r="DV53" t="inlineStr">
        <is>
          <t xml:space="preserve">cash</t>
        </is>
      </c>
      <c r="DW53"/>
      <c r="DX53" s="4">
        <v>1</v>
      </c>
      <c r="DY53" s="4">
        <v>1</v>
      </c>
      <c r="DZ53" s="6"/>
      <c r="EA53" s="4">
        <v>0</v>
      </c>
      <c r="EB53" s="5">
        <f>IF(DT53="direct",IFERROR(EH53/DY53,0),0)</f>
        <v>0</v>
      </c>
      <c r="EC53" s="5">
        <f>IF(DT53="direct",EA53-EB53,IF(DT53="cash",EM53,EA53))</f>
        <v>0</v>
      </c>
      <c r="ED53" s="6"/>
      <c r="EE53" s="4">
        <v>0</v>
      </c>
      <c r="EF53" s="4">
        <v>0</v>
      </c>
      <c r="EG53" s="5">
        <f>IF(DT53="direct",EA53*(DY53-DX53),EJ53)</f>
        <v>0</v>
      </c>
      <c r="EH53" s="5">
        <f>IF(DT53="direct",EF53*DZ53*C53/365,0)</f>
        <v>0</v>
      </c>
      <c r="EI53" s="5">
        <f>EG53-EH53</f>
        <v>0</v>
      </c>
      <c r="EJ53" s="4">
        <v>0</v>
      </c>
      <c r="EK53" s="5">
        <f>EJ53-EI53</f>
        <v>0</v>
      </c>
      <c r="EL53" s="4">
        <v>0</v>
      </c>
      <c r="EM53" s="4">
        <v>0</v>
      </c>
      <c r="EN53" s="4">
        <v>1.813</v>
      </c>
      <c r="EO53" s="4">
        <v>1.824</v>
      </c>
      <c r="EP53" s="6"/>
      <c r="EQ53" s="6"/>
      <c r="ER53" s="6"/>
      <c r="ES53" s="9"/>
      <c r="ET53" s="7">
        <f>IFERROR(EI53/F53,0)</f>
        <v>0</v>
      </c>
      <c r="EU53"/>
      <c r="EV53"/>
      <c r="EW53"/>
      <c r="EX53"/>
      <c r="EY53"/>
      <c r="EZ53" s="4"/>
      <c r="FA53" s="4"/>
      <c r="FB53" s="6"/>
      <c r="FC53" s="4"/>
      <c r="FD53" s="5">
        <v>0</v>
      </c>
      <c r="FE53" s="5"/>
      <c r="FF53" s="6"/>
      <c r="FG53" s="4"/>
      <c r="FH53" s="4"/>
      <c r="FI53" s="5">
        <v>0</v>
      </c>
      <c r="FJ53" s="5">
        <v>0</v>
      </c>
      <c r="FK53" s="5"/>
      <c r="FL53" s="4"/>
      <c r="FM53" s="5">
        <v>0</v>
      </c>
      <c r="FN53" s="4"/>
      <c r="FO53" s="4"/>
      <c r="FP53" s="4"/>
      <c r="FQ53" s="4"/>
      <c r="FR53" s="6"/>
      <c r="FS53" s="6"/>
      <c r="FT53" s="6"/>
      <c r="FU53" s="9"/>
      <c r="FV53"/>
      <c r="FW53"/>
      <c r="FX53"/>
      <c r="FY53"/>
      <c r="FZ53"/>
      <c r="GA53"/>
      <c r="GB53" s="4"/>
      <c r="GC53" s="4"/>
      <c r="GD53" s="6"/>
      <c r="GE53" s="4"/>
      <c r="GF53" s="5">
        <v>0</v>
      </c>
      <c r="GG53" s="5"/>
      <c r="GH53" s="6"/>
      <c r="GI53" s="4"/>
      <c r="GJ53" s="4"/>
      <c r="GK53" s="5">
        <v>0</v>
      </c>
      <c r="GL53" s="5">
        <v>0</v>
      </c>
      <c r="GM53" s="5"/>
      <c r="GN53" s="4"/>
      <c r="GO53" s="5">
        <v>0</v>
      </c>
      <c r="GP53" s="4"/>
      <c r="GQ53" s="4"/>
      <c r="GR53" s="4"/>
      <c r="GS53" s="4"/>
      <c r="GT53" s="6"/>
      <c r="GU53" s="6"/>
      <c r="GV53" s="6"/>
      <c r="GW53" s="9"/>
      <c r="GX53"/>
      <c r="GY53"/>
      <c r="GZ53"/>
      <c r="HA53"/>
      <c r="HB53"/>
      <c r="HC53"/>
      <c r="HD53" s="4"/>
      <c r="HE53" s="4"/>
      <c r="HF53" s="6"/>
      <c r="HG53" s="4"/>
      <c r="HH53" s="5">
        <v>0</v>
      </c>
      <c r="HI53" s="5"/>
      <c r="HJ53" s="6"/>
      <c r="HK53" s="4"/>
      <c r="HL53" s="4"/>
      <c r="HM53" s="5">
        <v>0</v>
      </c>
      <c r="HN53" s="5">
        <v>0</v>
      </c>
      <c r="HO53" s="5"/>
      <c r="HP53" s="4"/>
      <c r="HQ53" s="5">
        <v>0</v>
      </c>
      <c r="HR53" s="4"/>
      <c r="HS53" s="4"/>
      <c r="HT53" s="4"/>
      <c r="HU53" s="4"/>
      <c r="HV53" s="6"/>
      <c r="HW53" s="6"/>
      <c r="HX53" s="6"/>
      <c r="HY53" s="9"/>
      <c r="HZ53"/>
      <c r="IA53"/>
      <c r="IB53"/>
      <c r="IC53"/>
      <c r="ID53"/>
      <c r="IE53"/>
      <c r="IF53" s="4"/>
      <c r="IG53" s="4"/>
      <c r="IH53" s="6"/>
      <c r="II53" s="4"/>
      <c r="IJ53" s="5">
        <v>0</v>
      </c>
      <c r="IK53" s="5"/>
      <c r="IL53" s="6"/>
      <c r="IM53" s="4"/>
      <c r="IN53" s="4"/>
      <c r="IO53" s="5">
        <v>0</v>
      </c>
      <c r="IP53" s="5">
        <v>0</v>
      </c>
      <c r="IQ53" s="5"/>
      <c r="IR53" s="4"/>
      <c r="IS53" s="5">
        <v>0</v>
      </c>
      <c r="IT53" s="4"/>
      <c r="IU53" s="4"/>
      <c r="IV53" s="4"/>
      <c r="IW53" s="4"/>
      <c r="IX53" s="6"/>
      <c r="IY53" s="6"/>
      <c r="IZ53" s="6"/>
      <c r="JA53" s="9"/>
      <c r="JB53"/>
      <c r="JC53"/>
      <c r="JD53"/>
      <c r="JE53"/>
      <c r="JF53"/>
      <c r="JG53"/>
      <c r="JH53" s="4"/>
      <c r="JI53" s="4"/>
      <c r="JJ53" s="6"/>
      <c r="JK53" s="4"/>
      <c r="JL53" s="5">
        <v>0</v>
      </c>
      <c r="JM53" s="5"/>
      <c r="JN53" s="6"/>
      <c r="JO53" s="4"/>
      <c r="JP53" s="4"/>
      <c r="JQ53" s="5">
        <v>0</v>
      </c>
      <c r="JR53" s="5">
        <v>0</v>
      </c>
      <c r="JS53" s="5"/>
      <c r="JT53" s="4"/>
      <c r="JU53" s="5">
        <v>0</v>
      </c>
      <c r="JV53" s="4"/>
      <c r="JW53" s="4"/>
      <c r="JX53" s="4"/>
      <c r="JY53" s="4"/>
      <c r="JZ53" s="6"/>
      <c r="KA53" s="6"/>
      <c r="KB53" s="6"/>
      <c r="KC53" s="9"/>
      <c r="KD53"/>
      <c r="KE53"/>
      <c r="KF53"/>
      <c r="KG53"/>
      <c r="KH53"/>
      <c r="KI53"/>
      <c r="KJ53" s="4"/>
      <c r="KK53" s="4"/>
      <c r="KL53" s="6"/>
      <c r="KM53" s="4"/>
      <c r="KN53" s="5">
        <v>0</v>
      </c>
      <c r="KO53" s="5"/>
      <c r="KP53" s="6"/>
      <c r="KQ53" s="4"/>
      <c r="KR53" s="4"/>
      <c r="KS53" s="5">
        <v>0</v>
      </c>
      <c r="KT53" s="5">
        <v>0</v>
      </c>
      <c r="KU53" s="5"/>
      <c r="KV53" s="4"/>
      <c r="KW53" s="5">
        <v>0</v>
      </c>
      <c r="KX53" s="4"/>
      <c r="KY53" s="4"/>
      <c r="KZ53" s="4"/>
      <c r="LA53" s="4"/>
      <c r="LB53" s="6"/>
      <c r="LC53" s="6"/>
      <c r="LD53" s="6"/>
      <c r="LE53" s="9"/>
      <c r="LF53"/>
      <c r="LG53"/>
      <c r="LH53"/>
      <c r="LI53"/>
      <c r="LJ53"/>
      <c r="LK53"/>
      <c r="LL53" s="4"/>
      <c r="LM53" s="4"/>
      <c r="LN53" s="6"/>
      <c r="LO53" s="4"/>
      <c r="LP53" s="5">
        <v>0</v>
      </c>
      <c r="LQ53" s="5"/>
      <c r="LR53" s="6"/>
      <c r="LS53" s="4"/>
      <c r="LT53" s="4"/>
      <c r="LU53" s="5">
        <v>0</v>
      </c>
      <c r="LV53" s="5">
        <v>0</v>
      </c>
      <c r="LW53" s="5"/>
      <c r="LX53" s="4"/>
      <c r="LY53" s="5">
        <v>0</v>
      </c>
      <c r="LZ53" s="4"/>
      <c r="MA53" s="4"/>
      <c r="MB53" s="4"/>
      <c r="MC53" s="4"/>
      <c r="MD53" s="6"/>
      <c r="ME53" s="6"/>
      <c r="MF53" s="6"/>
      <c r="MG53" s="9"/>
      <c r="MH53"/>
    </row>
    <row r="54">
      <c r="A54" s="8">
        <v>25281</v>
      </c>
      <c r="B54" s="8">
        <v>25282</v>
      </c>
      <c r="C54" s="9">
        <f>B54-A54</f>
        <v>1</v>
      </c>
      <c r="D54" s="8">
        <v>25281</v>
      </c>
      <c r="E54" t="inlineStr">
        <is>
          <t xml:space="preserve">positive</t>
        </is>
      </c>
      <c r="F54" s="4">
        <v>1.2011655522856337</v>
      </c>
      <c r="G54" s="6">
        <v>-0.002266294958433307</v>
      </c>
      <c r="H54" s="7">
        <f>SUM(CP54,DR54,ET54,FV54,GX54,HZ54,JB54,KD54,LF54,MH54)</f>
        <v>-0.0022662949584333065</v>
      </c>
      <c r="I54" s="7">
        <f>G54-H54</f>
        <v>-4.336808689942018e-19</v>
      </c>
      <c r="J54" s="5">
        <f>F54*(1+H54)</f>
        <v>1.198443356850245</v>
      </c>
      <c r="K54" s="4">
        <v>1.198443356850245</v>
      </c>
      <c r="L54" s="5">
        <f>K54-J54</f>
        <v>0</v>
      </c>
      <c r="M54" s="4">
        <v>1.824</v>
      </c>
      <c r="N54" s="4">
        <v>1.813</v>
      </c>
      <c r="O54" s="5">
        <f>M54/$M$3</f>
        <v>0.9315628192032687</v>
      </c>
      <c r="P54" s="5">
        <f>N54/$M$3</f>
        <v>0.9259448416751788</v>
      </c>
      <c r="Q54" s="7">
        <f>IFERROR(N54/M54-1,0)</f>
        <v>-0.006030701754386025</v>
      </c>
      <c r="R54" s="5">
        <f>SUM(IF(BQ54="lease",CB54,0),IF(CS54="lease",DD54,0),IF(DU54="lease",EF54,0),IF(EW54="lease",FH54,0),IF(FY54="lease",GJ54,0),IF(HA54="lease",HL54,0),IF(IC54="lease",IN54,0),IF(JE54="lease",JP54,0),IF(KG54="lease",KR54,0),IF(LI54="lease",LT54,0))</f>
        <v>1.2011655522856337</v>
      </c>
      <c r="S54" s="5">
        <f>SUM(IF(BQ54="lease",CI54,0),IF(CS54="lease",DK54,0),IF(DU54="lease",EM54,0),IF(EW54="lease",FO54,0),IF(FY54="lease",GQ54,0),IF(HA54="lease",HS54,0),IF(IC54="lease",IU54,0),IF(JE54="lease",JW54,0),IF(KG54="lease",KY54,0),IF(LI54="lease",MA54,0))</f>
        <v>1.1984433568502448</v>
      </c>
      <c r="T54" s="5">
        <f>SUM(IF(BQ54="keep",CB54,0),IF(CS54="keep",DD54,0),IF(DU54="keep",EF54,0),IF(EW54="keep",FH54,0),IF(FY54="keep",GJ54,0),IF(HA54="keep",HL54,0),IF(IC54="keep",IN54,0),IF(JE54="keep",JP54,0),IF(KG54="keep",KR54,0),IF(LI54="keep",LT54,0))</f>
        <v>0</v>
      </c>
      <c r="U54" s="5">
        <f>SUM(IF(BQ54="keep",CI54,0),IF(CS54="keep",DK54,0),IF(DU54="keep",EM54,0),IF(EW54="keep",FO54,0),IF(FY54="keep",GQ54,0),IF(HA54="keep",HS54,0),IF(IC54="keep",IU54,0),IF(JE54="keep",JW54,0),IF(KG54="keep",KY54,0),IF(LI54="keep",MA54,0))</f>
        <v>0</v>
      </c>
      <c r="V54" s="5">
        <f>R54/O54</f>
        <v>1.2894090742188984</v>
      </c>
      <c r="W54" s="5">
        <f>S54/P54</f>
        <v>1.2942923842872474</v>
      </c>
      <c r="X54" s="5">
        <f>T54/O54</f>
        <v>0</v>
      </c>
      <c r="Y54" s="5">
        <f>U54/P54</f>
        <v>0</v>
      </c>
      <c r="Z54" s="5">
        <f>V54+X54</f>
        <v>1.2894090742188984</v>
      </c>
      <c r="AA54" s="7">
        <f>IFERROR(W54/V54-1,0)</f>
        <v>0.0037872465503681063</v>
      </c>
      <c r="AB54" s="7">
        <f>IFERROR((W54-V54)/Z54,0)</f>
        <v>0.003787246550368192</v>
      </c>
      <c r="AC54" s="7">
        <f>IFERROR(Y54/X54-1,0)</f>
        <v>0</v>
      </c>
      <c r="AD54" s="7">
        <f>IFERROR((Y54-X54)/Z54,0)</f>
        <v>0</v>
      </c>
      <c r="AE54" s="7">
        <f>AB54+AD54</f>
        <v>0.003787246550368192</v>
      </c>
      <c r="AF54" s="7">
        <f>(1+Q54)*(1+AE54)-1</f>
        <v>-0.0022662949584335568</v>
      </c>
      <c r="AG54" s="7">
        <f>G54-AF54</f>
        <v>2.498001805406602e-16</v>
      </c>
      <c r="AH54" s="5">
        <f>SUM(IF(BQ54="lease",CE54,0),IF(CS54="lease",DG54,0),IF(DU54="lease",EI54,0),IF(EW54="lease",FK54,0),IF(FY54="lease",GM54,0),IF(HA54="lease",HO54,0),IF(IC54="lease",IQ54,0),IF(JE54="lease",JS54,0),IF(KG54="lease",KU54,0),IF(LI54="lease",LW54,0))</f>
        <v>-0.0027221954353886897</v>
      </c>
      <c r="AI54" s="5">
        <f>SUM(IF(BQ54="keep",CE54,0),IF(CS54="keep",DG54,0),IF(DU54="keep",EI54,0),IF(EW54="keep",FK54,0),IF(FY54="keep",GM54,0),IF(HA54="keep",HO54,0),IF(IC54="keep",IQ54,0),IF(JE54="keep",JS54,0),IF(KG54="keep",KU54,0),IF(LI54="keep",LW54,0))</f>
        <v>0</v>
      </c>
      <c r="AJ54" s="5">
        <f>SUM(IF(BQ54="lease",CH54,0),IF(CS54="lease",DJ54,0),IF(DU54="lease",EL54,0),IF(EW54="lease",FN54,0),IF(FY54="lease",GP54,0),IF(HA54="lease",HR54,0),IF(IC54="lease",IT54,0),IF(JE54="lease",JV54,0),IF(KG54="lease",KX54,0),IF(LI54="lease",LZ54,0))</f>
        <v>0</v>
      </c>
      <c r="AK54" s="5">
        <f>SUM(IF(BQ54="keep",CH54,0),IF(CS54="keep",DJ54,0),IF(DU54="keep",EL54,0),IF(EW54="keep",FN54,0),IF(FY54="keep",GP54,0),IF(HA54="keep",HR54,0),IF(IC54="keep",IT54,0),IF(JE54="keep",JV54,0),IF(KG54="keep",KX54,0),IF(LI54="keep",LZ54,0))</f>
        <v>0</v>
      </c>
      <c r="AL54" s="5">
        <f>R54-S53</f>
        <v>0</v>
      </c>
      <c r="AM54" s="5">
        <f>T54-U53</f>
        <v>0</v>
      </c>
      <c r="AN54" s="5">
        <f>AN53</f>
        <v>1</v>
      </c>
      <c r="AO54" s="5">
        <f>AO53+AH54</f>
        <v>0.19844335685024542</v>
      </c>
      <c r="AP54" s="5">
        <f>AP53+AL54</f>
        <v>-6.661338147750939e-16</v>
      </c>
      <c r="AQ54" s="5">
        <f>AN54+AO54+AP54</f>
        <v>1.1984433568502448</v>
      </c>
      <c r="AR54" s="5">
        <f>S54-AQ54</f>
        <v>0</v>
      </c>
      <c r="AS54" s="5">
        <f>AS53</f>
        <v>0</v>
      </c>
      <c r="AT54" s="5">
        <f>AT53+AI54</f>
        <v>0</v>
      </c>
      <c r="AU54" s="5">
        <f>AU53+AM54</f>
        <v>0</v>
      </c>
      <c r="AV54" s="5">
        <f>AS54+AT54+AU54</f>
        <v>0</v>
      </c>
      <c r="AW54" s="5">
        <f>U54-AV54</f>
        <v>0</v>
      </c>
      <c r="AX54" s="4">
        <v>1.2011655522856337</v>
      </c>
      <c r="AY54" s="4">
        <v>1.198443356850245</v>
      </c>
      <c r="AZ54" s="5">
        <f>S54-AY54</f>
        <v>-2.220446049250313e-16</v>
      </c>
      <c r="BA54" s="4">
        <v>0</v>
      </c>
      <c r="BB54" s="4">
        <v>0</v>
      </c>
      <c r="BC54" s="5">
        <f>U54-BB54</f>
        <v>0</v>
      </c>
      <c r="BD54" s="7">
        <f>SUM(IF(BP54="direct",CC54/F54,0),IF(CR54="direct",DE54/F54,0),IF(DT54="direct",EG54/F54,0),IF(EV54="direct",FI54/F54,0),IF(FX54="direct",GK54/F54,0),IF(GZ54="direct",HM54/F54,0),IF(IB54="direct",IO54/F54,0),IF(JD54="direct",JQ54/F54,0),IF(KF54="direct",KS54/F54,0),IF(LH54="direct",LU54/F54,0))</f>
        <v>-0.004082175467909598</v>
      </c>
      <c r="BE54" s="7">
        <f>-SUM(IF(BP54="direct",CD54/F54,0),IF(CR54="direct",DF54/F54,0),IF(DT54="direct",EH54/F54,0),IF(EV54="direct",FJ54/F54,0),IF(FX54="direct",GL54/F54,0),IF(GZ54="direct",HN54/F54,0),IF(IB54="direct",IP54/F54,0),IF(JD54="direct",JR54/F54,0),IF(KF54="direct",KT54/F54,0),IF(LH54="direct",LV54/F54,0))</f>
        <v>-0.0000046362939311749835</v>
      </c>
      <c r="BF54" s="7">
        <f>BD54+BE54</f>
        <v>-0.004086811761840773</v>
      </c>
      <c r="BG54" s="7">
        <f>BF54-SUM(IF(BP54="direct",CP54,0),IF(CR54="direct",DR54,0),IF(DT54="direct",ET54,0),IF(EV54="direct",FV54,0),IF(FX54="direct",GX54,0),IF(GZ54="direct",HZ54,0),IF(IB54="direct",JB54,0),IF(JD54="direct",KD54,0),IF(KF54="direct",LF54,0),IF(LH54="direct",MH54,0))</f>
        <v>-4.336808689942018e-18</v>
      </c>
      <c r="BH54" s="7">
        <f>SUM(IF(BP54="treasury",CP54,0),IF(CR54="treasury",DR54,0),IF(DT54="treasury",ET54,0),IF(EV54="treasury",FV54,0),IF(FX54="treasury",GX54,0),IF(GZ54="treasury",HZ54,0),IF(IB54="treasury",JB54,0),IF(JD54="treasury",KD54,0),IF(KF54="treasury",LF54,0),IF(LH54="treasury",MH54,0))</f>
        <v>0.000053023986450143274</v>
      </c>
      <c r="BI54" s="7">
        <f>SUM(IF(BP54="future",CP54,0),IF(CR54="future",DR54,0),IF(DT54="future",ET54,0),IF(EV54="future",FV54,0),IF(FX54="future",GX54,0),IF(GZ54="future",HZ54,0),IF(IB54="future",JB54,0),IF(JD54="future",KD54,0),IF(KF54="future",LF54,0),IF(LH54="future",MH54,0))</f>
        <v>0.0017674928169573185</v>
      </c>
      <c r="BJ54" s="7">
        <f>SUM(IF(BP54="cash",CP54,0),IF(CR54="cash",DR54,0),IF(DT54="cash",ET54,0),IF(EV54="cash",FV54,0),IF(FX54="cash",GX54,0),IF(GZ54="cash",HZ54,0),IF(IB54="cash",JB54,0),IF(JD54="cash",KD54,0),IF(KF54="cash",LF54,0),IF(LH54="cash",MH54,0))</f>
        <v>0</v>
      </c>
      <c r="BK54" s="7">
        <f>SUM(BF54,BH54,BI54,BJ54)</f>
        <v>-0.002266294958433307</v>
      </c>
      <c r="BL54" s="7">
        <f>G54-BK54</f>
        <v>0</v>
      </c>
      <c r="BM54" s="5">
        <f>MAX(ABS(CG54),ABS(DI54),ABS(EK54),ABS(FM54),ABS(GO54),ABS(HQ54),ABS(IS54),ABS(JU54),ABS(KW54),ABS(LY54))</f>
        <v>4.015613796343187e-17</v>
      </c>
      <c r="BN54" s="9">
        <f>COUNTA(BO54,CQ54,DS54,EU54,FW54,GY54,IA54,JC54,KE54,LG54)</f>
        <v>6</v>
      </c>
      <c r="BO54" t="inlineStr">
        <is>
          <t xml:space="preserve">Direct commodity holding</t>
        </is>
      </c>
      <c r="BP54" t="inlineStr">
        <is>
          <t xml:space="preserve">direct</t>
        </is>
      </c>
      <c r="BQ54" t="inlineStr">
        <is>
          <t xml:space="preserve">lease</t>
        </is>
      </c>
      <c r="BR54" t="inlineStr">
        <is>
          <t xml:space="preserve">long</t>
        </is>
      </c>
      <c r="BS54"/>
      <c r="BT54" s="4">
        <v>1.824</v>
      </c>
      <c r="BU54" s="4">
        <v>1.813</v>
      </c>
      <c r="BV54" s="6">
        <v>0.0025</v>
      </c>
      <c r="BW54" s="4">
        <v>0.44576077731258573</v>
      </c>
      <c r="BX54" s="5">
        <f>IF(BP54="direct",IFERROR(CD54/BU54,0),0)</f>
        <v>0.000003071680397351534</v>
      </c>
      <c r="BY54" s="5">
        <f>IF(BP54="direct",BW54-BX54,IF(BP54="cash",CI54,BW54))</f>
        <v>0.44575770563218836</v>
      </c>
      <c r="BZ54" s="6">
        <v>0.6768989139515476</v>
      </c>
      <c r="CA54" s="4">
        <v>0.8130676578181564</v>
      </c>
      <c r="CB54" s="4">
        <v>0.8130676578181564</v>
      </c>
      <c r="CC54" s="5">
        <f>IF(BP54="direct",BW54*(BU54-BT54),CF54)</f>
        <v>-0.004903368550438497</v>
      </c>
      <c r="CD54" s="5">
        <f>IF(BP54="direct",CB54*BV54*C54/365,0)</f>
        <v>0.000005568956560398331</v>
      </c>
      <c r="CE54" s="5">
        <f>CC54-CD54</f>
        <v>-0.00490893750699889</v>
      </c>
      <c r="CF54" s="4">
        <v>-0.00490893750699889</v>
      </c>
      <c r="CG54" s="5">
        <f>CF54-CE54</f>
        <v>4.870439446712227e-18</v>
      </c>
      <c r="CH54" s="4">
        <v>0</v>
      </c>
      <c r="CI54" s="4">
        <v>0.8081587203111574</v>
      </c>
      <c r="CJ54" s="4">
        <v>1.824</v>
      </c>
      <c r="CK54" s="4">
        <v>1.813</v>
      </c>
      <c r="CL54" s="6"/>
      <c r="CM54" s="6"/>
      <c r="CN54" s="6"/>
      <c r="CO54" s="9"/>
      <c r="CP54" s="7">
        <f>IFERROR(CE54/F54,0)</f>
        <v>-0.0040868117618407685</v>
      </c>
      <c r="CQ54" t="inlineStr">
        <is>
          <t xml:space="preserve">Treasury collateral</t>
        </is>
      </c>
      <c r="CR54" t="inlineStr">
        <is>
          <t xml:space="preserve">treasury</t>
        </is>
      </c>
      <c r="CS54" t="inlineStr">
        <is>
          <t xml:space="preserve">lease</t>
        </is>
      </c>
      <c r="CT54" t="inlineStr">
        <is>
          <t xml:space="preserve">long</t>
        </is>
      </c>
      <c r="CU54"/>
      <c r="CV54" s="4">
        <v>101.28087409273603</v>
      </c>
      <c r="CW54" s="4">
        <v>101.2974952553611</v>
      </c>
      <c r="CX54" s="6"/>
      <c r="CY54" s="4">
        <v>0.003831897166607413</v>
      </c>
      <c r="CZ54" s="5">
        <f>IF(CR54="direct",IFERROR(DF54/CW54,0),0)</f>
        <v>0</v>
      </c>
      <c r="DA54" s="5">
        <f>IF(CR54="direct",CY54-CZ54,IF(CR54="cash",DK54,CY54))</f>
        <v>0.003831897166607413</v>
      </c>
      <c r="DB54" s="6">
        <v>0.32310108604845234</v>
      </c>
      <c r="DC54" s="4">
        <v>0.38809789446747733</v>
      </c>
      <c r="DD54" s="4">
        <v>0.38809789446747733</v>
      </c>
      <c r="DE54" s="5">
        <f>IF(CR54="direct",CY54*(CW54-CV54),DH54)</f>
        <v>0.00006369058596873215</v>
      </c>
      <c r="DF54" s="5">
        <f>IF(CR54="direct",DD54*CX54*C54/365,0)</f>
        <v>0</v>
      </c>
      <c r="DG54" s="5">
        <f>DE54-DF54</f>
        <v>0.0000636905859687723</v>
      </c>
      <c r="DH54" s="4">
        <v>0.0000636905859687723</v>
      </c>
      <c r="DI54" s="5">
        <f>DH54-DG54</f>
        <v>4.015613796343187e-17</v>
      </c>
      <c r="DJ54" s="4">
        <v>-4.9182121049373695e-17</v>
      </c>
      <c r="DK54" s="4">
        <v>0.38816158505344606</v>
      </c>
      <c r="DL54" s="4">
        <v>1.824</v>
      </c>
      <c r="DM54" s="4">
        <v>1.813</v>
      </c>
      <c r="DN54" s="6"/>
      <c r="DO54" s="6"/>
      <c r="DP54" s="6"/>
      <c r="DQ54" s="9">
        <v>70</v>
      </c>
      <c r="DR54" s="7">
        <f>IFERROR(DG54/F54,0)</f>
        <v>0.000053023986450143274</v>
      </c>
      <c r="DS54" t="inlineStr">
        <is>
          <t xml:space="preserve">SI69K</t>
        </is>
      </c>
      <c r="DT54" t="inlineStr">
        <is>
          <t xml:space="preserve">future</t>
        </is>
      </c>
      <c r="DU54" t="inlineStr">
        <is>
          <t xml:space="preserve">lease</t>
        </is>
      </c>
      <c r="DV54" t="inlineStr">
        <is>
          <t xml:space="preserve">long</t>
        </is>
      </c>
      <c r="DW54" t="inlineStr">
        <is>
          <t xml:space="preserve">regular</t>
        </is>
      </c>
      <c r="DX54" s="4">
        <v>1.828</v>
      </c>
      <c r="DY54" s="4">
        <v>1.838</v>
      </c>
      <c r="DZ54" s="6"/>
      <c r="EA54" s="4">
        <v>0.21216905215686532</v>
      </c>
      <c r="EB54" s="5">
        <f>IF(DT54="direct",IFERROR(EH54/DY54,0),0)</f>
        <v>0</v>
      </c>
      <c r="EC54" s="5">
        <f>IF(DT54="direct",EA54-EB54,IF(DT54="cash",EM54,EA54))</f>
        <v>0.21216905215686532</v>
      </c>
      <c r="ED54" s="6">
        <v>0.32289056791941817</v>
      </c>
      <c r="EE54" s="4">
        <v>0.38784502734274984</v>
      </c>
      <c r="EF54" s="4">
        <v>0</v>
      </c>
      <c r="EG54" s="5">
        <f>IF(DT54="direct",EA54*(DY54-DX54),EJ54)</f>
        <v>0.0021216905215686215</v>
      </c>
      <c r="EH54" s="5">
        <f>IF(DT54="direct",EF54*DZ54*C54/365,0)</f>
        <v>0</v>
      </c>
      <c r="EI54" s="5">
        <f>EG54-EH54</f>
        <v>0.0021216905215686215</v>
      </c>
      <c r="EJ54" s="4">
        <v>0.0021216905215686215</v>
      </c>
      <c r="EK54" s="5">
        <f>EJ54-EI54</f>
        <v>0</v>
      </c>
      <c r="EL54" s="4">
        <v>-0.0021216905215686215</v>
      </c>
      <c r="EM54" s="4">
        <v>0</v>
      </c>
      <c r="EN54" s="4">
        <v>1.824</v>
      </c>
      <c r="EO54" s="4">
        <v>1.813</v>
      </c>
      <c r="EP54" s="6">
        <v>0.002192982456140413</v>
      </c>
      <c r="EQ54" s="6">
        <v>0.0599</v>
      </c>
      <c r="ER54" s="6">
        <v>0.04846516290726785</v>
      </c>
      <c r="ES54" s="9">
        <v>70</v>
      </c>
      <c r="ET54" s="7">
        <f>IFERROR(EI54/F54,0)</f>
        <v>0.001766359780740773</v>
      </c>
      <c r="EU54" t="inlineStr">
        <is>
          <t xml:space="preserve">SI69N</t>
        </is>
      </c>
      <c r="EV54" t="inlineStr">
        <is>
          <t xml:space="preserve">future</t>
        </is>
      </c>
      <c r="EW54" t="inlineStr">
        <is>
          <t xml:space="preserve">lease</t>
        </is>
      </c>
      <c r="EX54" t="inlineStr">
        <is>
          <t xml:space="preserve">long</t>
        </is>
      </c>
      <c r="EY54" t="inlineStr">
        <is>
          <t xml:space="preserve">regular</t>
        </is>
      </c>
      <c r="EZ54" s="4">
        <v>1.858</v>
      </c>
      <c r="FA54" s="4">
        <v>1.868</v>
      </c>
      <c r="FB54" s="6"/>
      <c r="FC54" s="4">
        <v>0.00013609640728066898</v>
      </c>
      <c r="FD54" s="5">
        <f>IF(EV54="direct",IFERROR(FJ54/FA54,0),0)</f>
        <v>0</v>
      </c>
      <c r="FE54" s="5">
        <f>IF(EV54="direct",FC54-FD54,IF(EV54="cash",FO54,FC54))</f>
        <v>0.00013609640728066898</v>
      </c>
      <c r="FF54" s="6">
        <v>0.00021051812903418322</v>
      </c>
      <c r="FG54" s="4">
        <v>0.000252867124727483</v>
      </c>
      <c r="FH54" s="4">
        <v>0</v>
      </c>
      <c r="FI54" s="5">
        <f>IF(EV54="direct",FC54*(FA54-EZ54),FL54)</f>
        <v>0.0000013609640728066973</v>
      </c>
      <c r="FJ54" s="5">
        <f>IF(EV54="direct",FH54*FB54*C54/365,0)</f>
        <v>0</v>
      </c>
      <c r="FK54" s="5">
        <f>FI54-FJ54</f>
        <v>0.0000013609640728066973</v>
      </c>
      <c r="FL54" s="4">
        <v>0.0000013609640728066973</v>
      </c>
      <c r="FM54" s="5">
        <f>FL54-FK54</f>
        <v>0</v>
      </c>
      <c r="FN54" s="4">
        <v>-0.0000013609640728066973</v>
      </c>
      <c r="FO54" s="4">
        <v>0</v>
      </c>
      <c r="FP54" s="4">
        <v>1.824</v>
      </c>
      <c r="FQ54" s="4">
        <v>1.813</v>
      </c>
      <c r="FR54" s="6">
        <v>0.018640350877193068</v>
      </c>
      <c r="FS54" s="6">
        <v>0.060620879120879136</v>
      </c>
      <c r="FT54" s="6">
        <v>0.009077484649852828</v>
      </c>
      <c r="FU54" s="9">
        <v>132</v>
      </c>
      <c r="FV54" s="7">
        <f>IFERROR(FK54/F54,0)</f>
        <v>0.000001133036216545664</v>
      </c>
      <c r="FW54" t="inlineStr">
        <is>
          <t xml:space="preserve">Lease cash / margin / financing</t>
        </is>
      </c>
      <c r="FX54" t="inlineStr">
        <is>
          <t xml:space="preserve">cash</t>
        </is>
      </c>
      <c r="FY54" t="inlineStr">
        <is>
          <t xml:space="preserve">lease</t>
        </is>
      </c>
      <c r="FZ54" t="inlineStr">
        <is>
          <t xml:space="preserve">cash</t>
        </is>
      </c>
      <c r="GA54"/>
      <c r="GB54" s="4">
        <v>1</v>
      </c>
      <c r="GC54" s="4">
        <v>1</v>
      </c>
      <c r="GD54" s="6"/>
      <c r="GE54" s="4">
        <v>0</v>
      </c>
      <c r="GF54" s="5">
        <f>IF(FX54="direct",IFERROR(GL54/GC54,0),0)</f>
        <v>0</v>
      </c>
      <c r="GG54" s="5">
        <f>IF(FX54="direct",GE54-GF54,IF(FX54="cash",GQ54,GE54))</f>
        <v>0.002123051485641477</v>
      </c>
      <c r="GH54" s="6"/>
      <c r="GI54" s="4">
        <v>0</v>
      </c>
      <c r="GJ54" s="4">
        <v>0</v>
      </c>
      <c r="GK54" s="5">
        <f>IF(FX54="direct",GE54*(GC54-GB54),GN54)</f>
        <v>0</v>
      </c>
      <c r="GL54" s="5">
        <f>IF(FX54="direct",GJ54*GD54*C54/365,0)</f>
        <v>0</v>
      </c>
      <c r="GM54" s="5">
        <f>GK54-GL54</f>
        <v>0</v>
      </c>
      <c r="GN54" s="4">
        <v>0</v>
      </c>
      <c r="GO54" s="5">
        <f>GN54-GM54</f>
        <v>0</v>
      </c>
      <c r="GP54" s="4">
        <v>0.002123051485641477</v>
      </c>
      <c r="GQ54" s="4">
        <v>0.002123051485641477</v>
      </c>
      <c r="GR54" s="4">
        <v>1.824</v>
      </c>
      <c r="GS54" s="4">
        <v>1.813</v>
      </c>
      <c r="GT54" s="6"/>
      <c r="GU54" s="6"/>
      <c r="GV54" s="6"/>
      <c r="GW54" s="9"/>
      <c r="GX54" s="7">
        <f>IFERROR(GM54/F54,0)</f>
        <v>0</v>
      </c>
      <c r="GY54" t="inlineStr">
        <is>
          <t xml:space="preserve">Keep cash / margin / financing</t>
        </is>
      </c>
      <c r="GZ54" t="inlineStr">
        <is>
          <t xml:space="preserve">cash</t>
        </is>
      </c>
      <c r="HA54" t="inlineStr">
        <is>
          <t xml:space="preserve">keep</t>
        </is>
      </c>
      <c r="HB54" t="inlineStr">
        <is>
          <t xml:space="preserve">cash</t>
        </is>
      </c>
      <c r="HC54"/>
      <c r="HD54" s="4">
        <v>1</v>
      </c>
      <c r="HE54" s="4">
        <v>1</v>
      </c>
      <c r="HF54" s="6"/>
      <c r="HG54" s="4">
        <v>0</v>
      </c>
      <c r="HH54" s="5">
        <f>IF(GZ54="direct",IFERROR(HN54/HE54,0),0)</f>
        <v>0</v>
      </c>
      <c r="HI54" s="5">
        <f>IF(GZ54="direct",HG54-HH54,IF(GZ54="cash",HS54,HG54))</f>
        <v>0</v>
      </c>
      <c r="HJ54" s="6"/>
      <c r="HK54" s="4">
        <v>0</v>
      </c>
      <c r="HL54" s="4">
        <v>0</v>
      </c>
      <c r="HM54" s="5">
        <f>IF(GZ54="direct",HG54*(HE54-HD54),HP54)</f>
        <v>0</v>
      </c>
      <c r="HN54" s="5">
        <f>IF(GZ54="direct",HL54*HF54*C54/365,0)</f>
        <v>0</v>
      </c>
      <c r="HO54" s="5">
        <f>HM54-HN54</f>
        <v>0</v>
      </c>
      <c r="HP54" s="4">
        <v>0</v>
      </c>
      <c r="HQ54" s="5">
        <f>HP54-HO54</f>
        <v>0</v>
      </c>
      <c r="HR54" s="4">
        <v>0</v>
      </c>
      <c r="HS54" s="4">
        <v>0</v>
      </c>
      <c r="HT54" s="4">
        <v>1.824</v>
      </c>
      <c r="HU54" s="4">
        <v>1.813</v>
      </c>
      <c r="HV54" s="6"/>
      <c r="HW54" s="6"/>
      <c r="HX54" s="6"/>
      <c r="HY54" s="9"/>
      <c r="HZ54" s="7">
        <f>IFERROR(HO54/F54,0)</f>
        <v>0</v>
      </c>
      <c r="IA54"/>
      <c r="IB54"/>
      <c r="IC54"/>
      <c r="ID54"/>
      <c r="IE54"/>
      <c r="IF54" s="4"/>
      <c r="IG54" s="4"/>
      <c r="IH54" s="6"/>
      <c r="II54" s="4"/>
      <c r="IJ54" s="5">
        <v>0</v>
      </c>
      <c r="IK54" s="5"/>
      <c r="IL54" s="6"/>
      <c r="IM54" s="4"/>
      <c r="IN54" s="4"/>
      <c r="IO54" s="5">
        <v>0</v>
      </c>
      <c r="IP54" s="5">
        <v>0</v>
      </c>
      <c r="IQ54" s="5"/>
      <c r="IR54" s="4"/>
      <c r="IS54" s="5">
        <v>0</v>
      </c>
      <c r="IT54" s="4"/>
      <c r="IU54" s="4"/>
      <c r="IV54" s="4"/>
      <c r="IW54" s="4"/>
      <c r="IX54" s="6"/>
      <c r="IY54" s="6"/>
      <c r="IZ54" s="6"/>
      <c r="JA54" s="9"/>
      <c r="JB54"/>
      <c r="JC54"/>
      <c r="JD54"/>
      <c r="JE54"/>
      <c r="JF54"/>
      <c r="JG54"/>
      <c r="JH54" s="4"/>
      <c r="JI54" s="4"/>
      <c r="JJ54" s="6"/>
      <c r="JK54" s="4"/>
      <c r="JL54" s="5">
        <v>0</v>
      </c>
      <c r="JM54" s="5"/>
      <c r="JN54" s="6"/>
      <c r="JO54" s="4"/>
      <c r="JP54" s="4"/>
      <c r="JQ54" s="5">
        <v>0</v>
      </c>
      <c r="JR54" s="5">
        <v>0</v>
      </c>
      <c r="JS54" s="5"/>
      <c r="JT54" s="4"/>
      <c r="JU54" s="5">
        <v>0</v>
      </c>
      <c r="JV54" s="4"/>
      <c r="JW54" s="4"/>
      <c r="JX54" s="4"/>
      <c r="JY54" s="4"/>
      <c r="JZ54" s="6"/>
      <c r="KA54" s="6"/>
      <c r="KB54" s="6"/>
      <c r="KC54" s="9"/>
      <c r="KD54"/>
      <c r="KE54"/>
      <c r="KF54"/>
      <c r="KG54"/>
      <c r="KH54"/>
      <c r="KI54"/>
      <c r="KJ54" s="4"/>
      <c r="KK54" s="4"/>
      <c r="KL54" s="6"/>
      <c r="KM54" s="4"/>
      <c r="KN54" s="5">
        <v>0</v>
      </c>
      <c r="KO54" s="5"/>
      <c r="KP54" s="6"/>
      <c r="KQ54" s="4"/>
      <c r="KR54" s="4"/>
      <c r="KS54" s="5">
        <v>0</v>
      </c>
      <c r="KT54" s="5">
        <v>0</v>
      </c>
      <c r="KU54" s="5"/>
      <c r="KV54" s="4"/>
      <c r="KW54" s="5">
        <v>0</v>
      </c>
      <c r="KX54" s="4"/>
      <c r="KY54" s="4"/>
      <c r="KZ54" s="4"/>
      <c r="LA54" s="4"/>
      <c r="LB54" s="6"/>
      <c r="LC54" s="6"/>
      <c r="LD54" s="6"/>
      <c r="LE54" s="9"/>
      <c r="LF54"/>
      <c r="LG54"/>
      <c r="LH54"/>
      <c r="LI54"/>
      <c r="LJ54"/>
      <c r="LK54"/>
      <c r="LL54" s="4"/>
      <c r="LM54" s="4"/>
      <c r="LN54" s="6"/>
      <c r="LO54" s="4"/>
      <c r="LP54" s="5">
        <v>0</v>
      </c>
      <c r="LQ54" s="5"/>
      <c r="LR54" s="6"/>
      <c r="LS54" s="4"/>
      <c r="LT54" s="4"/>
      <c r="LU54" s="5">
        <v>0</v>
      </c>
      <c r="LV54" s="5">
        <v>0</v>
      </c>
      <c r="LW54" s="5"/>
      <c r="LX54" s="4"/>
      <c r="LY54" s="5">
        <v>0</v>
      </c>
      <c r="LZ54" s="4"/>
      <c r="MA54" s="4"/>
      <c r="MB54" s="4"/>
      <c r="MC54" s="4"/>
      <c r="MD54" s="6"/>
      <c r="ME54" s="6"/>
      <c r="MF54" s="6"/>
      <c r="MG54" s="9"/>
      <c r="MH54"/>
    </row>
    <row r="55">
      <c r="A55" s="8">
        <v>25282</v>
      </c>
      <c r="B55" s="8">
        <v>25283</v>
      </c>
      <c r="C55" s="9">
        <f>B55-A55</f>
        <v>1</v>
      </c>
      <c r="D55" s="8">
        <v>25282</v>
      </c>
      <c r="E55" t="inlineStr">
        <is>
          <t xml:space="preserve">neutral</t>
        </is>
      </c>
      <c r="F55" s="4">
        <v>1.198443356850245</v>
      </c>
      <c r="G55" s="6">
        <v>0.011024590287799627</v>
      </c>
      <c r="H55" s="7">
        <f>SUM(CP55,DR55,ET55,FV55,GX55,HZ55,JB55,KD55,LF55,MH55)</f>
        <v>0.011024590287799627</v>
      </c>
      <c r="I55" s="7">
        <f>G55-H55</f>
        <v>0</v>
      </c>
      <c r="J55" s="5">
        <f>F55*(1+H55)</f>
        <v>1.2116557038426543</v>
      </c>
      <c r="K55" s="4">
        <v>1.2116557038426543</v>
      </c>
      <c r="L55" s="5">
        <f>K55-J55</f>
        <v>0</v>
      </c>
      <c r="M55" s="4">
        <v>1.813</v>
      </c>
      <c r="N55" s="4">
        <v>1.833</v>
      </c>
      <c r="O55" s="5">
        <f>M55/$M$3</f>
        <v>0.9259448416751788</v>
      </c>
      <c r="P55" s="5">
        <f>N55/$M$3</f>
        <v>0.9361593462717058</v>
      </c>
      <c r="Q55" s="7">
        <f>IFERROR(N55/M55-1,0)</f>
        <v>0.01103143960286812</v>
      </c>
      <c r="R55" s="5">
        <f>SUM(IF(BQ55="lease",CB55,0),IF(CS55="lease",DD55,0),IF(DU55="lease",EF55,0),IF(EW55="lease",FH55,0),IF(FY55="lease",GJ55,0),IF(HA55="lease",HL55,0),IF(IC55="lease",IN55,0),IF(JE55="lease",JP55,0),IF(KG55="lease",KR55,0),IF(LI55="lease",LT55,0))</f>
        <v>1.198443356850245</v>
      </c>
      <c r="S55" s="5">
        <f>SUM(IF(BQ55="lease",CI55,0),IF(CS55="lease",DK55,0),IF(DU55="lease",EM55,0),IF(EW55="lease",FO55,0),IF(FY55="lease",GQ55,0),IF(HA55="lease",HS55,0),IF(IC55="lease",IU55,0),IF(JE55="lease",JW55,0),IF(KG55="lease",KY55,0),IF(LI55="lease",MA55,0))</f>
        <v>1.2116557038426543</v>
      </c>
      <c r="T55" s="5">
        <f>SUM(IF(BQ55="keep",CB55,0),IF(CS55="keep",DD55,0),IF(DU55="keep",EF55,0),IF(EW55="keep",FH55,0),IF(FY55="keep",GJ55,0),IF(HA55="keep",HL55,0),IF(IC55="keep",IN55,0),IF(JE55="keep",JP55,0),IF(KG55="keep",KR55,0),IF(LI55="keep",LT55,0))</f>
        <v>0</v>
      </c>
      <c r="U55" s="5">
        <f>SUM(IF(BQ55="keep",CI55,0),IF(CS55="keep",DK55,0),IF(DU55="keep",EM55,0),IF(EW55="keep",FO55,0),IF(FY55="keep",GQ55,0),IF(HA55="keep",HS55,0),IF(IC55="keep",IU55,0),IF(JE55="keep",JW55,0),IF(KG55="keep",KY55,0),IF(LI55="keep",MA55,0))</f>
        <v>0</v>
      </c>
      <c r="V55" s="5">
        <f>R55/O55</f>
        <v>1.2942923842872476</v>
      </c>
      <c r="W55" s="5">
        <f>S55/P55</f>
        <v>1.2942836159977726</v>
      </c>
      <c r="X55" s="5">
        <f>T55/O55</f>
        <v>0</v>
      </c>
      <c r="Y55" s="5">
        <f>U55/P55</f>
        <v>0</v>
      </c>
      <c r="Z55" s="5">
        <f>V55+X55</f>
        <v>1.2942923842872476</v>
      </c>
      <c r="AA55" s="7">
        <f>IFERROR(W55/V55-1,0)</f>
        <v>-0.000006774581679858116</v>
      </c>
      <c r="AB55" s="7">
        <f>IFERROR((W55-V55)/Z55,0)</f>
        <v>-0.000006774581679830367</v>
      </c>
      <c r="AC55" s="7">
        <f>IFERROR(Y55/X55-1,0)</f>
        <v>0</v>
      </c>
      <c r="AD55" s="7">
        <f>IFERROR((Y55-X55)/Z55,0)</f>
        <v>0</v>
      </c>
      <c r="AE55" s="7">
        <f>AB55+AD55</f>
        <v>-0.000006774581679830367</v>
      </c>
      <c r="AF55" s="7">
        <f>(1+Q55)*(1+AE55)-1</f>
        <v>0.011024590287799674</v>
      </c>
      <c r="AG55" s="7">
        <f>G55-AF55</f>
        <v>-4.683753385137379e-17</v>
      </c>
      <c r="AH55" s="5">
        <f>SUM(IF(BQ55="lease",CE55,0),IF(CS55="lease",DG55,0),IF(DU55="lease",EI55,0),IF(EW55="lease",FK55,0),IF(FY55="lease",GM55,0),IF(HA55="lease",HO55,0),IF(IC55="lease",IQ55,0),IF(JE55="lease",JS55,0),IF(KG55="lease",KU55,0),IF(LI55="lease",LW55,0))</f>
        <v>0.013212346992409195</v>
      </c>
      <c r="AI55" s="5">
        <f>SUM(IF(BQ55="keep",CE55,0),IF(CS55="keep",DG55,0),IF(DU55="keep",EI55,0),IF(EW55="keep",FK55,0),IF(FY55="keep",GM55,0),IF(HA55="keep",HO55,0),IF(IC55="keep",IQ55,0),IF(JE55="keep",JS55,0),IF(KG55="keep",KU55,0),IF(LI55="keep",LW55,0))</f>
        <v>0</v>
      </c>
      <c r="AJ55" s="5">
        <f>SUM(IF(BQ55="lease",CH55,0),IF(CS55="lease",DJ55,0),IF(DU55="lease",EL55,0),IF(EW55="lease",FN55,0),IF(FY55="lease",GP55,0),IF(HA55="lease",HR55,0),IF(IC55="lease",IT55,0),IF(JE55="lease",JV55,0),IF(KG55="lease",KX55,0),IF(LI55="lease",LZ55,0))</f>
        <v>0</v>
      </c>
      <c r="AK55" s="5">
        <f>SUM(IF(BQ55="keep",CH55,0),IF(CS55="keep",DJ55,0),IF(DU55="keep",EL55,0),IF(EW55="keep",FN55,0),IF(FY55="keep",GP55,0),IF(HA55="keep",HR55,0),IF(IC55="keep",IT55,0),IF(JE55="keep",JV55,0),IF(KG55="keep",KX55,0),IF(LI55="keep",LZ55,0))</f>
        <v>0</v>
      </c>
      <c r="AL55" s="5">
        <f>R55-S54</f>
        <v>2.220446049250313e-16</v>
      </c>
      <c r="AM55" s="5">
        <f>T55-U54</f>
        <v>0</v>
      </c>
      <c r="AN55" s="5">
        <f>AN54</f>
        <v>1</v>
      </c>
      <c r="AO55" s="5">
        <f>AO54+AH55</f>
        <v>0.2116557038426546</v>
      </c>
      <c r="AP55" s="5">
        <f>AP54+AL55</f>
        <v>-4.440892098500626e-16</v>
      </c>
      <c r="AQ55" s="5">
        <f>AN55+AO55+AP55</f>
        <v>1.211655703842654</v>
      </c>
      <c r="AR55" s="5">
        <f>S55-AQ55</f>
        <v>2.220446049250313e-16</v>
      </c>
      <c r="AS55" s="5">
        <f>AS54</f>
        <v>0</v>
      </c>
      <c r="AT55" s="5">
        <f>AT54+AI55</f>
        <v>0</v>
      </c>
      <c r="AU55" s="5">
        <f>AU54+AM55</f>
        <v>0</v>
      </c>
      <c r="AV55" s="5">
        <f>AS55+AT55+AU55</f>
        <v>0</v>
      </c>
      <c r="AW55" s="5">
        <f>U55-AV55</f>
        <v>0</v>
      </c>
      <c r="AX55" s="4">
        <v>1.198443356850245</v>
      </c>
      <c r="AY55" s="4">
        <v>1.2116557038426543</v>
      </c>
      <c r="AZ55" s="5">
        <f>S55-AY55</f>
        <v>0</v>
      </c>
      <c r="BA55" s="4">
        <v>0</v>
      </c>
      <c r="BB55" s="4">
        <v>0</v>
      </c>
      <c r="BC55" s="5">
        <f>U55-BB55</f>
        <v>0</v>
      </c>
      <c r="BD55" s="7">
        <f>SUM(IF(BP55="direct",CC55/F55,0),IF(CR55="direct",DE55/F55,0),IF(DT55="direct",EG55/F55,0),IF(EV55="direct",FI55/F55,0),IF(FX55="direct",GK55/F55,0),IF(GZ55="direct",HM55/F55,0),IF(IB55="direct",IO55/F55,0),IF(JD55="direct",JQ55/F55,0),IF(KF55="direct",KS55/F55,0),IF(LH55="direct",LU55/F55,0))</f>
        <v>0.011031439602868185</v>
      </c>
      <c r="BE55" s="7">
        <f>-SUM(IF(BP55="direct",CD55/F55,0),IF(CR55="direct",DF55/F55,0),IF(DT55="direct",EH55/F55,0),IF(EV55="direct",FJ55/F55,0),IF(FX55="direct",GL55/F55,0),IF(GZ55="direct",HN55/F55,0),IF(IB55="direct",IP55/F55,0),IF(JD55="direct",JR55/F55,0),IF(KF55="direct",KT55/F55,0),IF(LH55="direct",LV55/F55,0))</f>
        <v>-0.00000684931506849315</v>
      </c>
      <c r="BF55" s="7">
        <f>BD55+BE55</f>
        <v>0.011024590287799691</v>
      </c>
      <c r="BG55" s="7">
        <f>BF55-SUM(IF(BP55="direct",CP55,0),IF(CR55="direct",DR55,0),IF(DT55="direct",ET55,0),IF(EV55="direct",FV55,0),IF(FX55="direct",GX55,0),IF(GZ55="direct",HZ55,0),IF(IB55="direct",JB55,0),IF(JD55="direct",KD55,0),IF(KF55="direct",LF55,0),IF(LH55="direct",MH55,0))</f>
        <v>6.418476861114186e-17</v>
      </c>
      <c r="BH55" s="7">
        <f>SUM(IF(BP55="treasury",CP55,0),IF(CR55="treasury",DR55,0),IF(DT55="treasury",ET55,0),IF(EV55="treasury",FV55,0),IF(FX55="treasury",GX55,0),IF(GZ55="treasury",HZ55,0),IF(IB55="treasury",JB55,0),IF(JD55="treasury",KD55,0),IF(KF55="treasury",LF55,0),IF(LH55="treasury",MH55,0))</f>
        <v>0</v>
      </c>
      <c r="BI55" s="7">
        <f>SUM(IF(BP55="future",CP55,0),IF(CR55="future",DR55,0),IF(DT55="future",ET55,0),IF(EV55="future",FV55,0),IF(FX55="future",GX55,0),IF(GZ55="future",HZ55,0),IF(IB55="future",JB55,0),IF(JD55="future",KD55,0),IF(KF55="future",LF55,0),IF(LH55="future",MH55,0))</f>
        <v>0</v>
      </c>
      <c r="BJ55" s="7">
        <f>SUM(IF(BP55="cash",CP55,0),IF(CR55="cash",DR55,0),IF(DT55="cash",ET55,0),IF(EV55="cash",FV55,0),IF(FX55="cash",GX55,0),IF(GZ55="cash",HZ55,0),IF(IB55="cash",JB55,0),IF(JD55="cash",KD55,0),IF(KF55="cash",LF55,0),IF(LH55="cash",MH55,0))</f>
        <v>0</v>
      </c>
      <c r="BK55" s="7">
        <f>SUM(BF55,BH55,BI55,BJ55)</f>
        <v>0.011024590287799627</v>
      </c>
      <c r="BL55" s="7">
        <f>G55-BK55</f>
        <v>0</v>
      </c>
      <c r="BM55" s="5">
        <f>MAX(ABS(CG55),ABS(DI55),ABS(EK55),ABS(FM55),ABS(GO55),ABS(HQ55),ABS(IS55),ABS(JU55),ABS(KW55),ABS(LY55))</f>
        <v>7.634646766781911e-17</v>
      </c>
      <c r="BN55" s="9">
        <f>COUNTA(BO55,CQ55,DS55,EU55,FW55,GY55,IA55,JC55,KE55,LG55)</f>
        <v>3</v>
      </c>
      <c r="BO55" t="inlineStr">
        <is>
          <t xml:space="preserve">Direct commodity holding</t>
        </is>
      </c>
      <c r="BP55" t="inlineStr">
        <is>
          <t xml:space="preserve">direct</t>
        </is>
      </c>
      <c r="BQ55" t="inlineStr">
        <is>
          <t xml:space="preserve">lease</t>
        </is>
      </c>
      <c r="BR55" t="inlineStr">
        <is>
          <t xml:space="preserve">long</t>
        </is>
      </c>
      <c r="BS55"/>
      <c r="BT55" s="4">
        <v>1.813</v>
      </c>
      <c r="BU55" s="4">
        <v>1.833</v>
      </c>
      <c r="BV55" s="6">
        <v>0.0025</v>
      </c>
      <c r="BW55" s="4">
        <v>0.6610277754276035</v>
      </c>
      <c r="BX55" s="5">
        <f>IF(BP55="direct",IFERROR(CD55/BU55,0),0)</f>
        <v>0.000004478186657288542</v>
      </c>
      <c r="BY55" s="5">
        <f>IF(BP55="direct",BW55-BX55,IF(BP55="cash",CI55,BW55))</f>
        <v>0.6610232972409462</v>
      </c>
      <c r="BZ55" s="6">
        <v>1</v>
      </c>
      <c r="CA55" s="4">
        <v>1.198443356850245</v>
      </c>
      <c r="CB55" s="4">
        <v>1.198443356850245</v>
      </c>
      <c r="CC55" s="5">
        <f>IF(BP55="direct",BW55*(BU55-BT55),CF55)</f>
        <v>0.01322055550855208</v>
      </c>
      <c r="CD55" s="5">
        <f>IF(BP55="direct",CB55*BV55*C55/365,0)</f>
        <v>0.000008208516142809897</v>
      </c>
      <c r="CE55" s="5">
        <f>CC55-CD55</f>
        <v>0.013212346992409195</v>
      </c>
      <c r="CF55" s="4">
        <v>0.013212346992409195</v>
      </c>
      <c r="CG55" s="5">
        <f>CF55-CE55</f>
        <v>-7.634646766781911e-17</v>
      </c>
      <c r="CH55" s="4">
        <v>0</v>
      </c>
      <c r="CI55" s="4">
        <v>1.2116557038426543</v>
      </c>
      <c r="CJ55" s="4">
        <v>1.813</v>
      </c>
      <c r="CK55" s="4">
        <v>1.833</v>
      </c>
      <c r="CL55" s="6"/>
      <c r="CM55" s="6"/>
      <c r="CN55" s="6"/>
      <c r="CO55" s="9"/>
      <c r="CP55" s="7">
        <f>IFERROR(CE55/F55,0)</f>
        <v>0.011024590287799627</v>
      </c>
      <c r="CQ55" t="inlineStr">
        <is>
          <t xml:space="preserve">Lease cash / margin / financing</t>
        </is>
      </c>
      <c r="CR55" t="inlineStr">
        <is>
          <t xml:space="preserve">cash</t>
        </is>
      </c>
      <c r="CS55" t="inlineStr">
        <is>
          <t xml:space="preserve">lease</t>
        </is>
      </c>
      <c r="CT55" t="inlineStr">
        <is>
          <t xml:space="preserve">cash</t>
        </is>
      </c>
      <c r="CU55"/>
      <c r="CV55" s="4">
        <v>1</v>
      </c>
      <c r="CW55" s="4">
        <v>1</v>
      </c>
      <c r="CX55" s="6"/>
      <c r="CY55" s="4">
        <v>0</v>
      </c>
      <c r="CZ55" s="5">
        <f>IF(CR55="direct",IFERROR(DF55/CW55,0),0)</f>
        <v>0</v>
      </c>
      <c r="DA55" s="5">
        <f>IF(CR55="direct",CY55-CZ55,IF(CR55="cash",DK55,CY55))</f>
        <v>0</v>
      </c>
      <c r="DB55" s="6"/>
      <c r="DC55" s="4">
        <v>0</v>
      </c>
      <c r="DD55" s="4">
        <v>0</v>
      </c>
      <c r="DE55" s="5">
        <f>IF(CR55="direct",CY55*(CW55-CV55),DH55)</f>
        <v>0</v>
      </c>
      <c r="DF55" s="5">
        <f>IF(CR55="direct",DD55*CX55*C55/365,0)</f>
        <v>0</v>
      </c>
      <c r="DG55" s="5">
        <f>DE55-DF55</f>
        <v>0</v>
      </c>
      <c r="DH55" s="4">
        <v>0</v>
      </c>
      <c r="DI55" s="5">
        <f>DH55-DG55</f>
        <v>0</v>
      </c>
      <c r="DJ55" s="4">
        <v>0</v>
      </c>
      <c r="DK55" s="4">
        <v>0</v>
      </c>
      <c r="DL55" s="4">
        <v>1.813</v>
      </c>
      <c r="DM55" s="4">
        <v>1.833</v>
      </c>
      <c r="DN55" s="6"/>
      <c r="DO55" s="6"/>
      <c r="DP55" s="6"/>
      <c r="DQ55" s="9"/>
      <c r="DR55" s="7">
        <f>IFERROR(DG55/F55,0)</f>
        <v>0</v>
      </c>
      <c r="DS55" t="inlineStr">
        <is>
          <t xml:space="preserve">Keep cash / margin / financing</t>
        </is>
      </c>
      <c r="DT55" t="inlineStr">
        <is>
          <t xml:space="preserve">cash</t>
        </is>
      </c>
      <c r="DU55" t="inlineStr">
        <is>
          <t xml:space="preserve">keep</t>
        </is>
      </c>
      <c r="DV55" t="inlineStr">
        <is>
          <t xml:space="preserve">cash</t>
        </is>
      </c>
      <c r="DW55"/>
      <c r="DX55" s="4">
        <v>1</v>
      </c>
      <c r="DY55" s="4">
        <v>1</v>
      </c>
      <c r="DZ55" s="6"/>
      <c r="EA55" s="4">
        <v>0</v>
      </c>
      <c r="EB55" s="5">
        <f>IF(DT55="direct",IFERROR(EH55/DY55,0),0)</f>
        <v>0</v>
      </c>
      <c r="EC55" s="5">
        <f>IF(DT55="direct",EA55-EB55,IF(DT55="cash",EM55,EA55))</f>
        <v>0</v>
      </c>
      <c r="ED55" s="6"/>
      <c r="EE55" s="4">
        <v>0</v>
      </c>
      <c r="EF55" s="4">
        <v>0</v>
      </c>
      <c r="EG55" s="5">
        <f>IF(DT55="direct",EA55*(DY55-DX55),EJ55)</f>
        <v>0</v>
      </c>
      <c r="EH55" s="5">
        <f>IF(DT55="direct",EF55*DZ55*C55/365,0)</f>
        <v>0</v>
      </c>
      <c r="EI55" s="5">
        <f>EG55-EH55</f>
        <v>0</v>
      </c>
      <c r="EJ55" s="4">
        <v>0</v>
      </c>
      <c r="EK55" s="5">
        <f>EJ55-EI55</f>
        <v>0</v>
      </c>
      <c r="EL55" s="4">
        <v>0</v>
      </c>
      <c r="EM55" s="4">
        <v>0</v>
      </c>
      <c r="EN55" s="4">
        <v>1.813</v>
      </c>
      <c r="EO55" s="4">
        <v>1.833</v>
      </c>
      <c r="EP55" s="6"/>
      <c r="EQ55" s="6"/>
      <c r="ER55" s="6"/>
      <c r="ES55" s="9"/>
      <c r="ET55" s="7">
        <f>IFERROR(EI55/F55,0)</f>
        <v>0</v>
      </c>
      <c r="EU55"/>
      <c r="EV55"/>
      <c r="EW55"/>
      <c r="EX55"/>
      <c r="EY55"/>
      <c r="EZ55" s="4"/>
      <c r="FA55" s="4"/>
      <c r="FB55" s="6"/>
      <c r="FC55" s="4"/>
      <c r="FD55" s="5">
        <v>0</v>
      </c>
      <c r="FE55" s="5"/>
      <c r="FF55" s="6"/>
      <c r="FG55" s="4"/>
      <c r="FH55" s="4"/>
      <c r="FI55" s="5">
        <v>0</v>
      </c>
      <c r="FJ55" s="5">
        <v>0</v>
      </c>
      <c r="FK55" s="5"/>
      <c r="FL55" s="4"/>
      <c r="FM55" s="5">
        <v>0</v>
      </c>
      <c r="FN55" s="4"/>
      <c r="FO55" s="4"/>
      <c r="FP55" s="4"/>
      <c r="FQ55" s="4"/>
      <c r="FR55" s="6"/>
      <c r="FS55" s="6"/>
      <c r="FT55" s="6"/>
      <c r="FU55" s="9"/>
      <c r="FV55"/>
      <c r="FW55"/>
      <c r="FX55"/>
      <c r="FY55"/>
      <c r="FZ55"/>
      <c r="GA55"/>
      <c r="GB55" s="4"/>
      <c r="GC55" s="4"/>
      <c r="GD55" s="6"/>
      <c r="GE55" s="4"/>
      <c r="GF55" s="5">
        <v>0</v>
      </c>
      <c r="GG55" s="5"/>
      <c r="GH55" s="6"/>
      <c r="GI55" s="4"/>
      <c r="GJ55" s="4"/>
      <c r="GK55" s="5">
        <v>0</v>
      </c>
      <c r="GL55" s="5">
        <v>0</v>
      </c>
      <c r="GM55" s="5"/>
      <c r="GN55" s="4"/>
      <c r="GO55" s="5">
        <v>0</v>
      </c>
      <c r="GP55" s="4"/>
      <c r="GQ55" s="4"/>
      <c r="GR55" s="4"/>
      <c r="GS55" s="4"/>
      <c r="GT55" s="6"/>
      <c r="GU55" s="6"/>
      <c r="GV55" s="6"/>
      <c r="GW55" s="9"/>
      <c r="GX55"/>
      <c r="GY55"/>
      <c r="GZ55"/>
      <c r="HA55"/>
      <c r="HB55"/>
      <c r="HC55"/>
      <c r="HD55" s="4"/>
      <c r="HE55" s="4"/>
      <c r="HF55" s="6"/>
      <c r="HG55" s="4"/>
      <c r="HH55" s="5">
        <v>0</v>
      </c>
      <c r="HI55" s="5"/>
      <c r="HJ55" s="6"/>
      <c r="HK55" s="4"/>
      <c r="HL55" s="4"/>
      <c r="HM55" s="5">
        <v>0</v>
      </c>
      <c r="HN55" s="5">
        <v>0</v>
      </c>
      <c r="HO55" s="5"/>
      <c r="HP55" s="4"/>
      <c r="HQ55" s="5">
        <v>0</v>
      </c>
      <c r="HR55" s="4"/>
      <c r="HS55" s="4"/>
      <c r="HT55" s="4"/>
      <c r="HU55" s="4"/>
      <c r="HV55" s="6"/>
      <c r="HW55" s="6"/>
      <c r="HX55" s="6"/>
      <c r="HY55" s="9"/>
      <c r="HZ55"/>
      <c r="IA55"/>
      <c r="IB55"/>
      <c r="IC55"/>
      <c r="ID55"/>
      <c r="IE55"/>
      <c r="IF55" s="4"/>
      <c r="IG55" s="4"/>
      <c r="IH55" s="6"/>
      <c r="II55" s="4"/>
      <c r="IJ55" s="5">
        <v>0</v>
      </c>
      <c r="IK55" s="5"/>
      <c r="IL55" s="6"/>
      <c r="IM55" s="4"/>
      <c r="IN55" s="4"/>
      <c r="IO55" s="5">
        <v>0</v>
      </c>
      <c r="IP55" s="5">
        <v>0</v>
      </c>
      <c r="IQ55" s="5"/>
      <c r="IR55" s="4"/>
      <c r="IS55" s="5">
        <v>0</v>
      </c>
      <c r="IT55" s="4"/>
      <c r="IU55" s="4"/>
      <c r="IV55" s="4"/>
      <c r="IW55" s="4"/>
      <c r="IX55" s="6"/>
      <c r="IY55" s="6"/>
      <c r="IZ55" s="6"/>
      <c r="JA55" s="9"/>
      <c r="JB55"/>
      <c r="JC55"/>
      <c r="JD55"/>
      <c r="JE55"/>
      <c r="JF55"/>
      <c r="JG55"/>
      <c r="JH55" s="4"/>
      <c r="JI55" s="4"/>
      <c r="JJ55" s="6"/>
      <c r="JK55" s="4"/>
      <c r="JL55" s="5">
        <v>0</v>
      </c>
      <c r="JM55" s="5"/>
      <c r="JN55" s="6"/>
      <c r="JO55" s="4"/>
      <c r="JP55" s="4"/>
      <c r="JQ55" s="5">
        <v>0</v>
      </c>
      <c r="JR55" s="5">
        <v>0</v>
      </c>
      <c r="JS55" s="5"/>
      <c r="JT55" s="4"/>
      <c r="JU55" s="5">
        <v>0</v>
      </c>
      <c r="JV55" s="4"/>
      <c r="JW55" s="4"/>
      <c r="JX55" s="4"/>
      <c r="JY55" s="4"/>
      <c r="JZ55" s="6"/>
      <c r="KA55" s="6"/>
      <c r="KB55" s="6"/>
      <c r="KC55" s="9"/>
      <c r="KD55"/>
      <c r="KE55"/>
      <c r="KF55"/>
      <c r="KG55"/>
      <c r="KH55"/>
      <c r="KI55"/>
      <c r="KJ55" s="4"/>
      <c r="KK55" s="4"/>
      <c r="KL55" s="6"/>
      <c r="KM55" s="4"/>
      <c r="KN55" s="5">
        <v>0</v>
      </c>
      <c r="KO55" s="5"/>
      <c r="KP55" s="6"/>
      <c r="KQ55" s="4"/>
      <c r="KR55" s="4"/>
      <c r="KS55" s="5">
        <v>0</v>
      </c>
      <c r="KT55" s="5">
        <v>0</v>
      </c>
      <c r="KU55" s="5"/>
      <c r="KV55" s="4"/>
      <c r="KW55" s="5">
        <v>0</v>
      </c>
      <c r="KX55" s="4"/>
      <c r="KY55" s="4"/>
      <c r="KZ55" s="4"/>
      <c r="LA55" s="4"/>
      <c r="LB55" s="6"/>
      <c r="LC55" s="6"/>
      <c r="LD55" s="6"/>
      <c r="LE55" s="9"/>
      <c r="LF55"/>
      <c r="LG55"/>
      <c r="LH55"/>
      <c r="LI55"/>
      <c r="LJ55"/>
      <c r="LK55"/>
      <c r="LL55" s="4"/>
      <c r="LM55" s="4"/>
      <c r="LN55" s="6"/>
      <c r="LO55" s="4"/>
      <c r="LP55" s="5">
        <v>0</v>
      </c>
      <c r="LQ55" s="5"/>
      <c r="LR55" s="6"/>
      <c r="LS55" s="4"/>
      <c r="LT55" s="4"/>
      <c r="LU55" s="5">
        <v>0</v>
      </c>
      <c r="LV55" s="5">
        <v>0</v>
      </c>
      <c r="LW55" s="5"/>
      <c r="LX55" s="4"/>
      <c r="LY55" s="5">
        <v>0</v>
      </c>
      <c r="LZ55" s="4"/>
      <c r="MA55" s="4"/>
      <c r="MB55" s="4"/>
      <c r="MC55" s="4"/>
      <c r="MD55" s="6"/>
      <c r="ME55" s="6"/>
      <c r="MF55" s="6"/>
      <c r="MG55" s="9"/>
      <c r="MH55"/>
    </row>
    <row r="56">
      <c r="A56" s="8">
        <v>25283</v>
      </c>
      <c r="B56" s="8">
        <v>25286</v>
      </c>
      <c r="C56" s="9">
        <f>B56-A56</f>
        <v>3</v>
      </c>
      <c r="D56" s="8">
        <v>25283</v>
      </c>
      <c r="E56" t="inlineStr">
        <is>
          <t xml:space="preserve">positive</t>
        </is>
      </c>
      <c r="F56" s="4">
        <v>1.2116557038426543</v>
      </c>
      <c r="G56" s="6">
        <v>0.006204634753119233</v>
      </c>
      <c r="H56" s="7">
        <f>SUM(CP56,DR56,ET56,FV56,GX56,HZ56,JB56,KD56,LF56,MH56)</f>
        <v>0.006204634753119233</v>
      </c>
      <c r="I56" s="7">
        <f>G56-H56</f>
        <v>0</v>
      </c>
      <c r="J56" s="5">
        <f>F56*(1+H56)</f>
        <v>1.2191735849315317</v>
      </c>
      <c r="K56" s="4">
        <v>1.2191735849315317</v>
      </c>
      <c r="L56" s="5">
        <f>K56-J56</f>
        <v>0</v>
      </c>
      <c r="M56" s="4">
        <v>1.833</v>
      </c>
      <c r="N56" s="4">
        <v>1.846</v>
      </c>
      <c r="O56" s="5">
        <f>M56/$M$3</f>
        <v>0.9361593462717058</v>
      </c>
      <c r="P56" s="5">
        <f>N56/$M$3</f>
        <v>0.9427987742594485</v>
      </c>
      <c r="Q56" s="7">
        <f>IFERROR(N56/M56-1,0)</f>
        <v>0.007092198581560405</v>
      </c>
      <c r="R56" s="5">
        <f>SUM(IF(BQ56="lease",CB56,0),IF(CS56="lease",DD56,0),IF(DU56="lease",EF56,0),IF(EW56="lease",FH56,0),IF(FY56="lease",GJ56,0),IF(HA56="lease",HL56,0),IF(IC56="lease",IN56,0),IF(JE56="lease",JP56,0),IF(KG56="lease",KR56,0),IF(LI56="lease",LT56,0))</f>
        <v>1.2116557038426543</v>
      </c>
      <c r="S56" s="5">
        <f>SUM(IF(BQ56="lease",CI56,0),IF(CS56="lease",DK56,0),IF(DU56="lease",EM56,0),IF(EW56="lease",FO56,0),IF(FY56="lease",GQ56,0),IF(HA56="lease",HS56,0),IF(IC56="lease",IU56,0),IF(JE56="lease",JW56,0),IF(KG56="lease",KY56,0),IF(LI56="lease",MA56,0))</f>
        <v>1.2191735849315315</v>
      </c>
      <c r="T56" s="5">
        <f>SUM(IF(BQ56="keep",CB56,0),IF(CS56="keep",DD56,0),IF(DU56="keep",EF56,0),IF(EW56="keep",FH56,0),IF(FY56="keep",GJ56,0),IF(HA56="keep",HL56,0),IF(IC56="keep",IN56,0),IF(JE56="keep",JP56,0),IF(KG56="keep",KR56,0),IF(LI56="keep",LT56,0))</f>
        <v>0</v>
      </c>
      <c r="U56" s="5">
        <f>SUM(IF(BQ56="keep",CI56,0),IF(CS56="keep",DK56,0),IF(DU56="keep",EM56,0),IF(EW56="keep",FO56,0),IF(FY56="keep",GQ56,0),IF(HA56="keep",HS56,0),IF(IC56="keep",IU56,0),IF(JE56="keep",JW56,0),IF(KG56="keep",KY56,0),IF(LI56="keep",MA56,0))</f>
        <v>0</v>
      </c>
      <c r="V56" s="5">
        <f>R56/O56</f>
        <v>1.2942836159977726</v>
      </c>
      <c r="W56" s="5">
        <f>S56/P56</f>
        <v>1.2931429465308444</v>
      </c>
      <c r="X56" s="5">
        <f>T56/O56</f>
        <v>0</v>
      </c>
      <c r="Y56" s="5">
        <f>U56/P56</f>
        <v>0</v>
      </c>
      <c r="Z56" s="5">
        <f>V56+X56</f>
        <v>1.2942836159977726</v>
      </c>
      <c r="AA56" s="7">
        <f>IFERROR(W56/V56-1,0)</f>
        <v>-0.0008813133789450367</v>
      </c>
      <c r="AB56" s="7">
        <f>IFERROR((W56-V56)/Z56,0)</f>
        <v>-0.0008813133789450827</v>
      </c>
      <c r="AC56" s="7">
        <f>IFERROR(Y56/X56-1,0)</f>
        <v>0</v>
      </c>
      <c r="AD56" s="7">
        <f>IFERROR((Y56-X56)/Z56,0)</f>
        <v>0</v>
      </c>
      <c r="AE56" s="7">
        <f>AB56+AD56</f>
        <v>-0.0008813133789450827</v>
      </c>
      <c r="AF56" s="7">
        <f>(1+Q56)*(1+AE56)-1</f>
        <v>0.006204634753119276</v>
      </c>
      <c r="AG56" s="7">
        <f>G56-AF56</f>
        <v>-4.2500725161431774e-17</v>
      </c>
      <c r="AH56" s="5">
        <f>SUM(IF(BQ56="lease",CE56,0),IF(CS56="lease",DG56,0),IF(DU56="lease",EI56,0),IF(EW56="lease",FK56,0),IF(FY56="lease",GM56,0),IF(HA56="lease",HO56,0),IF(IC56="lease",IQ56,0),IF(JE56="lease",JS56,0),IF(KG56="lease",KU56,0),IF(LI56="lease",LW56,0))</f>
        <v>0.0075178810888772785</v>
      </c>
      <c r="AI56" s="5">
        <f>SUM(IF(BQ56="keep",CE56,0),IF(CS56="keep",DG56,0),IF(DU56="keep",EI56,0),IF(EW56="keep",FK56,0),IF(FY56="keep",GM56,0),IF(HA56="keep",HO56,0),IF(IC56="keep",IQ56,0),IF(JE56="keep",JS56,0),IF(KG56="keep",KU56,0),IF(LI56="keep",LW56,0))</f>
        <v>0</v>
      </c>
      <c r="AJ56" s="5">
        <f>SUM(IF(BQ56="lease",CH56,0),IF(CS56="lease",DJ56,0),IF(DU56="lease",EL56,0),IF(EW56="lease",FN56,0),IF(FY56="lease",GP56,0),IF(HA56="lease",HR56,0),IF(IC56="lease",IT56,0),IF(JE56="lease",JV56,0),IF(KG56="lease",KX56,0),IF(LI56="lease",LZ56,0))</f>
        <v>0</v>
      </c>
      <c r="AK56" s="5">
        <f>SUM(IF(BQ56="keep",CH56,0),IF(CS56="keep",DJ56,0),IF(DU56="keep",EL56,0),IF(EW56="keep",FN56,0),IF(FY56="keep",GP56,0),IF(HA56="keep",HR56,0),IF(IC56="keep",IT56,0),IF(JE56="keep",JV56,0),IF(KG56="keep",KX56,0),IF(LI56="keep",LZ56,0))</f>
        <v>0</v>
      </c>
      <c r="AL56" s="5">
        <f>R56-S55</f>
        <v>0</v>
      </c>
      <c r="AM56" s="5">
        <f>T56-U55</f>
        <v>0</v>
      </c>
      <c r="AN56" s="5">
        <f>AN55</f>
        <v>1</v>
      </c>
      <c r="AO56" s="5">
        <f>AO55+AH56</f>
        <v>0.21917358493153188</v>
      </c>
      <c r="AP56" s="5">
        <f>AP55+AL56</f>
        <v>-4.440892098500626e-16</v>
      </c>
      <c r="AQ56" s="5">
        <f>AN56+AO56+AP56</f>
        <v>1.2191735849315315</v>
      </c>
      <c r="AR56" s="5">
        <f>S56-AQ56</f>
        <v>0</v>
      </c>
      <c r="AS56" s="5">
        <f>AS55</f>
        <v>0</v>
      </c>
      <c r="AT56" s="5">
        <f>AT55+AI56</f>
        <v>0</v>
      </c>
      <c r="AU56" s="5">
        <f>AU55+AM56</f>
        <v>0</v>
      </c>
      <c r="AV56" s="5">
        <f>AS56+AT56+AU56</f>
        <v>0</v>
      </c>
      <c r="AW56" s="5">
        <f>U56-AV56</f>
        <v>0</v>
      </c>
      <c r="AX56" s="4">
        <v>1.2116557038426543</v>
      </c>
      <c r="AY56" s="4">
        <v>1.2191735849315315</v>
      </c>
      <c r="AZ56" s="5">
        <f>S56-AY56</f>
        <v>0</v>
      </c>
      <c r="BA56" s="4">
        <v>0</v>
      </c>
      <c r="BB56" s="4">
        <v>0</v>
      </c>
      <c r="BC56" s="5">
        <f>U56-BB56</f>
        <v>0</v>
      </c>
      <c r="BD56" s="7">
        <f>SUM(IF(BP56="direct",CC56/F56,0),IF(CR56="direct",DE56/F56,0),IF(DT56="direct",EG56/F56,0),IF(EV56="direct",FI56/F56,0),IF(FX56="direct",GK56/F56,0),IF(GZ56="direct",HM56/F56,0),IF(IB56="direct",IO56/F56,0),IF(JD56="direct",JQ56/F56,0),IF(KF56="direct",KS56/F56,0),IF(LH56="direct",LU56/F56,0))</f>
        <v>0.006074156919948234</v>
      </c>
      <c r="BE56" s="7">
        <f>-SUM(IF(BP56="direct",CD56/F56,0),IF(CR56="direct",DF56/F56,0),IF(DT56="direct",EH56/F56,0),IF(EV56="direct",FJ56/F56,0),IF(FX56="direct",GL56/F56,0),IF(GZ56="direct",HN56/F56,0),IF(IB56="direct",IP56/F56,0),IF(JD56="direct",JR56/F56,0),IF(KF56="direct",KT56/F56,0),IF(LH56="direct",LV56/F56,0))</f>
        <v>-0.000017598413542041634</v>
      </c>
      <c r="BF56" s="7">
        <f>BD56+BE56</f>
        <v>0.006056558506406192</v>
      </c>
      <c r="BG56" s="7">
        <f>BF56-SUM(IF(BP56="direct",CP56,0),IF(CR56="direct",DR56,0),IF(DT56="direct",ET56,0),IF(EV56="direct",FV56,0),IF(FX56="direct",GX56,0),IF(GZ56="direct",HZ56,0),IF(IB56="direct",JB56,0),IF(JD56="direct",KD56,0),IF(KF56="direct",LF56,0),IF(LH56="direct",MH56,0))</f>
        <v>-4.683753385137379e-17</v>
      </c>
      <c r="BH56" s="7">
        <f>SUM(IF(BP56="treasury",CP56,0),IF(CR56="treasury",DR56,0),IF(DT56="treasury",ET56,0),IF(EV56="treasury",FV56,0),IF(FX56="treasury",GX56,0),IF(GZ56="treasury",HZ56,0),IF(IB56="treasury",JB56,0),IF(JD56="treasury",KD56,0),IF(KF56="treasury",LF56,0),IF(LH56="treasury",MH56,0))</f>
        <v>0.00007031683485635761</v>
      </c>
      <c r="BI56" s="7">
        <f>SUM(IF(BP56="future",CP56,0),IF(CR56="future",DR56,0),IF(DT56="future",ET56,0),IF(EV56="future",FV56,0),IF(FX56="future",GX56,0),IF(GZ56="future",HZ56,0),IF(IB56="future",JB56,0),IF(JD56="future",KD56,0),IF(KF56="future",LF56,0),IF(LH56="future",MH56,0))</f>
        <v>0.0000777594118566372</v>
      </c>
      <c r="BJ56" s="7">
        <f>SUM(IF(BP56="cash",CP56,0),IF(CR56="cash",DR56,0),IF(DT56="cash",ET56,0),IF(EV56="cash",FV56,0),IF(FX56="cash",GX56,0),IF(GZ56="cash",HZ56,0),IF(IB56="cash",JB56,0),IF(JD56="cash",KD56,0),IF(KF56="cash",LF56,0),IF(LH56="cash",MH56,0))</f>
        <v>0</v>
      </c>
      <c r="BK56" s="7">
        <f>SUM(BF56,BH56,BI56,BJ56)</f>
        <v>0.006204634753119234</v>
      </c>
      <c r="BL56" s="7">
        <f>G56-BK56</f>
        <v>-8.673617379884035e-19</v>
      </c>
      <c r="BM56" s="5">
        <f>MAX(ABS(CG56),ABS(DI56),ABS(EK56),ABS(FM56),ABS(GO56),ABS(HQ56),ABS(IS56),ABS(JU56),ABS(KW56),ABS(LY56))</f>
        <v>5.699176482305834e-17</v>
      </c>
      <c r="BN56" s="9">
        <f>COUNTA(BO56,CQ56,DS56,EU56,FW56,GY56,IA56,JC56,KE56,LG56)</f>
        <v>5</v>
      </c>
      <c r="BO56" t="inlineStr">
        <is>
          <t xml:space="preserve">Direct commodity holding</t>
        </is>
      </c>
      <c r="BP56" t="inlineStr">
        <is>
          <t xml:space="preserve">direct</t>
        </is>
      </c>
      <c r="BQ56" t="inlineStr">
        <is>
          <t xml:space="preserve">lease</t>
        </is>
      </c>
      <c r="BR56" t="inlineStr">
        <is>
          <t xml:space="preserve">long</t>
        </is>
      </c>
      <c r="BS56"/>
      <c r="BT56" s="4">
        <v>1.833</v>
      </c>
      <c r="BU56" s="4">
        <v>1.846</v>
      </c>
      <c r="BV56" s="6">
        <v>0.0025</v>
      </c>
      <c r="BW56" s="4">
        <v>0.5661374521608106</v>
      </c>
      <c r="BX56" s="5">
        <f>IF(BP56="direct",IFERROR(CD56/BU56,0),0)</f>
        <v>0.000011551039082771697</v>
      </c>
      <c r="BY56" s="5">
        <f>IF(BP56="direct",BW56-BX56,IF(BP56="cash",CI56,BW56))</f>
        <v>0.5661259011217278</v>
      </c>
      <c r="BZ56" s="6">
        <v>0.8564561257126928</v>
      </c>
      <c r="CA56" s="4">
        <v>1.0377299498107657</v>
      </c>
      <c r="CB56" s="4">
        <v>1.0377299498107657</v>
      </c>
      <c r="CC56" s="5">
        <f>IF(BP56="direct",BW56*(BU56-BT56),CF56)</f>
        <v>0.007359786878090606</v>
      </c>
      <c r="CD56" s="5">
        <f>IF(BP56="direct",CB56*BV56*C56/365,0)</f>
        <v>0.000021323218146796555</v>
      </c>
      <c r="CE56" s="5">
        <f>CC56-CD56</f>
        <v>0.007338463659943867</v>
      </c>
      <c r="CF56" s="4">
        <v>0.007338463659943867</v>
      </c>
      <c r="CG56" s="5">
        <f>CF56-CE56</f>
        <v>5.699176482305834e-17</v>
      </c>
      <c r="CH56" s="4">
        <v>0</v>
      </c>
      <c r="CI56" s="4">
        <v>1.0450684134707096</v>
      </c>
      <c r="CJ56" s="4">
        <v>1.833</v>
      </c>
      <c r="CK56" s="4">
        <v>1.846</v>
      </c>
      <c r="CL56" s="6"/>
      <c r="CM56" s="6"/>
      <c r="CN56" s="6"/>
      <c r="CO56" s="9"/>
      <c r="CP56" s="7">
        <f>IFERROR(CE56/F56,0)</f>
        <v>0.006056558506406239</v>
      </c>
      <c r="CQ56" t="inlineStr">
        <is>
          <t xml:space="preserve">Treasury collateral</t>
        </is>
      </c>
      <c r="CR56" t="inlineStr">
        <is>
          <t xml:space="preserve">treasury</t>
        </is>
      </c>
      <c r="CS56" t="inlineStr">
        <is>
          <t xml:space="preserve">lease</t>
        </is>
      </c>
      <c r="CT56" t="inlineStr">
        <is>
          <t xml:space="preserve">long</t>
        </is>
      </c>
      <c r="CU56"/>
      <c r="CV56" s="4">
        <v>101.31411914567833</v>
      </c>
      <c r="CW56" s="4">
        <v>101.36374918541327</v>
      </c>
      <c r="CX56" s="6"/>
      <c r="CY56" s="4">
        <v>0.0017166980821478885</v>
      </c>
      <c r="CZ56" s="5">
        <f>IF(CR56="direct",IFERROR(DF56/CW56,0),0)</f>
        <v>0</v>
      </c>
      <c r="DA56" s="5">
        <f>IF(CR56="direct",CY56-CZ56,IF(CR56="cash",DK56,CY56))</f>
        <v>0.0017166980821478885</v>
      </c>
      <c r="DB56" s="6">
        <v>0.1435438742873072</v>
      </c>
      <c r="DC56" s="4">
        <v>0.17392575403188867</v>
      </c>
      <c r="DD56" s="4">
        <v>0.17392575403188867</v>
      </c>
      <c r="DE56" s="5">
        <f>IF(CR56="direct",CY56*(CW56-CV56),DH56)</f>
        <v>0.00008519979402988787</v>
      </c>
      <c r="DF56" s="5">
        <f>IF(CR56="direct",DD56*CX56*C56/365,0)</f>
        <v>0</v>
      </c>
      <c r="DG56" s="5">
        <f>DE56-DF56</f>
        <v>0.00008519979402986768</v>
      </c>
      <c r="DH56" s="4">
        <v>0.00008519979402986768</v>
      </c>
      <c r="DI56" s="5">
        <f>DH56-DG56</f>
        <v>-2.019326546254252e-17</v>
      </c>
      <c r="DJ56" s="4">
        <v>9.974659986866641e-18</v>
      </c>
      <c r="DK56" s="4">
        <v>0.17401095382591855</v>
      </c>
      <c r="DL56" s="4">
        <v>1.833</v>
      </c>
      <c r="DM56" s="4">
        <v>1.846</v>
      </c>
      <c r="DN56" s="6"/>
      <c r="DO56" s="6"/>
      <c r="DP56" s="6"/>
      <c r="DQ56" s="9">
        <v>68</v>
      </c>
      <c r="DR56" s="7">
        <f>IFERROR(DG56/F56,0)</f>
        <v>0.00007031683485635761</v>
      </c>
      <c r="DS56" t="inlineStr">
        <is>
          <t xml:space="preserve">SI69K</t>
        </is>
      </c>
      <c r="DT56" t="inlineStr">
        <is>
          <t xml:space="preserve">future</t>
        </is>
      </c>
      <c r="DU56" t="inlineStr">
        <is>
          <t xml:space="preserve">lease</t>
        </is>
      </c>
      <c r="DV56" t="inlineStr">
        <is>
          <t xml:space="preserve">long</t>
        </is>
      </c>
      <c r="DW56" t="inlineStr">
        <is>
          <t xml:space="preserve">regular</t>
        </is>
      </c>
      <c r="DX56" s="4">
        <v>1.8459999999999999</v>
      </c>
      <c r="DY56" s="4">
        <v>1.847</v>
      </c>
      <c r="DZ56" s="6"/>
      <c r="EA56" s="4">
        <v>0.094217634903515</v>
      </c>
      <c r="EB56" s="5">
        <f>IF(DT56="direct",IFERROR(EH56/DY56,0),0)</f>
        <v>0</v>
      </c>
      <c r="EC56" s="5">
        <f>IF(DT56="direct",EA56-EB56,IF(DT56="cash",EM56,EA56))</f>
        <v>0.094217634903515</v>
      </c>
      <c r="ED56" s="6">
        <v>0.1435438742873072</v>
      </c>
      <c r="EE56" s="4">
        <v>0.17392575403188867</v>
      </c>
      <c r="EF56" s="4">
        <v>0</v>
      </c>
      <c r="EG56" s="5">
        <f>IF(DT56="direct",EA56*(DY56-DX56),EJ56)</f>
        <v>0.00009421763490354458</v>
      </c>
      <c r="EH56" s="5">
        <f>IF(DT56="direct",EF56*DZ56*C56/365,0)</f>
        <v>0</v>
      </c>
      <c r="EI56" s="5">
        <f>EG56-EH56</f>
        <v>0.00009421763490354458</v>
      </c>
      <c r="EJ56" s="4">
        <v>0.00009421763490354458</v>
      </c>
      <c r="EK56" s="5">
        <f>EJ56-EI56</f>
        <v>0</v>
      </c>
      <c r="EL56" s="4">
        <v>-0.00009421763490354458</v>
      </c>
      <c r="EM56" s="4">
        <v>0</v>
      </c>
      <c r="EN56" s="4">
        <v>1.833</v>
      </c>
      <c r="EO56" s="4">
        <v>1.846</v>
      </c>
      <c r="EP56" s="6">
        <v>0.007092198581560183</v>
      </c>
      <c r="EQ56" s="6">
        <v>0.0596</v>
      </c>
      <c r="ER56" s="6">
        <v>0.021531581143096078</v>
      </c>
      <c r="ES56" s="9">
        <v>68</v>
      </c>
      <c r="ET56" s="7">
        <f>IFERROR(EI56/F56,0)</f>
        <v>0.0000777594118566372</v>
      </c>
      <c r="EU56" t="inlineStr">
        <is>
          <t xml:space="preserve">Lease cash / margin / financing</t>
        </is>
      </c>
      <c r="EV56" t="inlineStr">
        <is>
          <t xml:space="preserve">cash</t>
        </is>
      </c>
      <c r="EW56" t="inlineStr">
        <is>
          <t xml:space="preserve">lease</t>
        </is>
      </c>
      <c r="EX56" t="inlineStr">
        <is>
          <t xml:space="preserve">cash</t>
        </is>
      </c>
      <c r="EY56"/>
      <c r="EZ56" s="4">
        <v>1</v>
      </c>
      <c r="FA56" s="4">
        <v>1</v>
      </c>
      <c r="FB56" s="6"/>
      <c r="FC56" s="4">
        <v>0</v>
      </c>
      <c r="FD56" s="5">
        <f>IF(EV56="direct",IFERROR(FJ56/FA56,0),0)</f>
        <v>0</v>
      </c>
      <c r="FE56" s="5">
        <f>IF(EV56="direct",FC56-FD56,IF(EV56="cash",FO56,FC56))</f>
        <v>0.00009421763490353461</v>
      </c>
      <c r="FF56" s="6"/>
      <c r="FG56" s="4">
        <v>0</v>
      </c>
      <c r="FH56" s="4">
        <v>0</v>
      </c>
      <c r="FI56" s="5">
        <f>IF(EV56="direct",FC56*(FA56-EZ56),FL56)</f>
        <v>0</v>
      </c>
      <c r="FJ56" s="5">
        <f>IF(EV56="direct",FH56*FB56*C56/365,0)</f>
        <v>0</v>
      </c>
      <c r="FK56" s="5">
        <f>FI56-FJ56</f>
        <v>0</v>
      </c>
      <c r="FL56" s="4">
        <v>0</v>
      </c>
      <c r="FM56" s="5">
        <f>FL56-FK56</f>
        <v>0</v>
      </c>
      <c r="FN56" s="4">
        <v>0.00009421763490353461</v>
      </c>
      <c r="FO56" s="4">
        <v>0.00009421763490353461</v>
      </c>
      <c r="FP56" s="4">
        <v>1.833</v>
      </c>
      <c r="FQ56" s="4">
        <v>1.846</v>
      </c>
      <c r="FR56" s="6"/>
      <c r="FS56" s="6"/>
      <c r="FT56" s="6"/>
      <c r="FU56" s="9"/>
      <c r="FV56" s="7">
        <f>IFERROR(FK56/F56,0)</f>
        <v>0</v>
      </c>
      <c r="FW56" t="inlineStr">
        <is>
          <t xml:space="preserve">Keep cash / margin / financing</t>
        </is>
      </c>
      <c r="FX56" t="inlineStr">
        <is>
          <t xml:space="preserve">cash</t>
        </is>
      </c>
      <c r="FY56" t="inlineStr">
        <is>
          <t xml:space="preserve">keep</t>
        </is>
      </c>
      <c r="FZ56" t="inlineStr">
        <is>
          <t xml:space="preserve">cash</t>
        </is>
      </c>
      <c r="GA56"/>
      <c r="GB56" s="4">
        <v>1</v>
      </c>
      <c r="GC56" s="4">
        <v>1</v>
      </c>
      <c r="GD56" s="6"/>
      <c r="GE56" s="4">
        <v>0</v>
      </c>
      <c r="GF56" s="5">
        <f>IF(FX56="direct",IFERROR(GL56/GC56,0),0)</f>
        <v>0</v>
      </c>
      <c r="GG56" s="5">
        <f>IF(FX56="direct",GE56-GF56,IF(FX56="cash",GQ56,GE56))</f>
        <v>0</v>
      </c>
      <c r="GH56" s="6"/>
      <c r="GI56" s="4">
        <v>0</v>
      </c>
      <c r="GJ56" s="4">
        <v>0</v>
      </c>
      <c r="GK56" s="5">
        <f>IF(FX56="direct",GE56*(GC56-GB56),GN56)</f>
        <v>0</v>
      </c>
      <c r="GL56" s="5">
        <f>IF(FX56="direct",GJ56*GD56*C56/365,0)</f>
        <v>0</v>
      </c>
      <c r="GM56" s="5">
        <f>GK56-GL56</f>
        <v>0</v>
      </c>
      <c r="GN56" s="4">
        <v>0</v>
      </c>
      <c r="GO56" s="5">
        <f>GN56-GM56</f>
        <v>0</v>
      </c>
      <c r="GP56" s="4">
        <v>0</v>
      </c>
      <c r="GQ56" s="4">
        <v>0</v>
      </c>
      <c r="GR56" s="4">
        <v>1.833</v>
      </c>
      <c r="GS56" s="4">
        <v>1.846</v>
      </c>
      <c r="GT56" s="6"/>
      <c r="GU56" s="6"/>
      <c r="GV56" s="6"/>
      <c r="GW56" s="9"/>
      <c r="GX56" s="7">
        <f>IFERROR(GM56/F56,0)</f>
        <v>0</v>
      </c>
      <c r="GY56"/>
      <c r="GZ56"/>
      <c r="HA56"/>
      <c r="HB56"/>
      <c r="HC56"/>
      <c r="HD56" s="4"/>
      <c r="HE56" s="4"/>
      <c r="HF56" s="6"/>
      <c r="HG56" s="4"/>
      <c r="HH56" s="5">
        <v>0</v>
      </c>
      <c r="HI56" s="5"/>
      <c r="HJ56" s="6"/>
      <c r="HK56" s="4"/>
      <c r="HL56" s="4"/>
      <c r="HM56" s="5">
        <v>0</v>
      </c>
      <c r="HN56" s="5">
        <v>0</v>
      </c>
      <c r="HO56" s="5"/>
      <c r="HP56" s="4"/>
      <c r="HQ56" s="5">
        <v>0</v>
      </c>
      <c r="HR56" s="4"/>
      <c r="HS56" s="4"/>
      <c r="HT56" s="4"/>
      <c r="HU56" s="4"/>
      <c r="HV56" s="6"/>
      <c r="HW56" s="6"/>
      <c r="HX56" s="6"/>
      <c r="HY56" s="9"/>
      <c r="HZ56"/>
      <c r="IA56"/>
      <c r="IB56"/>
      <c r="IC56"/>
      <c r="ID56"/>
      <c r="IE56"/>
      <c r="IF56" s="4"/>
      <c r="IG56" s="4"/>
      <c r="IH56" s="6"/>
      <c r="II56" s="4"/>
      <c r="IJ56" s="5">
        <v>0</v>
      </c>
      <c r="IK56" s="5"/>
      <c r="IL56" s="6"/>
      <c r="IM56" s="4"/>
      <c r="IN56" s="4"/>
      <c r="IO56" s="5">
        <v>0</v>
      </c>
      <c r="IP56" s="5">
        <v>0</v>
      </c>
      <c r="IQ56" s="5"/>
      <c r="IR56" s="4"/>
      <c r="IS56" s="5">
        <v>0</v>
      </c>
      <c r="IT56" s="4"/>
      <c r="IU56" s="4"/>
      <c r="IV56" s="4"/>
      <c r="IW56" s="4"/>
      <c r="IX56" s="6"/>
      <c r="IY56" s="6"/>
      <c r="IZ56" s="6"/>
      <c r="JA56" s="9"/>
      <c r="JB56"/>
      <c r="JC56"/>
      <c r="JD56"/>
      <c r="JE56"/>
      <c r="JF56"/>
      <c r="JG56"/>
      <c r="JH56" s="4"/>
      <c r="JI56" s="4"/>
      <c r="JJ56" s="6"/>
      <c r="JK56" s="4"/>
      <c r="JL56" s="5">
        <v>0</v>
      </c>
      <c r="JM56" s="5"/>
      <c r="JN56" s="6"/>
      <c r="JO56" s="4"/>
      <c r="JP56" s="4"/>
      <c r="JQ56" s="5">
        <v>0</v>
      </c>
      <c r="JR56" s="5">
        <v>0</v>
      </c>
      <c r="JS56" s="5"/>
      <c r="JT56" s="4"/>
      <c r="JU56" s="5">
        <v>0</v>
      </c>
      <c r="JV56" s="4"/>
      <c r="JW56" s="4"/>
      <c r="JX56" s="4"/>
      <c r="JY56" s="4"/>
      <c r="JZ56" s="6"/>
      <c r="KA56" s="6"/>
      <c r="KB56" s="6"/>
      <c r="KC56" s="9"/>
      <c r="KD56"/>
      <c r="KE56"/>
      <c r="KF56"/>
      <c r="KG56"/>
      <c r="KH56"/>
      <c r="KI56"/>
      <c r="KJ56" s="4"/>
      <c r="KK56" s="4"/>
      <c r="KL56" s="6"/>
      <c r="KM56" s="4"/>
      <c r="KN56" s="5">
        <v>0</v>
      </c>
      <c r="KO56" s="5"/>
      <c r="KP56" s="6"/>
      <c r="KQ56" s="4"/>
      <c r="KR56" s="4"/>
      <c r="KS56" s="5">
        <v>0</v>
      </c>
      <c r="KT56" s="5">
        <v>0</v>
      </c>
      <c r="KU56" s="5"/>
      <c r="KV56" s="4"/>
      <c r="KW56" s="5">
        <v>0</v>
      </c>
      <c r="KX56" s="4"/>
      <c r="KY56" s="4"/>
      <c r="KZ56" s="4"/>
      <c r="LA56" s="4"/>
      <c r="LB56" s="6"/>
      <c r="LC56" s="6"/>
      <c r="LD56" s="6"/>
      <c r="LE56" s="9"/>
      <c r="LF56"/>
      <c r="LG56"/>
      <c r="LH56"/>
      <c r="LI56"/>
      <c r="LJ56"/>
      <c r="LK56"/>
      <c r="LL56" s="4"/>
      <c r="LM56" s="4"/>
      <c r="LN56" s="6"/>
      <c r="LO56" s="4"/>
      <c r="LP56" s="5">
        <v>0</v>
      </c>
      <c r="LQ56" s="5"/>
      <c r="LR56" s="6"/>
      <c r="LS56" s="4"/>
      <c r="LT56" s="4"/>
      <c r="LU56" s="5">
        <v>0</v>
      </c>
      <c r="LV56" s="5">
        <v>0</v>
      </c>
      <c r="LW56" s="5"/>
      <c r="LX56" s="4"/>
      <c r="LY56" s="5">
        <v>0</v>
      </c>
      <c r="LZ56" s="4"/>
      <c r="MA56" s="4"/>
      <c r="MB56" s="4"/>
      <c r="MC56" s="4"/>
      <c r="MD56" s="6"/>
      <c r="ME56" s="6"/>
      <c r="MF56" s="6"/>
      <c r="MG56" s="9"/>
      <c r="MH56"/>
    </row>
    <row r="57">
      <c r="A57" s="8">
        <v>25286</v>
      </c>
      <c r="B57" s="8">
        <v>25287</v>
      </c>
      <c r="C57" s="9">
        <f>B57-A57</f>
        <v>1</v>
      </c>
      <c r="D57" s="8">
        <v>25286</v>
      </c>
      <c r="E57" t="inlineStr">
        <is>
          <t xml:space="preserve">positive</t>
        </is>
      </c>
      <c r="F57" s="4">
        <v>1.2191735849315317</v>
      </c>
      <c r="G57" s="6">
        <v>-0.012180010344685466</v>
      </c>
      <c r="H57" s="7">
        <f>SUM(CP57,DR57,ET57,FV57,GX57,HZ57,JB57,KD57,LF57,MH57)</f>
        <v>-0.012180010344685466</v>
      </c>
      <c r="I57" s="7">
        <f>G57-H57</f>
        <v>0</v>
      </c>
      <c r="J57" s="5">
        <f>F57*(1+H57)</f>
        <v>1.2043240380550984</v>
      </c>
      <c r="K57" s="4">
        <v>1.2043240380550984</v>
      </c>
      <c r="L57" s="5">
        <f>K57-J57</f>
        <v>0</v>
      </c>
      <c r="M57" s="4">
        <v>1.846</v>
      </c>
      <c r="N57" s="4">
        <v>1.832</v>
      </c>
      <c r="O57" s="5">
        <f>M57/$M$3</f>
        <v>0.9427987742594485</v>
      </c>
      <c r="P57" s="5">
        <f>N57/$M$3</f>
        <v>0.9356486210418795</v>
      </c>
      <c r="Q57" s="7">
        <f>IFERROR(N57/M57-1,0)</f>
        <v>-0.007583965330444253</v>
      </c>
      <c r="R57" s="5">
        <f>SUM(IF(BQ57="lease",CB57,0),IF(CS57="lease",DD57,0),IF(DU57="lease",EF57,0),IF(EW57="lease",FH57,0),IF(FY57="lease",GJ57,0),IF(HA57="lease",HL57,0),IF(IC57="lease",IN57,0),IF(JE57="lease",JP57,0),IF(KG57="lease",KR57,0),IF(LI57="lease",LT57,0))</f>
        <v>1.2191735849315315</v>
      </c>
      <c r="S57" s="5">
        <f>SUM(IF(BQ57="lease",CI57,0),IF(CS57="lease",DK57,0),IF(DU57="lease",EM57,0),IF(EW57="lease",FO57,0),IF(FY57="lease",GQ57,0),IF(HA57="lease",HS57,0),IF(IC57="lease",IU57,0),IF(JE57="lease",JW57,0),IF(KG57="lease",KY57,0),IF(LI57="lease",MA57,0))</f>
        <v>1.2043240380550984</v>
      </c>
      <c r="T57" s="5">
        <f>SUM(IF(BQ57="keep",CB57,0),IF(CS57="keep",DD57,0),IF(DU57="keep",EF57,0),IF(EW57="keep",FH57,0),IF(FY57="keep",GJ57,0),IF(HA57="keep",HL57,0),IF(IC57="keep",IN57,0),IF(JE57="keep",JP57,0),IF(KG57="keep",KR57,0),IF(LI57="keep",LT57,0))</f>
        <v>0</v>
      </c>
      <c r="U57" s="5">
        <f>SUM(IF(BQ57="keep",CI57,0),IF(CS57="keep",DK57,0),IF(DU57="keep",EM57,0),IF(EW57="keep",FO57,0),IF(FY57="keep",GQ57,0),IF(HA57="keep",HS57,0),IF(IC57="keep",IU57,0),IF(JE57="keep",JW57,0),IF(KG57="keep",KY57,0),IF(LI57="keep",MA57,0))</f>
        <v>0</v>
      </c>
      <c r="V57" s="5">
        <f>R57/O57</f>
        <v>1.2931429465308444</v>
      </c>
      <c r="W57" s="5">
        <f>S57/P57</f>
        <v>1.2871541847772283</v>
      </c>
      <c r="X57" s="5">
        <f>T57/O57</f>
        <v>0</v>
      </c>
      <c r="Y57" s="5">
        <f>U57/P57</f>
        <v>0</v>
      </c>
      <c r="Z57" s="5">
        <f>V57+X57</f>
        <v>1.2931429465308444</v>
      </c>
      <c r="AA57" s="7">
        <f>IFERROR(W57/V57-1,0)</f>
        <v>-0.004631167628978972</v>
      </c>
      <c r="AB57" s="7">
        <f>IFERROR((W57-V57)/Z57,0)</f>
        <v>-0.004631167628978922</v>
      </c>
      <c r="AC57" s="7">
        <f>IFERROR(Y57/X57-1,0)</f>
        <v>0</v>
      </c>
      <c r="AD57" s="7">
        <f>IFERROR((Y57-X57)/Z57,0)</f>
        <v>0</v>
      </c>
      <c r="AE57" s="7">
        <f>AB57+AD57</f>
        <v>-0.004631167628978922</v>
      </c>
      <c r="AF57" s="7">
        <f>(1+Q57)*(1+AE57)-1</f>
        <v>-0.012180010344685521</v>
      </c>
      <c r="AG57" s="7">
        <f>G57-AF57</f>
        <v>5.551115123125783e-17</v>
      </c>
      <c r="AH57" s="5">
        <f>SUM(IF(BQ57="lease",CE57,0),IF(CS57="lease",DG57,0),IF(DU57="lease",EI57,0),IF(EW57="lease",FK57,0),IF(FY57="lease",GM57,0),IF(HA57="lease",HO57,0),IF(IC57="lease",IQ57,0),IF(JE57="lease",JS57,0),IF(KG57="lease",KU57,0),IF(LI57="lease",LW57,0))</f>
        <v>-0.01484954687643332</v>
      </c>
      <c r="AI57" s="5">
        <f>SUM(IF(BQ57="keep",CE57,0),IF(CS57="keep",DG57,0),IF(DU57="keep",EI57,0),IF(EW57="keep",FK57,0),IF(FY57="keep",GM57,0),IF(HA57="keep",HO57,0),IF(IC57="keep",IQ57,0),IF(JE57="keep",JS57,0),IF(KG57="keep",KU57,0),IF(LI57="keep",LW57,0))</f>
        <v>0</v>
      </c>
      <c r="AJ57" s="5">
        <f>SUM(IF(BQ57="lease",CH57,0),IF(CS57="lease",DJ57,0),IF(DU57="lease",EL57,0),IF(EW57="lease",FN57,0),IF(FY57="lease",GP57,0),IF(HA57="lease",HR57,0),IF(IC57="lease",IT57,0),IF(JE57="lease",JV57,0),IF(KG57="lease",KX57,0),IF(LI57="lease",LZ57,0))</f>
        <v>0</v>
      </c>
      <c r="AK57" s="5">
        <f>SUM(IF(BQ57="keep",CH57,0),IF(CS57="keep",DJ57,0),IF(DU57="keep",EL57,0),IF(EW57="keep",FN57,0),IF(FY57="keep",GP57,0),IF(HA57="keep",HR57,0),IF(IC57="keep",IT57,0),IF(JE57="keep",JV57,0),IF(KG57="keep",KX57,0),IF(LI57="keep",LZ57,0))</f>
        <v>0</v>
      </c>
      <c r="AL57" s="5">
        <f>R57-S56</f>
        <v>0</v>
      </c>
      <c r="AM57" s="5">
        <f>T57-U56</f>
        <v>0</v>
      </c>
      <c r="AN57" s="5">
        <f>AN56</f>
        <v>1</v>
      </c>
      <c r="AO57" s="5">
        <f>AO56+AH57</f>
        <v>0.20432403805509858</v>
      </c>
      <c r="AP57" s="5">
        <f>AP56+AL57</f>
        <v>-4.440892098500626e-16</v>
      </c>
      <c r="AQ57" s="5">
        <f>AN57+AO57+AP57</f>
        <v>1.2043240380550981</v>
      </c>
      <c r="AR57" s="5">
        <f>S57-AQ57</f>
        <v>2.220446049250313e-16</v>
      </c>
      <c r="AS57" s="5">
        <f>AS56</f>
        <v>0</v>
      </c>
      <c r="AT57" s="5">
        <f>AT56+AI57</f>
        <v>0</v>
      </c>
      <c r="AU57" s="5">
        <f>AU56+AM57</f>
        <v>0</v>
      </c>
      <c r="AV57" s="5">
        <f>AS57+AT57+AU57</f>
        <v>0</v>
      </c>
      <c r="AW57" s="5">
        <f>U57-AV57</f>
        <v>0</v>
      </c>
      <c r="AX57" s="4">
        <v>1.2191735849315315</v>
      </c>
      <c r="AY57" s="4">
        <v>1.2043240380550981</v>
      </c>
      <c r="AZ57" s="5">
        <f>S57-AY57</f>
        <v>2.220446049250313e-16</v>
      </c>
      <c r="BA57" s="4">
        <v>0</v>
      </c>
      <c r="BB57" s="4">
        <v>0</v>
      </c>
      <c r="BC57" s="5">
        <f>U57-BB57</f>
        <v>0</v>
      </c>
      <c r="BD57" s="7">
        <f>SUM(IF(BP57="direct",CC57/F57,0),IF(CR57="direct",DE57/F57,0),IF(DT57="direct",EG57/F57,0),IF(EV57="direct",FI57/F57,0),IF(FX57="direct",GK57/F57,0),IF(GZ57="direct",HM57/F57,0),IF(IB57="direct",IO57/F57,0),IF(JD57="direct",JQ57/F57,0),IF(KF57="direct",KS57/F57,0),IF(LH57="direct",LU57/F57,0))</f>
        <v>-0.004749681770459313</v>
      </c>
      <c r="BE57" s="7">
        <f>-SUM(IF(BP57="direct",CD57/F57,0),IF(CR57="direct",DF57/F57,0),IF(DT57="direct",EH57/F57,0),IF(EV57="direct",FJ57/F57,0),IF(FX57="direct",GL57/F57,0),IF(GZ57="direct",HN57/F57,0),IF(IB57="direct",IP57/F57,0),IF(JD57="direct",JR57/F57,0),IF(KF57="direct",KT57/F57,0),IF(LH57="direct",LV57/F57,0))</f>
        <v>-0.000004289585395434386</v>
      </c>
      <c r="BF57" s="7">
        <f>BD57+BE57</f>
        <v>-0.004753971355854748</v>
      </c>
      <c r="BG57" s="7">
        <f>BF57-SUM(IF(BP57="direct",CP57,0),IF(CR57="direct",DR57,0),IF(DT57="direct",ET57,0),IF(EV57="direct",FV57,0),IF(FX57="direct",GX57,0),IF(GZ57="direct",HZ57,0),IF(IB57="direct",JB57,0),IF(JD57="direct",KD57,0),IF(KF57="direct",LF57,0),IF(LH57="direct",MH57,0))</f>
        <v>2.6020852139652106e-17</v>
      </c>
      <c r="BH57" s="7">
        <f>SUM(IF(BP57="treasury",CP57,0),IF(CR57="treasury",DR57,0),IF(DT57="treasury",ET57,0),IF(EV57="treasury",FV57,0),IF(FX57="treasury",GX57,0),IF(GZ57="treasury",HZ57,0),IF(IB57="treasury",JB57,0),IF(JD57="treasury",KD57,0),IF(KF57="treasury",LF57,0),IF(LH57="treasury",MH57,0))</f>
        <v>0.00006051200947110921</v>
      </c>
      <c r="BI57" s="7">
        <f>SUM(IF(BP57="future",CP57,0),IF(CR57="future",DR57,0),IF(DT57="future",ET57,0),IF(EV57="future",FV57,0),IF(FX57="future",GX57,0),IF(GZ57="future",HZ57,0),IF(IB57="future",JB57,0),IF(JD57="future",KD57,0),IF(KF57="future",LF57,0),IF(LH57="future",MH57,0))</f>
        <v>-0.007486550998301801</v>
      </c>
      <c r="BJ57" s="7">
        <f>SUM(IF(BP57="cash",CP57,0),IF(CR57="cash",DR57,0),IF(DT57="cash",ET57,0),IF(EV57="cash",FV57,0),IF(FX57="cash",GX57,0),IF(GZ57="cash",HZ57,0),IF(IB57="cash",JB57,0),IF(JD57="cash",KD57,0),IF(KF57="cash",LF57,0),IF(LH57="cash",MH57,0))</f>
        <v>0</v>
      </c>
      <c r="BK57" s="7">
        <f>SUM(BF57,BH57,BI57,BJ57)</f>
        <v>-0.012180010344685466</v>
      </c>
      <c r="BL57" s="7">
        <f>G57-BK57</f>
        <v>0</v>
      </c>
      <c r="BM57" s="5">
        <f>MAX(ABS(CG57),ABS(DI57),ABS(EK57),ABS(FM57),ABS(GO57),ABS(HQ57),ABS(IS57),ABS(JU57),ABS(KW57),ABS(LY57))</f>
        <v>4.915501599506156e-17</v>
      </c>
      <c r="BN57" s="9">
        <f>COUNTA(BO57,CQ57,DS57,EU57,FW57,GY57,IA57,JC57,KE57,LG57)</f>
        <v>5</v>
      </c>
      <c r="BO57" t="inlineStr">
        <is>
          <t xml:space="preserve">Direct commodity holding</t>
        </is>
      </c>
      <c r="BP57" t="inlineStr">
        <is>
          <t xml:space="preserve">direct</t>
        </is>
      </c>
      <c r="BQ57" t="inlineStr">
        <is>
          <t xml:space="preserve">lease</t>
        </is>
      </c>
      <c r="BR57" t="inlineStr">
        <is>
          <t xml:space="preserve">long</t>
        </is>
      </c>
      <c r="BS57"/>
      <c r="BT57" s="4">
        <v>1.846</v>
      </c>
      <c r="BU57" s="4">
        <v>1.832</v>
      </c>
      <c r="BV57" s="6">
        <v>0.0025</v>
      </c>
      <c r="BW57" s="4">
        <v>0.41362046795534424</v>
      </c>
      <c r="BX57" s="5">
        <f>IF(BP57="direct",IFERROR(CD57/BU57,0),0)</f>
        <v>0.000002854666596300045</v>
      </c>
      <c r="BY57" s="5">
        <f>IF(BP57="direct",BW57-BX57,IF(BP57="cash",CI57,BW57))</f>
        <v>0.41361761328874797</v>
      </c>
      <c r="BZ57" s="6">
        <v>0.6262794677334202</v>
      </c>
      <c r="CA57" s="4">
        <v>0.7635433838455655</v>
      </c>
      <c r="CB57" s="4">
        <v>0.7635433838455655</v>
      </c>
      <c r="CC57" s="5">
        <f>IF(BP57="direct",BW57*(BU57-BT57),CF57)</f>
        <v>-0.005790686551374825</v>
      </c>
      <c r="CD57" s="5">
        <f>IF(BP57="direct",CB57*BV57*C57/365,0)</f>
        <v>0.000005229749204421682</v>
      </c>
      <c r="CE57" s="5">
        <f>CC57-CD57</f>
        <v>-0.005795916300579279</v>
      </c>
      <c r="CF57" s="4">
        <v>-0.005795916300579279</v>
      </c>
      <c r="CG57" s="5">
        <f>CF57-CE57</f>
        <v>-3.2693777698121484e-17</v>
      </c>
      <c r="CH57" s="4">
        <v>0</v>
      </c>
      <c r="CI57" s="4">
        <v>0.7577474675449863</v>
      </c>
      <c r="CJ57" s="4">
        <v>1.846</v>
      </c>
      <c r="CK57" s="4">
        <v>1.832</v>
      </c>
      <c r="CL57" s="6"/>
      <c r="CM57" s="6"/>
      <c r="CN57" s="6"/>
      <c r="CO57" s="9"/>
      <c r="CP57" s="7">
        <f>IFERROR(CE57/F57,0)</f>
        <v>-0.004753971355854774</v>
      </c>
      <c r="CQ57" t="inlineStr">
        <is>
          <t xml:space="preserve">Treasury collateral</t>
        </is>
      </c>
      <c r="CR57" t="inlineStr">
        <is>
          <t xml:space="preserve">treasury</t>
        </is>
      </c>
      <c r="CS57" t="inlineStr">
        <is>
          <t xml:space="preserve">lease</t>
        </is>
      </c>
      <c r="CT57" t="inlineStr">
        <is>
          <t xml:space="preserve">long</t>
        </is>
      </c>
      <c r="CU57"/>
      <c r="CV57" s="4">
        <v>101.36374918541327</v>
      </c>
      <c r="CW57" s="4">
        <v>101.38016178151426</v>
      </c>
      <c r="CX57" s="6"/>
      <c r="CY57" s="4">
        <v>0.004495001464996458</v>
      </c>
      <c r="CZ57" s="5">
        <f>IF(CR57="direct",IFERROR(DF57/CW57,0),0)</f>
        <v>0</v>
      </c>
      <c r="DA57" s="5">
        <f>IF(CR57="direct",CY57-CZ57,IF(CR57="cash",DK57,CY57))</f>
        <v>0.004495001464996458</v>
      </c>
      <c r="DB57" s="6">
        <v>0.37372053226657975</v>
      </c>
      <c r="DC57" s="4">
        <v>0.4556302010859662</v>
      </c>
      <c r="DD57" s="4">
        <v>0.4556302010859662</v>
      </c>
      <c r="DE57" s="5">
        <f>IF(CR57="direct",CY57*(CW57-CV57),DH57)</f>
        <v>0.00007377464351835217</v>
      </c>
      <c r="DF57" s="5">
        <f>IF(CR57="direct",DD57*CX57*C57/365,0)</f>
        <v>0</v>
      </c>
      <c r="DG57" s="5">
        <f>DE57-DF57</f>
        <v>0.00007377464351830302</v>
      </c>
      <c r="DH57" s="4">
        <v>0.00007377464351830302</v>
      </c>
      <c r="DI57" s="5">
        <f>DH57-DG57</f>
        <v>-4.915501599506156e-17</v>
      </c>
      <c r="DJ57" s="4">
        <v>7.312943653414727e-17</v>
      </c>
      <c r="DK57" s="4">
        <v>0.45570397572948457</v>
      </c>
      <c r="DL57" s="4">
        <v>1.846</v>
      </c>
      <c r="DM57" s="4">
        <v>1.832</v>
      </c>
      <c r="DN57" s="6"/>
      <c r="DO57" s="6"/>
      <c r="DP57" s="6"/>
      <c r="DQ57" s="9">
        <v>65</v>
      </c>
      <c r="DR57" s="7">
        <f>IFERROR(DG57/F57,0)</f>
        <v>0.00006051200947110921</v>
      </c>
      <c r="DS57" t="inlineStr">
        <is>
          <t xml:space="preserve">SI69K</t>
        </is>
      </c>
      <c r="DT57" t="inlineStr">
        <is>
          <t xml:space="preserve">future</t>
        </is>
      </c>
      <c r="DU57" t="inlineStr">
        <is>
          <t xml:space="preserve">lease</t>
        </is>
      </c>
      <c r="DV57" t="inlineStr">
        <is>
          <t xml:space="preserve">long</t>
        </is>
      </c>
      <c r="DW57" t="inlineStr">
        <is>
          <t xml:space="preserve">regular</t>
        </is>
      </c>
      <c r="DX57" s="4">
        <v>1.847</v>
      </c>
      <c r="DY57" s="4">
        <v>1.81</v>
      </c>
      <c r="DZ57" s="6"/>
      <c r="EA57" s="4">
        <v>0.24668662755060433</v>
      </c>
      <c r="EB57" s="5">
        <f>IF(DT57="direct",IFERROR(EH57/DY57,0),0)</f>
        <v>0</v>
      </c>
      <c r="EC57" s="5">
        <f>IF(DT57="direct",EA57-EB57,IF(DT57="cash",EM57,EA57))</f>
        <v>0.24668662755060433</v>
      </c>
      <c r="ED57" s="6">
        <v>0.37372053226657975</v>
      </c>
      <c r="EE57" s="4">
        <v>0.4556302010859662</v>
      </c>
      <c r="EF57" s="4">
        <v>0</v>
      </c>
      <c r="EG57" s="5">
        <f>IF(DT57="direct",EA57*(DY57-DX57),EJ57)</f>
        <v>-0.009127405219372345</v>
      </c>
      <c r="EH57" s="5">
        <f>IF(DT57="direct",EF57*DZ57*C57/365,0)</f>
        <v>0</v>
      </c>
      <c r="EI57" s="5">
        <f>EG57-EH57</f>
        <v>-0.009127405219372345</v>
      </c>
      <c r="EJ57" s="4">
        <v>-0.009127405219372345</v>
      </c>
      <c r="EK57" s="5">
        <f>EJ57-EI57</f>
        <v>0</v>
      </c>
      <c r="EL57" s="4">
        <v>0.009127405219372345</v>
      </c>
      <c r="EM57" s="4">
        <v>0</v>
      </c>
      <c r="EN57" s="4">
        <v>1.846</v>
      </c>
      <c r="EO57" s="4">
        <v>1.832</v>
      </c>
      <c r="EP57" s="6">
        <v>0.0005417118093173912</v>
      </c>
      <c r="EQ57" s="6">
        <v>0.0591</v>
      </c>
      <c r="ER57" s="6">
        <v>0.056058079839986966</v>
      </c>
      <c r="ES57" s="9">
        <v>65</v>
      </c>
      <c r="ET57" s="7">
        <f>IFERROR(EI57/F57,0)</f>
        <v>-0.007486550998301801</v>
      </c>
      <c r="EU57" t="inlineStr">
        <is>
          <t xml:space="preserve">Lease cash / margin / financing</t>
        </is>
      </c>
      <c r="EV57" t="inlineStr">
        <is>
          <t xml:space="preserve">cash</t>
        </is>
      </c>
      <c r="EW57" t="inlineStr">
        <is>
          <t xml:space="preserve">lease</t>
        </is>
      </c>
      <c r="EX57" t="inlineStr">
        <is>
          <t xml:space="preserve">cash</t>
        </is>
      </c>
      <c r="EY57"/>
      <c r="EZ57" s="4">
        <v>1</v>
      </c>
      <c r="FA57" s="4">
        <v>1</v>
      </c>
      <c r="FB57" s="6"/>
      <c r="FC57" s="4">
        <v>-2.220446049250313e-16</v>
      </c>
      <c r="FD57" s="5">
        <f>IF(EV57="direct",IFERROR(FJ57/FA57,0),0)</f>
        <v>0</v>
      </c>
      <c r="FE57" s="5">
        <f>IF(EV57="direct",FC57-FD57,IF(EV57="cash",FO57,FC57))</f>
        <v>-0.00912740521937264</v>
      </c>
      <c r="FF57" s="6"/>
      <c r="FG57" s="4">
        <v>-2.220446049250313e-16</v>
      </c>
      <c r="FH57" s="4">
        <v>-2.220446049250313e-16</v>
      </c>
      <c r="FI57" s="5">
        <f>IF(EV57="direct",FC57*(FA57-EZ57),FL57)</f>
        <v>0</v>
      </c>
      <c r="FJ57" s="5">
        <f>IF(EV57="direct",FH57*FB57*C57/365,0)</f>
        <v>0</v>
      </c>
      <c r="FK57" s="5">
        <f>FI57-FJ57</f>
        <v>0</v>
      </c>
      <c r="FL57" s="4">
        <v>0</v>
      </c>
      <c r="FM57" s="5">
        <f>FL57-FK57</f>
        <v>0</v>
      </c>
      <c r="FN57" s="4">
        <v>-0.009127405219372418</v>
      </c>
      <c r="FO57" s="4">
        <v>-0.00912740521937264</v>
      </c>
      <c r="FP57" s="4">
        <v>1.846</v>
      </c>
      <c r="FQ57" s="4">
        <v>1.832</v>
      </c>
      <c r="FR57" s="6"/>
      <c r="FS57" s="6"/>
      <c r="FT57" s="6"/>
      <c r="FU57" s="9"/>
      <c r="FV57" s="7">
        <f>IFERROR(FK57/F57,0)</f>
        <v>0</v>
      </c>
      <c r="FW57" t="inlineStr">
        <is>
          <t xml:space="preserve">Keep cash / margin / financing</t>
        </is>
      </c>
      <c r="FX57" t="inlineStr">
        <is>
          <t xml:space="preserve">cash</t>
        </is>
      </c>
      <c r="FY57" t="inlineStr">
        <is>
          <t xml:space="preserve">keep</t>
        </is>
      </c>
      <c r="FZ57" t="inlineStr">
        <is>
          <t xml:space="preserve">cash</t>
        </is>
      </c>
      <c r="GA57"/>
      <c r="GB57" s="4">
        <v>1</v>
      </c>
      <c r="GC57" s="4">
        <v>1</v>
      </c>
      <c r="GD57" s="6"/>
      <c r="GE57" s="4">
        <v>0</v>
      </c>
      <c r="GF57" s="5">
        <f>IF(FX57="direct",IFERROR(GL57/GC57,0),0)</f>
        <v>0</v>
      </c>
      <c r="GG57" s="5">
        <f>IF(FX57="direct",GE57-GF57,IF(FX57="cash",GQ57,GE57))</f>
        <v>0</v>
      </c>
      <c r="GH57" s="6"/>
      <c r="GI57" s="4">
        <v>0</v>
      </c>
      <c r="GJ57" s="4">
        <v>0</v>
      </c>
      <c r="GK57" s="5">
        <f>IF(FX57="direct",GE57*(GC57-GB57),GN57)</f>
        <v>0</v>
      </c>
      <c r="GL57" s="5">
        <f>IF(FX57="direct",GJ57*GD57*C57/365,0)</f>
        <v>0</v>
      </c>
      <c r="GM57" s="5">
        <f>GK57-GL57</f>
        <v>0</v>
      </c>
      <c r="GN57" s="4">
        <v>0</v>
      </c>
      <c r="GO57" s="5">
        <f>GN57-GM57</f>
        <v>0</v>
      </c>
      <c r="GP57" s="4">
        <v>0</v>
      </c>
      <c r="GQ57" s="4">
        <v>0</v>
      </c>
      <c r="GR57" s="4">
        <v>1.846</v>
      </c>
      <c r="GS57" s="4">
        <v>1.832</v>
      </c>
      <c r="GT57" s="6"/>
      <c r="GU57" s="6"/>
      <c r="GV57" s="6"/>
      <c r="GW57" s="9"/>
      <c r="GX57" s="7">
        <f>IFERROR(GM57/F57,0)</f>
        <v>0</v>
      </c>
      <c r="GY57"/>
      <c r="GZ57"/>
      <c r="HA57"/>
      <c r="HB57"/>
      <c r="HC57"/>
      <c r="HD57" s="4"/>
      <c r="HE57" s="4"/>
      <c r="HF57" s="6"/>
      <c r="HG57" s="4"/>
      <c r="HH57" s="5">
        <v>0</v>
      </c>
      <c r="HI57" s="5"/>
      <c r="HJ57" s="6"/>
      <c r="HK57" s="4"/>
      <c r="HL57" s="4"/>
      <c r="HM57" s="5">
        <v>0</v>
      </c>
      <c r="HN57" s="5">
        <v>0</v>
      </c>
      <c r="HO57" s="5"/>
      <c r="HP57" s="4"/>
      <c r="HQ57" s="5">
        <v>0</v>
      </c>
      <c r="HR57" s="4"/>
      <c r="HS57" s="4"/>
      <c r="HT57" s="4"/>
      <c r="HU57" s="4"/>
      <c r="HV57" s="6"/>
      <c r="HW57" s="6"/>
      <c r="HX57" s="6"/>
      <c r="HY57" s="9"/>
      <c r="HZ57"/>
      <c r="IA57"/>
      <c r="IB57"/>
      <c r="IC57"/>
      <c r="ID57"/>
      <c r="IE57"/>
      <c r="IF57" s="4"/>
      <c r="IG57" s="4"/>
      <c r="IH57" s="6"/>
      <c r="II57" s="4"/>
      <c r="IJ57" s="5">
        <v>0</v>
      </c>
      <c r="IK57" s="5"/>
      <c r="IL57" s="6"/>
      <c r="IM57" s="4"/>
      <c r="IN57" s="4"/>
      <c r="IO57" s="5">
        <v>0</v>
      </c>
      <c r="IP57" s="5">
        <v>0</v>
      </c>
      <c r="IQ57" s="5"/>
      <c r="IR57" s="4"/>
      <c r="IS57" s="5">
        <v>0</v>
      </c>
      <c r="IT57" s="4"/>
      <c r="IU57" s="4"/>
      <c r="IV57" s="4"/>
      <c r="IW57" s="4"/>
      <c r="IX57" s="6"/>
      <c r="IY57" s="6"/>
      <c r="IZ57" s="6"/>
      <c r="JA57" s="9"/>
      <c r="JB57"/>
      <c r="JC57"/>
      <c r="JD57"/>
      <c r="JE57"/>
      <c r="JF57"/>
      <c r="JG57"/>
      <c r="JH57" s="4"/>
      <c r="JI57" s="4"/>
      <c r="JJ57" s="6"/>
      <c r="JK57" s="4"/>
      <c r="JL57" s="5">
        <v>0</v>
      </c>
      <c r="JM57" s="5"/>
      <c r="JN57" s="6"/>
      <c r="JO57" s="4"/>
      <c r="JP57" s="4"/>
      <c r="JQ57" s="5">
        <v>0</v>
      </c>
      <c r="JR57" s="5">
        <v>0</v>
      </c>
      <c r="JS57" s="5"/>
      <c r="JT57" s="4"/>
      <c r="JU57" s="5">
        <v>0</v>
      </c>
      <c r="JV57" s="4"/>
      <c r="JW57" s="4"/>
      <c r="JX57" s="4"/>
      <c r="JY57" s="4"/>
      <c r="JZ57" s="6"/>
      <c r="KA57" s="6"/>
      <c r="KB57" s="6"/>
      <c r="KC57" s="9"/>
      <c r="KD57"/>
      <c r="KE57"/>
      <c r="KF57"/>
      <c r="KG57"/>
      <c r="KH57"/>
      <c r="KI57"/>
      <c r="KJ57" s="4"/>
      <c r="KK57" s="4"/>
      <c r="KL57" s="6"/>
      <c r="KM57" s="4"/>
      <c r="KN57" s="5">
        <v>0</v>
      </c>
      <c r="KO57" s="5"/>
      <c r="KP57" s="6"/>
      <c r="KQ57" s="4"/>
      <c r="KR57" s="4"/>
      <c r="KS57" s="5">
        <v>0</v>
      </c>
      <c r="KT57" s="5">
        <v>0</v>
      </c>
      <c r="KU57" s="5"/>
      <c r="KV57" s="4"/>
      <c r="KW57" s="5">
        <v>0</v>
      </c>
      <c r="KX57" s="4"/>
      <c r="KY57" s="4"/>
      <c r="KZ57" s="4"/>
      <c r="LA57" s="4"/>
      <c r="LB57" s="6"/>
      <c r="LC57" s="6"/>
      <c r="LD57" s="6"/>
      <c r="LE57" s="9"/>
      <c r="LF57"/>
      <c r="LG57"/>
      <c r="LH57"/>
      <c r="LI57"/>
      <c r="LJ57"/>
      <c r="LK57"/>
      <c r="LL57" s="4"/>
      <c r="LM57" s="4"/>
      <c r="LN57" s="6"/>
      <c r="LO57" s="4"/>
      <c r="LP57" s="5">
        <v>0</v>
      </c>
      <c r="LQ57" s="5"/>
      <c r="LR57" s="6"/>
      <c r="LS57" s="4"/>
      <c r="LT57" s="4"/>
      <c r="LU57" s="5">
        <v>0</v>
      </c>
      <c r="LV57" s="5">
        <v>0</v>
      </c>
      <c r="LW57" s="5"/>
      <c r="LX57" s="4"/>
      <c r="LY57" s="5">
        <v>0</v>
      </c>
      <c r="LZ57" s="4"/>
      <c r="MA57" s="4"/>
      <c r="MB57" s="4"/>
      <c r="MC57" s="4"/>
      <c r="MD57" s="6"/>
      <c r="ME57" s="6"/>
      <c r="MF57" s="6"/>
      <c r="MG57" s="9"/>
      <c r="MH57"/>
    </row>
    <row r="58">
      <c r="A58" s="8">
        <v>25287</v>
      </c>
      <c r="B58" s="8">
        <v>25288</v>
      </c>
      <c r="C58" s="9">
        <f>B58-A58</f>
        <v>1</v>
      </c>
      <c r="D58" s="8">
        <v>25287</v>
      </c>
      <c r="E58" t="inlineStr">
        <is>
          <t xml:space="preserve">positive</t>
        </is>
      </c>
      <c r="F58" s="4">
        <v>1.2043240380550984</v>
      </c>
      <c r="G58" s="6">
        <v>-0.007421550910548842</v>
      </c>
      <c r="H58" s="7">
        <f>SUM(CP58,DR58,ET58,FV58,GX58,HZ58,JB58,KD58,LF58,MH58)</f>
        <v>-0.007421550910548841</v>
      </c>
      <c r="I58" s="7">
        <f>G58-H58</f>
        <v>-8.673617379884035e-19</v>
      </c>
      <c r="J58" s="5">
        <f>F58*(1+H58)</f>
        <v>1.1953860858938747</v>
      </c>
      <c r="K58" s="4">
        <v>1.1953860858938747</v>
      </c>
      <c r="L58" s="5">
        <f>K58-J58</f>
        <v>0</v>
      </c>
      <c r="M58" s="4">
        <v>1.832</v>
      </c>
      <c r="N58" s="4">
        <v>1.82</v>
      </c>
      <c r="O58" s="5">
        <f>M58/$M$3</f>
        <v>0.9356486210418795</v>
      </c>
      <c r="P58" s="5">
        <f>N58/$M$3</f>
        <v>0.9295199182839633</v>
      </c>
      <c r="Q58" s="7">
        <f>IFERROR(N58/M58-1,0)</f>
        <v>-0.0065502183406113135</v>
      </c>
      <c r="R58" s="5">
        <f>SUM(IF(BQ58="lease",CB58,0),IF(CS58="lease",DD58,0),IF(DU58="lease",EF58,0),IF(EW58="lease",FH58,0),IF(FY58="lease",GJ58,0),IF(HA58="lease",HL58,0),IF(IC58="lease",IN58,0),IF(JE58="lease",JP58,0),IF(KG58="lease",KR58,0),IF(LI58="lease",LT58,0))</f>
        <v>1.2043240380550981</v>
      </c>
      <c r="S58" s="5">
        <f>SUM(IF(BQ58="lease",CI58,0),IF(CS58="lease",DK58,0),IF(DU58="lease",EM58,0),IF(EW58="lease",FO58,0),IF(FY58="lease",GQ58,0),IF(HA58="lease",HS58,0),IF(IC58="lease",IU58,0),IF(JE58="lease",JW58,0),IF(KG58="lease",KY58,0),IF(LI58="lease",MA58,0))</f>
        <v>1.1953860858938745</v>
      </c>
      <c r="T58" s="5">
        <f>SUM(IF(BQ58="keep",CB58,0),IF(CS58="keep",DD58,0),IF(DU58="keep",EF58,0),IF(EW58="keep",FH58,0),IF(FY58="keep",GJ58,0),IF(HA58="keep",HL58,0),IF(IC58="keep",IN58,0),IF(JE58="keep",JP58,0),IF(KG58="keep",KR58,0),IF(LI58="keep",LT58,0))</f>
        <v>0</v>
      </c>
      <c r="U58" s="5">
        <f>SUM(IF(BQ58="keep",CI58,0),IF(CS58="keep",DK58,0),IF(DU58="keep",EM58,0),IF(EW58="keep",FO58,0),IF(FY58="keep",GQ58,0),IF(HA58="keep",HS58,0),IF(IC58="keep",IU58,0),IF(JE58="keep",JW58,0),IF(KG58="keep",KY58,0),IF(LI58="keep",MA58,0))</f>
        <v>0</v>
      </c>
      <c r="V58" s="5">
        <f>R58/O58</f>
        <v>1.287154184777228</v>
      </c>
      <c r="W58" s="5">
        <f>S58/P58</f>
        <v>1.2860252506484648</v>
      </c>
      <c r="X58" s="5">
        <f>T58/O58</f>
        <v>0</v>
      </c>
      <c r="Y58" s="5">
        <f>U58/P58</f>
        <v>0</v>
      </c>
      <c r="Z58" s="5">
        <f>V58+X58</f>
        <v>1.287154184777228</v>
      </c>
      <c r="AA58" s="7">
        <f>IFERROR(W58/V58-1,0)</f>
        <v>-0.0008770776198491204</v>
      </c>
      <c r="AB58" s="7">
        <f>IFERROR((W58-V58)/Z58,0)</f>
        <v>-0.000877077619849122</v>
      </c>
      <c r="AC58" s="7">
        <f>IFERROR(Y58/X58-1,0)</f>
        <v>0</v>
      </c>
      <c r="AD58" s="7">
        <f>IFERROR((Y58-X58)/Z58,0)</f>
        <v>0</v>
      </c>
      <c r="AE58" s="7">
        <f>AB58+AD58</f>
        <v>-0.000877077619849122</v>
      </c>
      <c r="AF58" s="7">
        <f>(1+Q58)*(1+AE58)-1</f>
        <v>-0.0074215509105487465</v>
      </c>
      <c r="AG58" s="7">
        <f>G58-AF58</f>
        <v>-9.540979117872439e-17</v>
      </c>
      <c r="AH58" s="5">
        <f>SUM(IF(BQ58="lease",CE58,0),IF(CS58="lease",DG58,0),IF(DU58="lease",EI58,0),IF(EW58="lease",FK58,0),IF(FY58="lease",GM58,0),IF(HA58="lease",HO58,0),IF(IC58="lease",IQ58,0),IF(JE58="lease",JS58,0),IF(KG58="lease",KU58,0),IF(LI58="lease",LW58,0))</f>
        <v>-0.008937952161223672</v>
      </c>
      <c r="AI58" s="5">
        <f>SUM(IF(BQ58="keep",CE58,0),IF(CS58="keep",DG58,0),IF(DU58="keep",EI58,0),IF(EW58="keep",FK58,0),IF(FY58="keep",GM58,0),IF(HA58="keep",HO58,0),IF(IC58="keep",IQ58,0),IF(JE58="keep",JS58,0),IF(KG58="keep",KU58,0),IF(LI58="keep",LW58,0))</f>
        <v>0</v>
      </c>
      <c r="AJ58" s="5">
        <f>SUM(IF(BQ58="lease",CH58,0),IF(CS58="lease",DJ58,0),IF(DU58="lease",EL58,0),IF(EW58="lease",FN58,0),IF(FY58="lease",GP58,0),IF(HA58="lease",HR58,0),IF(IC58="lease",IT58,0),IF(JE58="lease",JV58,0),IF(KG58="lease",KX58,0),IF(LI58="lease",LZ58,0))</f>
        <v>0</v>
      </c>
      <c r="AK58" s="5">
        <f>SUM(IF(BQ58="keep",CH58,0),IF(CS58="keep",DJ58,0),IF(DU58="keep",EL58,0),IF(EW58="keep",FN58,0),IF(FY58="keep",GP58,0),IF(HA58="keep",HR58,0),IF(IC58="keep",IT58,0),IF(JE58="keep",JV58,0),IF(KG58="keep",KX58,0),IF(LI58="keep",LZ58,0))</f>
        <v>0</v>
      </c>
      <c r="AL58" s="5">
        <f>R58-S57</f>
        <v>-2.220446049250313e-16</v>
      </c>
      <c r="AM58" s="5">
        <f>T58-U57</f>
        <v>0</v>
      </c>
      <c r="AN58" s="5">
        <f>AN57</f>
        <v>1</v>
      </c>
      <c r="AO58" s="5">
        <f>AO57+AH58</f>
        <v>0.1953860858938749</v>
      </c>
      <c r="AP58" s="5">
        <f>AP57+AL58</f>
        <v>-6.661338147750939e-16</v>
      </c>
      <c r="AQ58" s="5">
        <f>AN58+AO58+AP58</f>
        <v>1.1953860858938743</v>
      </c>
      <c r="AR58" s="5">
        <f>S58-AQ58</f>
        <v>2.220446049250313e-16</v>
      </c>
      <c r="AS58" s="5">
        <f>AS57</f>
        <v>0</v>
      </c>
      <c r="AT58" s="5">
        <f>AT57+AI58</f>
        <v>0</v>
      </c>
      <c r="AU58" s="5">
        <f>AU57+AM58</f>
        <v>0</v>
      </c>
      <c r="AV58" s="5">
        <f>AS58+AT58+AU58</f>
        <v>0</v>
      </c>
      <c r="AW58" s="5">
        <f>U58-AV58</f>
        <v>0</v>
      </c>
      <c r="AX58" s="4">
        <v>1.2043240380550981</v>
      </c>
      <c r="AY58" s="4">
        <v>1.1953860858938745</v>
      </c>
      <c r="AZ58" s="5">
        <f>S58-AY58</f>
        <v>0</v>
      </c>
      <c r="BA58" s="4">
        <v>0</v>
      </c>
      <c r="BB58" s="4">
        <v>0</v>
      </c>
      <c r="BC58" s="5">
        <f>U58-BB58</f>
        <v>0</v>
      </c>
      <c r="BD58" s="7">
        <f>SUM(IF(BP58="direct",CC58/F58,0),IF(CR58="direct",DE58/F58,0),IF(DT58="direct",EG58/F58,0),IF(EV58="direct",FI58/F58,0),IF(FX58="direct",GK58/F58,0),IF(GZ58="direct",HM58/F58,0),IF(IB58="direct",IO58/F58,0),IF(JD58="direct",JQ58/F58,0),IF(KF58="direct",KS58/F58,0),IF(LH58="direct",LU58/F58,0))</f>
        <v>-0.0009743533208748742</v>
      </c>
      <c r="BE58" s="7">
        <f>-SUM(IF(BP58="direct",CD58/F58,0),IF(CR58="direct",DF58/F58,0),IF(DT58="direct",EH58/F58,0),IF(EV58="direct",FJ58/F58,0),IF(FX58="direct",GL58/F58,0),IF(GZ58="direct",HN58/F58,0),IF(IB58="direct",IP58/F58,0),IF(JD58="direct",JR58/F58,0),IF(KF58="direct",KT58/F58,0),IF(LH58="direct",LV58/F58,0))</f>
        <v>-0.000001018844340092904</v>
      </c>
      <c r="BF58" s="7">
        <f>BD58+BE58</f>
        <v>-0.0009753721652149671</v>
      </c>
      <c r="BG58" s="7">
        <f>BF58-SUM(IF(BP58="direct",CP58,0),IF(CR58="direct",DR58,0),IF(DT58="direct",ET58,0),IF(EV58="direct",FV58,0),IF(FX58="direct",GX58,0),IF(GZ58="direct",HZ58,0),IF(IB58="direct",JB58,0),IF(JD58="direct",KD58,0),IF(KF58="direct",LF58,0),IF(LH58="direct",MH58,0))</f>
        <v>-6.938893903907228e-18</v>
      </c>
      <c r="BH58" s="7">
        <f>SUM(IF(BP58="treasury",CP58,0),IF(CR58="treasury",DR58,0),IF(DT58="treasury",ET58,0),IF(EV58="treasury",FV58,0),IF(FX58="treasury",GX58,0),IF(GZ58="treasury",HZ58,0),IF(IB58="treasury",JB58,0),IF(JD58="treasury",KD58,0),IF(KF58="treasury",LF58,0),IF(LH58="treasury",MH58,0))</f>
        <v>0.00013806554684851784</v>
      </c>
      <c r="BI58" s="7">
        <f>SUM(IF(BP58="future",CP58,0),IF(CR58="future",DR58,0),IF(DT58="future",ET58,0),IF(EV58="future",FV58,0),IF(FX58="future",GX58,0),IF(GZ58="future",HZ58,0),IF(IB58="future",JB58,0),IF(JD58="future",KD58,0),IF(KF58="future",LF58,0),IF(LH58="future",MH58,0))</f>
        <v>-0.006584244292182399</v>
      </c>
      <c r="BJ58" s="7">
        <f>SUM(IF(BP58="cash",CP58,0),IF(CR58="cash",DR58,0),IF(DT58="cash",ET58,0),IF(EV58="cash",FV58,0),IF(FX58="cash",GX58,0),IF(GZ58="cash",HZ58,0),IF(IB58="cash",JB58,0),IF(JD58="cash",KD58,0),IF(KF58="cash",LF58,0),IF(LH58="cash",MH58,0))</f>
        <v>0</v>
      </c>
      <c r="BK58" s="7">
        <f>SUM(BF58,BH58,BI58,BJ58)</f>
        <v>-0.007421550910548842</v>
      </c>
      <c r="BL58" s="7">
        <f>G58-BK58</f>
        <v>0</v>
      </c>
      <c r="BM58" s="5">
        <f>MAX(ABS(CG58),ABS(DI58),ABS(EK58),ABS(FM58),ABS(GO58),ABS(HQ58),ABS(IS58),ABS(JU58),ABS(KW58),ABS(LY58))</f>
        <v>5.084908188957016e-17</v>
      </c>
      <c r="BN58" s="9">
        <f>COUNTA(BO58,CQ58,DS58,EU58,FW58,GY58,IA58,JC58,KE58,LG58)</f>
        <v>5</v>
      </c>
      <c r="BO58" t="inlineStr">
        <is>
          <t xml:space="preserve">Direct commodity holding</t>
        </is>
      </c>
      <c r="BP58" t="inlineStr">
        <is>
          <t xml:space="preserve">direct</t>
        </is>
      </c>
      <c r="BQ58" t="inlineStr">
        <is>
          <t xml:space="preserve">lease</t>
        </is>
      </c>
      <c r="BR58" t="inlineStr">
        <is>
          <t xml:space="preserve">long</t>
        </is>
      </c>
      <c r="BS58"/>
      <c r="BT58" s="4">
        <v>1.832</v>
      </c>
      <c r="BU58" s="4">
        <v>1.82</v>
      </c>
      <c r="BV58" s="6">
        <v>0.0025</v>
      </c>
      <c r="BW58" s="4">
        <v>0.09778642715736853</v>
      </c>
      <c r="BX58" s="5">
        <f>IF(BP58="direct",IFERROR(CD58/BU58,0),0)</f>
        <v>6.741861152803671e-7</v>
      </c>
      <c r="BY58" s="5">
        <f>IF(BP58="direct",BW58-BX58,IF(BP58="cash",CI58,BW58))</f>
        <v>0.09778575297125325</v>
      </c>
      <c r="BZ58" s="6">
        <v>0.148751273653564</v>
      </c>
      <c r="CA58" s="4">
        <v>0.17914473455229915</v>
      </c>
      <c r="CB58" s="4">
        <v>0.17914473455229915</v>
      </c>
      <c r="CC58" s="5">
        <f>IF(BP58="direct",BW58*(BU58-BT58),CF58)</f>
        <v>-0.0011734371258884234</v>
      </c>
      <c r="CD58" s="5">
        <f>IF(BP58="direct",CB58*BV58*C58/365,0)</f>
        <v>0.0000012270187298102683</v>
      </c>
      <c r="CE58" s="5">
        <f>CC58-CD58</f>
        <v>-0.0011746641446182253</v>
      </c>
      <c r="CF58" s="4">
        <v>-0.0011746641446182253</v>
      </c>
      <c r="CG58" s="5">
        <f>CF58-CE58</f>
        <v>8.358521123505436e-18</v>
      </c>
      <c r="CH58" s="4">
        <v>0</v>
      </c>
      <c r="CI58" s="4">
        <v>0.17797007040768092</v>
      </c>
      <c r="CJ58" s="4">
        <v>1.832</v>
      </c>
      <c r="CK58" s="4">
        <v>1.82</v>
      </c>
      <c r="CL58" s="6"/>
      <c r="CM58" s="6"/>
      <c r="CN58" s="6"/>
      <c r="CO58" s="9"/>
      <c r="CP58" s="7">
        <f>IFERROR(CE58/F58,0)</f>
        <v>-0.0009753721652149602</v>
      </c>
      <c r="CQ58" t="inlineStr">
        <is>
          <t xml:space="preserve">Treasury collateral</t>
        </is>
      </c>
      <c r="CR58" t="inlineStr">
        <is>
          <t xml:space="preserve">treasury</t>
        </is>
      </c>
      <c r="CS58" t="inlineStr">
        <is>
          <t xml:space="preserve">lease</t>
        </is>
      </c>
      <c r="CT58" t="inlineStr">
        <is>
          <t xml:space="preserve">long</t>
        </is>
      </c>
      <c r="CU58"/>
      <c r="CV58" s="4">
        <v>101.38016178151426</v>
      </c>
      <c r="CW58" s="4">
        <v>101.39660481049361</v>
      </c>
      <c r="CX58" s="6"/>
      <c r="CY58" s="4">
        <v>0.010112227929880174</v>
      </c>
      <c r="CZ58" s="5">
        <f>IF(CR58="direct",IFERROR(DF58/CW58,0),0)</f>
        <v>0</v>
      </c>
      <c r="DA58" s="5">
        <f>IF(CR58="direct",CY58-CZ58,IF(CR58="cash",DK58,CY58))</f>
        <v>0.010112227929880174</v>
      </c>
      <c r="DB58" s="6">
        <v>0.8512487263464359</v>
      </c>
      <c r="DC58" s="4">
        <v>1.0251793035027992</v>
      </c>
      <c r="DD58" s="4">
        <v>1.0251793035027992</v>
      </c>
      <c r="DE58" s="5">
        <f>IF(CR58="direct",CY58*(CW58-CV58),DH58)</f>
        <v>0.00016627565689684152</v>
      </c>
      <c r="DF58" s="5">
        <f>IF(CR58="direct",DD58*CX58*C58/365,0)</f>
        <v>0</v>
      </c>
      <c r="DG58" s="5">
        <f>DE58-DF58</f>
        <v>0.00016627565689689237</v>
      </c>
      <c r="DH58" s="4">
        <v>0.00016627565689689237</v>
      </c>
      <c r="DI58" s="5">
        <f>DH58-DG58</f>
        <v>5.084908188957016e-17</v>
      </c>
      <c r="DJ58" s="4">
        <v>-1.3964523981613297e-16</v>
      </c>
      <c r="DK58" s="4">
        <v>1.025345579159696</v>
      </c>
      <c r="DL58" s="4">
        <v>1.832</v>
      </c>
      <c r="DM58" s="4">
        <v>1.82</v>
      </c>
      <c r="DN58" s="6"/>
      <c r="DO58" s="6"/>
      <c r="DP58" s="6"/>
      <c r="DQ58" s="9">
        <v>64</v>
      </c>
      <c r="DR58" s="7">
        <f>IFERROR(DG58/F58,0)</f>
        <v>0.00013806554684851784</v>
      </c>
      <c r="DS58" t="inlineStr">
        <is>
          <t xml:space="preserve">SI69K</t>
        </is>
      </c>
      <c r="DT58" t="inlineStr">
        <is>
          <t xml:space="preserve">future</t>
        </is>
      </c>
      <c r="DU58" t="inlineStr">
        <is>
          <t xml:space="preserve">lease</t>
        </is>
      </c>
      <c r="DV58" t="inlineStr">
        <is>
          <t xml:space="preserve">long</t>
        </is>
      </c>
      <c r="DW58" t="inlineStr">
        <is>
          <t xml:space="preserve">regular</t>
        </is>
      </c>
      <c r="DX58" s="4">
        <v>1.81</v>
      </c>
      <c r="DY58" s="4">
        <v>1.796</v>
      </c>
      <c r="DZ58" s="6"/>
      <c r="EA58" s="4">
        <v>0.5663974052501652</v>
      </c>
      <c r="EB58" s="5">
        <f>IF(DT58="direct",IFERROR(EH58/DY58,0),0)</f>
        <v>0</v>
      </c>
      <c r="EC58" s="5">
        <f>IF(DT58="direct",EA58-EB58,IF(DT58="cash",EM58,EA58))</f>
        <v>0.5663974052501652</v>
      </c>
      <c r="ED58" s="6">
        <v>0.8512487263464359</v>
      </c>
      <c r="EE58" s="4">
        <v>1.0251793035027992</v>
      </c>
      <c r="EF58" s="4">
        <v>0</v>
      </c>
      <c r="EG58" s="5">
        <f>IF(DT58="direct",EA58*(DY58-DX58),EJ58)</f>
        <v>-0.00792956367350234</v>
      </c>
      <c r="EH58" s="5">
        <f>IF(DT58="direct",EF58*DZ58*C58/365,0)</f>
        <v>0</v>
      </c>
      <c r="EI58" s="5">
        <f>EG58-EH58</f>
        <v>-0.00792956367350234</v>
      </c>
      <c r="EJ58" s="4">
        <v>-0.00792956367350234</v>
      </c>
      <c r="EK58" s="5">
        <f>EJ58-EI58</f>
        <v>0</v>
      </c>
      <c r="EL58" s="4">
        <v>0.00792956367350234</v>
      </c>
      <c r="EM58" s="4">
        <v>0</v>
      </c>
      <c r="EN58" s="4">
        <v>1.832</v>
      </c>
      <c r="EO58" s="4">
        <v>1.82</v>
      </c>
      <c r="EP58" s="6">
        <v>-0.012008733624454204</v>
      </c>
      <c r="EQ58" s="6">
        <v>0.0592</v>
      </c>
      <c r="ER58" s="6">
        <v>0.1276873089519654</v>
      </c>
      <c r="ES58" s="9">
        <v>64</v>
      </c>
      <c r="ET58" s="7">
        <f>IFERROR(EI58/F58,0)</f>
        <v>-0.006584244292182399</v>
      </c>
      <c r="EU58" t="inlineStr">
        <is>
          <t xml:space="preserve">Lease cash / margin / financing</t>
        </is>
      </c>
      <c r="EV58" t="inlineStr">
        <is>
          <t xml:space="preserve">cash</t>
        </is>
      </c>
      <c r="EW58" t="inlineStr">
        <is>
          <t xml:space="preserve">lease</t>
        </is>
      </c>
      <c r="EX58" t="inlineStr">
        <is>
          <t xml:space="preserve">cash</t>
        </is>
      </c>
      <c r="EY58"/>
      <c r="EZ58" s="4">
        <v>1</v>
      </c>
      <c r="FA58" s="4">
        <v>1</v>
      </c>
      <c r="FB58" s="6"/>
      <c r="FC58" s="4">
        <v>-2.220446049250313e-16</v>
      </c>
      <c r="FD58" s="5">
        <f>IF(EV58="direct",IFERROR(FJ58/FA58,0),0)</f>
        <v>0</v>
      </c>
      <c r="FE58" s="5">
        <f>IF(EV58="direct",FC58-FD58,IF(EV58="cash",FO58,FC58))</f>
        <v>-0.007929563673502421</v>
      </c>
      <c r="FF58" s="6"/>
      <c r="FG58" s="4">
        <v>-2.220446049250313e-16</v>
      </c>
      <c r="FH58" s="4">
        <v>-2.220446049250313e-16</v>
      </c>
      <c r="FI58" s="5">
        <f>IF(EV58="direct",FC58*(FA58-EZ58),FL58)</f>
        <v>0</v>
      </c>
      <c r="FJ58" s="5">
        <f>IF(EV58="direct",FH58*FB58*C58/365,0)</f>
        <v>0</v>
      </c>
      <c r="FK58" s="5">
        <f>FI58-FJ58</f>
        <v>0</v>
      </c>
      <c r="FL58" s="4">
        <v>0</v>
      </c>
      <c r="FM58" s="5">
        <f>FL58-FK58</f>
        <v>0</v>
      </c>
      <c r="FN58" s="4">
        <v>-0.007929563673502199</v>
      </c>
      <c r="FO58" s="4">
        <v>-0.007929563673502421</v>
      </c>
      <c r="FP58" s="4">
        <v>1.832</v>
      </c>
      <c r="FQ58" s="4">
        <v>1.82</v>
      </c>
      <c r="FR58" s="6"/>
      <c r="FS58" s="6"/>
      <c r="FT58" s="6"/>
      <c r="FU58" s="9"/>
      <c r="FV58" s="7">
        <f>IFERROR(FK58/F58,0)</f>
        <v>0</v>
      </c>
      <c r="FW58" t="inlineStr">
        <is>
          <t xml:space="preserve">Keep cash / margin / financing</t>
        </is>
      </c>
      <c r="FX58" t="inlineStr">
        <is>
          <t xml:space="preserve">cash</t>
        </is>
      </c>
      <c r="FY58" t="inlineStr">
        <is>
          <t xml:space="preserve">keep</t>
        </is>
      </c>
      <c r="FZ58" t="inlineStr">
        <is>
          <t xml:space="preserve">cash</t>
        </is>
      </c>
      <c r="GA58"/>
      <c r="GB58" s="4">
        <v>1</v>
      </c>
      <c r="GC58" s="4">
        <v>1</v>
      </c>
      <c r="GD58" s="6"/>
      <c r="GE58" s="4">
        <v>0</v>
      </c>
      <c r="GF58" s="5">
        <f>IF(FX58="direct",IFERROR(GL58/GC58,0),0)</f>
        <v>0</v>
      </c>
      <c r="GG58" s="5">
        <f>IF(FX58="direct",GE58-GF58,IF(FX58="cash",GQ58,GE58))</f>
        <v>0</v>
      </c>
      <c r="GH58" s="6"/>
      <c r="GI58" s="4">
        <v>0</v>
      </c>
      <c r="GJ58" s="4">
        <v>0</v>
      </c>
      <c r="GK58" s="5">
        <f>IF(FX58="direct",GE58*(GC58-GB58),GN58)</f>
        <v>0</v>
      </c>
      <c r="GL58" s="5">
        <f>IF(FX58="direct",GJ58*GD58*C58/365,0)</f>
        <v>0</v>
      </c>
      <c r="GM58" s="5">
        <f>GK58-GL58</f>
        <v>0</v>
      </c>
      <c r="GN58" s="4">
        <v>0</v>
      </c>
      <c r="GO58" s="5">
        <f>GN58-GM58</f>
        <v>0</v>
      </c>
      <c r="GP58" s="4">
        <v>0</v>
      </c>
      <c r="GQ58" s="4">
        <v>0</v>
      </c>
      <c r="GR58" s="4">
        <v>1.832</v>
      </c>
      <c r="GS58" s="4">
        <v>1.82</v>
      </c>
      <c r="GT58" s="6"/>
      <c r="GU58" s="6"/>
      <c r="GV58" s="6"/>
      <c r="GW58" s="9"/>
      <c r="GX58" s="7">
        <f>IFERROR(GM58/F58,0)</f>
        <v>0</v>
      </c>
      <c r="GY58"/>
      <c r="GZ58"/>
      <c r="HA58"/>
      <c r="HB58"/>
      <c r="HC58"/>
      <c r="HD58" s="4"/>
      <c r="HE58" s="4"/>
      <c r="HF58" s="6"/>
      <c r="HG58" s="4"/>
      <c r="HH58" s="5">
        <v>0</v>
      </c>
      <c r="HI58" s="5"/>
      <c r="HJ58" s="6"/>
      <c r="HK58" s="4"/>
      <c r="HL58" s="4"/>
      <c r="HM58" s="5">
        <v>0</v>
      </c>
      <c r="HN58" s="5">
        <v>0</v>
      </c>
      <c r="HO58" s="5"/>
      <c r="HP58" s="4"/>
      <c r="HQ58" s="5">
        <v>0</v>
      </c>
      <c r="HR58" s="4"/>
      <c r="HS58" s="4"/>
      <c r="HT58" s="4"/>
      <c r="HU58" s="4"/>
      <c r="HV58" s="6"/>
      <c r="HW58" s="6"/>
      <c r="HX58" s="6"/>
      <c r="HY58" s="9"/>
      <c r="HZ58"/>
      <c r="IA58"/>
      <c r="IB58"/>
      <c r="IC58"/>
      <c r="ID58"/>
      <c r="IE58"/>
      <c r="IF58" s="4"/>
      <c r="IG58" s="4"/>
      <c r="IH58" s="6"/>
      <c r="II58" s="4"/>
      <c r="IJ58" s="5">
        <v>0</v>
      </c>
      <c r="IK58" s="5"/>
      <c r="IL58" s="6"/>
      <c r="IM58" s="4"/>
      <c r="IN58" s="4"/>
      <c r="IO58" s="5">
        <v>0</v>
      </c>
      <c r="IP58" s="5">
        <v>0</v>
      </c>
      <c r="IQ58" s="5"/>
      <c r="IR58" s="4"/>
      <c r="IS58" s="5">
        <v>0</v>
      </c>
      <c r="IT58" s="4"/>
      <c r="IU58" s="4"/>
      <c r="IV58" s="4"/>
      <c r="IW58" s="4"/>
      <c r="IX58" s="6"/>
      <c r="IY58" s="6"/>
      <c r="IZ58" s="6"/>
      <c r="JA58" s="9"/>
      <c r="JB58"/>
      <c r="JC58"/>
      <c r="JD58"/>
      <c r="JE58"/>
      <c r="JF58"/>
      <c r="JG58"/>
      <c r="JH58" s="4"/>
      <c r="JI58" s="4"/>
      <c r="JJ58" s="6"/>
      <c r="JK58" s="4"/>
      <c r="JL58" s="5">
        <v>0</v>
      </c>
      <c r="JM58" s="5"/>
      <c r="JN58" s="6"/>
      <c r="JO58" s="4"/>
      <c r="JP58" s="4"/>
      <c r="JQ58" s="5">
        <v>0</v>
      </c>
      <c r="JR58" s="5">
        <v>0</v>
      </c>
      <c r="JS58" s="5"/>
      <c r="JT58" s="4"/>
      <c r="JU58" s="5">
        <v>0</v>
      </c>
      <c r="JV58" s="4"/>
      <c r="JW58" s="4"/>
      <c r="JX58" s="4"/>
      <c r="JY58" s="4"/>
      <c r="JZ58" s="6"/>
      <c r="KA58" s="6"/>
      <c r="KB58" s="6"/>
      <c r="KC58" s="9"/>
      <c r="KD58"/>
      <c r="KE58"/>
      <c r="KF58"/>
      <c r="KG58"/>
      <c r="KH58"/>
      <c r="KI58"/>
      <c r="KJ58" s="4"/>
      <c r="KK58" s="4"/>
      <c r="KL58" s="6"/>
      <c r="KM58" s="4"/>
      <c r="KN58" s="5">
        <v>0</v>
      </c>
      <c r="KO58" s="5"/>
      <c r="KP58" s="6"/>
      <c r="KQ58" s="4"/>
      <c r="KR58" s="4"/>
      <c r="KS58" s="5">
        <v>0</v>
      </c>
      <c r="KT58" s="5">
        <v>0</v>
      </c>
      <c r="KU58" s="5"/>
      <c r="KV58" s="4"/>
      <c r="KW58" s="5">
        <v>0</v>
      </c>
      <c r="KX58" s="4"/>
      <c r="KY58" s="4"/>
      <c r="KZ58" s="4"/>
      <c r="LA58" s="4"/>
      <c r="LB58" s="6"/>
      <c r="LC58" s="6"/>
      <c r="LD58" s="6"/>
      <c r="LE58" s="9"/>
      <c r="LF58"/>
      <c r="LG58"/>
      <c r="LH58"/>
      <c r="LI58"/>
      <c r="LJ58"/>
      <c r="LK58"/>
      <c r="LL58" s="4"/>
      <c r="LM58" s="4"/>
      <c r="LN58" s="6"/>
      <c r="LO58" s="4"/>
      <c r="LP58" s="5">
        <v>0</v>
      </c>
      <c r="LQ58" s="5"/>
      <c r="LR58" s="6"/>
      <c r="LS58" s="4"/>
      <c r="LT58" s="4"/>
      <c r="LU58" s="5">
        <v>0</v>
      </c>
      <c r="LV58" s="5">
        <v>0</v>
      </c>
      <c r="LW58" s="5"/>
      <c r="LX58" s="4"/>
      <c r="LY58" s="5">
        <v>0</v>
      </c>
      <c r="LZ58" s="4"/>
      <c r="MA58" s="4"/>
      <c r="MB58" s="4"/>
      <c r="MC58" s="4"/>
      <c r="MD58" s="6"/>
      <c r="ME58" s="6"/>
      <c r="MF58" s="6"/>
      <c r="MG58" s="9"/>
      <c r="MH58"/>
    </row>
    <row r="59">
      <c r="A59" s="8">
        <v>25288</v>
      </c>
      <c r="B59" s="8">
        <v>25289</v>
      </c>
      <c r="C59" s="9">
        <f>B59-A59</f>
        <v>1</v>
      </c>
      <c r="D59" s="8">
        <v>25288</v>
      </c>
      <c r="E59" t="inlineStr">
        <is>
          <t xml:space="preserve">positive</t>
        </is>
      </c>
      <c r="F59" s="4">
        <v>1.1953860858938747</v>
      </c>
      <c r="G59" s="6">
        <v>0.015965228412395466</v>
      </c>
      <c r="H59" s="7">
        <f>SUM(CP59,DR59,ET59,FV59,GX59,HZ59,JB59,KD59,LF59,MH59)</f>
        <v>0.015965228412395466</v>
      </c>
      <c r="I59" s="7">
        <f>G59-H59</f>
        <v>0</v>
      </c>
      <c r="J59" s="5">
        <f>F59*(1+H59)</f>
        <v>1.21447069779617</v>
      </c>
      <c r="K59" s="4">
        <v>1.21447069779617</v>
      </c>
      <c r="L59" s="5">
        <f>K59-J59</f>
        <v>0</v>
      </c>
      <c r="M59" s="4">
        <v>1.82</v>
      </c>
      <c r="N59" s="4">
        <v>1.814</v>
      </c>
      <c r="O59" s="5">
        <f>M59/$M$3</f>
        <v>0.9295199182839633</v>
      </c>
      <c r="P59" s="5">
        <f>N59/$M$3</f>
        <v>0.9264555669050052</v>
      </c>
      <c r="Q59" s="7">
        <f>IFERROR(N59/M59-1,0)</f>
        <v>-0.003296703296703285</v>
      </c>
      <c r="R59" s="5">
        <f>SUM(IF(BQ59="lease",CB59,0),IF(CS59="lease",DD59,0),IF(DU59="lease",EF59,0),IF(EW59="lease",FH59,0),IF(FY59="lease",GJ59,0),IF(HA59="lease",HL59,0),IF(IC59="lease",IN59,0),IF(JE59="lease",JP59,0),IF(KG59="lease",KR59,0),IF(LI59="lease",LT59,0))</f>
        <v>1.1953860858938745</v>
      </c>
      <c r="S59" s="5">
        <f>SUM(IF(BQ59="lease",CI59,0),IF(CS59="lease",DK59,0),IF(DU59="lease",EM59,0),IF(EW59="lease",FO59,0),IF(FY59="lease",GQ59,0),IF(HA59="lease",HS59,0),IF(IC59="lease",IU59,0),IF(JE59="lease",JW59,0),IF(KG59="lease",KY59,0),IF(LI59="lease",MA59,0))</f>
        <v>1.2144706977961697</v>
      </c>
      <c r="T59" s="5">
        <f>SUM(IF(BQ59="keep",CB59,0),IF(CS59="keep",DD59,0),IF(DU59="keep",EF59,0),IF(EW59="keep",FH59,0),IF(FY59="keep",GJ59,0),IF(HA59="keep",HL59,0),IF(IC59="keep",IN59,0),IF(JE59="keep",JP59,0),IF(KG59="keep",KR59,0),IF(LI59="keep",LT59,0))</f>
        <v>0</v>
      </c>
      <c r="U59" s="5">
        <f>SUM(IF(BQ59="keep",CI59,0),IF(CS59="keep",DK59,0),IF(DU59="keep",EM59,0),IF(EW59="keep",FO59,0),IF(FY59="keep",GQ59,0),IF(HA59="keep",HS59,0),IF(IC59="keep",IU59,0),IF(JE59="keep",JW59,0),IF(KG59="keep",KY59,0),IF(LI59="keep",MA59,0))</f>
        <v>0</v>
      </c>
      <c r="V59" s="5">
        <f>R59/O59</f>
        <v>1.2860252506484648</v>
      </c>
      <c r="W59" s="5">
        <f>S59/P59</f>
        <v>1.31087851504129</v>
      </c>
      <c r="X59" s="5">
        <f>T59/O59</f>
        <v>0</v>
      </c>
      <c r="Y59" s="5">
        <f>U59/P59</f>
        <v>0</v>
      </c>
      <c r="Z59" s="5">
        <f>V59+X59</f>
        <v>1.2860252506484648</v>
      </c>
      <c r="AA59" s="7">
        <f>IFERROR(W59/V59-1,0)</f>
        <v>0.019325642618831296</v>
      </c>
      <c r="AB59" s="7">
        <f>IFERROR((W59-V59)/Z59,0)</f>
        <v>0.01932564261883132</v>
      </c>
      <c r="AC59" s="7">
        <f>IFERROR(Y59/X59-1,0)</f>
        <v>0</v>
      </c>
      <c r="AD59" s="7">
        <f>IFERROR((Y59-X59)/Z59,0)</f>
        <v>0</v>
      </c>
      <c r="AE59" s="7">
        <f>AB59+AD59</f>
        <v>0.01932564261883132</v>
      </c>
      <c r="AF59" s="7">
        <f>(1+Q59)*(1+AE59)-1</f>
        <v>0.01596522841239567</v>
      </c>
      <c r="AG59" s="7">
        <f>G59-AF59</f>
        <v>-2.0469737016526324e-16</v>
      </c>
      <c r="AH59" s="5">
        <f>SUM(IF(BQ59="lease",CE59,0),IF(CS59="lease",DG59,0),IF(DU59="lease",EI59,0),IF(EW59="lease",FK59,0),IF(FY59="lease",GM59,0),IF(HA59="lease",HO59,0),IF(IC59="lease",IQ59,0),IF(JE59="lease",JS59,0),IF(KG59="lease",KU59,0),IF(LI59="lease",LW59,0))</f>
        <v>0.019084611902295098</v>
      </c>
      <c r="AI59" s="5">
        <f>SUM(IF(BQ59="keep",CE59,0),IF(CS59="keep",DG59,0),IF(DU59="keep",EI59,0),IF(EW59="keep",FK59,0),IF(FY59="keep",GM59,0),IF(HA59="keep",HO59,0),IF(IC59="keep",IQ59,0),IF(JE59="keep",JS59,0),IF(KG59="keep",KU59,0),IF(LI59="keep",LW59,0))</f>
        <v>0</v>
      </c>
      <c r="AJ59" s="5">
        <f>SUM(IF(BQ59="lease",CH59,0),IF(CS59="lease",DJ59,0),IF(DU59="lease",EL59,0),IF(EW59="lease",FN59,0),IF(FY59="lease",GP59,0),IF(HA59="lease",HR59,0),IF(IC59="lease",IT59,0),IF(JE59="lease",JV59,0),IF(KG59="lease",KX59,0),IF(LI59="lease",LZ59,0))</f>
        <v>0</v>
      </c>
      <c r="AK59" s="5">
        <f>SUM(IF(BQ59="keep",CH59,0),IF(CS59="keep",DJ59,0),IF(DU59="keep",EL59,0),IF(EW59="keep",FN59,0),IF(FY59="keep",GP59,0),IF(HA59="keep",HR59,0),IF(IC59="keep",IT59,0),IF(JE59="keep",JV59,0),IF(KG59="keep",KX59,0),IF(LI59="keep",LZ59,0))</f>
        <v>0</v>
      </c>
      <c r="AL59" s="5">
        <f>R59-S58</f>
        <v>0</v>
      </c>
      <c r="AM59" s="5">
        <f>T59-U58</f>
        <v>0</v>
      </c>
      <c r="AN59" s="5">
        <f>AN58</f>
        <v>1</v>
      </c>
      <c r="AO59" s="5">
        <f>AO58+AH59</f>
        <v>0.21447069779617</v>
      </c>
      <c r="AP59" s="5">
        <f>AP58+AL59</f>
        <v>-6.661338147750939e-16</v>
      </c>
      <c r="AQ59" s="5">
        <f>AN59+AO59+AP59</f>
        <v>1.2144706977961695</v>
      </c>
      <c r="AR59" s="5">
        <f>S59-AQ59</f>
        <v>2.220446049250313e-16</v>
      </c>
      <c r="AS59" s="5">
        <f>AS58</f>
        <v>0</v>
      </c>
      <c r="AT59" s="5">
        <f>AT58+AI59</f>
        <v>0</v>
      </c>
      <c r="AU59" s="5">
        <f>AU58+AM59</f>
        <v>0</v>
      </c>
      <c r="AV59" s="5">
        <f>AS59+AT59+AU59</f>
        <v>0</v>
      </c>
      <c r="AW59" s="5">
        <f>U59-AV59</f>
        <v>0</v>
      </c>
      <c r="AX59" s="4">
        <v>1.1953860858938745</v>
      </c>
      <c r="AY59" s="4">
        <v>1.2144706977961697</v>
      </c>
      <c r="AZ59" s="5">
        <f>S59-AY59</f>
        <v>0</v>
      </c>
      <c r="BA59" s="4">
        <v>0</v>
      </c>
      <c r="BB59" s="4">
        <v>0</v>
      </c>
      <c r="BC59" s="5">
        <f>U59-BB59</f>
        <v>0</v>
      </c>
      <c r="BD59" s="7">
        <f>SUM(IF(BP59="direct",CC59/F59,0),IF(CR59="direct",DE59/F59,0),IF(DT59="direct",EG59/F59,0),IF(EV59="direct",FI59/F59,0),IF(FX59="direct",GK59/F59,0),IF(GZ59="direct",HM59/F59,0),IF(IB59="direct",IO59/F59,0),IF(JD59="direct",JQ59/F59,0),IF(KF59="direct",KS59/F59,0),IF(LH59="direct",LU59/F59,0))</f>
        <v>-0.0003120925124064758</v>
      </c>
      <c r="BE59" s="7">
        <f>-SUM(IF(BP59="direct",CD59/F59,0),IF(CR59="direct",DF59/F59,0),IF(DT59="direct",EH59/F59,0),IF(EV59="direct",FJ59/F59,0),IF(FX59="direct",GL59/F59,0),IF(GZ59="direct",HN59/F59,0),IF(IB59="direct",IP59/F59,0),IF(JD59="direct",JR59/F59,0),IF(KF59="direct",KT59/F59,0),IF(LH59="direct",LV59/F59,0))</f>
        <v>-6.484113842234995e-7</v>
      </c>
      <c r="BF59" s="7">
        <f>BD59+BE59</f>
        <v>-0.0003127409237906993</v>
      </c>
      <c r="BG59" s="7">
        <f>BF59-SUM(IF(BP59="direct",CP59,0),IF(CR59="direct",DR59,0),IF(DT59="direct",ET59,0),IF(EV59="direct",FV59,0),IF(FX59="direct",GX59,0),IF(GZ59="direct",HZ59,0),IF(IB59="direct",JB59,0),IF(JD59="direct",KD59,0),IF(KF59="direct",LF59,0),IF(LH59="direct",MH59,0))</f>
        <v>-1.3552527156068805e-18</v>
      </c>
      <c r="BH59" s="7">
        <f>SUM(IF(BP59="treasury",CP59,0),IF(CR59="treasury",DR59,0),IF(DT59="treasury",ET59,0),IF(EV59="treasury",FV59,0),IF(FX59="treasury",GX59,0),IF(GZ59="treasury",HZ59,0),IF(IB59="treasury",JB59,0),IF(JD59="treasury",KD59,0),IF(KF59="treasury",LF59,0),IF(LH59="treasury",MH59,0))</f>
        <v>0.0001473334715382469</v>
      </c>
      <c r="BI59" s="7">
        <f>SUM(IF(BP59="future",CP59,0),IF(CR59="future",DR59,0),IF(DT59="future",ET59,0),IF(EV59="future",FV59,0),IF(FX59="future",GX59,0),IF(GZ59="future",HZ59,0),IF(IB59="future",JB59,0),IF(JD59="future",KD59,0),IF(KF59="future",LF59,0),IF(LH59="future",MH59,0))</f>
        <v>0.016130635864647917</v>
      </c>
      <c r="BJ59" s="7">
        <f>SUM(IF(BP59="cash",CP59,0),IF(CR59="cash",DR59,0),IF(DT59="cash",ET59,0),IF(EV59="cash",FV59,0),IF(FX59="cash",GX59,0),IF(GZ59="cash",HZ59,0),IF(IB59="cash",JB59,0),IF(JD59="cash",KD59,0),IF(KF59="cash",LF59,0),IF(LH59="cash",MH59,0))</f>
        <v>0</v>
      </c>
      <c r="BK59" s="7">
        <f>SUM(BF59,BH59,BI59,BJ59)</f>
        <v>0.015965228412395466</v>
      </c>
      <c r="BL59" s="7">
        <f>G59-BK59</f>
        <v>0</v>
      </c>
      <c r="BM59" s="5">
        <f>MAX(ABS(CG59),ABS(DI59),ABS(EK59),ABS(FM59),ABS(GO59),ABS(HQ59),ABS(IS59),ABS(JU59),ABS(KW59),ABS(LY59))</f>
        <v>7.196391919872536e-17</v>
      </c>
      <c r="BN59" s="9">
        <f>COUNTA(BO59,CQ59,DS59,EU59,FW59,GY59,IA59,JC59,KE59,LG59)</f>
        <v>5</v>
      </c>
      <c r="BO59" t="inlineStr">
        <is>
          <t xml:space="preserve">Direct commodity holding</t>
        </is>
      </c>
      <c r="BP59" t="inlineStr">
        <is>
          <t xml:space="preserve">direct</t>
        </is>
      </c>
      <c r="BQ59" t="inlineStr">
        <is>
          <t xml:space="preserve">lease</t>
        </is>
      </c>
      <c r="BR59" t="inlineStr">
        <is>
          <t xml:space="preserve">long</t>
        </is>
      </c>
      <c r="BS59"/>
      <c r="BT59" s="4">
        <v>1.82</v>
      </c>
      <c r="BU59" s="4">
        <v>1.814</v>
      </c>
      <c r="BV59" s="6">
        <v>0.0025</v>
      </c>
      <c r="BW59" s="4">
        <v>0.06217850780706039</v>
      </c>
      <c r="BX59" s="5">
        <f>IF(BP59="direct",IFERROR(CD59/BU59,0),0)</f>
        <v>4.272888349702086e-7</v>
      </c>
      <c r="BY59" s="5">
        <f>IF(BP59="direct",BW59-BX59,IF(BP59="cash",CI59,BW59))</f>
        <v>0.062178080518225425</v>
      </c>
      <c r="BZ59" s="6">
        <v>0.09466806209663092</v>
      </c>
      <c r="CA59" s="4">
        <v>0.11316488420884992</v>
      </c>
      <c r="CB59" s="4">
        <v>0.11316488420884992</v>
      </c>
      <c r="CC59" s="5">
        <f>IF(BP59="direct",BW59*(BU59-BT59),CF59)</f>
        <v>-0.00037307104684236266</v>
      </c>
      <c r="CD59" s="5">
        <f>IF(BP59="direct",CB59*BV59*C59/365,0)</f>
        <v>7.751019466359584e-7</v>
      </c>
      <c r="CE59" s="5">
        <f>CC59-CD59</f>
        <v>-0.000373846148788997</v>
      </c>
      <c r="CF59" s="4">
        <v>-0.000373846148788997</v>
      </c>
      <c r="CG59" s="5">
        <f>CF59-CE59</f>
        <v>1.6048097976916788e-18</v>
      </c>
      <c r="CH59" s="4">
        <v>0</v>
      </c>
      <c r="CI59" s="4">
        <v>0.11279103806006092</v>
      </c>
      <c r="CJ59" s="4">
        <v>1.82</v>
      </c>
      <c r="CK59" s="4">
        <v>1.814</v>
      </c>
      <c r="CL59" s="6"/>
      <c r="CM59" s="6"/>
      <c r="CN59" s="6"/>
      <c r="CO59" s="9"/>
      <c r="CP59" s="7">
        <f>IFERROR(CE59/F59,0)</f>
        <v>-0.00031274092379069795</v>
      </c>
      <c r="CQ59" t="inlineStr">
        <is>
          <t xml:space="preserve">Treasury collateral</t>
        </is>
      </c>
      <c r="CR59" t="inlineStr">
        <is>
          <t xml:space="preserve">treasury</t>
        </is>
      </c>
      <c r="CS59" t="inlineStr">
        <is>
          <t xml:space="preserve">lease</t>
        </is>
      </c>
      <c r="CT59" t="inlineStr">
        <is>
          <t xml:space="preserve">long</t>
        </is>
      </c>
      <c r="CU59"/>
      <c r="CV59" s="4">
        <v>101.39660481049361</v>
      </c>
      <c r="CW59" s="4">
        <v>101.41310606618057</v>
      </c>
      <c r="CX59" s="6"/>
      <c r="CY59" s="4">
        <v>0.010673150286517531</v>
      </c>
      <c r="CZ59" s="5">
        <f>IF(CR59="direct",IFERROR(DF59/CW59,0),0)</f>
        <v>0</v>
      </c>
      <c r="DA59" s="5">
        <f>IF(CR59="direct",CY59-CZ59,IF(CR59="cash",DK59,CY59))</f>
        <v>0.010673150286517531</v>
      </c>
      <c r="DB59" s="6">
        <v>0.9053319379033691</v>
      </c>
      <c r="DC59" s="4">
        <v>1.0822212016850248</v>
      </c>
      <c r="DD59" s="4">
        <v>1.0822212016850248</v>
      </c>
      <c r="DE59" s="5">
        <f>IF(CR59="direct",CY59*(CW59-CV59),DH59)</f>
        <v>0.0001761203818631896</v>
      </c>
      <c r="DF59" s="5">
        <f>IF(CR59="direct",DD59*CX59*C59/365,0)</f>
        <v>0</v>
      </c>
      <c r="DG59" s="5">
        <f>DE59-DF59</f>
        <v>0.00017612038186326157</v>
      </c>
      <c r="DH59" s="4">
        <v>0.00017612038186326157</v>
      </c>
      <c r="DI59" s="5">
        <f>DH59-DG59</f>
        <v>7.196391919872536e-17</v>
      </c>
      <c r="DJ59" s="4">
        <v>-1.6303690168750773e-16</v>
      </c>
      <c r="DK59" s="4">
        <v>1.0823973220668879</v>
      </c>
      <c r="DL59" s="4">
        <v>1.82</v>
      </c>
      <c r="DM59" s="4">
        <v>1.814</v>
      </c>
      <c r="DN59" s="6"/>
      <c r="DO59" s="6"/>
      <c r="DP59" s="6"/>
      <c r="DQ59" s="9">
        <v>63</v>
      </c>
      <c r="DR59" s="7">
        <f>IFERROR(DG59/F59,0)</f>
        <v>0.0001473334715382469</v>
      </c>
      <c r="DS59" t="inlineStr">
        <is>
          <t xml:space="preserve">SI69K</t>
        </is>
      </c>
      <c r="DT59" t="inlineStr">
        <is>
          <t xml:space="preserve">future</t>
        </is>
      </c>
      <c r="DU59" t="inlineStr">
        <is>
          <t xml:space="preserve">lease</t>
        </is>
      </c>
      <c r="DV59" t="inlineStr">
        <is>
          <t xml:space="preserve">long</t>
        </is>
      </c>
      <c r="DW59" t="inlineStr">
        <is>
          <t xml:space="preserve">regular</t>
        </is>
      </c>
      <c r="DX59" s="4">
        <v>1.796</v>
      </c>
      <c r="DY59" s="4">
        <v>1.828</v>
      </c>
      <c r="DZ59" s="6"/>
      <c r="EA59" s="4">
        <v>0.602573052163154</v>
      </c>
      <c r="EB59" s="5">
        <f>IF(DT59="direct",IFERROR(EH59/DY59,0),0)</f>
        <v>0</v>
      </c>
      <c r="EC59" s="5">
        <f>IF(DT59="direct",EA59-EB59,IF(DT59="cash",EM59,EA59))</f>
        <v>0.602573052163154</v>
      </c>
      <c r="ED59" s="6">
        <v>0.9053319379033691</v>
      </c>
      <c r="EE59" s="4">
        <v>1.0822212016850248</v>
      </c>
      <c r="EF59" s="4">
        <v>0</v>
      </c>
      <c r="EG59" s="5">
        <f>IF(DT59="direct",EA59*(DY59-DX59),EJ59)</f>
        <v>0.01928233766922083</v>
      </c>
      <c r="EH59" s="5">
        <f>IF(DT59="direct",EF59*DZ59*C59/365,0)</f>
        <v>0</v>
      </c>
      <c r="EI59" s="5">
        <f>EG59-EH59</f>
        <v>0.01928233766922083</v>
      </c>
      <c r="EJ59" s="4">
        <v>0.01928233766922083</v>
      </c>
      <c r="EK59" s="5">
        <f>EJ59-EI59</f>
        <v>0</v>
      </c>
      <c r="EL59" s="4">
        <v>-0.01928233766922083</v>
      </c>
      <c r="EM59" s="4">
        <v>0</v>
      </c>
      <c r="EN59" s="4">
        <v>1.82</v>
      </c>
      <c r="EO59" s="4">
        <v>1.814</v>
      </c>
      <c r="EP59" s="6">
        <v>-0.013186813186813251</v>
      </c>
      <c r="EQ59" s="6">
        <v>0.0594</v>
      </c>
      <c r="ER59" s="6">
        <v>0.13579979068550535</v>
      </c>
      <c r="ES59" s="9">
        <v>63</v>
      </c>
      <c r="ET59" s="7">
        <f>IFERROR(EI59/F59,0)</f>
        <v>0.016130635864647917</v>
      </c>
      <c r="EU59" t="inlineStr">
        <is>
          <t xml:space="preserve">Lease cash / margin / financing</t>
        </is>
      </c>
      <c r="EV59" t="inlineStr">
        <is>
          <t xml:space="preserve">cash</t>
        </is>
      </c>
      <c r="EW59" t="inlineStr">
        <is>
          <t xml:space="preserve">lease</t>
        </is>
      </c>
      <c r="EX59" t="inlineStr">
        <is>
          <t xml:space="preserve">cash</t>
        </is>
      </c>
      <c r="EY59"/>
      <c r="EZ59" s="4">
        <v>1</v>
      </c>
      <c r="FA59" s="4">
        <v>1</v>
      </c>
      <c r="FB59" s="6"/>
      <c r="FC59" s="4">
        <v>-2.220446049250313e-16</v>
      </c>
      <c r="FD59" s="5">
        <f>IF(EV59="direct",IFERROR(FJ59/FA59,0),0)</f>
        <v>0</v>
      </c>
      <c r="FE59" s="5">
        <f>IF(EV59="direct",FC59-FD59,IF(EV59="cash",FO59,FC59))</f>
        <v>0.019282337669220773</v>
      </c>
      <c r="FF59" s="6"/>
      <c r="FG59" s="4">
        <v>-2.220446049250313e-16</v>
      </c>
      <c r="FH59" s="4">
        <v>-2.220446049250313e-16</v>
      </c>
      <c r="FI59" s="5">
        <f>IF(EV59="direct",FC59*(FA59-EZ59),FL59)</f>
        <v>0</v>
      </c>
      <c r="FJ59" s="5">
        <f>IF(EV59="direct",FH59*FB59*C59/365,0)</f>
        <v>0</v>
      </c>
      <c r="FK59" s="5">
        <f>FI59-FJ59</f>
        <v>0</v>
      </c>
      <c r="FL59" s="4">
        <v>0</v>
      </c>
      <c r="FM59" s="5">
        <f>FL59-FK59</f>
        <v>0</v>
      </c>
      <c r="FN59" s="4">
        <v>0.019282337669220995</v>
      </c>
      <c r="FO59" s="4">
        <v>0.019282337669220773</v>
      </c>
      <c r="FP59" s="4">
        <v>1.82</v>
      </c>
      <c r="FQ59" s="4">
        <v>1.814</v>
      </c>
      <c r="FR59" s="6"/>
      <c r="FS59" s="6"/>
      <c r="FT59" s="6"/>
      <c r="FU59" s="9"/>
      <c r="FV59" s="7">
        <f>IFERROR(FK59/F59,0)</f>
        <v>0</v>
      </c>
      <c r="FW59" t="inlineStr">
        <is>
          <t xml:space="preserve">Keep cash / margin / financing</t>
        </is>
      </c>
      <c r="FX59" t="inlineStr">
        <is>
          <t xml:space="preserve">cash</t>
        </is>
      </c>
      <c r="FY59" t="inlineStr">
        <is>
          <t xml:space="preserve">keep</t>
        </is>
      </c>
      <c r="FZ59" t="inlineStr">
        <is>
          <t xml:space="preserve">cash</t>
        </is>
      </c>
      <c r="GA59"/>
      <c r="GB59" s="4">
        <v>1</v>
      </c>
      <c r="GC59" s="4">
        <v>1</v>
      </c>
      <c r="GD59" s="6"/>
      <c r="GE59" s="4">
        <v>0</v>
      </c>
      <c r="GF59" s="5">
        <f>IF(FX59="direct",IFERROR(GL59/GC59,0),0)</f>
        <v>0</v>
      </c>
      <c r="GG59" s="5">
        <f>IF(FX59="direct",GE59-GF59,IF(FX59="cash",GQ59,GE59))</f>
        <v>0</v>
      </c>
      <c r="GH59" s="6"/>
      <c r="GI59" s="4">
        <v>0</v>
      </c>
      <c r="GJ59" s="4">
        <v>0</v>
      </c>
      <c r="GK59" s="5">
        <f>IF(FX59="direct",GE59*(GC59-GB59),GN59)</f>
        <v>0</v>
      </c>
      <c r="GL59" s="5">
        <f>IF(FX59="direct",GJ59*GD59*C59/365,0)</f>
        <v>0</v>
      </c>
      <c r="GM59" s="5">
        <f>GK59-GL59</f>
        <v>0</v>
      </c>
      <c r="GN59" s="4">
        <v>0</v>
      </c>
      <c r="GO59" s="5">
        <f>GN59-GM59</f>
        <v>0</v>
      </c>
      <c r="GP59" s="4">
        <v>0</v>
      </c>
      <c r="GQ59" s="4">
        <v>0</v>
      </c>
      <c r="GR59" s="4">
        <v>1.82</v>
      </c>
      <c r="GS59" s="4">
        <v>1.814</v>
      </c>
      <c r="GT59" s="6"/>
      <c r="GU59" s="6"/>
      <c r="GV59" s="6"/>
      <c r="GW59" s="9"/>
      <c r="GX59" s="7">
        <f>IFERROR(GM59/F59,0)</f>
        <v>0</v>
      </c>
      <c r="GY59"/>
      <c r="GZ59"/>
      <c r="HA59"/>
      <c r="HB59"/>
      <c r="HC59"/>
      <c r="HD59" s="4"/>
      <c r="HE59" s="4"/>
      <c r="HF59" s="6"/>
      <c r="HG59" s="4"/>
      <c r="HH59" s="5">
        <v>0</v>
      </c>
      <c r="HI59" s="5"/>
      <c r="HJ59" s="6"/>
      <c r="HK59" s="4"/>
      <c r="HL59" s="4"/>
      <c r="HM59" s="5">
        <v>0</v>
      </c>
      <c r="HN59" s="5">
        <v>0</v>
      </c>
      <c r="HO59" s="5"/>
      <c r="HP59" s="4"/>
      <c r="HQ59" s="5">
        <v>0</v>
      </c>
      <c r="HR59" s="4"/>
      <c r="HS59" s="4"/>
      <c r="HT59" s="4"/>
      <c r="HU59" s="4"/>
      <c r="HV59" s="6"/>
      <c r="HW59" s="6"/>
      <c r="HX59" s="6"/>
      <c r="HY59" s="9"/>
      <c r="HZ59"/>
      <c r="IA59"/>
      <c r="IB59"/>
      <c r="IC59"/>
      <c r="ID59"/>
      <c r="IE59"/>
      <c r="IF59" s="4"/>
      <c r="IG59" s="4"/>
      <c r="IH59" s="6"/>
      <c r="II59" s="4"/>
      <c r="IJ59" s="5">
        <v>0</v>
      </c>
      <c r="IK59" s="5"/>
      <c r="IL59" s="6"/>
      <c r="IM59" s="4"/>
      <c r="IN59" s="4"/>
      <c r="IO59" s="5">
        <v>0</v>
      </c>
      <c r="IP59" s="5">
        <v>0</v>
      </c>
      <c r="IQ59" s="5"/>
      <c r="IR59" s="4"/>
      <c r="IS59" s="5">
        <v>0</v>
      </c>
      <c r="IT59" s="4"/>
      <c r="IU59" s="4"/>
      <c r="IV59" s="4"/>
      <c r="IW59" s="4"/>
      <c r="IX59" s="6"/>
      <c r="IY59" s="6"/>
      <c r="IZ59" s="6"/>
      <c r="JA59" s="9"/>
      <c r="JB59"/>
      <c r="JC59"/>
      <c r="JD59"/>
      <c r="JE59"/>
      <c r="JF59"/>
      <c r="JG59"/>
      <c r="JH59" s="4"/>
      <c r="JI59" s="4"/>
      <c r="JJ59" s="6"/>
      <c r="JK59" s="4"/>
      <c r="JL59" s="5">
        <v>0</v>
      </c>
      <c r="JM59" s="5"/>
      <c r="JN59" s="6"/>
      <c r="JO59" s="4"/>
      <c r="JP59" s="4"/>
      <c r="JQ59" s="5">
        <v>0</v>
      </c>
      <c r="JR59" s="5">
        <v>0</v>
      </c>
      <c r="JS59" s="5"/>
      <c r="JT59" s="4"/>
      <c r="JU59" s="5">
        <v>0</v>
      </c>
      <c r="JV59" s="4"/>
      <c r="JW59" s="4"/>
      <c r="JX59" s="4"/>
      <c r="JY59" s="4"/>
      <c r="JZ59" s="6"/>
      <c r="KA59" s="6"/>
      <c r="KB59" s="6"/>
      <c r="KC59" s="9"/>
      <c r="KD59"/>
      <c r="KE59"/>
      <c r="KF59"/>
      <c r="KG59"/>
      <c r="KH59"/>
      <c r="KI59"/>
      <c r="KJ59" s="4"/>
      <c r="KK59" s="4"/>
      <c r="KL59" s="6"/>
      <c r="KM59" s="4"/>
      <c r="KN59" s="5">
        <v>0</v>
      </c>
      <c r="KO59" s="5"/>
      <c r="KP59" s="6"/>
      <c r="KQ59" s="4"/>
      <c r="KR59" s="4"/>
      <c r="KS59" s="5">
        <v>0</v>
      </c>
      <c r="KT59" s="5">
        <v>0</v>
      </c>
      <c r="KU59" s="5"/>
      <c r="KV59" s="4"/>
      <c r="KW59" s="5">
        <v>0</v>
      </c>
      <c r="KX59" s="4"/>
      <c r="KY59" s="4"/>
      <c r="KZ59" s="4"/>
      <c r="LA59" s="4"/>
      <c r="LB59" s="6"/>
      <c r="LC59" s="6"/>
      <c r="LD59" s="6"/>
      <c r="LE59" s="9"/>
      <c r="LF59"/>
      <c r="LG59"/>
      <c r="LH59"/>
      <c r="LI59"/>
      <c r="LJ59"/>
      <c r="LK59"/>
      <c r="LL59" s="4"/>
      <c r="LM59" s="4"/>
      <c r="LN59" s="6"/>
      <c r="LO59" s="4"/>
      <c r="LP59" s="5">
        <v>0</v>
      </c>
      <c r="LQ59" s="5"/>
      <c r="LR59" s="6"/>
      <c r="LS59" s="4"/>
      <c r="LT59" s="4"/>
      <c r="LU59" s="5">
        <v>0</v>
      </c>
      <c r="LV59" s="5">
        <v>0</v>
      </c>
      <c r="LW59" s="5"/>
      <c r="LX59" s="4"/>
      <c r="LY59" s="5">
        <v>0</v>
      </c>
      <c r="LZ59" s="4"/>
      <c r="MA59" s="4"/>
      <c r="MB59" s="4"/>
      <c r="MC59" s="4"/>
      <c r="MD59" s="6"/>
      <c r="ME59" s="6"/>
      <c r="MF59" s="6"/>
      <c r="MG59" s="9"/>
      <c r="MH59"/>
    </row>
    <row r="60">
      <c r="A60" s="8">
        <v>25289</v>
      </c>
      <c r="B60" s="8">
        <v>25290</v>
      </c>
      <c r="C60" s="9">
        <f>B60-A60</f>
        <v>1</v>
      </c>
      <c r="D60" s="8">
        <v>25289</v>
      </c>
      <c r="E60" t="inlineStr">
        <is>
          <t xml:space="preserve">positive</t>
        </is>
      </c>
      <c r="F60" s="4">
        <v>1.21447069779617</v>
      </c>
      <c r="G60" s="6">
        <v>0.008109924707177174</v>
      </c>
      <c r="H60" s="7">
        <f>SUM(CP60,DR60,ET60,FV60,GX60,HZ60,JB60,KD60,LF60,MH60)</f>
        <v>0.008109924707177174</v>
      </c>
      <c r="I60" s="7">
        <f>G60-H60</f>
        <v>0</v>
      </c>
      <c r="J60" s="5">
        <f>F60*(1+H60)</f>
        <v>1.2243199637143698</v>
      </c>
      <c r="K60" s="4">
        <v>1.2243199637143698</v>
      </c>
      <c r="L60" s="5">
        <f>K60-J60</f>
        <v>0</v>
      </c>
      <c r="M60" s="4">
        <v>1.814</v>
      </c>
      <c r="N60" s="4">
        <v>1.83</v>
      </c>
      <c r="O60" s="5">
        <f>M60/$M$3</f>
        <v>0.9264555669050052</v>
      </c>
      <c r="P60" s="5">
        <f>N60/$M$3</f>
        <v>0.9346271705822268</v>
      </c>
      <c r="Q60" s="7">
        <f>IFERROR(N60/M60-1,0)</f>
        <v>0.008820286659316334</v>
      </c>
      <c r="R60" s="5">
        <f>SUM(IF(BQ60="lease",CB60,0),IF(CS60="lease",DD60,0),IF(DU60="lease",EF60,0),IF(EW60="lease",FH60,0),IF(FY60="lease",GJ60,0),IF(HA60="lease",HL60,0),IF(IC60="lease",IN60,0),IF(JE60="lease",JP60,0),IF(KG60="lease",KR60,0),IF(LI60="lease",LT60,0))</f>
        <v>1.2144706977961697</v>
      </c>
      <c r="S60" s="5">
        <f>SUM(IF(BQ60="lease",CI60,0),IF(CS60="lease",DK60,0),IF(DU60="lease",EM60,0),IF(EW60="lease",FO60,0),IF(FY60="lease",GQ60,0),IF(HA60="lease",HS60,0),IF(IC60="lease",IU60,0),IF(JE60="lease",JW60,0),IF(KG60="lease",KY60,0),IF(LI60="lease",MA60,0))</f>
        <v>1.2243199637143698</v>
      </c>
      <c r="T60" s="5">
        <f>SUM(IF(BQ60="keep",CB60,0),IF(CS60="keep",DD60,0),IF(DU60="keep",EF60,0),IF(EW60="keep",FH60,0),IF(FY60="keep",GJ60,0),IF(HA60="keep",HL60,0),IF(IC60="keep",IN60,0),IF(JE60="keep",JP60,0),IF(KG60="keep",KR60,0),IF(LI60="keep",LT60,0))</f>
        <v>0</v>
      </c>
      <c r="U60" s="5">
        <f>SUM(IF(BQ60="keep",CI60,0),IF(CS60="keep",DK60,0),IF(DU60="keep",EM60,0),IF(EW60="keep",FO60,0),IF(FY60="keep",GQ60,0),IF(HA60="keep",HS60,0),IF(IC60="keep",IU60,0),IF(JE60="keep",JW60,0),IF(KG60="keep",KY60,0),IF(LI60="keep",MA60,0))</f>
        <v>0</v>
      </c>
      <c r="V60" s="5">
        <f>R60/O60</f>
        <v>1.31087851504129</v>
      </c>
      <c r="W60" s="5">
        <f>S60/P60</f>
        <v>1.309955458444118</v>
      </c>
      <c r="X60" s="5">
        <f>T60/O60</f>
        <v>0</v>
      </c>
      <c r="Y60" s="5">
        <f>U60/P60</f>
        <v>0</v>
      </c>
      <c r="Z60" s="5">
        <f>V60+X60</f>
        <v>1.31087851504129</v>
      </c>
      <c r="AA60" s="7">
        <f>IFERROR(W60/V60-1,0)</f>
        <v>-0.0007041511372569698</v>
      </c>
      <c r="AB60" s="7">
        <f>IFERROR((W60-V60)/Z60,0)</f>
        <v>-0.0007041511372569813</v>
      </c>
      <c r="AC60" s="7">
        <f>IFERROR(Y60/X60-1,0)</f>
        <v>0</v>
      </c>
      <c r="AD60" s="7">
        <f>IFERROR((Y60-X60)/Z60,0)</f>
        <v>0</v>
      </c>
      <c r="AE60" s="7">
        <f>AB60+AD60</f>
        <v>-0.0007041511372569813</v>
      </c>
      <c r="AF60" s="7">
        <f>(1+Q60)*(1+AE60)-1</f>
        <v>0.008109924707177196</v>
      </c>
      <c r="AG60" s="7">
        <f>G60-AF60</f>
        <v>-2.2551405187698492e-17</v>
      </c>
      <c r="AH60" s="5">
        <f>SUM(IF(BQ60="lease",CE60,0),IF(CS60="lease",DG60,0),IF(DU60="lease",EI60,0),IF(EW60="lease",FK60,0),IF(FY60="lease",GM60,0),IF(HA60="lease",HO60,0),IF(IC60="lease",IQ60,0),IF(JE60="lease",JS60,0),IF(KG60="lease",KU60,0),IF(LI60="lease",LW60,0))</f>
        <v>0.009849265918199861</v>
      </c>
      <c r="AI60" s="5">
        <f>SUM(IF(BQ60="keep",CE60,0),IF(CS60="keep",DG60,0),IF(DU60="keep",EI60,0),IF(EW60="keep",FK60,0),IF(FY60="keep",GM60,0),IF(HA60="keep",HO60,0),IF(IC60="keep",IQ60,0),IF(JE60="keep",JS60,0),IF(KG60="keep",KU60,0),IF(LI60="keep",LW60,0))</f>
        <v>0</v>
      </c>
      <c r="AJ60" s="5">
        <f>SUM(IF(BQ60="lease",CH60,0),IF(CS60="lease",DJ60,0),IF(DU60="lease",EL60,0),IF(EW60="lease",FN60,0),IF(FY60="lease",GP60,0),IF(HA60="lease",HR60,0),IF(IC60="lease",IT60,0),IF(JE60="lease",JV60,0),IF(KG60="lease",KX60,0),IF(LI60="lease",LZ60,0))</f>
        <v>0</v>
      </c>
      <c r="AK60" s="5">
        <f>SUM(IF(BQ60="keep",CH60,0),IF(CS60="keep",DJ60,0),IF(DU60="keep",EL60,0),IF(EW60="keep",FN60,0),IF(FY60="keep",GP60,0),IF(HA60="keep",HR60,0),IF(IC60="keep",IT60,0),IF(JE60="keep",JV60,0),IF(KG60="keep",KX60,0),IF(LI60="keep",LZ60,0))</f>
        <v>0</v>
      </c>
      <c r="AL60" s="5">
        <f>R60-S59</f>
        <v>0</v>
      </c>
      <c r="AM60" s="5">
        <f>T60-U59</f>
        <v>0</v>
      </c>
      <c r="AN60" s="5">
        <f>AN59</f>
        <v>1</v>
      </c>
      <c r="AO60" s="5">
        <f>AO59+AH60</f>
        <v>0.22431996371436988</v>
      </c>
      <c r="AP60" s="5">
        <f>AP59+AL60</f>
        <v>-6.661338147750939e-16</v>
      </c>
      <c r="AQ60" s="5">
        <f>AN60+AO60+AP60</f>
        <v>1.2243199637143691</v>
      </c>
      <c r="AR60" s="5">
        <f>S60-AQ60</f>
        <v>6.661338147750939e-16</v>
      </c>
      <c r="AS60" s="5">
        <f>AS59</f>
        <v>0</v>
      </c>
      <c r="AT60" s="5">
        <f>AT59+AI60</f>
        <v>0</v>
      </c>
      <c r="AU60" s="5">
        <f>AU59+AM60</f>
        <v>0</v>
      </c>
      <c r="AV60" s="5">
        <f>AS60+AT60+AU60</f>
        <v>0</v>
      </c>
      <c r="AW60" s="5">
        <f>U60-AV60</f>
        <v>0</v>
      </c>
      <c r="AX60" s="4">
        <v>1.2144706977961697</v>
      </c>
      <c r="AY60" s="4">
        <v>1.2243199637143696</v>
      </c>
      <c r="AZ60" s="5">
        <f>S60-AY60</f>
        <v>2.220446049250313e-16</v>
      </c>
      <c r="BA60" s="4">
        <v>0</v>
      </c>
      <c r="BB60" s="4">
        <v>0</v>
      </c>
      <c r="BC60" s="5">
        <f>U60-BB60</f>
        <v>0</v>
      </c>
      <c r="BD60" s="7">
        <f>SUM(IF(BP60="direct",CC60/F60,0),IF(CR60="direct",DE60/F60,0),IF(DT60="direct",EG60/F60,0),IF(EV60="direct",FI60/F60,0),IF(FX60="direct",GK60/F60,0),IF(GZ60="direct",HM60/F60,0),IF(IB60="direct",IO60/F60,0),IF(JD60="direct",JQ60/F60,0),IF(KF60="direct",KS60/F60,0),IF(LH60="direct",LU60/F60,0))</f>
        <v>0.00799912655624163</v>
      </c>
      <c r="BE60" s="7">
        <f>-SUM(IF(BP60="direct",CD60/F60,0),IF(CR60="direct",DF60/F60,0),IF(DT60="direct",EH60/F60,0),IF(EV60="direct",FJ60/F60,0),IF(FX60="direct",GL60/F60,0),IF(GZ60="direct",HN60/F60,0),IF(IB60="direct",IP60/F60,0),IF(JD60="direct",JR60/F60,0),IF(KF60="direct",KT60/F60,0),IF(LH60="direct",LV60/F60,0))</f>
        <v>-0.000006211650502149958</v>
      </c>
      <c r="BF60" s="7">
        <f>BD60+BE60</f>
        <v>0.00799291490573948</v>
      </c>
      <c r="BG60" s="7">
        <f>BF60-SUM(IF(BP60="direct",CP60,0),IF(CR60="direct",DR60,0),IF(DT60="direct",ET60,0),IF(EV60="direct",FV60,0),IF(FX60="direct",GX60,0),IF(GZ60="direct",HZ60,0),IF(IB60="direct",JB60,0),IF(JD60="direct",KD60,0),IF(KF60="direct",LF60,0),IF(LH60="direct",MH60,0))</f>
        <v>9.194034422677078e-17</v>
      </c>
      <c r="BH60" s="7">
        <f>SUM(IF(BP60="treasury",CP60,0),IF(CR60="treasury",DR60,0),IF(DT60="treasury",ET60,0),IF(EV60="treasury",FV60,0),IF(FX60="treasury",GX60,0),IF(GZ60="treasury",HZ60,0),IF(IB60="treasury",JB60,0),IF(JD60="treasury",KD60,0),IF(KF60="treasury",LF60,0),IF(LH60="treasury",MH60,0))</f>
        <v>0.000015150910096314224</v>
      </c>
      <c r="BI60" s="7">
        <f>SUM(IF(BP60="future",CP60,0),IF(CR60="future",DR60,0),IF(DT60="future",ET60,0),IF(EV60="future",FV60,0),IF(FX60="future",GX60,0),IF(GZ60="future",HZ60,0),IF(IB60="future",JB60,0),IF(JD60="future",KD60,0),IF(KF60="future",LF60,0),IF(LH60="future",MH60,0))</f>
        <v>0.00010185889134147102</v>
      </c>
      <c r="BJ60" s="7">
        <f>SUM(IF(BP60="cash",CP60,0),IF(CR60="cash",DR60,0),IF(DT60="cash",ET60,0),IF(EV60="cash",FV60,0),IF(FX60="cash",GX60,0),IF(GZ60="cash",HZ60,0),IF(IB60="cash",JB60,0),IF(JD60="cash",KD60,0),IF(KF60="cash",LF60,0),IF(LH60="cash",MH60,0))</f>
        <v>0</v>
      </c>
      <c r="BK60" s="7">
        <f>SUM(BF60,BH60,BI60,BJ60)</f>
        <v>0.008109924707177174</v>
      </c>
      <c r="BL60" s="7">
        <f>G60-BK60</f>
        <v>0</v>
      </c>
      <c r="BM60" s="5">
        <f>MAX(ABS(CG60),ABS(DI60),ABS(EK60),ABS(FM60),ABS(GO60),ABS(HQ60),ABS(IS60),ABS(JU60),ABS(KW60),ABS(LY60))</f>
        <v>1.1070890027203156e-16</v>
      </c>
      <c r="BN60" s="9">
        <f>COUNTA(BO60,CQ60,DS60,EU60,FW60,GY60,IA60,JC60,KE60,LG60)</f>
        <v>5</v>
      </c>
      <c r="BO60" t="inlineStr">
        <is>
          <t xml:space="preserve">Direct commodity holding</t>
        </is>
      </c>
      <c r="BP60" t="inlineStr">
        <is>
          <t xml:space="preserve">direct</t>
        </is>
      </c>
      <c r="BQ60" t="inlineStr">
        <is>
          <t xml:space="preserve">lease</t>
        </is>
      </c>
      <c r="BR60" t="inlineStr">
        <is>
          <t xml:space="preserve">long</t>
        </is>
      </c>
      <c r="BS60"/>
      <c r="BT60" s="4">
        <v>1.814</v>
      </c>
      <c r="BU60" s="4">
        <v>1.83</v>
      </c>
      <c r="BV60" s="6">
        <v>0.0025</v>
      </c>
      <c r="BW60" s="4">
        <v>0.6071690506574148</v>
      </c>
      <c r="BX60" s="5">
        <f>IF(BP60="direct",IFERROR(CD60/BU60,0),0)</f>
        <v>0.000004122331978039338</v>
      </c>
      <c r="BY60" s="5">
        <f>IF(BP60="direct",BW60-BX60,IF(BP60="cash",CI60,BW60))</f>
        <v>0.6071649283254368</v>
      </c>
      <c r="BZ60" s="6">
        <v>0.9069009733138941</v>
      </c>
      <c r="CA60" s="4">
        <v>1.1014046578925505</v>
      </c>
      <c r="CB60" s="4">
        <v>1.1014046578925505</v>
      </c>
      <c r="CC60" s="5">
        <f>IF(BP60="direct",BW60*(BU60-BT60),CF60)</f>
        <v>0.009714704810518645</v>
      </c>
      <c r="CD60" s="5">
        <f>IF(BP60="direct",CB60*BV60*C60/365,0)</f>
        <v>0.000007543867519811989</v>
      </c>
      <c r="CE60" s="5">
        <f>CC60-CD60</f>
        <v>0.009707160942998722</v>
      </c>
      <c r="CF60" s="4">
        <v>0.009707160942998722</v>
      </c>
      <c r="CG60" s="5">
        <f>CF60-CE60</f>
        <v>-1.1070890027203156e-16</v>
      </c>
      <c r="CH60" s="4">
        <v>0</v>
      </c>
      <c r="CI60" s="4">
        <v>1.1111118188355493</v>
      </c>
      <c r="CJ60" s="4">
        <v>1.814</v>
      </c>
      <c r="CK60" s="4">
        <v>1.83</v>
      </c>
      <c r="CL60" s="6"/>
      <c r="CM60" s="6"/>
      <c r="CN60" s="6"/>
      <c r="CO60" s="9"/>
      <c r="CP60" s="7">
        <f>IFERROR(CE60/F60,0)</f>
        <v>0.007992914905739388</v>
      </c>
      <c r="CQ60" t="inlineStr">
        <is>
          <t xml:space="preserve">Treasury collateral</t>
        </is>
      </c>
      <c r="CR60" t="inlineStr">
        <is>
          <t xml:space="preserve">treasury</t>
        </is>
      </c>
      <c r="CS60" t="inlineStr">
        <is>
          <t xml:space="preserve">lease</t>
        </is>
      </c>
      <c r="CT60" t="inlineStr">
        <is>
          <t xml:space="preserve">long</t>
        </is>
      </c>
      <c r="CU60"/>
      <c r="CV60" s="4">
        <v>101.41310606618057</v>
      </c>
      <c r="CW60" s="4">
        <v>101.42961000727735</v>
      </c>
      <c r="CX60" s="6"/>
      <c r="CY60" s="4">
        <v>0.0011149056003652447</v>
      </c>
      <c r="CZ60" s="5">
        <f>IF(CR60="direct",IFERROR(DF60/CW60,0),0)</f>
        <v>0</v>
      </c>
      <c r="DA60" s="5">
        <f>IF(CR60="direct",CY60-CZ60,IF(CR60="cash",DK60,CY60))</f>
        <v>0.0011149056003652447</v>
      </c>
      <c r="DB60" s="6">
        <v>0.09309902668610592</v>
      </c>
      <c r="DC60" s="4">
        <v>0.1130660399036193</v>
      </c>
      <c r="DD60" s="4">
        <v>0.1130660399036193</v>
      </c>
      <c r="DE60" s="5">
        <f>IF(CR60="direct",CY60*(CW60-CV60),DH60)</f>
        <v>0.00001840033635688947</v>
      </c>
      <c r="DF60" s="5">
        <f>IF(CR60="direct",DD60*CX60*C60/365,0)</f>
        <v>0</v>
      </c>
      <c r="DG60" s="5">
        <f>DE60-DF60</f>
        <v>0.000018400336356917772</v>
      </c>
      <c r="DH60" s="4">
        <v>0.000018400336356917772</v>
      </c>
      <c r="DI60" s="5">
        <f>DH60-DG60</f>
        <v>2.830106483366068e-17</v>
      </c>
      <c r="DJ60" s="4">
        <v>-2.923618920742943e-17</v>
      </c>
      <c r="DK60" s="4">
        <v>0.11308444023997619</v>
      </c>
      <c r="DL60" s="4">
        <v>1.814</v>
      </c>
      <c r="DM60" s="4">
        <v>1.83</v>
      </c>
      <c r="DN60" s="6"/>
      <c r="DO60" s="6"/>
      <c r="DP60" s="6"/>
      <c r="DQ60" s="9">
        <v>62</v>
      </c>
      <c r="DR60" s="7">
        <f>IFERROR(DG60/F60,0)</f>
        <v>0.000015150910096314224</v>
      </c>
      <c r="DS60" t="inlineStr">
        <is>
          <t xml:space="preserve">SI69K</t>
        </is>
      </c>
      <c r="DT60" t="inlineStr">
        <is>
          <t xml:space="preserve">future</t>
        </is>
      </c>
      <c r="DU60" t="inlineStr">
        <is>
          <t xml:space="preserve">lease</t>
        </is>
      </c>
      <c r="DV60" t="inlineStr">
        <is>
          <t xml:space="preserve">long</t>
        </is>
      </c>
      <c r="DW60" t="inlineStr">
        <is>
          <t xml:space="preserve">regular</t>
        </is>
      </c>
      <c r="DX60" s="4">
        <v>1.828</v>
      </c>
      <c r="DY60" s="4">
        <v>1.83</v>
      </c>
      <c r="DZ60" s="6"/>
      <c r="EA60" s="4">
        <v>0.06185231942211121</v>
      </c>
      <c r="EB60" s="5">
        <f>IF(DT60="direct",IFERROR(EH60/DY60,0),0)</f>
        <v>0</v>
      </c>
      <c r="EC60" s="5">
        <f>IF(DT60="direct",EA60-EB60,IF(DT60="cash",EM60,EA60))</f>
        <v>0.06185231942211121</v>
      </c>
      <c r="ED60" s="6">
        <v>0.09309902668610592</v>
      </c>
      <c r="EE60" s="4">
        <v>0.1130660399036193</v>
      </c>
      <c r="EF60" s="4">
        <v>0</v>
      </c>
      <c r="EG60" s="5">
        <f>IF(DT60="direct",EA60*(DY60-DX60),EJ60)</f>
        <v>0.00012370463884422056</v>
      </c>
      <c r="EH60" s="5">
        <f>IF(DT60="direct",EF60*DZ60*C60/365,0)</f>
        <v>0</v>
      </c>
      <c r="EI60" s="5">
        <f>EG60-EH60</f>
        <v>0.00012370463884422056</v>
      </c>
      <c r="EJ60" s="4">
        <v>0.00012370463884422056</v>
      </c>
      <c r="EK60" s="5">
        <f>EJ60-EI60</f>
        <v>0</v>
      </c>
      <c r="EL60" s="4">
        <v>-0.00012370463884422056</v>
      </c>
      <c r="EM60" s="4">
        <v>0</v>
      </c>
      <c r="EN60" s="4">
        <v>1.814</v>
      </c>
      <c r="EO60" s="4">
        <v>1.83</v>
      </c>
      <c r="EP60" s="6">
        <v>0.007717750826901959</v>
      </c>
      <c r="EQ60" s="6">
        <v>0.0594</v>
      </c>
      <c r="ER60" s="6">
        <v>0.01396485400291589</v>
      </c>
      <c r="ES60" s="9">
        <v>62</v>
      </c>
      <c r="ET60" s="7">
        <f>IFERROR(EI60/F60,0)</f>
        <v>0.00010185889134147102</v>
      </c>
      <c r="EU60" t="inlineStr">
        <is>
          <t xml:space="preserve">Lease cash / margin / financing</t>
        </is>
      </c>
      <c r="EV60" t="inlineStr">
        <is>
          <t xml:space="preserve">cash</t>
        </is>
      </c>
      <c r="EW60" t="inlineStr">
        <is>
          <t xml:space="preserve">lease</t>
        </is>
      </c>
      <c r="EX60" t="inlineStr">
        <is>
          <t xml:space="preserve">cash</t>
        </is>
      </c>
      <c r="EY60"/>
      <c r="EZ60" s="4">
        <v>1</v>
      </c>
      <c r="FA60" s="4">
        <v>1</v>
      </c>
      <c r="FB60" s="6"/>
      <c r="FC60" s="4">
        <v>0</v>
      </c>
      <c r="FD60" s="5">
        <f>IF(EV60="direct",IFERROR(FJ60/FA60,0),0)</f>
        <v>0</v>
      </c>
      <c r="FE60" s="5">
        <f>IF(EV60="direct",FC60-FD60,IF(EV60="cash",FO60,FC60))</f>
        <v>0.0001237046388442498</v>
      </c>
      <c r="FF60" s="6"/>
      <c r="FG60" s="4">
        <v>0</v>
      </c>
      <c r="FH60" s="4">
        <v>0</v>
      </c>
      <c r="FI60" s="5">
        <f>IF(EV60="direct",FC60*(FA60-EZ60),FL60)</f>
        <v>0</v>
      </c>
      <c r="FJ60" s="5">
        <f>IF(EV60="direct",FH60*FB60*C60/365,0)</f>
        <v>0</v>
      </c>
      <c r="FK60" s="5">
        <f>FI60-FJ60</f>
        <v>0</v>
      </c>
      <c r="FL60" s="4">
        <v>0</v>
      </c>
      <c r="FM60" s="5">
        <f>FL60-FK60</f>
        <v>0</v>
      </c>
      <c r="FN60" s="4">
        <v>0.0001237046388442498</v>
      </c>
      <c r="FO60" s="4">
        <v>0.0001237046388442498</v>
      </c>
      <c r="FP60" s="4">
        <v>1.814</v>
      </c>
      <c r="FQ60" s="4">
        <v>1.83</v>
      </c>
      <c r="FR60" s="6"/>
      <c r="FS60" s="6"/>
      <c r="FT60" s="6"/>
      <c r="FU60" s="9"/>
      <c r="FV60" s="7">
        <f>IFERROR(FK60/F60,0)</f>
        <v>0</v>
      </c>
      <c r="FW60" t="inlineStr">
        <is>
          <t xml:space="preserve">Keep cash / margin / financing</t>
        </is>
      </c>
      <c r="FX60" t="inlineStr">
        <is>
          <t xml:space="preserve">cash</t>
        </is>
      </c>
      <c r="FY60" t="inlineStr">
        <is>
          <t xml:space="preserve">keep</t>
        </is>
      </c>
      <c r="FZ60" t="inlineStr">
        <is>
          <t xml:space="preserve">cash</t>
        </is>
      </c>
      <c r="GA60"/>
      <c r="GB60" s="4">
        <v>1</v>
      </c>
      <c r="GC60" s="4">
        <v>1</v>
      </c>
      <c r="GD60" s="6"/>
      <c r="GE60" s="4">
        <v>0</v>
      </c>
      <c r="GF60" s="5">
        <f>IF(FX60="direct",IFERROR(GL60/GC60,0),0)</f>
        <v>0</v>
      </c>
      <c r="GG60" s="5">
        <f>IF(FX60="direct",GE60-GF60,IF(FX60="cash",GQ60,GE60))</f>
        <v>0</v>
      </c>
      <c r="GH60" s="6"/>
      <c r="GI60" s="4">
        <v>0</v>
      </c>
      <c r="GJ60" s="4">
        <v>0</v>
      </c>
      <c r="GK60" s="5">
        <f>IF(FX60="direct",GE60*(GC60-GB60),GN60)</f>
        <v>0</v>
      </c>
      <c r="GL60" s="5">
        <f>IF(FX60="direct",GJ60*GD60*C60/365,0)</f>
        <v>0</v>
      </c>
      <c r="GM60" s="5">
        <f>GK60-GL60</f>
        <v>0</v>
      </c>
      <c r="GN60" s="4">
        <v>0</v>
      </c>
      <c r="GO60" s="5">
        <f>GN60-GM60</f>
        <v>0</v>
      </c>
      <c r="GP60" s="4">
        <v>0</v>
      </c>
      <c r="GQ60" s="4">
        <v>0</v>
      </c>
      <c r="GR60" s="4">
        <v>1.814</v>
      </c>
      <c r="GS60" s="4">
        <v>1.83</v>
      </c>
      <c r="GT60" s="6"/>
      <c r="GU60" s="6"/>
      <c r="GV60" s="6"/>
      <c r="GW60" s="9"/>
      <c r="GX60" s="7">
        <f>IFERROR(GM60/F60,0)</f>
        <v>0</v>
      </c>
      <c r="GY60"/>
      <c r="GZ60"/>
      <c r="HA60"/>
      <c r="HB60"/>
      <c r="HC60"/>
      <c r="HD60" s="4"/>
      <c r="HE60" s="4"/>
      <c r="HF60" s="6"/>
      <c r="HG60" s="4"/>
      <c r="HH60" s="5">
        <v>0</v>
      </c>
      <c r="HI60" s="5"/>
      <c r="HJ60" s="6"/>
      <c r="HK60" s="4"/>
      <c r="HL60" s="4"/>
      <c r="HM60" s="5">
        <v>0</v>
      </c>
      <c r="HN60" s="5">
        <v>0</v>
      </c>
      <c r="HO60" s="5"/>
      <c r="HP60" s="4"/>
      <c r="HQ60" s="5">
        <v>0</v>
      </c>
      <c r="HR60" s="4"/>
      <c r="HS60" s="4"/>
      <c r="HT60" s="4"/>
      <c r="HU60" s="4"/>
      <c r="HV60" s="6"/>
      <c r="HW60" s="6"/>
      <c r="HX60" s="6"/>
      <c r="HY60" s="9"/>
      <c r="HZ60"/>
      <c r="IA60"/>
      <c r="IB60"/>
      <c r="IC60"/>
      <c r="ID60"/>
      <c r="IE60"/>
      <c r="IF60" s="4"/>
      <c r="IG60" s="4"/>
      <c r="IH60" s="6"/>
      <c r="II60" s="4"/>
      <c r="IJ60" s="5">
        <v>0</v>
      </c>
      <c r="IK60" s="5"/>
      <c r="IL60" s="6"/>
      <c r="IM60" s="4"/>
      <c r="IN60" s="4"/>
      <c r="IO60" s="5">
        <v>0</v>
      </c>
      <c r="IP60" s="5">
        <v>0</v>
      </c>
      <c r="IQ60" s="5"/>
      <c r="IR60" s="4"/>
      <c r="IS60" s="5">
        <v>0</v>
      </c>
      <c r="IT60" s="4"/>
      <c r="IU60" s="4"/>
      <c r="IV60" s="4"/>
      <c r="IW60" s="4"/>
      <c r="IX60" s="6"/>
      <c r="IY60" s="6"/>
      <c r="IZ60" s="6"/>
      <c r="JA60" s="9"/>
      <c r="JB60"/>
      <c r="JC60"/>
      <c r="JD60"/>
      <c r="JE60"/>
      <c r="JF60"/>
      <c r="JG60"/>
      <c r="JH60" s="4"/>
      <c r="JI60" s="4"/>
      <c r="JJ60" s="6"/>
      <c r="JK60" s="4"/>
      <c r="JL60" s="5">
        <v>0</v>
      </c>
      <c r="JM60" s="5"/>
      <c r="JN60" s="6"/>
      <c r="JO60" s="4"/>
      <c r="JP60" s="4"/>
      <c r="JQ60" s="5">
        <v>0</v>
      </c>
      <c r="JR60" s="5">
        <v>0</v>
      </c>
      <c r="JS60" s="5"/>
      <c r="JT60" s="4"/>
      <c r="JU60" s="5">
        <v>0</v>
      </c>
      <c r="JV60" s="4"/>
      <c r="JW60" s="4"/>
      <c r="JX60" s="4"/>
      <c r="JY60" s="4"/>
      <c r="JZ60" s="6"/>
      <c r="KA60" s="6"/>
      <c r="KB60" s="6"/>
      <c r="KC60" s="9"/>
      <c r="KD60"/>
      <c r="KE60"/>
      <c r="KF60"/>
      <c r="KG60"/>
      <c r="KH60"/>
      <c r="KI60"/>
      <c r="KJ60" s="4"/>
      <c r="KK60" s="4"/>
      <c r="KL60" s="6"/>
      <c r="KM60" s="4"/>
      <c r="KN60" s="5">
        <v>0</v>
      </c>
      <c r="KO60" s="5"/>
      <c r="KP60" s="6"/>
      <c r="KQ60" s="4"/>
      <c r="KR60" s="4"/>
      <c r="KS60" s="5">
        <v>0</v>
      </c>
      <c r="KT60" s="5">
        <v>0</v>
      </c>
      <c r="KU60" s="5"/>
      <c r="KV60" s="4"/>
      <c r="KW60" s="5">
        <v>0</v>
      </c>
      <c r="KX60" s="4"/>
      <c r="KY60" s="4"/>
      <c r="KZ60" s="4"/>
      <c r="LA60" s="4"/>
      <c r="LB60" s="6"/>
      <c r="LC60" s="6"/>
      <c r="LD60" s="6"/>
      <c r="LE60" s="9"/>
      <c r="LF60"/>
      <c r="LG60"/>
      <c r="LH60"/>
      <c r="LI60"/>
      <c r="LJ60"/>
      <c r="LK60"/>
      <c r="LL60" s="4"/>
      <c r="LM60" s="4"/>
      <c r="LN60" s="6"/>
      <c r="LO60" s="4"/>
      <c r="LP60" s="5">
        <v>0</v>
      </c>
      <c r="LQ60" s="5"/>
      <c r="LR60" s="6"/>
      <c r="LS60" s="4"/>
      <c r="LT60" s="4"/>
      <c r="LU60" s="5">
        <v>0</v>
      </c>
      <c r="LV60" s="5">
        <v>0</v>
      </c>
      <c r="LW60" s="5"/>
      <c r="LX60" s="4"/>
      <c r="LY60" s="5">
        <v>0</v>
      </c>
      <c r="LZ60" s="4"/>
      <c r="MA60" s="4"/>
      <c r="MB60" s="4"/>
      <c r="MC60" s="4"/>
      <c r="MD60" s="6"/>
      <c r="ME60" s="6"/>
      <c r="MF60" s="6"/>
      <c r="MG60" s="9"/>
      <c r="MH60"/>
    </row>
    <row r="61">
      <c r="A61" s="8">
        <v>25290</v>
      </c>
      <c r="B61" s="8">
        <v>25294</v>
      </c>
      <c r="C61" s="9">
        <f>B61-A61</f>
        <v>4</v>
      </c>
      <c r="D61" s="8">
        <v>25290</v>
      </c>
      <c r="E61" t="inlineStr">
        <is>
          <t xml:space="preserve">positive</t>
        </is>
      </c>
      <c r="F61" s="4">
        <v>1.2243199637143698</v>
      </c>
      <c r="G61" s="6">
        <v>-0.013952861709209743</v>
      </c>
      <c r="H61" s="7">
        <f>SUM(CP61,DR61,ET61,FV61,GX61,HZ61,JB61,KD61,LF61,MH61)</f>
        <v>-0.013952861709209743</v>
      </c>
      <c r="I61" s="7">
        <f>G61-H61</f>
        <v>0</v>
      </c>
      <c r="J61" s="5">
        <f>F61*(1+H61)</f>
        <v>1.2072371965728386</v>
      </c>
      <c r="K61" s="4">
        <v>1.2072371965728386</v>
      </c>
      <c r="L61" s="5">
        <f>K61-J61</f>
        <v>0</v>
      </c>
      <c r="M61" s="4">
        <v>1.83</v>
      </c>
      <c r="N61" s="4">
        <v>1.814</v>
      </c>
      <c r="O61" s="5">
        <f>M61/$M$3</f>
        <v>0.9346271705822268</v>
      </c>
      <c r="P61" s="5">
        <f>N61/$M$3</f>
        <v>0.9264555669050052</v>
      </c>
      <c r="Q61" s="7">
        <f>IFERROR(N61/M61-1,0)</f>
        <v>-0.008743169398907069</v>
      </c>
      <c r="R61" s="5">
        <f>SUM(IF(BQ61="lease",CB61,0),IF(CS61="lease",DD61,0),IF(DU61="lease",EF61,0),IF(EW61="lease",FH61,0),IF(FY61="lease",GJ61,0),IF(HA61="lease",HL61,0),IF(IC61="lease",IN61,0),IF(JE61="lease",JP61,0),IF(KG61="lease",KR61,0),IF(LI61="lease",LT61,0))</f>
        <v>1.2243199637143696</v>
      </c>
      <c r="S61" s="5">
        <f>SUM(IF(BQ61="lease",CI61,0),IF(CS61="lease",DK61,0),IF(DU61="lease",EM61,0),IF(EW61="lease",FO61,0),IF(FY61="lease",GQ61,0),IF(HA61="lease",HS61,0),IF(IC61="lease",IU61,0),IF(JE61="lease",JW61,0),IF(KG61="lease",KY61,0),IF(LI61="lease",MA61,0))</f>
        <v>1.2072371965728381</v>
      </c>
      <c r="T61" s="5">
        <f>SUM(IF(BQ61="keep",CB61,0),IF(CS61="keep",DD61,0),IF(DU61="keep",EF61,0),IF(EW61="keep",FH61,0),IF(FY61="keep",GJ61,0),IF(HA61="keep",HL61,0),IF(IC61="keep",IN61,0),IF(JE61="keep",JP61,0),IF(KG61="keep",KR61,0),IF(LI61="keep",LT61,0))</f>
        <v>0</v>
      </c>
      <c r="U61" s="5">
        <f>SUM(IF(BQ61="keep",CI61,0),IF(CS61="keep",DK61,0),IF(DU61="keep",EM61,0),IF(EW61="keep",FO61,0),IF(FY61="keep",GQ61,0),IF(HA61="keep",HS61,0),IF(IC61="keep",IU61,0),IF(JE61="keep",JW61,0),IF(KG61="keep",KY61,0),IF(LI61="keep",MA61,0))</f>
        <v>0</v>
      </c>
      <c r="V61" s="5">
        <f>R61/O61</f>
        <v>1.3099554584441178</v>
      </c>
      <c r="W61" s="5">
        <f>S61/P61</f>
        <v>1.3030707998288957</v>
      </c>
      <c r="X61" s="5">
        <f>T61/O61</f>
        <v>0</v>
      </c>
      <c r="Y61" s="5">
        <f>U61/P61</f>
        <v>0</v>
      </c>
      <c r="Z61" s="5">
        <f>V61+X61</f>
        <v>1.3099554584441178</v>
      </c>
      <c r="AA61" s="7">
        <f>IFERROR(W61/V61-1,0)</f>
        <v>-0.00525564328988648</v>
      </c>
      <c r="AB61" s="7">
        <f>IFERROR((W61-V61)/Z61,0)</f>
        <v>-0.005255643289886505</v>
      </c>
      <c r="AC61" s="7">
        <f>IFERROR(Y61/X61-1,0)</f>
        <v>0</v>
      </c>
      <c r="AD61" s="7">
        <f>IFERROR((Y61-X61)/Z61,0)</f>
        <v>0</v>
      </c>
      <c r="AE61" s="7">
        <f>AB61+AD61</f>
        <v>-0.005255643289886505</v>
      </c>
      <c r="AF61" s="7">
        <f>(1+Q61)*(1+AE61)-1</f>
        <v>-0.01395286170920984</v>
      </c>
      <c r="AG61" s="7">
        <f>G61-AF61</f>
        <v>9.71445146547012e-17</v>
      </c>
      <c r="AH61" s="5">
        <f>SUM(IF(BQ61="lease",CE61,0),IF(CS61="lease",DG61,0),IF(DU61="lease",EI61,0),IF(EW61="lease",FK61,0),IF(FY61="lease",GM61,0),IF(HA61="lease",HO61,0),IF(IC61="lease",IQ61,0),IF(JE61="lease",JS61,0),IF(KG61="lease",KU61,0),IF(LI61="lease",LW61,0))</f>
        <v>-0.017082767141531292</v>
      </c>
      <c r="AI61" s="5">
        <f>SUM(IF(BQ61="keep",CE61,0),IF(CS61="keep",DG61,0),IF(DU61="keep",EI61,0),IF(EW61="keep",FK61,0),IF(FY61="keep",GM61,0),IF(HA61="keep",HO61,0),IF(IC61="keep",IQ61,0),IF(JE61="keep",JS61,0),IF(KG61="keep",KU61,0),IF(LI61="keep",LW61,0))</f>
        <v>0</v>
      </c>
      <c r="AJ61" s="5">
        <f>SUM(IF(BQ61="lease",CH61,0),IF(CS61="lease",DJ61,0),IF(DU61="lease",EL61,0),IF(EW61="lease",FN61,0),IF(FY61="lease",GP61,0),IF(HA61="lease",HR61,0),IF(IC61="lease",IT61,0),IF(JE61="lease",JV61,0),IF(KG61="lease",KX61,0),IF(LI61="lease",LZ61,0))</f>
        <v>0</v>
      </c>
      <c r="AK61" s="5">
        <f>SUM(IF(BQ61="keep",CH61,0),IF(CS61="keep",DJ61,0),IF(DU61="keep",EL61,0),IF(EW61="keep",FN61,0),IF(FY61="keep",GP61,0),IF(HA61="keep",HR61,0),IF(IC61="keep",IT61,0),IF(JE61="keep",JV61,0),IF(KG61="keep",KX61,0),IF(LI61="keep",LZ61,0))</f>
        <v>0</v>
      </c>
      <c r="AL61" s="5">
        <f>R61-S60</f>
        <v>-2.220446049250313e-16</v>
      </c>
      <c r="AM61" s="5">
        <f>T61-U60</f>
        <v>0</v>
      </c>
      <c r="AN61" s="5">
        <f>AN60</f>
        <v>1</v>
      </c>
      <c r="AO61" s="5">
        <f>AO60+AH61</f>
        <v>0.2072371965728386</v>
      </c>
      <c r="AP61" s="5">
        <f>AP60+AL61</f>
        <v>-8.881784197001252e-16</v>
      </c>
      <c r="AQ61" s="5">
        <f>AN61+AO61+AP61</f>
        <v>1.2072371965728377</v>
      </c>
      <c r="AR61" s="5">
        <f>S61-AQ61</f>
        <v>4.440892098500626e-16</v>
      </c>
      <c r="AS61" s="5">
        <f>AS60</f>
        <v>0</v>
      </c>
      <c r="AT61" s="5">
        <f>AT60+AI61</f>
        <v>0</v>
      </c>
      <c r="AU61" s="5">
        <f>AU60+AM61</f>
        <v>0</v>
      </c>
      <c r="AV61" s="5">
        <f>AS61+AT61+AU61</f>
        <v>0</v>
      </c>
      <c r="AW61" s="5">
        <f>U61-AV61</f>
        <v>0</v>
      </c>
      <c r="AX61" s="4">
        <v>1.2243199637143696</v>
      </c>
      <c r="AY61" s="4">
        <v>1.2072371965728383</v>
      </c>
      <c r="AZ61" s="5">
        <f>S61-AY61</f>
        <v>-2.220446049250313e-16</v>
      </c>
      <c r="BA61" s="4">
        <v>0</v>
      </c>
      <c r="BB61" s="4">
        <v>0</v>
      </c>
      <c r="BC61" s="5">
        <f>U61-BB61</f>
        <v>0</v>
      </c>
      <c r="BD61" s="7">
        <f>SUM(IF(BP61="direct",CC61/F61,0),IF(CR61="direct",DE61/F61,0),IF(DT61="direct",EG61/F61,0),IF(EV61="direct",FI61/F61,0),IF(FX61="direct",GK61/F61,0),IF(GZ61="direct",HM61/F61,0),IF(IB61="direct",IO61/F61,0),IF(JD61="direct",JQ61/F61,0),IF(KF61="direct",KS61/F61,0),IF(LH61="direct",LU61/F61,0))</f>
        <v>-0.005251730418943538</v>
      </c>
      <c r="BE61" s="7">
        <f>-SUM(IF(BP61="direct",CD61/F61,0),IF(CR61="direct",DF61/F61,0),IF(DT61="direct",EH61/F61,0),IF(EV61="direct",FJ61/F61,0),IF(FX61="direct",GL61/F61,0),IF(GZ61="direct",HN61/F61,0),IF(IB61="direct",IP61/F61,0),IF(JD61="direct",JR61/F61,0),IF(KF61="direct",KT61/F61,0),IF(LH61="direct",LV61/F61,0))</f>
        <v>-0.00001645662100456621</v>
      </c>
      <c r="BF61" s="7">
        <f>BD61+BE61</f>
        <v>-0.005268187039948104</v>
      </c>
      <c r="BG61" s="7">
        <f>BF61-SUM(IF(BP61="direct",CP61,0),IF(CR61="direct",DR61,0),IF(DT61="direct",ET61,0),IF(EV61="direct",FV61,0),IF(FX61="direct",GX61,0),IF(GZ61="direct",HZ61,0),IF(IB61="direct",JB61,0),IF(JD61="direct",KD61,0),IF(KF61="direct",LF61,0),IF(LH61="direct",MH61,0))</f>
        <v>-2.5153490401663703e-17</v>
      </c>
      <c r="BH61" s="7">
        <f>SUM(IF(BP61="treasury",CP61,0),IF(CR61="treasury",DR61,0),IF(DT61="treasury",ET61,0),IF(EV61="treasury",FV61,0),IF(FX61="treasury",GX61,0),IF(GZ61="treasury",HZ61,0),IF(IB61="treasury",JB61,0),IF(JD61="treasury",KD61,0),IF(KF61="treasury",LF61,0),IF(LH61="treasury",MH61,0))</f>
        <v>0.0002621377168949772</v>
      </c>
      <c r="BI61" s="7">
        <f>SUM(IF(BP61="future",CP61,0),IF(CR61="future",DR61,0),IF(DT61="future",ET61,0),IF(EV61="future",FV61,0),IF(FX61="future",GX61,0),IF(GZ61="future",HZ61,0),IF(IB61="future",JB61,0),IF(JD61="future",KD61,0),IF(KF61="future",LF61,0),IF(LH61="future",MH61,0))</f>
        <v>-0.008946812386156642</v>
      </c>
      <c r="BJ61" s="7">
        <f>SUM(IF(BP61="cash",CP61,0),IF(CR61="cash",DR61,0),IF(DT61="cash",ET61,0),IF(EV61="cash",FV61,0),IF(FX61="cash",GX61,0),IF(GZ61="cash",HZ61,0),IF(IB61="cash",JB61,0),IF(JD61="cash",KD61,0),IF(KF61="cash",LF61,0),IF(LH61="cash",MH61,0))</f>
        <v>0</v>
      </c>
      <c r="BK61" s="7">
        <f>SUM(BF61,BH61,BI61,BJ61)</f>
        <v>-0.013952861709209743</v>
      </c>
      <c r="BL61" s="7">
        <f>G61-BK61</f>
        <v>0</v>
      </c>
      <c r="BM61" s="5">
        <f>MAX(ABS(CG61),ABS(DI61),ABS(EK61),ABS(FM61),ABS(GO61),ABS(HQ61),ABS(IS61),ABS(JU61),ABS(KW61),ABS(LY61))</f>
        <v>3.155028321932818e-17</v>
      </c>
      <c r="BN61" s="9">
        <f>COUNTA(BO61,CQ61,DS61,EU61,FW61,GY61,IA61,JC61,KE61,LG61)</f>
        <v>5</v>
      </c>
      <c r="BO61" t="inlineStr">
        <is>
          <t xml:space="preserve">Direct commodity holding</t>
        </is>
      </c>
      <c r="BP61" t="inlineStr">
        <is>
          <t xml:space="preserve">direct</t>
        </is>
      </c>
      <c r="BQ61" t="inlineStr">
        <is>
          <t xml:space="preserve">lease</t>
        </is>
      </c>
      <c r="BR61" t="inlineStr">
        <is>
          <t xml:space="preserve">long</t>
        </is>
      </c>
      <c r="BS61"/>
      <c r="BT61" s="4">
        <v>1.83</v>
      </c>
      <c r="BU61" s="4">
        <v>1.814</v>
      </c>
      <c r="BV61" s="6">
        <v>0.0025</v>
      </c>
      <c r="BW61" s="4">
        <v>0.40186239974741245</v>
      </c>
      <c r="BX61" s="5">
        <f>IF(BP61="direct",IFERROR(CD61/BU61,0),0)</f>
        <v>0.000011107039487966725</v>
      </c>
      <c r="BY61" s="5">
        <f>IF(BP61="direct",BW61-BX61,IF(BP61="cash",CI61,BW61))</f>
        <v>0.40185129270792447</v>
      </c>
      <c r="BZ61" s="6">
        <v>0.6006666666666667</v>
      </c>
      <c r="CA61" s="4">
        <v>0.7354081915377648</v>
      </c>
      <c r="CB61" s="4">
        <v>0.7354081915377648</v>
      </c>
      <c r="CC61" s="5">
        <f>IF(BP61="direct",BW61*(BU61-BT61),CF61)</f>
        <v>-0.006429798395958605</v>
      </c>
      <c r="CD61" s="5">
        <f>IF(BP61="direct",CB61*BV61*C61/365,0)</f>
        <v>0.00002014816963117164</v>
      </c>
      <c r="CE61" s="5">
        <f>CC61-CD61</f>
        <v>-0.006449946565589746</v>
      </c>
      <c r="CF61" s="4">
        <v>-0.006449946565589746</v>
      </c>
      <c r="CG61" s="5">
        <f>CF61-CE61</f>
        <v>3.069308587670683e-17</v>
      </c>
      <c r="CH61" s="4">
        <v>0</v>
      </c>
      <c r="CI61" s="4">
        <v>0.728958244972175</v>
      </c>
      <c r="CJ61" s="4">
        <v>1.83</v>
      </c>
      <c r="CK61" s="4">
        <v>1.814</v>
      </c>
      <c r="CL61" s="6"/>
      <c r="CM61" s="6"/>
      <c r="CN61" s="6"/>
      <c r="CO61" s="9"/>
      <c r="CP61" s="7">
        <f>IFERROR(CE61/F61,0)</f>
        <v>-0.005268187039948079</v>
      </c>
      <c r="CQ61" t="inlineStr">
        <is>
          <t xml:space="preserve">Treasury collateral</t>
        </is>
      </c>
      <c r="CR61" t="inlineStr">
        <is>
          <t xml:space="preserve">treasury</t>
        </is>
      </c>
      <c r="CS61" t="inlineStr">
        <is>
          <t xml:space="preserve">lease</t>
        </is>
      </c>
      <c r="CT61" t="inlineStr">
        <is>
          <t xml:space="preserve">long</t>
        </is>
      </c>
      <c r="CU61"/>
      <c r="CV61" s="4">
        <v>101.42961000727735</v>
      </c>
      <c r="CW61" s="4">
        <v>101.49619229373693</v>
      </c>
      <c r="CX61" s="6"/>
      <c r="CY61" s="4">
        <v>0.004820207552227862</v>
      </c>
      <c r="CZ61" s="5">
        <f>IF(CR61="direct",IFERROR(DF61/CW61,0),0)</f>
        <v>0</v>
      </c>
      <c r="DA61" s="5">
        <f>IF(CR61="direct",CY61-CZ61,IF(CR61="cash",DK61,CY61))</f>
        <v>0.004820207552227862</v>
      </c>
      <c r="DB61" s="6">
        <v>0.3993333333333334</v>
      </c>
      <c r="DC61" s="4">
        <v>0.48891177217660503</v>
      </c>
      <c r="DD61" s="4">
        <v>0.48891177217660503</v>
      </c>
      <c r="DE61" s="5">
        <f>IF(CR61="direct",CY61*(CW61-CV61),DH61)</f>
        <v>0.00032094044003705776</v>
      </c>
      <c r="DF61" s="5">
        <f>IF(CR61="direct",DD61*CX61*C61/365,0)</f>
        <v>0</v>
      </c>
      <c r="DG61" s="5">
        <f>DE61-DF61</f>
        <v>0.0003209404400370262</v>
      </c>
      <c r="DH61" s="4">
        <v>0.0003209404400370262</v>
      </c>
      <c r="DI61" s="5">
        <f>DH61-DG61</f>
        <v>-3.155028321932818e-17</v>
      </c>
      <c r="DJ61" s="4">
        <v>2.791820594150174e-17</v>
      </c>
      <c r="DK61" s="4">
        <v>0.4892327126166421</v>
      </c>
      <c r="DL61" s="4">
        <v>1.83</v>
      </c>
      <c r="DM61" s="4">
        <v>1.814</v>
      </c>
      <c r="DN61" s="6"/>
      <c r="DO61" s="6"/>
      <c r="DP61" s="6"/>
      <c r="DQ61" s="9">
        <v>61</v>
      </c>
      <c r="DR61" s="7">
        <f>IFERROR(DG61/F61,0)</f>
        <v>0.0002621377168949772</v>
      </c>
      <c r="DS61" t="inlineStr">
        <is>
          <t xml:space="preserve">SI69K</t>
        </is>
      </c>
      <c r="DT61" t="inlineStr">
        <is>
          <t xml:space="preserve">future</t>
        </is>
      </c>
      <c r="DU61" t="inlineStr">
        <is>
          <t xml:space="preserve">lease</t>
        </is>
      </c>
      <c r="DV61" t="inlineStr">
        <is>
          <t xml:space="preserve">long</t>
        </is>
      </c>
      <c r="DW61" t="inlineStr">
        <is>
          <t xml:space="preserve">regular</t>
        </is>
      </c>
      <c r="DX61" s="4">
        <v>1.83</v>
      </c>
      <c r="DY61" s="4">
        <v>1.7890000000000001</v>
      </c>
      <c r="DZ61" s="6"/>
      <c r="EA61" s="4">
        <v>0.2671649028287459</v>
      </c>
      <c r="EB61" s="5">
        <f>IF(DT61="direct",IFERROR(EH61/DY61,0),0)</f>
        <v>0</v>
      </c>
      <c r="EC61" s="5">
        <f>IF(DT61="direct",EA61-EB61,IF(DT61="cash",EM61,EA61))</f>
        <v>0.2671649028287459</v>
      </c>
      <c r="ED61" s="6">
        <v>0.3993333333333334</v>
      </c>
      <c r="EE61" s="4">
        <v>0.48891177217660503</v>
      </c>
      <c r="EF61" s="4">
        <v>0</v>
      </c>
      <c r="EG61" s="5">
        <f>IF(DT61="direct",EA61*(DY61-DX61),EJ61)</f>
        <v>-0.010953761015978574</v>
      </c>
      <c r="EH61" s="5">
        <f>IF(DT61="direct",EF61*DZ61*C61/365,0)</f>
        <v>0</v>
      </c>
      <c r="EI61" s="5">
        <f>EG61-EH61</f>
        <v>-0.010953761015978574</v>
      </c>
      <c r="EJ61" s="4">
        <v>-0.010953761015978574</v>
      </c>
      <c r="EK61" s="5">
        <f>EJ61-EI61</f>
        <v>0</v>
      </c>
      <c r="EL61" s="4">
        <v>0.010953761015978574</v>
      </c>
      <c r="EM61" s="4">
        <v>0</v>
      </c>
      <c r="EN61" s="4">
        <v>1.83</v>
      </c>
      <c r="EO61" s="4">
        <v>1.814</v>
      </c>
      <c r="EP61" s="6">
        <v>0</v>
      </c>
      <c r="EQ61" s="6">
        <v>0.0599</v>
      </c>
      <c r="ER61" s="6">
        <v>0.0599</v>
      </c>
      <c r="ES61" s="9">
        <v>61</v>
      </c>
      <c r="ET61" s="7">
        <f>IFERROR(EI61/F61,0)</f>
        <v>-0.008946812386156642</v>
      </c>
      <c r="EU61" t="inlineStr">
        <is>
          <t xml:space="preserve">Lease cash / margin / financing</t>
        </is>
      </c>
      <c r="EV61" t="inlineStr">
        <is>
          <t xml:space="preserve">cash</t>
        </is>
      </c>
      <c r="EW61" t="inlineStr">
        <is>
          <t xml:space="preserve">lease</t>
        </is>
      </c>
      <c r="EX61" t="inlineStr">
        <is>
          <t xml:space="preserve">cash</t>
        </is>
      </c>
      <c r="EY61"/>
      <c r="EZ61" s="4">
        <v>1</v>
      </c>
      <c r="FA61" s="4">
        <v>1</v>
      </c>
      <c r="FB61" s="6"/>
      <c r="FC61" s="4">
        <v>-2.220446049250313e-16</v>
      </c>
      <c r="FD61" s="5">
        <f>IF(EV61="direct",IFERROR(FJ61/FA61,0),0)</f>
        <v>0</v>
      </c>
      <c r="FE61" s="5">
        <f>IF(EV61="direct",FC61-FD61,IF(EV61="cash",FO61,FC61))</f>
        <v>-0.010953761015978824</v>
      </c>
      <c r="FF61" s="6"/>
      <c r="FG61" s="4">
        <v>-2.220446049250313e-16</v>
      </c>
      <c r="FH61" s="4">
        <v>-2.220446049250313e-16</v>
      </c>
      <c r="FI61" s="5">
        <f>IF(EV61="direct",FC61*(FA61-EZ61),FL61)</f>
        <v>0</v>
      </c>
      <c r="FJ61" s="5">
        <f>IF(EV61="direct",FH61*FB61*C61/365,0)</f>
        <v>0</v>
      </c>
      <c r="FK61" s="5">
        <f>FI61-FJ61</f>
        <v>0</v>
      </c>
      <c r="FL61" s="4">
        <v>0</v>
      </c>
      <c r="FM61" s="5">
        <f>FL61-FK61</f>
        <v>0</v>
      </c>
      <c r="FN61" s="4">
        <v>-0.010953761015978601</v>
      </c>
      <c r="FO61" s="4">
        <v>-0.010953761015978824</v>
      </c>
      <c r="FP61" s="4">
        <v>1.83</v>
      </c>
      <c r="FQ61" s="4">
        <v>1.814</v>
      </c>
      <c r="FR61" s="6"/>
      <c r="FS61" s="6"/>
      <c r="FT61" s="6"/>
      <c r="FU61" s="9"/>
      <c r="FV61" s="7">
        <f>IFERROR(FK61/F61,0)</f>
        <v>0</v>
      </c>
      <c r="FW61" t="inlineStr">
        <is>
          <t xml:space="preserve">Keep cash / margin / financing</t>
        </is>
      </c>
      <c r="FX61" t="inlineStr">
        <is>
          <t xml:space="preserve">cash</t>
        </is>
      </c>
      <c r="FY61" t="inlineStr">
        <is>
          <t xml:space="preserve">keep</t>
        </is>
      </c>
      <c r="FZ61" t="inlineStr">
        <is>
          <t xml:space="preserve">cash</t>
        </is>
      </c>
      <c r="GA61"/>
      <c r="GB61" s="4">
        <v>1</v>
      </c>
      <c r="GC61" s="4">
        <v>1</v>
      </c>
      <c r="GD61" s="6"/>
      <c r="GE61" s="4">
        <v>0</v>
      </c>
      <c r="GF61" s="5">
        <f>IF(FX61="direct",IFERROR(GL61/GC61,0),0)</f>
        <v>0</v>
      </c>
      <c r="GG61" s="5">
        <f>IF(FX61="direct",GE61-GF61,IF(FX61="cash",GQ61,GE61))</f>
        <v>0</v>
      </c>
      <c r="GH61" s="6"/>
      <c r="GI61" s="4">
        <v>0</v>
      </c>
      <c r="GJ61" s="4">
        <v>0</v>
      </c>
      <c r="GK61" s="5">
        <f>IF(FX61="direct",GE61*(GC61-GB61),GN61)</f>
        <v>0</v>
      </c>
      <c r="GL61" s="5">
        <f>IF(FX61="direct",GJ61*GD61*C61/365,0)</f>
        <v>0</v>
      </c>
      <c r="GM61" s="5">
        <f>GK61-GL61</f>
        <v>0</v>
      </c>
      <c r="GN61" s="4">
        <v>0</v>
      </c>
      <c r="GO61" s="5">
        <f>GN61-GM61</f>
        <v>0</v>
      </c>
      <c r="GP61" s="4">
        <v>0</v>
      </c>
      <c r="GQ61" s="4">
        <v>0</v>
      </c>
      <c r="GR61" s="4">
        <v>1.83</v>
      </c>
      <c r="GS61" s="4">
        <v>1.814</v>
      </c>
      <c r="GT61" s="6"/>
      <c r="GU61" s="6"/>
      <c r="GV61" s="6"/>
      <c r="GW61" s="9"/>
      <c r="GX61" s="7">
        <f>IFERROR(GM61/F61,0)</f>
        <v>0</v>
      </c>
      <c r="GY61"/>
      <c r="GZ61"/>
      <c r="HA61"/>
      <c r="HB61"/>
      <c r="HC61"/>
      <c r="HD61" s="4"/>
      <c r="HE61" s="4"/>
      <c r="HF61" s="6"/>
      <c r="HG61" s="4"/>
      <c r="HH61" s="5">
        <v>0</v>
      </c>
      <c r="HI61" s="5"/>
      <c r="HJ61" s="6"/>
      <c r="HK61" s="4"/>
      <c r="HL61" s="4"/>
      <c r="HM61" s="5">
        <v>0</v>
      </c>
      <c r="HN61" s="5">
        <v>0</v>
      </c>
      <c r="HO61" s="5"/>
      <c r="HP61" s="4"/>
      <c r="HQ61" s="5">
        <v>0</v>
      </c>
      <c r="HR61" s="4"/>
      <c r="HS61" s="4"/>
      <c r="HT61" s="4"/>
      <c r="HU61" s="4"/>
      <c r="HV61" s="6"/>
      <c r="HW61" s="6"/>
      <c r="HX61" s="6"/>
      <c r="HY61" s="9"/>
      <c r="HZ61"/>
      <c r="IA61"/>
      <c r="IB61"/>
      <c r="IC61"/>
      <c r="ID61"/>
      <c r="IE61"/>
      <c r="IF61" s="4"/>
      <c r="IG61" s="4"/>
      <c r="IH61" s="6"/>
      <c r="II61" s="4"/>
      <c r="IJ61" s="5">
        <v>0</v>
      </c>
      <c r="IK61" s="5"/>
      <c r="IL61" s="6"/>
      <c r="IM61" s="4"/>
      <c r="IN61" s="4"/>
      <c r="IO61" s="5">
        <v>0</v>
      </c>
      <c r="IP61" s="5">
        <v>0</v>
      </c>
      <c r="IQ61" s="5"/>
      <c r="IR61" s="4"/>
      <c r="IS61" s="5">
        <v>0</v>
      </c>
      <c r="IT61" s="4"/>
      <c r="IU61" s="4"/>
      <c r="IV61" s="4"/>
      <c r="IW61" s="4"/>
      <c r="IX61" s="6"/>
      <c r="IY61" s="6"/>
      <c r="IZ61" s="6"/>
      <c r="JA61" s="9"/>
      <c r="JB61"/>
      <c r="JC61"/>
      <c r="JD61"/>
      <c r="JE61"/>
      <c r="JF61"/>
      <c r="JG61"/>
      <c r="JH61" s="4"/>
      <c r="JI61" s="4"/>
      <c r="JJ61" s="6"/>
      <c r="JK61" s="4"/>
      <c r="JL61" s="5">
        <v>0</v>
      </c>
      <c r="JM61" s="5"/>
      <c r="JN61" s="6"/>
      <c r="JO61" s="4"/>
      <c r="JP61" s="4"/>
      <c r="JQ61" s="5">
        <v>0</v>
      </c>
      <c r="JR61" s="5">
        <v>0</v>
      </c>
      <c r="JS61" s="5"/>
      <c r="JT61" s="4"/>
      <c r="JU61" s="5">
        <v>0</v>
      </c>
      <c r="JV61" s="4"/>
      <c r="JW61" s="4"/>
      <c r="JX61" s="4"/>
      <c r="JY61" s="4"/>
      <c r="JZ61" s="6"/>
      <c r="KA61" s="6"/>
      <c r="KB61" s="6"/>
      <c r="KC61" s="9"/>
      <c r="KD61"/>
      <c r="KE61"/>
      <c r="KF61"/>
      <c r="KG61"/>
      <c r="KH61"/>
      <c r="KI61"/>
      <c r="KJ61" s="4"/>
      <c r="KK61" s="4"/>
      <c r="KL61" s="6"/>
      <c r="KM61" s="4"/>
      <c r="KN61" s="5">
        <v>0</v>
      </c>
      <c r="KO61" s="5"/>
      <c r="KP61" s="6"/>
      <c r="KQ61" s="4"/>
      <c r="KR61" s="4"/>
      <c r="KS61" s="5">
        <v>0</v>
      </c>
      <c r="KT61" s="5">
        <v>0</v>
      </c>
      <c r="KU61" s="5"/>
      <c r="KV61" s="4"/>
      <c r="KW61" s="5">
        <v>0</v>
      </c>
      <c r="KX61" s="4"/>
      <c r="KY61" s="4"/>
      <c r="KZ61" s="4"/>
      <c r="LA61" s="4"/>
      <c r="LB61" s="6"/>
      <c r="LC61" s="6"/>
      <c r="LD61" s="6"/>
      <c r="LE61" s="9"/>
      <c r="LF61"/>
      <c r="LG61"/>
      <c r="LH61"/>
      <c r="LI61"/>
      <c r="LJ61"/>
      <c r="LK61"/>
      <c r="LL61" s="4"/>
      <c r="LM61" s="4"/>
      <c r="LN61" s="6"/>
      <c r="LO61" s="4"/>
      <c r="LP61" s="5">
        <v>0</v>
      </c>
      <c r="LQ61" s="5"/>
      <c r="LR61" s="6"/>
      <c r="LS61" s="4"/>
      <c r="LT61" s="4"/>
      <c r="LU61" s="5">
        <v>0</v>
      </c>
      <c r="LV61" s="5">
        <v>0</v>
      </c>
      <c r="LW61" s="5"/>
      <c r="LX61" s="4"/>
      <c r="LY61" s="5">
        <v>0</v>
      </c>
      <c r="LZ61" s="4"/>
      <c r="MA61" s="4"/>
      <c r="MB61" s="4"/>
      <c r="MC61" s="4"/>
      <c r="MD61" s="6"/>
      <c r="ME61" s="6"/>
      <c r="MF61" s="6"/>
      <c r="MG61" s="9"/>
      <c r="MH61"/>
    </row>
    <row r="62">
      <c r="A62" s="8">
        <v>25294</v>
      </c>
      <c r="B62" s="8">
        <v>25295</v>
      </c>
      <c r="C62" s="9">
        <f>B62-A62</f>
        <v>1</v>
      </c>
      <c r="D62" s="8">
        <v>25294</v>
      </c>
      <c r="E62" t="inlineStr">
        <is>
          <t xml:space="preserve">positive</t>
        </is>
      </c>
      <c r="F62" s="4">
        <v>1.2072371965728386</v>
      </c>
      <c r="G62" s="6">
        <v>0.01883087574225198</v>
      </c>
      <c r="H62" s="7">
        <f>SUM(CP62,DR62,ET62,FV62,GX62,HZ62,JB62,KD62,LF62,MH62)</f>
        <v>0.01883087574225198</v>
      </c>
      <c r="I62" s="7">
        <f>G62-H62</f>
        <v>0</v>
      </c>
      <c r="J62" s="5">
        <f>F62*(1+H62)</f>
        <v>1.2299705302129262</v>
      </c>
      <c r="K62" s="4">
        <v>1.2299705302129262</v>
      </c>
      <c r="L62" s="5">
        <f>K62-J62</f>
        <v>0</v>
      </c>
      <c r="M62" s="4">
        <v>1.814</v>
      </c>
      <c r="N62" s="4">
        <v>1.799</v>
      </c>
      <c r="O62" s="5">
        <f>M62/$M$3</f>
        <v>0.9264555669050052</v>
      </c>
      <c r="P62" s="5">
        <f>N62/$M$3</f>
        <v>0.9187946884576098</v>
      </c>
      <c r="Q62" s="7">
        <f>IFERROR(N62/M62-1,0)</f>
        <v>-0.008269018743109258</v>
      </c>
      <c r="R62" s="5">
        <f>SUM(IF(BQ62="lease",CB62,0),IF(CS62="lease",DD62,0),IF(DU62="lease",EF62,0),IF(EW62="lease",FH62,0),IF(FY62="lease",GJ62,0),IF(HA62="lease",HL62,0),IF(IC62="lease",IN62,0),IF(JE62="lease",JP62,0),IF(KG62="lease",KR62,0),IF(LI62="lease",LT62,0))</f>
        <v>1.2072371965728383</v>
      </c>
      <c r="S62" s="5">
        <f>SUM(IF(BQ62="lease",CI62,0),IF(CS62="lease",DK62,0),IF(DU62="lease",EM62,0),IF(EW62="lease",FO62,0),IF(FY62="lease",GQ62,0),IF(HA62="lease",HS62,0),IF(IC62="lease",IU62,0),IF(JE62="lease",JW62,0),IF(KG62="lease",KY62,0),IF(LI62="lease",MA62,0))</f>
        <v>1.229970530212926</v>
      </c>
      <c r="T62" s="5">
        <f>SUM(IF(BQ62="keep",CB62,0),IF(CS62="keep",DD62,0),IF(DU62="keep",EF62,0),IF(EW62="keep",FH62,0),IF(FY62="keep",GJ62,0),IF(HA62="keep",HL62,0),IF(IC62="keep",IN62,0),IF(JE62="keep",JP62,0),IF(KG62="keep",KR62,0),IF(LI62="keep",LT62,0))</f>
        <v>0</v>
      </c>
      <c r="U62" s="5">
        <f>SUM(IF(BQ62="keep",CI62,0),IF(CS62="keep",DK62,0),IF(DU62="keep",EM62,0),IF(EW62="keep",FO62,0),IF(FY62="keep",GQ62,0),IF(HA62="keep",HS62,0),IF(IC62="keep",IU62,0),IF(JE62="keep",JW62,0),IF(KG62="keep",KY62,0),IF(LI62="keep",MA62,0))</f>
        <v>0</v>
      </c>
      <c r="V62" s="5">
        <f>R62/O62</f>
        <v>1.303070799828896</v>
      </c>
      <c r="W62" s="5">
        <f>S62/P62</f>
        <v>1.3386783202650967</v>
      </c>
      <c r="X62" s="5">
        <f>T62/O62</f>
        <v>0</v>
      </c>
      <c r="Y62" s="5">
        <f>U62/P62</f>
        <v>0</v>
      </c>
      <c r="Z62" s="5">
        <f>V62+X62</f>
        <v>1.303070799828896</v>
      </c>
      <c r="AA62" s="7">
        <f>IFERROR(W62/V62-1,0)</f>
        <v>0.02732585247162045</v>
      </c>
      <c r="AB62" s="7">
        <f>IFERROR((W62-V62)/Z62,0)</f>
        <v>0.02732585247162035</v>
      </c>
      <c r="AC62" s="7">
        <f>IFERROR(Y62/X62-1,0)</f>
        <v>0</v>
      </c>
      <c r="AD62" s="7">
        <f>IFERROR((Y62-X62)/Z62,0)</f>
        <v>0</v>
      </c>
      <c r="AE62" s="7">
        <f>AB62+AD62</f>
        <v>0.02732585247162035</v>
      </c>
      <c r="AF62" s="7">
        <f>(1+Q62)*(1+AE62)-1</f>
        <v>0.01883087574225195</v>
      </c>
      <c r="AG62" s="7">
        <f>G62-AF62</f>
        <v>2.7755575615628914e-17</v>
      </c>
      <c r="AH62" s="5">
        <f>SUM(IF(BQ62="lease",CE62,0),IF(CS62="lease",DG62,0),IF(DU62="lease",EI62,0),IF(EW62="lease",FK62,0),IF(FY62="lease",GM62,0),IF(HA62="lease",HO62,0),IF(IC62="lease",IQ62,0),IF(JE62="lease",JS62,0),IF(KG62="lease",KU62,0),IF(LI62="lease",LW62,0))</f>
        <v>0.02273333364008775</v>
      </c>
      <c r="AI62" s="5">
        <f>SUM(IF(BQ62="keep",CE62,0),IF(CS62="keep",DG62,0),IF(DU62="keep",EI62,0),IF(EW62="keep",FK62,0),IF(FY62="keep",GM62,0),IF(HA62="keep",HO62,0),IF(IC62="keep",IQ62,0),IF(JE62="keep",JS62,0),IF(KG62="keep",KU62,0),IF(LI62="keep",LW62,0))</f>
        <v>0</v>
      </c>
      <c r="AJ62" s="5">
        <f>SUM(IF(BQ62="lease",CH62,0),IF(CS62="lease",DJ62,0),IF(DU62="lease",EL62,0),IF(EW62="lease",FN62,0),IF(FY62="lease",GP62,0),IF(HA62="lease",HR62,0),IF(IC62="lease",IT62,0),IF(JE62="lease",JV62,0),IF(KG62="lease",KX62,0),IF(LI62="lease",LZ62,0))</f>
        <v>0</v>
      </c>
      <c r="AK62" s="5">
        <f>SUM(IF(BQ62="keep",CH62,0),IF(CS62="keep",DJ62,0),IF(DU62="keep",EL62,0),IF(EW62="keep",FN62,0),IF(FY62="keep",GP62,0),IF(HA62="keep",HR62,0),IF(IC62="keep",IT62,0),IF(JE62="keep",JV62,0),IF(KG62="keep",KX62,0),IF(LI62="keep",LZ62,0))</f>
        <v>0</v>
      </c>
      <c r="AL62" s="5">
        <f>R62-S61</f>
        <v>2.220446049250313e-16</v>
      </c>
      <c r="AM62" s="5">
        <f>T62-U61</f>
        <v>0</v>
      </c>
      <c r="AN62" s="5">
        <f>AN61</f>
        <v>1</v>
      </c>
      <c r="AO62" s="5">
        <f>AO61+AH62</f>
        <v>0.22997053021292635</v>
      </c>
      <c r="AP62" s="5">
        <f>AP61+AL62</f>
        <v>-6.661338147750939e-16</v>
      </c>
      <c r="AQ62" s="5">
        <f>AN62+AO62+AP62</f>
        <v>1.2299705302129256</v>
      </c>
      <c r="AR62" s="5">
        <f>S62-AQ62</f>
        <v>4.440892098500626e-16</v>
      </c>
      <c r="AS62" s="5">
        <f>AS61</f>
        <v>0</v>
      </c>
      <c r="AT62" s="5">
        <f>AT61+AI62</f>
        <v>0</v>
      </c>
      <c r="AU62" s="5">
        <f>AU61+AM62</f>
        <v>0</v>
      </c>
      <c r="AV62" s="5">
        <f>AS62+AT62+AU62</f>
        <v>0</v>
      </c>
      <c r="AW62" s="5">
        <f>U62-AV62</f>
        <v>0</v>
      </c>
      <c r="AX62" s="4">
        <v>1.2072371965728383</v>
      </c>
      <c r="AY62" s="4">
        <v>1.229970530212926</v>
      </c>
      <c r="AZ62" s="5">
        <f>S62-AY62</f>
        <v>0</v>
      </c>
      <c r="BA62" s="4">
        <v>0</v>
      </c>
      <c r="BB62" s="4">
        <v>0</v>
      </c>
      <c r="BC62" s="5">
        <f>U62-BB62</f>
        <v>0</v>
      </c>
      <c r="BD62" s="7">
        <f>SUM(IF(BP62="direct",CC62/F62,0),IF(CR62="direct",DE62/F62,0),IF(DT62="direct",EG62/F62,0),IF(EV62="direct",FI62/F62,0),IF(FX62="direct",GK62/F62,0),IF(GZ62="direct",HM62/F62,0),IF(IB62="direct",IO62/F62,0),IF(JD62="direct",JQ62/F62,0),IF(KF62="direct",KS62/F62,0),IF(LH62="direct",LU62/F62,0))</f>
        <v>-0.00010191712084237902</v>
      </c>
      <c r="BE62" s="7">
        <f>-SUM(IF(BP62="direct",CD62/F62,0),IF(CR62="direct",DF62/F62,0),IF(DT62="direct",EH62/F62,0),IF(EV62="direct",FJ62/F62,0),IF(FX62="direct",GL62/F62,0),IF(GZ62="direct",HN62/F62,0),IF(IB62="direct",IP62/F62,0),IF(JD62="direct",JR62/F62,0),IF(KF62="direct",KT62/F62,0),IF(LH62="direct",LV62/F62,0))</f>
        <v>-8.441902155619818e-8</v>
      </c>
      <c r="BF62" s="7">
        <f>BD62+BE62</f>
        <v>-0.00010200153986393523</v>
      </c>
      <c r="BG62" s="7">
        <f>BF62-SUM(IF(BP62="direct",CP62,0),IF(CR62="direct",DR62,0),IF(DT62="direct",ET62,0),IF(EV62="direct",FV62,0),IF(FX62="direct",GX62,0),IF(GZ62="direct",HZ62,0),IF(IB62="direct",JB62,0),IF(JD62="direct",KD62,0),IF(KF62="direct",LF62,0),IF(LH62="direct",MH62,0))</f>
        <v>4.743384504624082e-19</v>
      </c>
      <c r="BH62" s="7">
        <f>SUM(IF(BP62="treasury",CP62,0),IF(CR62="treasury",DR62,0),IF(DT62="treasury",ET62,0),IF(EV62="treasury",FV62,0),IF(FX62="treasury",GX62,0),IF(GZ62="treasury",HZ62,0),IF(IB62="treasury",JB62,0),IF(JD62="treasury",KD62,0),IF(KF62="treasury",LF62,0),IF(LH62="treasury",MH62,0))</f>
        <v>0.0001620869092846094</v>
      </c>
      <c r="BI62" s="7">
        <f>SUM(IF(BP62="future",CP62,0),IF(CR62="future",DR62,0),IF(DT62="future",ET62,0),IF(EV62="future",FV62,0),IF(FX62="future",GX62,0),IF(GZ62="future",HZ62,0),IF(IB62="future",JB62,0),IF(JD62="future",KD62,0),IF(KF62="future",LF62,0),IF(LH62="future",MH62,0))</f>
        <v>0.018770790372831306</v>
      </c>
      <c r="BJ62" s="7">
        <f>SUM(IF(BP62="cash",CP62,0),IF(CR62="cash",DR62,0),IF(DT62="cash",ET62,0),IF(EV62="cash",FV62,0),IF(FX62="cash",GX62,0),IF(GZ62="cash",HZ62,0),IF(IB62="cash",JB62,0),IF(JD62="cash",KD62,0),IF(KF62="cash",LF62,0),IF(LH62="cash",MH62,0))</f>
        <v>0</v>
      </c>
      <c r="BK62" s="7">
        <f>SUM(BF62,BH62,BI62,BJ62)</f>
        <v>0.01883087574225198</v>
      </c>
      <c r="BL62" s="7">
        <f>G62-BK62</f>
        <v>0</v>
      </c>
      <c r="BM62" s="5">
        <f>MAX(ABS(CG62),ABS(DI62),ABS(EK62),ABS(FM62),ABS(GO62),ABS(HQ62),ABS(IS62),ABS(JU62),ABS(KW62),ABS(LY62))</f>
        <v>3.2954325032696907e-16</v>
      </c>
      <c r="BN62" s="9">
        <f>COUNTA(BO62,CQ62,DS62,EU62,FW62,GY62,IA62,JC62,KE62,LG62)</f>
        <v>5</v>
      </c>
      <c r="BO62" t="inlineStr">
        <is>
          <t xml:space="preserve">Direct commodity holding</t>
        </is>
      </c>
      <c r="BP62" t="inlineStr">
        <is>
          <t xml:space="preserve">direct</t>
        </is>
      </c>
      <c r="BQ62" t="inlineStr">
        <is>
          <t xml:space="preserve">lease</t>
        </is>
      </c>
      <c r="BR62" t="inlineStr">
        <is>
          <t xml:space="preserve">long</t>
        </is>
      </c>
      <c r="BS62"/>
      <c r="BT62" s="4">
        <v>1.814</v>
      </c>
      <c r="BU62" s="4">
        <v>1.799</v>
      </c>
      <c r="BV62" s="6">
        <v>0.0025</v>
      </c>
      <c r="BW62" s="4">
        <v>0.008202542616568524</v>
      </c>
      <c r="BX62" s="5">
        <f>IF(BP62="direct",IFERROR(CD62/BU62,0),0)</f>
        <v>5.6650240645317806e-8</v>
      </c>
      <c r="BY62" s="5">
        <f>IF(BP62="direct",BW62-BX62,IF(BP62="cash",CI62,BW62))</f>
        <v>0.008202485966327878</v>
      </c>
      <c r="BZ62" s="6">
        <v>0.012325177147204935</v>
      </c>
      <c r="CA62" s="4">
        <v>0.014879412306455302</v>
      </c>
      <c r="CB62" s="4">
        <v>0.014879412306455302</v>
      </c>
      <c r="CC62" s="5">
        <f>IF(BP62="direct",BW62*(BU62-BT62),CF62)</f>
        <v>-0.00012303813924852887</v>
      </c>
      <c r="CD62" s="5">
        <f>IF(BP62="direct",CB62*BV62*C62/365,0)</f>
        <v>1.0191378292092672e-7</v>
      </c>
      <c r="CE62" s="5">
        <f>CC62-CD62</f>
        <v>-0.00012314005303145037</v>
      </c>
      <c r="CF62" s="4">
        <v>-0.00012314005303145037</v>
      </c>
      <c r="CG62" s="5">
        <f>CF62-CE62</f>
        <v>-5.731766074951444e-19</v>
      </c>
      <c r="CH62" s="4">
        <v>0</v>
      </c>
      <c r="CI62" s="4">
        <v>0.014756272253423852</v>
      </c>
      <c r="CJ62" s="4">
        <v>1.814</v>
      </c>
      <c r="CK62" s="4">
        <v>1.799</v>
      </c>
      <c r="CL62" s="6"/>
      <c r="CM62" s="6"/>
      <c r="CN62" s="6"/>
      <c r="CO62" s="9"/>
      <c r="CP62" s="7">
        <f>IFERROR(CE62/F62,0)</f>
        <v>-0.0001020015398639357</v>
      </c>
      <c r="CQ62" t="inlineStr">
        <is>
          <t xml:space="preserve">Treasury collateral</t>
        </is>
      </c>
      <c r="CR62" t="inlineStr">
        <is>
          <t xml:space="preserve">treasury</t>
        </is>
      </c>
      <c r="CS62" t="inlineStr">
        <is>
          <t xml:space="preserve">lease</t>
        </is>
      </c>
      <c r="CT62" t="inlineStr">
        <is>
          <t xml:space="preserve">long</t>
        </is>
      </c>
      <c r="CU62"/>
      <c r="CV62" s="4">
        <v>101.49619229373693</v>
      </c>
      <c r="CW62" s="4">
        <v>101.51284879214346</v>
      </c>
      <c r="CX62" s="6"/>
      <c r="CY62" s="4">
        <v>0.011747808044026108</v>
      </c>
      <c r="CZ62" s="5">
        <f>IF(CR62="direct",IFERROR(DF62/CW62,0),0)</f>
        <v>0</v>
      </c>
      <c r="DA62" s="5">
        <f>IF(CR62="direct",CY62-CZ62,IF(CR62="cash",DK62,CY62))</f>
        <v>0.011747808044026108</v>
      </c>
      <c r="DB62" s="6">
        <v>0.9876748228527952</v>
      </c>
      <c r="DC62" s="4">
        <v>1.1923577842663833</v>
      </c>
      <c r="DD62" s="4">
        <v>1.1923577842663833</v>
      </c>
      <c r="DE62" s="5">
        <f>IF(CR62="direct",CY62*(CW62-CV62),DH62)</f>
        <v>0.0001956773459655783</v>
      </c>
      <c r="DF62" s="5">
        <f>IF(CR62="direct",DD62*CX62*C62/365,0)</f>
        <v>0</v>
      </c>
      <c r="DG62" s="5">
        <f>DE62-DF62</f>
        <v>0.00019567734596590784</v>
      </c>
      <c r="DH62" s="4">
        <v>0.00019567734596590784</v>
      </c>
      <c r="DI62" s="5">
        <f>DH62-DG62</f>
        <v>3.2954325032696907e-16</v>
      </c>
      <c r="DJ62" s="4">
        <v>-4.2413988987632933e-16</v>
      </c>
      <c r="DK62" s="4">
        <v>1.1925534616123488</v>
      </c>
      <c r="DL62" s="4">
        <v>1.814</v>
      </c>
      <c r="DM62" s="4">
        <v>1.799</v>
      </c>
      <c r="DN62" s="6"/>
      <c r="DO62" s="6"/>
      <c r="DP62" s="6"/>
      <c r="DQ62" s="9">
        <v>57</v>
      </c>
      <c r="DR62" s="7">
        <f>IFERROR(DG62/F62,0)</f>
        <v>0.0001620869092846094</v>
      </c>
      <c r="DS62" t="inlineStr">
        <is>
          <t xml:space="preserve">SI69K</t>
        </is>
      </c>
      <c r="DT62" t="inlineStr">
        <is>
          <t xml:space="preserve">future</t>
        </is>
      </c>
      <c r="DU62" t="inlineStr">
        <is>
          <t xml:space="preserve">lease</t>
        </is>
      </c>
      <c r="DV62" t="inlineStr">
        <is>
          <t xml:space="preserve">long</t>
        </is>
      </c>
      <c r="DW62" t="inlineStr">
        <is>
          <t xml:space="preserve">regular</t>
        </is>
      </c>
      <c r="DX62" s="4">
        <v>1.7890000000000001</v>
      </c>
      <c r="DY62" s="4">
        <v>1.8230000000000002</v>
      </c>
      <c r="DZ62" s="6"/>
      <c r="EA62" s="4">
        <v>0.6664940102103875</v>
      </c>
      <c r="EB62" s="5">
        <f>IF(DT62="direct",IFERROR(EH62/DY62,0),0)</f>
        <v>0</v>
      </c>
      <c r="EC62" s="5">
        <f>IF(DT62="direct",EA62-EB62,IF(DT62="cash",EM62,EA62))</f>
        <v>0.6664940102103875</v>
      </c>
      <c r="ED62" s="6">
        <v>0.9876748228527952</v>
      </c>
      <c r="EE62" s="4">
        <v>1.1923577842663833</v>
      </c>
      <c r="EF62" s="4">
        <v>0</v>
      </c>
      <c r="EG62" s="5">
        <f>IF(DT62="direct",EA62*(DY62-DX62),EJ62)</f>
        <v>0.022660796347153293</v>
      </c>
      <c r="EH62" s="5">
        <f>IF(DT62="direct",EF62*DZ62*C62/365,0)</f>
        <v>0</v>
      </c>
      <c r="EI62" s="5">
        <f>EG62-EH62</f>
        <v>0.022660796347153293</v>
      </c>
      <c r="EJ62" s="4">
        <v>0.022660796347153293</v>
      </c>
      <c r="EK62" s="5">
        <f>EJ62-EI62</f>
        <v>0</v>
      </c>
      <c r="EL62" s="4">
        <v>-0.022660796347153293</v>
      </c>
      <c r="EM62" s="4">
        <v>0</v>
      </c>
      <c r="EN62" s="4">
        <v>1.814</v>
      </c>
      <c r="EO62" s="4">
        <v>1.799</v>
      </c>
      <c r="EP62" s="6">
        <v>-0.013781697905181911</v>
      </c>
      <c r="EQ62" s="6">
        <v>0.0599</v>
      </c>
      <c r="ER62" s="6">
        <v>0.14815122342791925</v>
      </c>
      <c r="ES62" s="9">
        <v>57</v>
      </c>
      <c r="ET62" s="7">
        <f>IFERROR(EI62/F62,0)</f>
        <v>0.018770790372831306</v>
      </c>
      <c r="EU62" t="inlineStr">
        <is>
          <t xml:space="preserve">Lease cash / margin / financing</t>
        </is>
      </c>
      <c r="EV62" t="inlineStr">
        <is>
          <t xml:space="preserve">cash</t>
        </is>
      </c>
      <c r="EW62" t="inlineStr">
        <is>
          <t xml:space="preserve">lease</t>
        </is>
      </c>
      <c r="EX62" t="inlineStr">
        <is>
          <t xml:space="preserve">cash</t>
        </is>
      </c>
      <c r="EY62"/>
      <c r="EZ62" s="4">
        <v>1</v>
      </c>
      <c r="FA62" s="4">
        <v>1</v>
      </c>
      <c r="FB62" s="6"/>
      <c r="FC62" s="4">
        <v>-2.220446049250313e-16</v>
      </c>
      <c r="FD62" s="5">
        <f>IF(EV62="direct",IFERROR(FJ62/FA62,0),0)</f>
        <v>0</v>
      </c>
      <c r="FE62" s="5">
        <f>IF(EV62="direct",FC62-FD62,IF(EV62="cash",FO62,FC62))</f>
        <v>0.022660796347153494</v>
      </c>
      <c r="FF62" s="6"/>
      <c r="FG62" s="4">
        <v>-2.220446049250313e-16</v>
      </c>
      <c r="FH62" s="4">
        <v>-2.220446049250313e-16</v>
      </c>
      <c r="FI62" s="5">
        <f>IF(EV62="direct",FC62*(FA62-EZ62),FL62)</f>
        <v>0</v>
      </c>
      <c r="FJ62" s="5">
        <f>IF(EV62="direct",FH62*FB62*C62/365,0)</f>
        <v>0</v>
      </c>
      <c r="FK62" s="5">
        <f>FI62-FJ62</f>
        <v>0</v>
      </c>
      <c r="FL62" s="4">
        <v>0</v>
      </c>
      <c r="FM62" s="5">
        <f>FL62-FK62</f>
        <v>0</v>
      </c>
      <c r="FN62" s="4">
        <v>0.022660796347153716</v>
      </c>
      <c r="FO62" s="4">
        <v>0.022660796347153494</v>
      </c>
      <c r="FP62" s="4">
        <v>1.814</v>
      </c>
      <c r="FQ62" s="4">
        <v>1.799</v>
      </c>
      <c r="FR62" s="6"/>
      <c r="FS62" s="6"/>
      <c r="FT62" s="6"/>
      <c r="FU62" s="9"/>
      <c r="FV62" s="7">
        <f>IFERROR(FK62/F62,0)</f>
        <v>0</v>
      </c>
      <c r="FW62" t="inlineStr">
        <is>
          <t xml:space="preserve">Keep cash / margin / financing</t>
        </is>
      </c>
      <c r="FX62" t="inlineStr">
        <is>
          <t xml:space="preserve">cash</t>
        </is>
      </c>
      <c r="FY62" t="inlineStr">
        <is>
          <t xml:space="preserve">keep</t>
        </is>
      </c>
      <c r="FZ62" t="inlineStr">
        <is>
          <t xml:space="preserve">cash</t>
        </is>
      </c>
      <c r="GA62"/>
      <c r="GB62" s="4">
        <v>1</v>
      </c>
      <c r="GC62" s="4">
        <v>1</v>
      </c>
      <c r="GD62" s="6"/>
      <c r="GE62" s="4">
        <v>0</v>
      </c>
      <c r="GF62" s="5">
        <f>IF(FX62="direct",IFERROR(GL62/GC62,0),0)</f>
        <v>0</v>
      </c>
      <c r="GG62" s="5">
        <f>IF(FX62="direct",GE62-GF62,IF(FX62="cash",GQ62,GE62))</f>
        <v>0</v>
      </c>
      <c r="GH62" s="6"/>
      <c r="GI62" s="4">
        <v>0</v>
      </c>
      <c r="GJ62" s="4">
        <v>0</v>
      </c>
      <c r="GK62" s="5">
        <f>IF(FX62="direct",GE62*(GC62-GB62),GN62)</f>
        <v>0</v>
      </c>
      <c r="GL62" s="5">
        <f>IF(FX62="direct",GJ62*GD62*C62/365,0)</f>
        <v>0</v>
      </c>
      <c r="GM62" s="5">
        <f>GK62-GL62</f>
        <v>0</v>
      </c>
      <c r="GN62" s="4">
        <v>0</v>
      </c>
      <c r="GO62" s="5">
        <f>GN62-GM62</f>
        <v>0</v>
      </c>
      <c r="GP62" s="4">
        <v>0</v>
      </c>
      <c r="GQ62" s="4">
        <v>0</v>
      </c>
      <c r="GR62" s="4">
        <v>1.814</v>
      </c>
      <c r="GS62" s="4">
        <v>1.799</v>
      </c>
      <c r="GT62" s="6"/>
      <c r="GU62" s="6"/>
      <c r="GV62" s="6"/>
      <c r="GW62" s="9"/>
      <c r="GX62" s="7">
        <f>IFERROR(GM62/F62,0)</f>
        <v>0</v>
      </c>
      <c r="GY62"/>
      <c r="GZ62"/>
      <c r="HA62"/>
      <c r="HB62"/>
      <c r="HC62"/>
      <c r="HD62" s="4"/>
      <c r="HE62" s="4"/>
      <c r="HF62" s="6"/>
      <c r="HG62" s="4"/>
      <c r="HH62" s="5">
        <v>0</v>
      </c>
      <c r="HI62" s="5"/>
      <c r="HJ62" s="6"/>
      <c r="HK62" s="4"/>
      <c r="HL62" s="4"/>
      <c r="HM62" s="5">
        <v>0</v>
      </c>
      <c r="HN62" s="5">
        <v>0</v>
      </c>
      <c r="HO62" s="5"/>
      <c r="HP62" s="4"/>
      <c r="HQ62" s="5">
        <v>0</v>
      </c>
      <c r="HR62" s="4"/>
      <c r="HS62" s="4"/>
      <c r="HT62" s="4"/>
      <c r="HU62" s="4"/>
      <c r="HV62" s="6"/>
      <c r="HW62" s="6"/>
      <c r="HX62" s="6"/>
      <c r="HY62" s="9"/>
      <c r="HZ62"/>
      <c r="IA62"/>
      <c r="IB62"/>
      <c r="IC62"/>
      <c r="ID62"/>
      <c r="IE62"/>
      <c r="IF62" s="4"/>
      <c r="IG62" s="4"/>
      <c r="IH62" s="6"/>
      <c r="II62" s="4"/>
      <c r="IJ62" s="5">
        <v>0</v>
      </c>
      <c r="IK62" s="5"/>
      <c r="IL62" s="6"/>
      <c r="IM62" s="4"/>
      <c r="IN62" s="4"/>
      <c r="IO62" s="5">
        <v>0</v>
      </c>
      <c r="IP62" s="5">
        <v>0</v>
      </c>
      <c r="IQ62" s="5"/>
      <c r="IR62" s="4"/>
      <c r="IS62" s="5">
        <v>0</v>
      </c>
      <c r="IT62" s="4"/>
      <c r="IU62" s="4"/>
      <c r="IV62" s="4"/>
      <c r="IW62" s="4"/>
      <c r="IX62" s="6"/>
      <c r="IY62" s="6"/>
      <c r="IZ62" s="6"/>
      <c r="JA62" s="9"/>
      <c r="JB62"/>
      <c r="JC62"/>
      <c r="JD62"/>
      <c r="JE62"/>
      <c r="JF62"/>
      <c r="JG62"/>
      <c r="JH62" s="4"/>
      <c r="JI62" s="4"/>
      <c r="JJ62" s="6"/>
      <c r="JK62" s="4"/>
      <c r="JL62" s="5">
        <v>0</v>
      </c>
      <c r="JM62" s="5"/>
      <c r="JN62" s="6"/>
      <c r="JO62" s="4"/>
      <c r="JP62" s="4"/>
      <c r="JQ62" s="5">
        <v>0</v>
      </c>
      <c r="JR62" s="5">
        <v>0</v>
      </c>
      <c r="JS62" s="5"/>
      <c r="JT62" s="4"/>
      <c r="JU62" s="5">
        <v>0</v>
      </c>
      <c r="JV62" s="4"/>
      <c r="JW62" s="4"/>
      <c r="JX62" s="4"/>
      <c r="JY62" s="4"/>
      <c r="JZ62" s="6"/>
      <c r="KA62" s="6"/>
      <c r="KB62" s="6"/>
      <c r="KC62" s="9"/>
      <c r="KD62"/>
      <c r="KE62"/>
      <c r="KF62"/>
      <c r="KG62"/>
      <c r="KH62"/>
      <c r="KI62"/>
      <c r="KJ62" s="4"/>
      <c r="KK62" s="4"/>
      <c r="KL62" s="6"/>
      <c r="KM62" s="4"/>
      <c r="KN62" s="5">
        <v>0</v>
      </c>
      <c r="KO62" s="5"/>
      <c r="KP62" s="6"/>
      <c r="KQ62" s="4"/>
      <c r="KR62" s="4"/>
      <c r="KS62" s="5">
        <v>0</v>
      </c>
      <c r="KT62" s="5">
        <v>0</v>
      </c>
      <c r="KU62" s="5"/>
      <c r="KV62" s="4"/>
      <c r="KW62" s="5">
        <v>0</v>
      </c>
      <c r="KX62" s="4"/>
      <c r="KY62" s="4"/>
      <c r="KZ62" s="4"/>
      <c r="LA62" s="4"/>
      <c r="LB62" s="6"/>
      <c r="LC62" s="6"/>
      <c r="LD62" s="6"/>
      <c r="LE62" s="9"/>
      <c r="LF62"/>
      <c r="LG62"/>
      <c r="LH62"/>
      <c r="LI62"/>
      <c r="LJ62"/>
      <c r="LK62"/>
      <c r="LL62" s="4"/>
      <c r="LM62" s="4"/>
      <c r="LN62" s="6"/>
      <c r="LO62" s="4"/>
      <c r="LP62" s="5">
        <v>0</v>
      </c>
      <c r="LQ62" s="5"/>
      <c r="LR62" s="6"/>
      <c r="LS62" s="4"/>
      <c r="LT62" s="4"/>
      <c r="LU62" s="5">
        <v>0</v>
      </c>
      <c r="LV62" s="5">
        <v>0</v>
      </c>
      <c r="LW62" s="5"/>
      <c r="LX62" s="4"/>
      <c r="LY62" s="5">
        <v>0</v>
      </c>
      <c r="LZ62" s="4"/>
      <c r="MA62" s="4"/>
      <c r="MB62" s="4"/>
      <c r="MC62" s="4"/>
      <c r="MD62" s="6"/>
      <c r="ME62" s="6"/>
      <c r="MF62" s="6"/>
      <c r="MG62" s="9"/>
      <c r="MH62"/>
    </row>
    <row r="63">
      <c r="A63" s="8">
        <v>25295</v>
      </c>
      <c r="B63" s="8">
        <v>25296</v>
      </c>
      <c r="C63" s="9">
        <f>B63-A63</f>
        <v>1</v>
      </c>
      <c r="D63" s="8">
        <v>25295</v>
      </c>
      <c r="E63" t="inlineStr">
        <is>
          <t xml:space="preserve">neutral</t>
        </is>
      </c>
      <c r="F63" s="4">
        <v>1.2299705302129262</v>
      </c>
      <c r="G63" s="6">
        <v>0.020004267972313316</v>
      </c>
      <c r="H63" s="7">
        <f>SUM(CP63,DR63,ET63,FV63,GX63,HZ63,JB63,KD63,LF63,MH63)</f>
        <v>0.020004267972313316</v>
      </c>
      <c r="I63" s="7">
        <f>G63-H63</f>
        <v>0</v>
      </c>
      <c r="J63" s="5">
        <f>F63*(1+H63)</f>
        <v>1.2545751902973539</v>
      </c>
      <c r="K63" s="4">
        <v>1.2545751902973539</v>
      </c>
      <c r="L63" s="5">
        <f>K63-J63</f>
        <v>0</v>
      </c>
      <c r="M63" s="4">
        <v>1.799</v>
      </c>
      <c r="N63" s="4">
        <v>1.835</v>
      </c>
      <c r="O63" s="5">
        <f>M63/$M$3</f>
        <v>0.9187946884576098</v>
      </c>
      <c r="P63" s="5">
        <f>N63/$M$3</f>
        <v>0.9371807967313586</v>
      </c>
      <c r="Q63" s="7">
        <f>IFERROR(N63/M63-1,0)</f>
        <v>0.020011117287381808</v>
      </c>
      <c r="R63" s="5">
        <f>SUM(IF(BQ63="lease",CB63,0),IF(CS63="lease",DD63,0),IF(DU63="lease",EF63,0),IF(EW63="lease",FH63,0),IF(FY63="lease",GJ63,0),IF(HA63="lease",HL63,0),IF(IC63="lease",IN63,0),IF(JE63="lease",JP63,0),IF(KG63="lease",KR63,0),IF(LI63="lease",LT63,0))</f>
        <v>1.229970530212926</v>
      </c>
      <c r="S63" s="5">
        <f>SUM(IF(BQ63="lease",CI63,0),IF(CS63="lease",DK63,0),IF(DU63="lease",EM63,0),IF(EW63="lease",FO63,0),IF(FY63="lease",GQ63,0),IF(HA63="lease",HS63,0),IF(IC63="lease",IU63,0),IF(JE63="lease",JW63,0),IF(KG63="lease",KY63,0),IF(LI63="lease",MA63,0))</f>
        <v>1.2545751902973536</v>
      </c>
      <c r="T63" s="5">
        <f>SUM(IF(BQ63="keep",CB63,0),IF(CS63="keep",DD63,0),IF(DU63="keep",EF63,0),IF(EW63="keep",FH63,0),IF(FY63="keep",GJ63,0),IF(HA63="keep",HL63,0),IF(IC63="keep",IN63,0),IF(JE63="keep",JP63,0),IF(KG63="keep",KR63,0),IF(LI63="keep",LT63,0))</f>
        <v>0</v>
      </c>
      <c r="U63" s="5">
        <f>SUM(IF(BQ63="keep",CI63,0),IF(CS63="keep",DK63,0),IF(DU63="keep",EM63,0),IF(EW63="keep",FO63,0),IF(FY63="keep",GQ63,0),IF(HA63="keep",HS63,0),IF(IC63="keep",IU63,0),IF(JE63="keep",JW63,0),IF(KG63="keep",KY63,0),IF(LI63="keep",MA63,0))</f>
        <v>0</v>
      </c>
      <c r="V63" s="5">
        <f>R63/O63</f>
        <v>1.3386783202650967</v>
      </c>
      <c r="W63" s="5">
        <f>S63/P63</f>
        <v>1.338669331118375</v>
      </c>
      <c r="X63" s="5">
        <f>T63/O63</f>
        <v>0</v>
      </c>
      <c r="Y63" s="5">
        <f>U63/P63</f>
        <v>0</v>
      </c>
      <c r="Z63" s="5">
        <f>V63+X63</f>
        <v>1.3386783202650967</v>
      </c>
      <c r="AA63" s="7">
        <f>IFERROR(W63/V63-1,0)</f>
        <v>-0.000006714941584995415</v>
      </c>
      <c r="AB63" s="7">
        <f>IFERROR((W63-V63)/Z63,0)</f>
        <v>-0.000006714941584972799</v>
      </c>
      <c r="AC63" s="7">
        <f>IFERROR(Y63/X63-1,0)</f>
        <v>0</v>
      </c>
      <c r="AD63" s="7">
        <f>IFERROR((Y63-X63)/Z63,0)</f>
        <v>0</v>
      </c>
      <c r="AE63" s="7">
        <f>AB63+AD63</f>
        <v>-0.000006714941584972799</v>
      </c>
      <c r="AF63" s="7">
        <f>(1+Q63)*(1+AE63)-1</f>
        <v>0.02000426797231314</v>
      </c>
      <c r="AG63" s="7">
        <f>G63-AF63</f>
        <v>1.7694179454963432e-16</v>
      </c>
      <c r="AH63" s="5">
        <f>SUM(IF(BQ63="lease",CE63,0),IF(CS63="lease",DG63,0),IF(DU63="lease",EI63,0),IF(EW63="lease",FK63,0),IF(FY63="lease",GM63,0),IF(HA63="lease",HO63,0),IF(IC63="lease",IQ63,0),IF(JE63="lease",JS63,0),IF(KG63="lease",KU63,0),IF(LI63="lease",LW63,0))</f>
        <v>0.024604660084427667</v>
      </c>
      <c r="AI63" s="5">
        <f>SUM(IF(BQ63="keep",CE63,0),IF(CS63="keep",DG63,0),IF(DU63="keep",EI63,0),IF(EW63="keep",FK63,0),IF(FY63="keep",GM63,0),IF(HA63="keep",HO63,0),IF(IC63="keep",IQ63,0),IF(JE63="keep",JS63,0),IF(KG63="keep",KU63,0),IF(LI63="keep",LW63,0))</f>
        <v>0</v>
      </c>
      <c r="AJ63" s="5">
        <f>SUM(IF(BQ63="lease",CH63,0),IF(CS63="lease",DJ63,0),IF(DU63="lease",EL63,0),IF(EW63="lease",FN63,0),IF(FY63="lease",GP63,0),IF(HA63="lease",HR63,0),IF(IC63="lease",IT63,0),IF(JE63="lease",JV63,0),IF(KG63="lease",KX63,0),IF(LI63="lease",LZ63,0))</f>
        <v>0</v>
      </c>
      <c r="AK63" s="5">
        <f>SUM(IF(BQ63="keep",CH63,0),IF(CS63="keep",DJ63,0),IF(DU63="keep",EL63,0),IF(EW63="keep",FN63,0),IF(FY63="keep",GP63,0),IF(HA63="keep",HR63,0),IF(IC63="keep",IT63,0),IF(JE63="keep",JV63,0),IF(KG63="keep",KX63,0),IF(LI63="keep",LZ63,0))</f>
        <v>0</v>
      </c>
      <c r="AL63" s="5">
        <f>R63-S62</f>
        <v>0</v>
      </c>
      <c r="AM63" s="5">
        <f>T63-U62</f>
        <v>0</v>
      </c>
      <c r="AN63" s="5">
        <f>AN62</f>
        <v>1</v>
      </c>
      <c r="AO63" s="5">
        <f>AO62+AH63</f>
        <v>0.25457519029735404</v>
      </c>
      <c r="AP63" s="5">
        <f>AP62+AL63</f>
        <v>-6.661338147750939e-16</v>
      </c>
      <c r="AQ63" s="5">
        <f>AN63+AO63+AP63</f>
        <v>1.2545751902973534</v>
      </c>
      <c r="AR63" s="5">
        <f>S63-AQ63</f>
        <v>2.220446049250313e-16</v>
      </c>
      <c r="AS63" s="5">
        <f>AS62</f>
        <v>0</v>
      </c>
      <c r="AT63" s="5">
        <f>AT62+AI63</f>
        <v>0</v>
      </c>
      <c r="AU63" s="5">
        <f>AU62+AM63</f>
        <v>0</v>
      </c>
      <c r="AV63" s="5">
        <f>AS63+AT63+AU63</f>
        <v>0</v>
      </c>
      <c r="AW63" s="5">
        <f>U63-AV63</f>
        <v>0</v>
      </c>
      <c r="AX63" s="4">
        <v>1.229970530212926</v>
      </c>
      <c r="AY63" s="4">
        <v>1.2545751902973536</v>
      </c>
      <c r="AZ63" s="5">
        <f>S63-AY63</f>
        <v>0</v>
      </c>
      <c r="BA63" s="4">
        <v>0</v>
      </c>
      <c r="BB63" s="4">
        <v>0</v>
      </c>
      <c r="BC63" s="5">
        <f>U63-BB63</f>
        <v>0</v>
      </c>
      <c r="BD63" s="7">
        <f>SUM(IF(BP63="direct",CC63/F63,0),IF(CR63="direct",DE63/F63,0),IF(DT63="direct",EG63/F63,0),IF(EV63="direct",FI63/F63,0),IF(FX63="direct",GK63/F63,0),IF(GZ63="direct",HM63/F63,0),IF(IB63="direct",IO63/F63,0),IF(JD63="direct",JQ63/F63,0),IF(KF63="direct",KS63/F63,0),IF(LH63="direct",LU63/F63,0))</f>
        <v>0.020011117287381898</v>
      </c>
      <c r="BE63" s="7">
        <f>-SUM(IF(BP63="direct",CD63/F63,0),IF(CR63="direct",DF63/F63,0),IF(DT63="direct",EH63/F63,0),IF(EV63="direct",FJ63/F63,0),IF(FX63="direct",GL63/F63,0),IF(GZ63="direct",HN63/F63,0),IF(IB63="direct",IP63/F63,0),IF(JD63="direct",JR63/F63,0),IF(KF63="direct",KT63/F63,0),IF(LH63="direct",LV63/F63,0))</f>
        <v>-0.00000684931506849315</v>
      </c>
      <c r="BF63" s="7">
        <f>BD63+BE63</f>
        <v>0.020004267972313406</v>
      </c>
      <c r="BG63" s="7">
        <f>BF63-SUM(IF(BP63="direct",CP63,0),IF(CR63="direct",DR63,0),IF(DT63="direct",ET63,0),IF(EV63="direct",FV63,0),IF(FX63="direct",GX63,0),IF(GZ63="direct",HZ63,0),IF(IB63="direct",JB63,0),IF(JD63="direct",KD63,0),IF(KF63="direct",LF63,0),IF(LH63="direct",MH63,0))</f>
        <v>9.020562075079397e-17</v>
      </c>
      <c r="BH63" s="7">
        <f>SUM(IF(BP63="treasury",CP63,0),IF(CR63="treasury",DR63,0),IF(DT63="treasury",ET63,0),IF(EV63="treasury",FV63,0),IF(FX63="treasury",GX63,0),IF(GZ63="treasury",HZ63,0),IF(IB63="treasury",JB63,0),IF(JD63="treasury",KD63,0),IF(KF63="treasury",LF63,0),IF(LH63="treasury",MH63,0))</f>
        <v>0</v>
      </c>
      <c r="BI63" s="7">
        <f>SUM(IF(BP63="future",CP63,0),IF(CR63="future",DR63,0),IF(DT63="future",ET63,0),IF(EV63="future",FV63,0),IF(FX63="future",GX63,0),IF(GZ63="future",HZ63,0),IF(IB63="future",JB63,0),IF(JD63="future",KD63,0),IF(KF63="future",LF63,0),IF(LH63="future",MH63,0))</f>
        <v>0</v>
      </c>
      <c r="BJ63" s="7">
        <f>SUM(IF(BP63="cash",CP63,0),IF(CR63="cash",DR63,0),IF(DT63="cash",ET63,0),IF(EV63="cash",FV63,0),IF(FX63="cash",GX63,0),IF(GZ63="cash",HZ63,0),IF(IB63="cash",JB63,0),IF(JD63="cash",KD63,0),IF(KF63="cash",LF63,0),IF(LH63="cash",MH63,0))</f>
        <v>0</v>
      </c>
      <c r="BK63" s="7">
        <f>SUM(BF63,BH63,BI63,BJ63)</f>
        <v>0.020004267972313316</v>
      </c>
      <c r="BL63" s="7">
        <f>G63-BK63</f>
        <v>0</v>
      </c>
      <c r="BM63" s="5">
        <f>MAX(ABS(CG63),ABS(DI63),ABS(EK63),ABS(FM63),ABS(GO63),ABS(HQ63),ABS(IS63),ABS(JU63),ABS(KW63),ABS(LY63))</f>
        <v>1.0897756492784377e-16</v>
      </c>
      <c r="BN63" s="9">
        <f>COUNTA(BO63,CQ63,DS63,EU63,FW63,GY63,IA63,JC63,KE63,LG63)</f>
        <v>3</v>
      </c>
      <c r="BO63" t="inlineStr">
        <is>
          <t xml:space="preserve">Direct commodity holding</t>
        </is>
      </c>
      <c r="BP63" t="inlineStr">
        <is>
          <t xml:space="preserve">direct</t>
        </is>
      </c>
      <c r="BQ63" t="inlineStr">
        <is>
          <t xml:space="preserve">lease</t>
        </is>
      </c>
      <c r="BR63" t="inlineStr">
        <is>
          <t xml:space="preserve">long</t>
        </is>
      </c>
      <c r="BS63"/>
      <c r="BT63" s="4">
        <v>1.799</v>
      </c>
      <c r="BU63" s="4">
        <v>1.835</v>
      </c>
      <c r="BV63" s="6">
        <v>0.0025</v>
      </c>
      <c r="BW63" s="4">
        <v>0.6836967927809484</v>
      </c>
      <c r="BX63" s="5">
        <f>IF(BP63="direct",IFERROR(CD63/BU63,0),0)</f>
        <v>0.000004590984025280602</v>
      </c>
      <c r="BY63" s="5">
        <f>IF(BP63="direct",BW63-BX63,IF(BP63="cash",CI63,BW63))</f>
        <v>0.6836922017969231</v>
      </c>
      <c r="BZ63" s="6">
        <v>1</v>
      </c>
      <c r="CA63" s="4">
        <v>1.2299705302129262</v>
      </c>
      <c r="CB63" s="4">
        <v>1.2299705302129262</v>
      </c>
      <c r="CC63" s="5">
        <f>IF(BP63="direct",BW63*(BU63-BT63),CF63)</f>
        <v>0.024613084540114166</v>
      </c>
      <c r="CD63" s="5">
        <f>IF(BP63="direct",CB63*BV63*C63/365,0)</f>
        <v>0.000008424455686389905</v>
      </c>
      <c r="CE63" s="5">
        <f>CC63-CD63</f>
        <v>0.024604660084427667</v>
      </c>
      <c r="CF63" s="4">
        <v>0.024604660084427667</v>
      </c>
      <c r="CG63" s="5">
        <f>CF63-CE63</f>
        <v>-1.0897756492784377e-16</v>
      </c>
      <c r="CH63" s="4">
        <v>0</v>
      </c>
      <c r="CI63" s="4">
        <v>1.2545751902973539</v>
      </c>
      <c r="CJ63" s="4">
        <v>1.799</v>
      </c>
      <c r="CK63" s="4">
        <v>1.835</v>
      </c>
      <c r="CL63" s="6"/>
      <c r="CM63" s="6"/>
      <c r="CN63" s="6"/>
      <c r="CO63" s="9"/>
      <c r="CP63" s="7">
        <f>IFERROR(CE63/F63,0)</f>
        <v>0.020004267972313316</v>
      </c>
      <c r="CQ63" t="inlineStr">
        <is>
          <t xml:space="preserve">Lease cash / margin / financing</t>
        </is>
      </c>
      <c r="CR63" t="inlineStr">
        <is>
          <t xml:space="preserve">cash</t>
        </is>
      </c>
      <c r="CS63" t="inlineStr">
        <is>
          <t xml:space="preserve">lease</t>
        </is>
      </c>
      <c r="CT63" t="inlineStr">
        <is>
          <t xml:space="preserve">cash</t>
        </is>
      </c>
      <c r="CU63"/>
      <c r="CV63" s="4">
        <v>1</v>
      </c>
      <c r="CW63" s="4">
        <v>1</v>
      </c>
      <c r="CX63" s="6"/>
      <c r="CY63" s="4">
        <v>-2.220446049250313e-16</v>
      </c>
      <c r="CZ63" s="5">
        <f>IF(CR63="direct",IFERROR(DF63/CW63,0),0)</f>
        <v>0</v>
      </c>
      <c r="DA63" s="5">
        <f>IF(CR63="direct",CY63-CZ63,IF(CR63="cash",DK63,CY63))</f>
        <v>-2.220446049250313e-16</v>
      </c>
      <c r="DB63" s="6"/>
      <c r="DC63" s="4">
        <v>-2.220446049250313e-16</v>
      </c>
      <c r="DD63" s="4">
        <v>-2.220446049250313e-16</v>
      </c>
      <c r="DE63" s="5">
        <f>IF(CR63="direct",CY63*(CW63-CV63),DH63)</f>
        <v>0</v>
      </c>
      <c r="DF63" s="5">
        <f>IF(CR63="direct",DD63*CX63*C63/365,0)</f>
        <v>0</v>
      </c>
      <c r="DG63" s="5">
        <f>DE63-DF63</f>
        <v>0</v>
      </c>
      <c r="DH63" s="4">
        <v>0</v>
      </c>
      <c r="DI63" s="5">
        <f>DH63-DG63</f>
        <v>0</v>
      </c>
      <c r="DJ63" s="4">
        <v>0</v>
      </c>
      <c r="DK63" s="4">
        <v>-2.220446049250313e-16</v>
      </c>
      <c r="DL63" s="4">
        <v>1.799</v>
      </c>
      <c r="DM63" s="4">
        <v>1.835</v>
      </c>
      <c r="DN63" s="6"/>
      <c r="DO63" s="6"/>
      <c r="DP63" s="6"/>
      <c r="DQ63" s="9"/>
      <c r="DR63" s="7">
        <f>IFERROR(DG63/F63,0)</f>
        <v>0</v>
      </c>
      <c r="DS63" t="inlineStr">
        <is>
          <t xml:space="preserve">Keep cash / margin / financing</t>
        </is>
      </c>
      <c r="DT63" t="inlineStr">
        <is>
          <t xml:space="preserve">cash</t>
        </is>
      </c>
      <c r="DU63" t="inlineStr">
        <is>
          <t xml:space="preserve">keep</t>
        </is>
      </c>
      <c r="DV63" t="inlineStr">
        <is>
          <t xml:space="preserve">cash</t>
        </is>
      </c>
      <c r="DW63"/>
      <c r="DX63" s="4">
        <v>1</v>
      </c>
      <c r="DY63" s="4">
        <v>1</v>
      </c>
      <c r="DZ63" s="6"/>
      <c r="EA63" s="4">
        <v>0</v>
      </c>
      <c r="EB63" s="5">
        <f>IF(DT63="direct",IFERROR(EH63/DY63,0),0)</f>
        <v>0</v>
      </c>
      <c r="EC63" s="5">
        <f>IF(DT63="direct",EA63-EB63,IF(DT63="cash",EM63,EA63))</f>
        <v>0</v>
      </c>
      <c r="ED63" s="6"/>
      <c r="EE63" s="4">
        <v>0</v>
      </c>
      <c r="EF63" s="4">
        <v>0</v>
      </c>
      <c r="EG63" s="5">
        <f>IF(DT63="direct",EA63*(DY63-DX63),EJ63)</f>
        <v>0</v>
      </c>
      <c r="EH63" s="5">
        <f>IF(DT63="direct",EF63*DZ63*C63/365,0)</f>
        <v>0</v>
      </c>
      <c r="EI63" s="5">
        <f>EG63-EH63</f>
        <v>0</v>
      </c>
      <c r="EJ63" s="4">
        <v>0</v>
      </c>
      <c r="EK63" s="5">
        <f>EJ63-EI63</f>
        <v>0</v>
      </c>
      <c r="EL63" s="4">
        <v>0</v>
      </c>
      <c r="EM63" s="4">
        <v>0</v>
      </c>
      <c r="EN63" s="4">
        <v>1.799</v>
      </c>
      <c r="EO63" s="4">
        <v>1.835</v>
      </c>
      <c r="EP63" s="6"/>
      <c r="EQ63" s="6"/>
      <c r="ER63" s="6"/>
      <c r="ES63" s="9"/>
      <c r="ET63" s="7">
        <f>IFERROR(EI63/F63,0)</f>
        <v>0</v>
      </c>
      <c r="EU63"/>
      <c r="EV63"/>
      <c r="EW63"/>
      <c r="EX63"/>
      <c r="EY63"/>
      <c r="EZ63" s="4"/>
      <c r="FA63" s="4"/>
      <c r="FB63" s="6"/>
      <c r="FC63" s="4"/>
      <c r="FD63" s="5">
        <v>0</v>
      </c>
      <c r="FE63" s="5"/>
      <c r="FF63" s="6"/>
      <c r="FG63" s="4"/>
      <c r="FH63" s="4"/>
      <c r="FI63" s="5">
        <v>0</v>
      </c>
      <c r="FJ63" s="5">
        <v>0</v>
      </c>
      <c r="FK63" s="5"/>
      <c r="FL63" s="4"/>
      <c r="FM63" s="5">
        <v>0</v>
      </c>
      <c r="FN63" s="4"/>
      <c r="FO63" s="4"/>
      <c r="FP63" s="4"/>
      <c r="FQ63" s="4"/>
      <c r="FR63" s="6"/>
      <c r="FS63" s="6"/>
      <c r="FT63" s="6"/>
      <c r="FU63" s="9"/>
      <c r="FV63"/>
      <c r="FW63"/>
      <c r="FX63"/>
      <c r="FY63"/>
      <c r="FZ63"/>
      <c r="GA63"/>
      <c r="GB63" s="4"/>
      <c r="GC63" s="4"/>
      <c r="GD63" s="6"/>
      <c r="GE63" s="4"/>
      <c r="GF63" s="5">
        <v>0</v>
      </c>
      <c r="GG63" s="5"/>
      <c r="GH63" s="6"/>
      <c r="GI63" s="4"/>
      <c r="GJ63" s="4"/>
      <c r="GK63" s="5">
        <v>0</v>
      </c>
      <c r="GL63" s="5">
        <v>0</v>
      </c>
      <c r="GM63" s="5"/>
      <c r="GN63" s="4"/>
      <c r="GO63" s="5">
        <v>0</v>
      </c>
      <c r="GP63" s="4"/>
      <c r="GQ63" s="4"/>
      <c r="GR63" s="4"/>
      <c r="GS63" s="4"/>
      <c r="GT63" s="6"/>
      <c r="GU63" s="6"/>
      <c r="GV63" s="6"/>
      <c r="GW63" s="9"/>
      <c r="GX63"/>
      <c r="GY63"/>
      <c r="GZ63"/>
      <c r="HA63"/>
      <c r="HB63"/>
      <c r="HC63"/>
      <c r="HD63" s="4"/>
      <c r="HE63" s="4"/>
      <c r="HF63" s="6"/>
      <c r="HG63" s="4"/>
      <c r="HH63" s="5">
        <v>0</v>
      </c>
      <c r="HI63" s="5"/>
      <c r="HJ63" s="6"/>
      <c r="HK63" s="4"/>
      <c r="HL63" s="4"/>
      <c r="HM63" s="5">
        <v>0</v>
      </c>
      <c r="HN63" s="5">
        <v>0</v>
      </c>
      <c r="HO63" s="5"/>
      <c r="HP63" s="4"/>
      <c r="HQ63" s="5">
        <v>0</v>
      </c>
      <c r="HR63" s="4"/>
      <c r="HS63" s="4"/>
      <c r="HT63" s="4"/>
      <c r="HU63" s="4"/>
      <c r="HV63" s="6"/>
      <c r="HW63" s="6"/>
      <c r="HX63" s="6"/>
      <c r="HY63" s="9"/>
      <c r="HZ63"/>
      <c r="IA63"/>
      <c r="IB63"/>
      <c r="IC63"/>
      <c r="ID63"/>
      <c r="IE63"/>
      <c r="IF63" s="4"/>
      <c r="IG63" s="4"/>
      <c r="IH63" s="6"/>
      <c r="II63" s="4"/>
      <c r="IJ63" s="5">
        <v>0</v>
      </c>
      <c r="IK63" s="5"/>
      <c r="IL63" s="6"/>
      <c r="IM63" s="4"/>
      <c r="IN63" s="4"/>
      <c r="IO63" s="5">
        <v>0</v>
      </c>
      <c r="IP63" s="5">
        <v>0</v>
      </c>
      <c r="IQ63" s="5"/>
      <c r="IR63" s="4"/>
      <c r="IS63" s="5">
        <v>0</v>
      </c>
      <c r="IT63" s="4"/>
      <c r="IU63" s="4"/>
      <c r="IV63" s="4"/>
      <c r="IW63" s="4"/>
      <c r="IX63" s="6"/>
      <c r="IY63" s="6"/>
      <c r="IZ63" s="6"/>
      <c r="JA63" s="9"/>
      <c r="JB63"/>
      <c r="JC63"/>
      <c r="JD63"/>
      <c r="JE63"/>
      <c r="JF63"/>
      <c r="JG63"/>
      <c r="JH63" s="4"/>
      <c r="JI63" s="4"/>
      <c r="JJ63" s="6"/>
      <c r="JK63" s="4"/>
      <c r="JL63" s="5">
        <v>0</v>
      </c>
      <c r="JM63" s="5"/>
      <c r="JN63" s="6"/>
      <c r="JO63" s="4"/>
      <c r="JP63" s="4"/>
      <c r="JQ63" s="5">
        <v>0</v>
      </c>
      <c r="JR63" s="5">
        <v>0</v>
      </c>
      <c r="JS63" s="5"/>
      <c r="JT63" s="4"/>
      <c r="JU63" s="5">
        <v>0</v>
      </c>
      <c r="JV63" s="4"/>
      <c r="JW63" s="4"/>
      <c r="JX63" s="4"/>
      <c r="JY63" s="4"/>
      <c r="JZ63" s="6"/>
      <c r="KA63" s="6"/>
      <c r="KB63" s="6"/>
      <c r="KC63" s="9"/>
      <c r="KD63"/>
      <c r="KE63"/>
      <c r="KF63"/>
      <c r="KG63"/>
      <c r="KH63"/>
      <c r="KI63"/>
      <c r="KJ63" s="4"/>
      <c r="KK63" s="4"/>
      <c r="KL63" s="6"/>
      <c r="KM63" s="4"/>
      <c r="KN63" s="5">
        <v>0</v>
      </c>
      <c r="KO63" s="5"/>
      <c r="KP63" s="6"/>
      <c r="KQ63" s="4"/>
      <c r="KR63" s="4"/>
      <c r="KS63" s="5">
        <v>0</v>
      </c>
      <c r="KT63" s="5">
        <v>0</v>
      </c>
      <c r="KU63" s="5"/>
      <c r="KV63" s="4"/>
      <c r="KW63" s="5">
        <v>0</v>
      </c>
      <c r="KX63" s="4"/>
      <c r="KY63" s="4"/>
      <c r="KZ63" s="4"/>
      <c r="LA63" s="4"/>
      <c r="LB63" s="6"/>
      <c r="LC63" s="6"/>
      <c r="LD63" s="6"/>
      <c r="LE63" s="9"/>
      <c r="LF63"/>
      <c r="LG63"/>
      <c r="LH63"/>
      <c r="LI63"/>
      <c r="LJ63"/>
      <c r="LK63"/>
      <c r="LL63" s="4"/>
      <c r="LM63" s="4"/>
      <c r="LN63" s="6"/>
      <c r="LO63" s="4"/>
      <c r="LP63" s="5">
        <v>0</v>
      </c>
      <c r="LQ63" s="5"/>
      <c r="LR63" s="6"/>
      <c r="LS63" s="4"/>
      <c r="LT63" s="4"/>
      <c r="LU63" s="5">
        <v>0</v>
      </c>
      <c r="LV63" s="5">
        <v>0</v>
      </c>
      <c r="LW63" s="5"/>
      <c r="LX63" s="4"/>
      <c r="LY63" s="5">
        <v>0</v>
      </c>
      <c r="LZ63" s="4"/>
      <c r="MA63" s="4"/>
      <c r="MB63" s="4"/>
      <c r="MC63" s="4"/>
      <c r="MD63" s="6"/>
      <c r="ME63" s="6"/>
      <c r="MF63" s="6"/>
      <c r="MG63" s="9"/>
      <c r="MH63"/>
    </row>
    <row r="64">
      <c r="A64" s="8">
        <v>25296</v>
      </c>
      <c r="B64" s="8">
        <v>25301</v>
      </c>
      <c r="C64" s="9">
        <f>B64-A64</f>
        <v>5</v>
      </c>
      <c r="D64" s="8">
        <v>25296</v>
      </c>
      <c r="E64" t="inlineStr">
        <is>
          <t xml:space="preserve">positive</t>
        </is>
      </c>
      <c r="F64" s="4">
        <v>1.2545751902973539</v>
      </c>
      <c r="G64" s="6">
        <v>-0.012317166217148203</v>
      </c>
      <c r="H64" s="7">
        <f>SUM(CP64,DR64,ET64,FV64,GX64,HZ64,JB64,KD64,LF64,MH64)</f>
        <v>-0.012317166217148203</v>
      </c>
      <c r="I64" s="7">
        <f>G64-H64</f>
        <v>0</v>
      </c>
      <c r="J64" s="5">
        <f>F64*(1+H64)</f>
        <v>1.239122379146551</v>
      </c>
      <c r="K64" s="4">
        <v>1.239122379146551</v>
      </c>
      <c r="L64" s="5">
        <f>K64-J64</f>
        <v>0</v>
      </c>
      <c r="M64" s="4">
        <v>1.835</v>
      </c>
      <c r="N64" s="4">
        <v>1.826</v>
      </c>
      <c r="O64" s="5">
        <f>M64/$M$3</f>
        <v>0.9371807967313586</v>
      </c>
      <c r="P64" s="5">
        <f>N64/$M$3</f>
        <v>0.9325842696629214</v>
      </c>
      <c r="Q64" s="7">
        <f>IFERROR(N64/M64-1,0)</f>
        <v>-0.004904632152588517</v>
      </c>
      <c r="R64" s="5">
        <f>SUM(IF(BQ64="lease",CB64,0),IF(CS64="lease",DD64,0),IF(DU64="lease",EF64,0),IF(EW64="lease",FH64,0),IF(FY64="lease",GJ64,0),IF(HA64="lease",HL64,0),IF(IC64="lease",IN64,0),IF(JE64="lease",JP64,0),IF(KG64="lease",KR64,0),IF(LI64="lease",LT64,0))</f>
        <v>1.2545751902973536</v>
      </c>
      <c r="S64" s="5">
        <f>SUM(IF(BQ64="lease",CI64,0),IF(CS64="lease",DK64,0),IF(DU64="lease",EM64,0),IF(EW64="lease",FO64,0),IF(FY64="lease",GQ64,0),IF(HA64="lease",HS64,0),IF(IC64="lease",IU64,0),IF(JE64="lease",JW64,0),IF(KG64="lease",KY64,0),IF(LI64="lease",MA64,0))</f>
        <v>1.2391223791465509</v>
      </c>
      <c r="T64" s="5">
        <f>SUM(IF(BQ64="keep",CB64,0),IF(CS64="keep",DD64,0),IF(DU64="keep",EF64,0),IF(EW64="keep",FH64,0),IF(FY64="keep",GJ64,0),IF(HA64="keep",HL64,0),IF(IC64="keep",IN64,0),IF(JE64="keep",JP64,0),IF(KG64="keep",KR64,0),IF(LI64="keep",LT64,0))</f>
        <v>0</v>
      </c>
      <c r="U64" s="5">
        <f>SUM(IF(BQ64="keep",CI64,0),IF(CS64="keep",DK64,0),IF(DU64="keep",EM64,0),IF(EW64="keep",FO64,0),IF(FY64="keep",GQ64,0),IF(HA64="keep",HS64,0),IF(IC64="keep",IU64,0),IF(JE64="keep",JW64,0),IF(KG64="keep",KY64,0),IF(LI64="keep",MA64,0))</f>
        <v>0</v>
      </c>
      <c r="V64" s="5">
        <f>R64/O64</f>
        <v>1.338669331118375</v>
      </c>
      <c r="W64" s="5">
        <f>S64/P64</f>
        <v>1.3286974908920846</v>
      </c>
      <c r="X64" s="5">
        <f>T64/O64</f>
        <v>0</v>
      </c>
      <c r="Y64" s="5">
        <f>U64/P64</f>
        <v>0</v>
      </c>
      <c r="Z64" s="5">
        <f>V64+X64</f>
        <v>1.338669331118375</v>
      </c>
      <c r="AA64" s="7">
        <f>IFERROR(W64/V64-1,0)</f>
        <v>-0.007449069007922748</v>
      </c>
      <c r="AB64" s="7">
        <f>IFERROR((W64-V64)/Z64,0)</f>
        <v>-0.007449069007922698</v>
      </c>
      <c r="AC64" s="7">
        <f>IFERROR(Y64/X64-1,0)</f>
        <v>0</v>
      </c>
      <c r="AD64" s="7">
        <f>IFERROR((Y64-X64)/Z64,0)</f>
        <v>0</v>
      </c>
      <c r="AE64" s="7">
        <f>AB64+AD64</f>
        <v>-0.007449069007922698</v>
      </c>
      <c r="AF64" s="7">
        <f>(1+Q64)*(1+AE64)-1</f>
        <v>-0.012317166217148179</v>
      </c>
      <c r="AG64" s="7">
        <f>G64-AF64</f>
        <v>-2.42861286636753e-17</v>
      </c>
      <c r="AH64" s="5">
        <f>SUM(IF(BQ64="lease",CE64,0),IF(CS64="lease",DG64,0),IF(DU64="lease",EI64,0),IF(EW64="lease",FK64,0),IF(FY64="lease",GM64,0),IF(HA64="lease",HO64,0),IF(IC64="lease",IQ64,0),IF(JE64="lease",JS64,0),IF(KG64="lease",KU64,0),IF(LI64="lease",LW64,0))</f>
        <v>-0.015452811150802846</v>
      </c>
      <c r="AI64" s="5">
        <f>SUM(IF(BQ64="keep",CE64,0),IF(CS64="keep",DG64,0),IF(DU64="keep",EI64,0),IF(EW64="keep",FK64,0),IF(FY64="keep",GM64,0),IF(HA64="keep",HO64,0),IF(IC64="keep",IQ64,0),IF(JE64="keep",JS64,0),IF(KG64="keep",KU64,0),IF(LI64="keep",LW64,0))</f>
        <v>0</v>
      </c>
      <c r="AJ64" s="5">
        <f>SUM(IF(BQ64="lease",CH64,0),IF(CS64="lease",DJ64,0),IF(DU64="lease",EL64,0),IF(EW64="lease",FN64,0),IF(FY64="lease",GP64,0),IF(HA64="lease",HR64,0),IF(IC64="lease",IT64,0),IF(JE64="lease",JV64,0),IF(KG64="lease",KX64,0),IF(LI64="lease",LZ64,0))</f>
        <v>0</v>
      </c>
      <c r="AK64" s="5">
        <f>SUM(IF(BQ64="keep",CH64,0),IF(CS64="keep",DJ64,0),IF(DU64="keep",EL64,0),IF(EW64="keep",FN64,0),IF(FY64="keep",GP64,0),IF(HA64="keep",HR64,0),IF(IC64="keep",IT64,0),IF(JE64="keep",JV64,0),IF(KG64="keep",KX64,0),IF(LI64="keep",LZ64,0))</f>
        <v>0</v>
      </c>
      <c r="AL64" s="5">
        <f>R64-S63</f>
        <v>0</v>
      </c>
      <c r="AM64" s="5">
        <f>T64-U63</f>
        <v>0</v>
      </c>
      <c r="AN64" s="5">
        <f>AN63</f>
        <v>1</v>
      </c>
      <c r="AO64" s="5">
        <f>AO63+AH64</f>
        <v>0.23912237914655118</v>
      </c>
      <c r="AP64" s="5">
        <f>AP63+AL64</f>
        <v>-6.661338147750939e-16</v>
      </c>
      <c r="AQ64" s="5">
        <f>AN64+AO64+AP64</f>
        <v>1.2391223791465504</v>
      </c>
      <c r="AR64" s="5">
        <f>S64-AQ64</f>
        <v>4.440892098500626e-16</v>
      </c>
      <c r="AS64" s="5">
        <f>AS63</f>
        <v>0</v>
      </c>
      <c r="AT64" s="5">
        <f>AT63+AI64</f>
        <v>0</v>
      </c>
      <c r="AU64" s="5">
        <f>AU63+AM64</f>
        <v>0</v>
      </c>
      <c r="AV64" s="5">
        <f>AS64+AT64+AU64</f>
        <v>0</v>
      </c>
      <c r="AW64" s="5">
        <f>U64-AV64</f>
        <v>0</v>
      </c>
      <c r="AX64" s="4">
        <v>1.2545751902973536</v>
      </c>
      <c r="AY64" s="4">
        <v>1.2391223791465509</v>
      </c>
      <c r="AZ64" s="5">
        <f>S64-AY64</f>
        <v>0</v>
      </c>
      <c r="BA64" s="4">
        <v>0</v>
      </c>
      <c r="BB64" s="4">
        <v>0</v>
      </c>
      <c r="BC64" s="5">
        <f>U64-BB64</f>
        <v>0</v>
      </c>
      <c r="BD64" s="7">
        <f>SUM(IF(BP64="direct",CC64/F64,0),IF(CR64="direct",DE64/F64,0),IF(DT64="direct",EG64/F64,0),IF(EV64="direct",FI64/F64,0),IF(FX64="direct",GK64/F64,0),IF(GZ64="direct",HM64/F64,0),IF(IB64="direct",IO64/F64,0),IF(JD64="direct",JQ64/F64,0),IF(KF64="direct",KS64/F64,0),IF(LH64="direct",LU64/F64,0))</f>
        <v>-0.001139568257919431</v>
      </c>
      <c r="BE64" s="7">
        <f>-SUM(IF(BP64="direct",CD64/F64,0),IF(CR64="direct",DF64/F64,0),IF(DT64="direct",EH64/F64,0),IF(EV64="direct",FJ64/F64,0),IF(FX64="direct",GL64/F64,0),IF(GZ64="direct",HN64/F64,0),IF(IB64="direct",IP64/F64,0),IF(JD64="direct",JR64/F64,0),IF(KF64="direct",KT64/F64,0),IF(LH64="direct",LV64/F64,0))</f>
        <v>-0.00000795703102466583</v>
      </c>
      <c r="BF64" s="7">
        <f>BD64+BE64</f>
        <v>-0.0011475252889440967</v>
      </c>
      <c r="BG64" s="7">
        <f>BF64-SUM(IF(BP64="direct",CP64,0),IF(CR64="direct",DR64,0),IF(DT64="direct",ET64,0),IF(EV64="direct",FV64,0),IF(FX64="direct",GX64,0),IF(GZ64="direct",HZ64,0),IF(IB64="direct",JB64,0),IF(JD64="direct",KD64,0),IF(KF64="direct",LF64,0),IF(LH64="direct",MH64,0))</f>
        <v>3.903127820947816e-18</v>
      </c>
      <c r="BH64" s="7">
        <f>SUM(IF(BP64="treasury",CP64,0),IF(CR64="treasury",DR64,0),IF(DT64="treasury",ET64,0),IF(EV64="treasury",FV64,0),IF(FX64="treasury",GX64,0),IF(GZ64="treasury",HZ64,0),IF(IB64="treasury",JB64,0),IF(JD64="treasury",KD64,0),IF(KF64="treasury",LF64,0),IF(LH64="treasury",MH64,0))</f>
        <v>0.0006404132995816061</v>
      </c>
      <c r="BI64" s="7">
        <f>SUM(IF(BP64="future",CP64,0),IF(CR64="future",DR64,0),IF(DT64="future",ET64,0),IF(EV64="future",FV64,0),IF(FX64="future",GX64,0),IF(GZ64="future",HZ64,0),IF(IB64="future",JB64,0),IF(JD64="future",KD64,0),IF(KF64="future",LF64,0),IF(LH64="future",MH64,0))</f>
        <v>-0.011810054227785709</v>
      </c>
      <c r="BJ64" s="7">
        <f>SUM(IF(BP64="cash",CP64,0),IF(CR64="cash",DR64,0),IF(DT64="cash",ET64,0),IF(EV64="cash",FV64,0),IF(FX64="cash",GX64,0),IF(GZ64="cash",HZ64,0),IF(IB64="cash",JB64,0),IF(JD64="cash",KD64,0),IF(KF64="cash",LF64,0),IF(LH64="cash",MH64,0))</f>
        <v>0</v>
      </c>
      <c r="BK64" s="7">
        <f>SUM(BF64,BH64,BI64,BJ64)</f>
        <v>-0.012317166217148203</v>
      </c>
      <c r="BL64" s="7">
        <f>G64-BK64</f>
        <v>0</v>
      </c>
      <c r="BM64" s="5">
        <f>MAX(ABS(CG64),ABS(DI64),ABS(EK64),ABS(FM64),ABS(GO64),ABS(HQ64),ABS(IS64),ABS(JU64),ABS(KW64),ABS(LY64))</f>
        <v>1.0430024899310553e-16</v>
      </c>
      <c r="BN64" s="9">
        <f>COUNTA(BO64,CQ64,DS64,EU64,FW64,GY64,IA64,JC64,KE64,LG64)</f>
        <v>7</v>
      </c>
      <c r="BO64" t="inlineStr">
        <is>
          <t xml:space="preserve">Direct commodity holding</t>
        </is>
      </c>
      <c r="BP64" t="inlineStr">
        <is>
          <t xml:space="preserve">direct</t>
        </is>
      </c>
      <c r="BQ64" t="inlineStr">
        <is>
          <t xml:space="preserve">lease</t>
        </is>
      </c>
      <c r="BR64" t="inlineStr">
        <is>
          <t xml:space="preserve">long</t>
        </is>
      </c>
      <c r="BS64"/>
      <c r="BT64" s="4">
        <v>1.835</v>
      </c>
      <c r="BU64" s="4">
        <v>1.826</v>
      </c>
      <c r="BV64" s="6">
        <v>0.0025</v>
      </c>
      <c r="BW64" s="4">
        <v>0.15885267378179005</v>
      </c>
      <c r="BX64" s="5">
        <f>IF(BP64="direct",IFERROR(CD64/BU64,0),0)</f>
        <v>0.0000054669735552968675</v>
      </c>
      <c r="BY64" s="5">
        <f>IF(BP64="direct",BW64-BX64,IF(BP64="cash",CI64,BW64))</f>
        <v>0.15884720680823475</v>
      </c>
      <c r="BZ64" s="6">
        <v>0.23234530592024216</v>
      </c>
      <c r="CA64" s="4">
        <v>0.2914946563895847</v>
      </c>
      <c r="CB64" s="4">
        <v>0.2914946563895847</v>
      </c>
      <c r="CC64" s="5">
        <f>IF(BP64="direct",BW64*(BU64-BT64),CF64)</f>
        <v>-0.001429674064036094</v>
      </c>
      <c r="CD64" s="5">
        <f>IF(BP64="direct",CB64*BV64*C64/365,0)</f>
        <v>0.000009982693711972081</v>
      </c>
      <c r="CE64" s="5">
        <f>CC64-CD64</f>
        <v>-0.001439656757748071</v>
      </c>
      <c r="CF64" s="4">
        <v>-0.001439656757748071</v>
      </c>
      <c r="CG64" s="5">
        <f>CF64-CE64</f>
        <v>-4.8467225241891065e-18</v>
      </c>
      <c r="CH64" s="4">
        <v>0</v>
      </c>
      <c r="CI64" s="4">
        <v>0.2900549996318367</v>
      </c>
      <c r="CJ64" s="4">
        <v>1.835</v>
      </c>
      <c r="CK64" s="4">
        <v>1.826</v>
      </c>
      <c r="CL64" s="6"/>
      <c r="CM64" s="6"/>
      <c r="CN64" s="6"/>
      <c r="CO64" s="9"/>
      <c r="CP64" s="7">
        <f>IFERROR(CE64/F64,0)</f>
        <v>-0.0011475252889441006</v>
      </c>
      <c r="CQ64" t="inlineStr">
        <is>
          <t xml:space="preserve">Treasury collateral</t>
        </is>
      </c>
      <c r="CR64" t="inlineStr">
        <is>
          <t xml:space="preserve">treasury</t>
        </is>
      </c>
      <c r="CS64" t="inlineStr">
        <is>
          <t xml:space="preserve">lease</t>
        </is>
      </c>
      <c r="CT64" t="inlineStr">
        <is>
          <t xml:space="preserve">long</t>
        </is>
      </c>
      <c r="CU64"/>
      <c r="CV64" s="4">
        <v>101.52975832969568</v>
      </c>
      <c r="CW64" s="4">
        <v>101.61445918287757</v>
      </c>
      <c r="CX64" s="6"/>
      <c r="CY64" s="4">
        <v>0.009485697097597492</v>
      </c>
      <c r="CZ64" s="5">
        <f>IF(CR64="direct",IFERROR(DF64/CW64,0),0)</f>
        <v>0</v>
      </c>
      <c r="DA64" s="5">
        <f>IF(CR64="direct",CY64-CZ64,IF(CR64="cash",DK64,CY64))</f>
        <v>0.009485697097597492</v>
      </c>
      <c r="DB64" s="6">
        <v>0.7676546940797578</v>
      </c>
      <c r="DC64" s="4">
        <v>0.9630805339077692</v>
      </c>
      <c r="DD64" s="4">
        <v>0.9630805339077692</v>
      </c>
      <c r="DE64" s="5">
        <f>IF(CR64="direct",CY64*(CW64-CV64),DH64)</f>
        <v>0.0008034466371914455</v>
      </c>
      <c r="DF64" s="5">
        <f>IF(CR64="direct",DD64*CX64*C64/365,0)</f>
        <v>0</v>
      </c>
      <c r="DG64" s="5">
        <f>DE64-DF64</f>
        <v>0.0008034466371915498</v>
      </c>
      <c r="DH64" s="4">
        <v>0.0008034466371915498</v>
      </c>
      <c r="DI64" s="5">
        <f>DH64-DG64</f>
        <v>1.0430024899310553e-16</v>
      </c>
      <c r="DJ64" s="4">
        <v>-9.812029660993815e-17</v>
      </c>
      <c r="DK64" s="4">
        <v>0.9638839805449606</v>
      </c>
      <c r="DL64" s="4">
        <v>1.835</v>
      </c>
      <c r="DM64" s="4">
        <v>1.826</v>
      </c>
      <c r="DN64" s="6"/>
      <c r="DO64" s="6"/>
      <c r="DP64" s="6"/>
      <c r="DQ64" s="9">
        <v>55</v>
      </c>
      <c r="DR64" s="7">
        <f>IFERROR(DG64/F64,0)</f>
        <v>0.0006404132995816061</v>
      </c>
      <c r="DS64" t="inlineStr">
        <is>
          <t xml:space="preserve">SI69K</t>
        </is>
      </c>
      <c r="DT64" t="inlineStr">
        <is>
          <t xml:space="preserve">future</t>
        </is>
      </c>
      <c r="DU64" t="inlineStr">
        <is>
          <t xml:space="preserve">lease</t>
        </is>
      </c>
      <c r="DV64" t="inlineStr">
        <is>
          <t xml:space="preserve">long</t>
        </is>
      </c>
      <c r="DW64" t="inlineStr">
        <is>
          <t xml:space="preserve">regular</t>
        </is>
      </c>
      <c r="DX64" s="4">
        <v>1.82</v>
      </c>
      <c r="DY64" s="4">
        <v>1.7919999999999998</v>
      </c>
      <c r="DZ64" s="6"/>
      <c r="EA64" s="4">
        <v>0.5291192148678622</v>
      </c>
      <c r="EB64" s="5">
        <f>IF(DT64="direct",IFERROR(EH64/DY64,0),0)</f>
        <v>0</v>
      </c>
      <c r="EC64" s="5">
        <f>IF(DT64="direct",EA64-EB64,IF(DT64="cash",EM64,EA64))</f>
        <v>0.5291192148678622</v>
      </c>
      <c r="ED64" s="6">
        <v>0.7675880875910386</v>
      </c>
      <c r="EE64" s="4">
        <v>0.9629969710595092</v>
      </c>
      <c r="EF64" s="4">
        <v>0</v>
      </c>
      <c r="EG64" s="5">
        <f>IF(DT64="direct",EA64*(DY64-DX64),EJ64)</f>
        <v>-0.014815338016300302</v>
      </c>
      <c r="EH64" s="5">
        <f>IF(DT64="direct",EF64*DZ64*C64/365,0)</f>
        <v>0</v>
      </c>
      <c r="EI64" s="5">
        <f>EG64-EH64</f>
        <v>-0.014815338016300302</v>
      </c>
      <c r="EJ64" s="4">
        <v>-0.014815338016300302</v>
      </c>
      <c r="EK64" s="5">
        <f>EJ64-EI64</f>
        <v>0</v>
      </c>
      <c r="EL64" s="4">
        <v>0.014815338016300302</v>
      </c>
      <c r="EM64" s="4">
        <v>0</v>
      </c>
      <c r="EN64" s="4">
        <v>1.835</v>
      </c>
      <c r="EO64" s="4">
        <v>1.826</v>
      </c>
      <c r="EP64" s="6">
        <v>-0.008174386920980825</v>
      </c>
      <c r="EQ64" s="6">
        <v>0.060899999999999996</v>
      </c>
      <c r="ER64" s="6">
        <v>0.11514820411196366</v>
      </c>
      <c r="ES64" s="9">
        <v>55</v>
      </c>
      <c r="ET64" s="7">
        <f>IFERROR(EI64/F64,0)</f>
        <v>-0.011809047501400723</v>
      </c>
      <c r="EU64" t="inlineStr">
        <is>
          <t xml:space="preserve">SI69N</t>
        </is>
      </c>
      <c r="EV64" t="inlineStr">
        <is>
          <t xml:space="preserve">future</t>
        </is>
      </c>
      <c r="EW64" t="inlineStr">
        <is>
          <t xml:space="preserve">lease</t>
        </is>
      </c>
      <c r="EX64" t="inlineStr">
        <is>
          <t xml:space="preserve">long</t>
        </is>
      </c>
      <c r="EY64" t="inlineStr">
        <is>
          <t xml:space="preserve">regular</t>
        </is>
      </c>
      <c r="EZ64" s="4">
        <v>1.8519999999999999</v>
      </c>
      <c r="FA64" s="4">
        <v>1.824</v>
      </c>
      <c r="FB64" s="6"/>
      <c r="FC64" s="4">
        <v>0.00004487439607996445</v>
      </c>
      <c r="FD64" s="5">
        <f>IF(EV64="direct",IFERROR(FJ64/FA64,0),0)</f>
        <v>0</v>
      </c>
      <c r="FE64" s="5">
        <f>IF(EV64="direct",FC64-FD64,IF(EV64="cash",FO64,FC64))</f>
        <v>0.00004487439607996445</v>
      </c>
      <c r="FF64" s="6">
        <v>0.0000662434441417548</v>
      </c>
      <c r="FG64" s="4">
        <v>0.00008310738154009416</v>
      </c>
      <c r="FH64" s="4">
        <v>0</v>
      </c>
      <c r="FI64" s="5">
        <f>IF(EV64="direct",FC64*(FA64-EZ64),FL64)</f>
        <v>-0.0000012564830902389933</v>
      </c>
      <c r="FJ64" s="5">
        <f>IF(EV64="direct",FH64*FB64*C64/365,0)</f>
        <v>0</v>
      </c>
      <c r="FK64" s="5">
        <f>FI64-FJ64</f>
        <v>-0.0000012564830902389933</v>
      </c>
      <c r="FL64" s="4">
        <v>-0.0000012564830902389933</v>
      </c>
      <c r="FM64" s="5">
        <f>FL64-FK64</f>
        <v>0</v>
      </c>
      <c r="FN64" s="4">
        <v>0.0000012564830902389933</v>
      </c>
      <c r="FO64" s="4">
        <v>0</v>
      </c>
      <c r="FP64" s="4">
        <v>1.835</v>
      </c>
      <c r="FQ64" s="4">
        <v>1.826</v>
      </c>
      <c r="FR64" s="6">
        <v>0.009264305177111742</v>
      </c>
      <c r="FS64" s="6">
        <v>0.06098571428571428</v>
      </c>
      <c r="FT64" s="6">
        <v>0.032084249416946875</v>
      </c>
      <c r="FU64" s="9">
        <v>117</v>
      </c>
      <c r="FV64" s="7">
        <f>IFERROR(FK64/F64,0)</f>
        <v>-0.0000010015207537630226</v>
      </c>
      <c r="FW64" t="inlineStr">
        <is>
          <t xml:space="preserve">SI69U</t>
        </is>
      </c>
      <c r="FX64" t="inlineStr">
        <is>
          <t xml:space="preserve">future</t>
        </is>
      </c>
      <c r="FY64" t="inlineStr">
        <is>
          <t xml:space="preserve">lease</t>
        </is>
      </c>
      <c r="FZ64" t="inlineStr">
        <is>
          <t xml:space="preserve">long</t>
        </is>
      </c>
      <c r="GA64" t="inlineStr">
        <is>
          <t xml:space="preserve">regular</t>
        </is>
      </c>
      <c r="GB64" s="4">
        <v>1.883</v>
      </c>
      <c r="GC64" s="4">
        <v>1.8559999999999999</v>
      </c>
      <c r="GD64" s="6"/>
      <c r="GE64" s="4">
        <v>2.4188354750885816e-7</v>
      </c>
      <c r="GF64" s="5">
        <f>IF(FX64="direct",IFERROR(GL64/GC64,0),0)</f>
        <v>0</v>
      </c>
      <c r="GG64" s="5">
        <f>IF(FX64="direct",GE64-GF64,IF(FX64="cash",GQ64,GE64))</f>
        <v>2.4188354750885816e-7</v>
      </c>
      <c r="GH64" s="6">
        <v>3.630445775443935e-7</v>
      </c>
      <c r="GI64" s="4">
        <v>4.5546671995917995e-7</v>
      </c>
      <c r="GJ64" s="4">
        <v>0</v>
      </c>
      <c r="GK64" s="5">
        <f>IF(FX64="direct",GE64*(GC64-GB64),GN64)</f>
        <v>-6.53085578273922e-9</v>
      </c>
      <c r="GL64" s="5">
        <f>IF(FX64="direct",GJ64*GD64*C64/365,0)</f>
        <v>0</v>
      </c>
      <c r="GM64" s="5">
        <f>GK64-GL64</f>
        <v>-6.53085578273922e-9</v>
      </c>
      <c r="GN64" s="4">
        <v>-6.53085578273922e-9</v>
      </c>
      <c r="GO64" s="5">
        <f>GN64-GM64</f>
        <v>0</v>
      </c>
      <c r="GP64" s="4">
        <v>6.53085578273922e-9</v>
      </c>
      <c r="GQ64" s="4">
        <v>0</v>
      </c>
      <c r="GR64" s="4">
        <v>1.835</v>
      </c>
      <c r="GS64" s="4">
        <v>1.826</v>
      </c>
      <c r="GT64" s="6">
        <v>0.026158038147138907</v>
      </c>
      <c r="GU64" s="6">
        <v>0.06118021978021979</v>
      </c>
      <c r="GV64" s="6">
        <v>0.006932015668255576</v>
      </c>
      <c r="GW64" s="9">
        <v>176</v>
      </c>
      <c r="GX64" s="7">
        <f>IFERROR(GM64/F64,0)</f>
        <v>-5.2056312234193835e-9</v>
      </c>
      <c r="GY64" t="inlineStr">
        <is>
          <t xml:space="preserve">Lease cash / margin / financing</t>
        </is>
      </c>
      <c r="GZ64" t="inlineStr">
        <is>
          <t xml:space="preserve">cash</t>
        </is>
      </c>
      <c r="HA64" t="inlineStr">
        <is>
          <t xml:space="preserve">lease</t>
        </is>
      </c>
      <c r="HB64" t="inlineStr">
        <is>
          <t xml:space="preserve">cash</t>
        </is>
      </c>
      <c r="HC64"/>
      <c r="HD64" s="4">
        <v>1</v>
      </c>
      <c r="HE64" s="4">
        <v>1</v>
      </c>
      <c r="HF64" s="6"/>
      <c r="HG64" s="4">
        <v>-2.220446049250313e-16</v>
      </c>
      <c r="HH64" s="5">
        <f>IF(GZ64="direct",IFERROR(HN64/HE64,0),0)</f>
        <v>0</v>
      </c>
      <c r="HI64" s="5">
        <f>IF(GZ64="direct",HG64-HH64,IF(GZ64="cash",HS64,HG64))</f>
        <v>-0.014816601030246448</v>
      </c>
      <c r="HJ64" s="6"/>
      <c r="HK64" s="4">
        <v>-2.220446049250313e-16</v>
      </c>
      <c r="HL64" s="4">
        <v>-2.220446049250313e-16</v>
      </c>
      <c r="HM64" s="5">
        <f>IF(GZ64="direct",HG64*(HE64-HD64),HP64)</f>
        <v>0</v>
      </c>
      <c r="HN64" s="5">
        <f>IF(GZ64="direct",HL64*HF64*C64/365,0)</f>
        <v>0</v>
      </c>
      <c r="HO64" s="5">
        <f>HM64-HN64</f>
        <v>0</v>
      </c>
      <c r="HP64" s="4">
        <v>0</v>
      </c>
      <c r="HQ64" s="5">
        <f>HP64-HO64</f>
        <v>0</v>
      </c>
      <c r="HR64" s="4">
        <v>-0.014816601030246226</v>
      </c>
      <c r="HS64" s="4">
        <v>-0.014816601030246448</v>
      </c>
      <c r="HT64" s="4">
        <v>1.835</v>
      </c>
      <c r="HU64" s="4">
        <v>1.826</v>
      </c>
      <c r="HV64" s="6"/>
      <c r="HW64" s="6"/>
      <c r="HX64" s="6"/>
      <c r="HY64" s="9"/>
      <c r="HZ64" s="7">
        <f>IFERROR(HO64/F64,0)</f>
        <v>0</v>
      </c>
      <c r="IA64" t="inlineStr">
        <is>
          <t xml:space="preserve">Keep cash / margin / financing</t>
        </is>
      </c>
      <c r="IB64" t="inlineStr">
        <is>
          <t xml:space="preserve">cash</t>
        </is>
      </c>
      <c r="IC64" t="inlineStr">
        <is>
          <t xml:space="preserve">keep</t>
        </is>
      </c>
      <c r="ID64" t="inlineStr">
        <is>
          <t xml:space="preserve">cash</t>
        </is>
      </c>
      <c r="IE64"/>
      <c r="IF64" s="4">
        <v>1</v>
      </c>
      <c r="IG64" s="4">
        <v>1</v>
      </c>
      <c r="IH64" s="6"/>
      <c r="II64" s="4">
        <v>0</v>
      </c>
      <c r="IJ64" s="5">
        <f>IF(IB64="direct",IFERROR(IP64/IG64,0),0)</f>
        <v>0</v>
      </c>
      <c r="IK64" s="5">
        <f>IF(IB64="direct",II64-IJ64,IF(IB64="cash",IU64,II64))</f>
        <v>0</v>
      </c>
      <c r="IL64" s="6"/>
      <c r="IM64" s="4">
        <v>0</v>
      </c>
      <c r="IN64" s="4">
        <v>0</v>
      </c>
      <c r="IO64" s="5">
        <f>IF(IB64="direct",II64*(IG64-IF64),IR64)</f>
        <v>0</v>
      </c>
      <c r="IP64" s="5">
        <f>IF(IB64="direct",IN64*IH64*C64/365,0)</f>
        <v>0</v>
      </c>
      <c r="IQ64" s="5">
        <f>IO64-IP64</f>
        <v>0</v>
      </c>
      <c r="IR64" s="4">
        <v>0</v>
      </c>
      <c r="IS64" s="5">
        <f>IR64-IQ64</f>
        <v>0</v>
      </c>
      <c r="IT64" s="4">
        <v>0</v>
      </c>
      <c r="IU64" s="4">
        <v>0</v>
      </c>
      <c r="IV64" s="4">
        <v>1.835</v>
      </c>
      <c r="IW64" s="4">
        <v>1.826</v>
      </c>
      <c r="IX64" s="6"/>
      <c r="IY64" s="6"/>
      <c r="IZ64" s="6"/>
      <c r="JA64" s="9"/>
      <c r="JB64" s="7">
        <f>IFERROR(IQ64/F64,0)</f>
        <v>0</v>
      </c>
      <c r="JC64"/>
      <c r="JD64"/>
      <c r="JE64"/>
      <c r="JF64"/>
      <c r="JG64"/>
      <c r="JH64" s="4"/>
      <c r="JI64" s="4"/>
      <c r="JJ64" s="6"/>
      <c r="JK64" s="4"/>
      <c r="JL64" s="5">
        <v>0</v>
      </c>
      <c r="JM64" s="5"/>
      <c r="JN64" s="6"/>
      <c r="JO64" s="4"/>
      <c r="JP64" s="4"/>
      <c r="JQ64" s="5">
        <v>0</v>
      </c>
      <c r="JR64" s="5">
        <v>0</v>
      </c>
      <c r="JS64" s="5"/>
      <c r="JT64" s="4"/>
      <c r="JU64" s="5">
        <v>0</v>
      </c>
      <c r="JV64" s="4"/>
      <c r="JW64" s="4"/>
      <c r="JX64" s="4"/>
      <c r="JY64" s="4"/>
      <c r="JZ64" s="6"/>
      <c r="KA64" s="6"/>
      <c r="KB64" s="6"/>
      <c r="KC64" s="9"/>
      <c r="KD64"/>
      <c r="KE64"/>
      <c r="KF64"/>
      <c r="KG64"/>
      <c r="KH64"/>
      <c r="KI64"/>
      <c r="KJ64" s="4"/>
      <c r="KK64" s="4"/>
      <c r="KL64" s="6"/>
      <c r="KM64" s="4"/>
      <c r="KN64" s="5">
        <v>0</v>
      </c>
      <c r="KO64" s="5"/>
      <c r="KP64" s="6"/>
      <c r="KQ64" s="4"/>
      <c r="KR64" s="4"/>
      <c r="KS64" s="5">
        <v>0</v>
      </c>
      <c r="KT64" s="5">
        <v>0</v>
      </c>
      <c r="KU64" s="5"/>
      <c r="KV64" s="4"/>
      <c r="KW64" s="5">
        <v>0</v>
      </c>
      <c r="KX64" s="4"/>
      <c r="KY64" s="4"/>
      <c r="KZ64" s="4"/>
      <c r="LA64" s="4"/>
      <c r="LB64" s="6"/>
      <c r="LC64" s="6"/>
      <c r="LD64" s="6"/>
      <c r="LE64" s="9"/>
      <c r="LF64"/>
      <c r="LG64"/>
      <c r="LH64"/>
      <c r="LI64"/>
      <c r="LJ64"/>
      <c r="LK64"/>
      <c r="LL64" s="4"/>
      <c r="LM64" s="4"/>
      <c r="LN64" s="6"/>
      <c r="LO64" s="4"/>
      <c r="LP64" s="5">
        <v>0</v>
      </c>
      <c r="LQ64" s="5"/>
      <c r="LR64" s="6"/>
      <c r="LS64" s="4"/>
      <c r="LT64" s="4"/>
      <c r="LU64" s="5">
        <v>0</v>
      </c>
      <c r="LV64" s="5">
        <v>0</v>
      </c>
      <c r="LW64" s="5"/>
      <c r="LX64" s="4"/>
      <c r="LY64" s="5">
        <v>0</v>
      </c>
      <c r="LZ64" s="4"/>
      <c r="MA64" s="4"/>
      <c r="MB64" s="4"/>
      <c r="MC64" s="4"/>
      <c r="MD64" s="6"/>
      <c r="ME64" s="6"/>
      <c r="MF64" s="6"/>
      <c r="MG64" s="9"/>
      <c r="MH64"/>
    </row>
    <row r="65">
      <c r="A65" s="8">
        <v>25301</v>
      </c>
      <c r="B65" s="8">
        <v>25302</v>
      </c>
      <c r="C65" s="9">
        <f>B65-A65</f>
        <v>1</v>
      </c>
      <c r="D65" s="8">
        <v>25301</v>
      </c>
      <c r="E65" t="inlineStr">
        <is>
          <t xml:space="preserve">positive</t>
        </is>
      </c>
      <c r="F65" s="4">
        <v>1.239122379146551</v>
      </c>
      <c r="G65" s="6">
        <v>0.015235729957889597</v>
      </c>
      <c r="H65" s="7">
        <f>SUM(CP65,DR65,ET65,FV65,GX65,HZ65,JB65,KD65,LF65,MH65)</f>
        <v>0.015235729957889596</v>
      </c>
      <c r="I65" s="7">
        <f>G65-H65</f>
        <v>1.734723475976807e-18</v>
      </c>
      <c r="J65" s="5">
        <f>F65*(1+H65)</f>
        <v>1.2580013131000056</v>
      </c>
      <c r="K65" s="4">
        <v>1.2580013131000056</v>
      </c>
      <c r="L65" s="5">
        <f>K65-J65</f>
        <v>0</v>
      </c>
      <c r="M65" s="4">
        <v>1.826</v>
      </c>
      <c r="N65" s="4">
        <v>1.802</v>
      </c>
      <c r="O65" s="5">
        <f>M65/$M$3</f>
        <v>0.9325842696629214</v>
      </c>
      <c r="P65" s="5">
        <f>N65/$M$3</f>
        <v>0.9203268641470889</v>
      </c>
      <c r="Q65" s="7">
        <f>IFERROR(N65/M65-1,0)</f>
        <v>-0.013143483023001057</v>
      </c>
      <c r="R65" s="5">
        <f>SUM(IF(BQ65="lease",CB65,0),IF(CS65="lease",DD65,0),IF(DU65="lease",EF65,0),IF(EW65="lease",FH65,0),IF(FY65="lease",GJ65,0),IF(HA65="lease",HL65,0),IF(IC65="lease",IN65,0),IF(JE65="lease",JP65,0),IF(KG65="lease",KR65,0),IF(LI65="lease",LT65,0))</f>
        <v>1.2391223791465509</v>
      </c>
      <c r="S65" s="5">
        <f>SUM(IF(BQ65="lease",CI65,0),IF(CS65="lease",DK65,0),IF(DU65="lease",EM65,0),IF(EW65="lease",FO65,0),IF(FY65="lease",GQ65,0),IF(HA65="lease",HS65,0),IF(IC65="lease",IU65,0),IF(JE65="lease",JW65,0),IF(KG65="lease",KY65,0),IF(LI65="lease",MA65,0))</f>
        <v>1.2580013131000054</v>
      </c>
      <c r="T65" s="5">
        <f>SUM(IF(BQ65="keep",CB65,0),IF(CS65="keep",DD65,0),IF(DU65="keep",EF65,0),IF(EW65="keep",FH65,0),IF(FY65="keep",GJ65,0),IF(HA65="keep",HL65,0),IF(IC65="keep",IN65,0),IF(JE65="keep",JP65,0),IF(KG65="keep",KR65,0),IF(LI65="keep",LT65,0))</f>
        <v>0</v>
      </c>
      <c r="U65" s="5">
        <f>SUM(IF(BQ65="keep",CI65,0),IF(CS65="keep",DK65,0),IF(DU65="keep",EM65,0),IF(EW65="keep",FO65,0),IF(FY65="keep",GQ65,0),IF(HA65="keep",HS65,0),IF(IC65="keep",IU65,0),IF(JE65="keep",JW65,0),IF(KG65="keep",KY65,0),IF(LI65="keep",MA65,0))</f>
        <v>0</v>
      </c>
      <c r="V65" s="5">
        <f>R65/O65</f>
        <v>1.3286974908920846</v>
      </c>
      <c r="W65" s="5">
        <f>S65/P65</f>
        <v>1.366907087153058</v>
      </c>
      <c r="X65" s="5">
        <f>T65/O65</f>
        <v>0</v>
      </c>
      <c r="Y65" s="5">
        <f>U65/P65</f>
        <v>0</v>
      </c>
      <c r="Z65" s="5">
        <f>V65+X65</f>
        <v>1.3286974908920846</v>
      </c>
      <c r="AA65" s="7">
        <f>IFERROR(W65/V65-1,0)</f>
        <v>0.028757182521146785</v>
      </c>
      <c r="AB65" s="7">
        <f>IFERROR((W65-V65)/Z65,0)</f>
        <v>0.028757182521146767</v>
      </c>
      <c r="AC65" s="7">
        <f>IFERROR(Y65/X65-1,0)</f>
        <v>0</v>
      </c>
      <c r="AD65" s="7">
        <f>IFERROR((Y65-X65)/Z65,0)</f>
        <v>0</v>
      </c>
      <c r="AE65" s="7">
        <f>AB65+AD65</f>
        <v>0.028757182521146767</v>
      </c>
      <c r="AF65" s="7">
        <f>(1+Q65)*(1+AE65)-1</f>
        <v>0.015235729957889799</v>
      </c>
      <c r="AG65" s="7">
        <f>G65-AF65</f>
        <v>-2.0122792321330962e-16</v>
      </c>
      <c r="AH65" s="5">
        <f>SUM(IF(BQ65="lease",CE65,0),IF(CS65="lease",DG65,0),IF(DU65="lease",EI65,0),IF(EW65="lease",FK65,0),IF(FY65="lease",GM65,0),IF(HA65="lease",HO65,0),IF(IC65="lease",IQ65,0),IF(JE65="lease",JS65,0),IF(KG65="lease",KU65,0),IF(LI65="lease",LW65,0))</f>
        <v>0.018878933953454538</v>
      </c>
      <c r="AI65" s="5">
        <f>SUM(IF(BQ65="keep",CE65,0),IF(CS65="keep",DG65,0),IF(DU65="keep",EI65,0),IF(EW65="keep",FK65,0),IF(FY65="keep",GM65,0),IF(HA65="keep",HO65,0),IF(IC65="keep",IQ65,0),IF(JE65="keep",JS65,0),IF(KG65="keep",KU65,0),IF(LI65="keep",LW65,0))</f>
        <v>0</v>
      </c>
      <c r="AJ65" s="5">
        <f>SUM(IF(BQ65="lease",CH65,0),IF(CS65="lease",DJ65,0),IF(DU65="lease",EL65,0),IF(EW65="lease",FN65,0),IF(FY65="lease",GP65,0),IF(HA65="lease",HR65,0),IF(IC65="lease",IT65,0),IF(JE65="lease",JV65,0),IF(KG65="lease",KX65,0),IF(LI65="lease",LZ65,0))</f>
        <v>0</v>
      </c>
      <c r="AK65" s="5">
        <f>SUM(IF(BQ65="keep",CH65,0),IF(CS65="keep",DJ65,0),IF(DU65="keep",EL65,0),IF(EW65="keep",FN65,0),IF(FY65="keep",GP65,0),IF(HA65="keep",HR65,0),IF(IC65="keep",IT65,0),IF(JE65="keep",JV65,0),IF(KG65="keep",KX65,0),IF(LI65="keep",LZ65,0))</f>
        <v>0</v>
      </c>
      <c r="AL65" s="5">
        <f>R65-S64</f>
        <v>0</v>
      </c>
      <c r="AM65" s="5">
        <f>T65-U64</f>
        <v>0</v>
      </c>
      <c r="AN65" s="5">
        <f>AN64</f>
        <v>1</v>
      </c>
      <c r="AO65" s="5">
        <f>AO64+AH65</f>
        <v>0.25800131310000574</v>
      </c>
      <c r="AP65" s="5">
        <f>AP64+AL65</f>
        <v>-6.661338147750939e-16</v>
      </c>
      <c r="AQ65" s="5">
        <f>AN65+AO65+AP65</f>
        <v>1.258001313100005</v>
      </c>
      <c r="AR65" s="5">
        <f>S65-AQ65</f>
        <v>4.440892098500626e-16</v>
      </c>
      <c r="AS65" s="5">
        <f>AS64</f>
        <v>0</v>
      </c>
      <c r="AT65" s="5">
        <f>AT64+AI65</f>
        <v>0</v>
      </c>
      <c r="AU65" s="5">
        <f>AU64+AM65</f>
        <v>0</v>
      </c>
      <c r="AV65" s="5">
        <f>AS65+AT65+AU65</f>
        <v>0</v>
      </c>
      <c r="AW65" s="5">
        <f>U65-AV65</f>
        <v>0</v>
      </c>
      <c r="AX65" s="4">
        <v>1.2391223791465509</v>
      </c>
      <c r="AY65" s="4">
        <v>1.2580013131000054</v>
      </c>
      <c r="AZ65" s="5">
        <f>S65-AY65</f>
        <v>0</v>
      </c>
      <c r="BA65" s="4">
        <v>0</v>
      </c>
      <c r="BB65" s="4">
        <v>0</v>
      </c>
      <c r="BC65" s="5">
        <f>U65-BB65</f>
        <v>0</v>
      </c>
      <c r="BD65" s="7">
        <f>SUM(IF(BP65="direct",CC65/F65,0),IF(CR65="direct",DE65/F65,0),IF(DT65="direct",EG65/F65,0),IF(EV65="direct",FI65/F65,0),IF(FX65="direct",GK65/F65,0),IF(GZ65="direct",HM65/F65,0),IF(IB65="direct",IO65/F65,0),IF(JD65="direct",JQ65/F65,0),IF(KF65="direct",KS65/F65,0),IF(LH65="direct",LU65/F65,0))</f>
        <v>0</v>
      </c>
      <c r="BE65" s="7">
        <f>-SUM(IF(BP65="direct",CD65/F65,0),IF(CR65="direct",DF65/F65,0),IF(DT65="direct",EH65/F65,0),IF(EV65="direct",FJ65/F65,0),IF(FX65="direct",GL65/F65,0),IF(GZ65="direct",HN65/F65,0),IF(IB65="direct",IP65/F65,0),IF(JD65="direct",JR65/F65,0),IF(KF65="direct",KT65/F65,0),IF(LH65="direct",LV65/F65,0))</f>
        <v>0</v>
      </c>
      <c r="BF65" s="7">
        <f>BD65+BE65</f>
        <v>0</v>
      </c>
      <c r="BG65" s="7">
        <f>BF65-SUM(IF(BP65="direct",CP65,0),IF(CR65="direct",DR65,0),IF(DT65="direct",ET65,0),IF(EV65="direct",FV65,0),IF(FX65="direct",GX65,0),IF(GZ65="direct",HZ65,0),IF(IB65="direct",JB65,0),IF(JD65="direct",KD65,0),IF(KF65="direct",LF65,0),IF(LH65="direct",MH65,0))</f>
        <v>0</v>
      </c>
      <c r="BH65" s="7">
        <f>SUM(IF(BP65="treasury",CP65,0),IF(CR65="treasury",DR65,0),IF(DT65="treasury",ET65,0),IF(EV65="treasury",FV65,0),IF(FX65="treasury",GX65,0),IF(GZ65="treasury",HZ65,0),IF(IB65="treasury",JB65,0),IF(JD65="treasury",KD65,0),IF(KF65="treasury",LF65,0),IF(LH65="treasury",MH65,0))</f>
        <v>0.00016876712328767123</v>
      </c>
      <c r="BI65" s="7">
        <f>SUM(IF(BP65="future",CP65,0),IF(CR65="future",DR65,0),IF(DT65="future",ET65,0),IF(EV65="future",FV65,0),IF(FX65="future",GX65,0),IF(GZ65="future",HZ65,0),IF(IB65="future",JB65,0),IF(JD65="future",KD65,0),IF(KF65="future",LF65,0),IF(LH65="future",MH65,0))</f>
        <v>0.015066962834601925</v>
      </c>
      <c r="BJ65" s="7">
        <f>SUM(IF(BP65="cash",CP65,0),IF(CR65="cash",DR65,0),IF(DT65="cash",ET65,0),IF(EV65="cash",FV65,0),IF(FX65="cash",GX65,0),IF(GZ65="cash",HZ65,0),IF(IB65="cash",JB65,0),IF(JD65="cash",KD65,0),IF(KF65="cash",LF65,0),IF(LH65="cash",MH65,0))</f>
        <v>0</v>
      </c>
      <c r="BK65" s="7">
        <f>SUM(BF65,BH65,BI65,BJ65)</f>
        <v>0.015235729957889597</v>
      </c>
      <c r="BL65" s="7">
        <f>G65-BK65</f>
        <v>0</v>
      </c>
      <c r="BM65" s="5">
        <f>MAX(ABS(CG65),ABS(DI65),ABS(EK65),ABS(FM65),ABS(GO65),ABS(HQ65),ABS(IS65),ABS(JU65),ABS(KW65),ABS(LY65))</f>
        <v>1.5571853702323057e-16</v>
      </c>
      <c r="BN65" s="9">
        <f>COUNTA(BO65,CQ65,DS65,EU65,FW65,GY65,IA65,JC65,KE65,LG65)</f>
        <v>7</v>
      </c>
      <c r="BO65" t="inlineStr">
        <is>
          <t xml:space="preserve">Treasury collateral</t>
        </is>
      </c>
      <c r="BP65" t="inlineStr">
        <is>
          <t xml:space="preserve">treasury</t>
        </is>
      </c>
      <c r="BQ65" t="inlineStr">
        <is>
          <t xml:space="preserve">lease</t>
        </is>
      </c>
      <c r="BR65" t="inlineStr">
        <is>
          <t xml:space="preserve">long</t>
        </is>
      </c>
      <c r="BS65"/>
      <c r="BT65" s="4">
        <v>101.61445918287757</v>
      </c>
      <c r="BU65" s="4">
        <v>101.6316083628383</v>
      </c>
      <c r="BV65" s="6"/>
      <c r="BW65" s="4">
        <v>0.012194350972399291</v>
      </c>
      <c r="BX65" s="5">
        <f>IF(BP65="direct",IFERROR(CD65/BU65,0),0)</f>
        <v>0</v>
      </c>
      <c r="BY65" s="5">
        <f>IF(BP65="direct",BW65-BX65,IF(BP65="cash",CI65,BW65))</f>
        <v>0.012194350972399291</v>
      </c>
      <c r="BZ65" s="6">
        <v>1</v>
      </c>
      <c r="CA65" s="4">
        <v>1.239122379146551</v>
      </c>
      <c r="CB65" s="4">
        <v>1.239122379146551</v>
      </c>
      <c r="CC65" s="5">
        <f>IF(BP65="direct",BW65*(BU65-BT65),CF65)</f>
        <v>0.0002091231193300942</v>
      </c>
      <c r="CD65" s="5">
        <f>IF(BP65="direct",CB65*BV65*C65/365,0)</f>
        <v>0</v>
      </c>
      <c r="CE65" s="5">
        <f>CC65-CD65</f>
        <v>0.00020912311932993848</v>
      </c>
      <c r="CF65" s="4">
        <v>0.00020912311932993848</v>
      </c>
      <c r="CG65" s="5">
        <f>CF65-CE65</f>
        <v>-1.5571853702323057e-16</v>
      </c>
      <c r="CH65" s="4">
        <v>2.516433242338856e-16</v>
      </c>
      <c r="CI65" s="4">
        <v>1.2393315022658813</v>
      </c>
      <c r="CJ65" s="4">
        <v>1.826</v>
      </c>
      <c r="CK65" s="4">
        <v>1.802</v>
      </c>
      <c r="CL65" s="6"/>
      <c r="CM65" s="6"/>
      <c r="CN65" s="6"/>
      <c r="CO65" s="9">
        <v>50</v>
      </c>
      <c r="CP65" s="7">
        <f>IFERROR(CE65/F65,0)</f>
        <v>0.00016876712328767123</v>
      </c>
      <c r="CQ65" t="inlineStr">
        <is>
          <t xml:space="preserve">SI69K</t>
        </is>
      </c>
      <c r="CR65" t="inlineStr">
        <is>
          <t xml:space="preserve">future</t>
        </is>
      </c>
      <c r="CS65" t="inlineStr">
        <is>
          <t xml:space="preserve">lease</t>
        </is>
      </c>
      <c r="CT65" t="inlineStr">
        <is>
          <t xml:space="preserve">long</t>
        </is>
      </c>
      <c r="CU65" t="inlineStr">
        <is>
          <t xml:space="preserve">regular</t>
        </is>
      </c>
      <c r="CV65" s="4">
        <v>1.7919999999999998</v>
      </c>
      <c r="CW65" s="4">
        <v>1.819</v>
      </c>
      <c r="CX65" s="6"/>
      <c r="CY65" s="4">
        <v>0.691473305525462</v>
      </c>
      <c r="CZ65" s="5">
        <f>IF(CR65="direct",IFERROR(DF65/CW65,0),0)</f>
        <v>0</v>
      </c>
      <c r="DA65" s="5">
        <f>IF(CR65="direct",CY65-CZ65,IF(CR65="cash",DK65,CY65))</f>
        <v>0.691473305525462</v>
      </c>
      <c r="DB65" s="6">
        <v>0.9999982119240517</v>
      </c>
      <c r="DC65" s="4">
        <v>1.2391201635016278</v>
      </c>
      <c r="DD65" s="4">
        <v>0</v>
      </c>
      <c r="DE65" s="5">
        <f>IF(CR65="direct",CY65*(CW65-CV65),DH65)</f>
        <v>0.01866977924918763</v>
      </c>
      <c r="DF65" s="5">
        <f>IF(CR65="direct",DD65*CX65*C65/365,0)</f>
        <v>0</v>
      </c>
      <c r="DG65" s="5">
        <f>DE65-DF65</f>
        <v>0.01866977924918763</v>
      </c>
      <c r="DH65" s="4">
        <v>0.01866977924918763</v>
      </c>
      <c r="DI65" s="5">
        <f>DH65-DG65</f>
        <v>0</v>
      </c>
      <c r="DJ65" s="4">
        <v>-0.01866977924918763</v>
      </c>
      <c r="DK65" s="4">
        <v>0</v>
      </c>
      <c r="DL65" s="4">
        <v>1.826</v>
      </c>
      <c r="DM65" s="4">
        <v>1.802</v>
      </c>
      <c r="DN65" s="6">
        <v>-0.018619934282585016</v>
      </c>
      <c r="DO65" s="6">
        <v>0.0616</v>
      </c>
      <c r="DP65" s="6">
        <v>0.19752552026287062</v>
      </c>
      <c r="DQ65" s="9">
        <v>50</v>
      </c>
      <c r="DR65" s="7">
        <f>IFERROR(DG65/F65,0)</f>
        <v>0.015066937344837958</v>
      </c>
      <c r="DS65" t="inlineStr">
        <is>
          <t xml:space="preserve">SI69N</t>
        </is>
      </c>
      <c r="DT65" t="inlineStr">
        <is>
          <t xml:space="preserve">future</t>
        </is>
      </c>
      <c r="DU65" t="inlineStr">
        <is>
          <t xml:space="preserve">lease</t>
        </is>
      </c>
      <c r="DV65" t="inlineStr">
        <is>
          <t xml:space="preserve">long</t>
        </is>
      </c>
      <c r="DW65" t="inlineStr">
        <is>
          <t xml:space="preserve">regular</t>
        </is>
      </c>
      <c r="DX65" s="4">
        <v>1.824</v>
      </c>
      <c r="DY65" s="4">
        <v>1.85</v>
      </c>
      <c r="DZ65" s="6"/>
      <c r="EA65" s="4">
        <v>0.00000121042047533638</v>
      </c>
      <c r="EB65" s="5">
        <f>IF(DT65="direct",IFERROR(EH65/DY65,0),0)</f>
        <v>0</v>
      </c>
      <c r="EC65" s="5">
        <f>IF(DT65="direct",EA65-EB65,IF(DT65="cash",EM65,EA65))</f>
        <v>0.00000121042047533638</v>
      </c>
      <c r="ED65" s="6">
        <v>0.0000017817505229259037</v>
      </c>
      <c r="EE65" s="4">
        <v>0.0000022078069470135574</v>
      </c>
      <c r="EF65" s="4">
        <v>0</v>
      </c>
      <c r="EG65" s="5">
        <f>IF(DT65="direct",EA65*(DY65-DX65),EJ65)</f>
        <v>3.147093235874579e-8</v>
      </c>
      <c r="EH65" s="5">
        <f>IF(DT65="direct",EF65*DZ65*C65/365,0)</f>
        <v>0</v>
      </c>
      <c r="EI65" s="5">
        <f>EG65-EH65</f>
        <v>3.147093235874579e-8</v>
      </c>
      <c r="EJ65" s="4">
        <v>3.147093235874579e-8</v>
      </c>
      <c r="EK65" s="5">
        <f>EJ65-EI65</f>
        <v>0</v>
      </c>
      <c r="EL65" s="4">
        <v>-3.147093235874579e-8</v>
      </c>
      <c r="EM65" s="4">
        <v>0</v>
      </c>
      <c r="EN65" s="4">
        <v>1.826</v>
      </c>
      <c r="EO65" s="4">
        <v>1.802</v>
      </c>
      <c r="EP65" s="6">
        <v>-0.0010952902519167917</v>
      </c>
      <c r="EQ65" s="6">
        <v>0.06157692307692307</v>
      </c>
      <c r="ER65" s="6">
        <v>0.0651463957729019</v>
      </c>
      <c r="ES65" s="9">
        <v>112</v>
      </c>
      <c r="ET65" s="7">
        <f>IFERROR(EI65/F65,0)</f>
        <v>2.5397759646970045e-8</v>
      </c>
      <c r="EU65" t="inlineStr">
        <is>
          <t xml:space="preserve">SI69U</t>
        </is>
      </c>
      <c r="EV65" t="inlineStr">
        <is>
          <t xml:space="preserve">future</t>
        </is>
      </c>
      <c r="EW65" t="inlineStr">
        <is>
          <t xml:space="preserve">lease</t>
        </is>
      </c>
      <c r="EX65" t="inlineStr">
        <is>
          <t xml:space="preserve">long</t>
        </is>
      </c>
      <c r="EY65" t="inlineStr">
        <is>
          <t xml:space="preserve">regular</t>
        </is>
      </c>
      <c r="EZ65" s="4">
        <v>1.8559999999999999</v>
      </c>
      <c r="FA65" s="4">
        <v>1.883</v>
      </c>
      <c r="FB65" s="6"/>
      <c r="FC65" s="4">
        <v>4.197600626212844e-9</v>
      </c>
      <c r="FD65" s="5">
        <f>IF(EV65="direct",IFERROR(FJ65/FA65,0),0)</f>
        <v>0</v>
      </c>
      <c r="FE65" s="5">
        <f>IF(EV65="direct",FC65-FD65,IF(EV65="cash",FO65,FC65))</f>
        <v>4.197600626212844e-9</v>
      </c>
      <c r="FF65" s="6">
        <v>6.287310190957035e-9</v>
      </c>
      <c r="FG65" s="4">
        <v>7.790746762251037e-9</v>
      </c>
      <c r="FH65" s="4">
        <v>0</v>
      </c>
      <c r="FI65" s="5">
        <f>IF(EV65="direct",FC65*(FA65-EZ65),FL65)</f>
        <v>1.1333521690774659e-10</v>
      </c>
      <c r="FJ65" s="5">
        <f>IF(EV65="direct",FH65*FB65*C65/365,0)</f>
        <v>0</v>
      </c>
      <c r="FK65" s="5">
        <f>FI65-FJ65</f>
        <v>1.1333521690774659e-10</v>
      </c>
      <c r="FL65" s="4">
        <v>1.1333521690774659e-10</v>
      </c>
      <c r="FM65" s="5">
        <f>FL65-FK65</f>
        <v>0</v>
      </c>
      <c r="FN65" s="4">
        <v>-1.1333521690774659e-10</v>
      </c>
      <c r="FO65" s="4">
        <v>0</v>
      </c>
      <c r="FP65" s="4">
        <v>1.826</v>
      </c>
      <c r="FQ65" s="4">
        <v>1.802</v>
      </c>
      <c r="FR65" s="6">
        <v>0.01642935377875121</v>
      </c>
      <c r="FS65" s="6">
        <v>0.061512087912087926</v>
      </c>
      <c r="FT65" s="6">
        <v>0.026443584232297326</v>
      </c>
      <c r="FU65" s="9">
        <v>171</v>
      </c>
      <c r="FV65" s="7">
        <f>IFERROR(FK65/F65,0)</f>
        <v>9.146410299344809e-11</v>
      </c>
      <c r="FW65" t="inlineStr">
        <is>
          <t xml:space="preserve">SI69Z</t>
        </is>
      </c>
      <c r="FX65" t="inlineStr">
        <is>
          <t xml:space="preserve">future</t>
        </is>
      </c>
      <c r="FY65" t="inlineStr">
        <is>
          <t xml:space="preserve">lease</t>
        </is>
      </c>
      <c r="FZ65" t="inlineStr">
        <is>
          <t xml:space="preserve">long</t>
        </is>
      </c>
      <c r="GA65" t="inlineStr">
        <is>
          <t xml:space="preserve">regular</t>
        </is>
      </c>
      <c r="GB65" s="4">
        <v>1.905</v>
      </c>
      <c r="GC65" s="4">
        <v>1.932</v>
      </c>
      <c r="GD65" s="6"/>
      <c r="GE65" s="4">
        <v>2.4792410500669817e-11</v>
      </c>
      <c r="GF65" s="5">
        <f>IF(FX65="direct",IFERROR(GL65/GC65,0),0)</f>
        <v>0</v>
      </c>
      <c r="GG65" s="5">
        <f>IF(FX65="direct",GE65-GF65,IF(FX65="cash",GQ65,GE65))</f>
        <v>2.4792410500669817e-11</v>
      </c>
      <c r="GH65" s="6">
        <v>3.811531677468813e-11</v>
      </c>
      <c r="GI65" s="4">
        <v>4.7229542003776004e-11</v>
      </c>
      <c r="GJ65" s="4">
        <v>0</v>
      </c>
      <c r="GK65" s="5">
        <f>IF(FX65="direct",GE65*(GC65-GB65),GN65)</f>
        <v>6.693950835180818e-13</v>
      </c>
      <c r="GL65" s="5">
        <f>IF(FX65="direct",GJ65*GD65*C65/365,0)</f>
        <v>0</v>
      </c>
      <c r="GM65" s="5">
        <f>GK65-GL65</f>
        <v>6.693950835180818e-13</v>
      </c>
      <c r="GN65" s="4">
        <v>6.693950835180818e-13</v>
      </c>
      <c r="GO65" s="5">
        <f>GN65-GM65</f>
        <v>0</v>
      </c>
      <c r="GP65" s="4">
        <v>-6.693950835180818e-13</v>
      </c>
      <c r="GQ65" s="4">
        <v>0</v>
      </c>
      <c r="GR65" s="4">
        <v>1.826</v>
      </c>
      <c r="GS65" s="4">
        <v>1.802</v>
      </c>
      <c r="GT65" s="6">
        <v>0.04326396495071183</v>
      </c>
      <c r="GU65" s="6">
        <v>0.06190819672131147</v>
      </c>
      <c r="GV65" s="6">
        <v>0.0023182072608970775</v>
      </c>
      <c r="GW65" s="9">
        <v>265</v>
      </c>
      <c r="GX65" s="7">
        <f>IFERROR(GM65/F65,0)</f>
        <v>5.402170881451834e-13</v>
      </c>
      <c r="GY65" t="inlineStr">
        <is>
          <t xml:space="preserve">Lease cash / margin / financing</t>
        </is>
      </c>
      <c r="GZ65" t="inlineStr">
        <is>
          <t xml:space="preserve">cash</t>
        </is>
      </c>
      <c r="HA65" t="inlineStr">
        <is>
          <t xml:space="preserve">lease</t>
        </is>
      </c>
      <c r="HB65" t="inlineStr">
        <is>
          <t xml:space="preserve">cash</t>
        </is>
      </c>
      <c r="HC65"/>
      <c r="HD65" s="4">
        <v>1</v>
      </c>
      <c r="HE65" s="4">
        <v>1</v>
      </c>
      <c r="HF65" s="6"/>
      <c r="HG65" s="4">
        <v>-2.220446049250313e-16</v>
      </c>
      <c r="HH65" s="5">
        <f>IF(GZ65="direct",IFERROR(HN65/HE65,0),0)</f>
        <v>0</v>
      </c>
      <c r="HI65" s="5">
        <f>IF(GZ65="direct",HG65-HH65,IF(GZ65="cash",HS65,HG65))</f>
        <v>0.018669810834124126</v>
      </c>
      <c r="HJ65" s="6"/>
      <c r="HK65" s="4">
        <v>-2.220446049250313e-16</v>
      </c>
      <c r="HL65" s="4">
        <v>-2.220446049250313e-16</v>
      </c>
      <c r="HM65" s="5">
        <f>IF(GZ65="direct",HG65*(HE65-HD65),HP65)</f>
        <v>0</v>
      </c>
      <c r="HN65" s="5">
        <f>IF(GZ65="direct",HL65*HF65*C65/365,0)</f>
        <v>0</v>
      </c>
      <c r="HO65" s="5">
        <f>HM65-HN65</f>
        <v>0</v>
      </c>
      <c r="HP65" s="4">
        <v>0</v>
      </c>
      <c r="HQ65" s="5">
        <f>HP65-HO65</f>
        <v>0</v>
      </c>
      <c r="HR65" s="4">
        <v>0.018669810834124348</v>
      </c>
      <c r="HS65" s="4">
        <v>0.018669810834124126</v>
      </c>
      <c r="HT65" s="4">
        <v>1.826</v>
      </c>
      <c r="HU65" s="4">
        <v>1.802</v>
      </c>
      <c r="HV65" s="6"/>
      <c r="HW65" s="6"/>
      <c r="HX65" s="6"/>
      <c r="HY65" s="9"/>
      <c r="HZ65" s="7">
        <f>IFERROR(HO65/F65,0)</f>
        <v>0</v>
      </c>
      <c r="IA65" t="inlineStr">
        <is>
          <t xml:space="preserve">Keep cash / margin / financing</t>
        </is>
      </c>
      <c r="IB65" t="inlineStr">
        <is>
          <t xml:space="preserve">cash</t>
        </is>
      </c>
      <c r="IC65" t="inlineStr">
        <is>
          <t xml:space="preserve">keep</t>
        </is>
      </c>
      <c r="ID65" t="inlineStr">
        <is>
          <t xml:space="preserve">cash</t>
        </is>
      </c>
      <c r="IE65"/>
      <c r="IF65" s="4">
        <v>1</v>
      </c>
      <c r="IG65" s="4">
        <v>1</v>
      </c>
      <c r="IH65" s="6"/>
      <c r="II65" s="4">
        <v>0</v>
      </c>
      <c r="IJ65" s="5">
        <f>IF(IB65="direct",IFERROR(IP65/IG65,0),0)</f>
        <v>0</v>
      </c>
      <c r="IK65" s="5">
        <f>IF(IB65="direct",II65-IJ65,IF(IB65="cash",IU65,II65))</f>
        <v>0</v>
      </c>
      <c r="IL65" s="6"/>
      <c r="IM65" s="4">
        <v>0</v>
      </c>
      <c r="IN65" s="4">
        <v>0</v>
      </c>
      <c r="IO65" s="5">
        <f>IF(IB65="direct",II65*(IG65-IF65),IR65)</f>
        <v>0</v>
      </c>
      <c r="IP65" s="5">
        <f>IF(IB65="direct",IN65*IH65*C65/365,0)</f>
        <v>0</v>
      </c>
      <c r="IQ65" s="5">
        <f>IO65-IP65</f>
        <v>0</v>
      </c>
      <c r="IR65" s="4">
        <v>0</v>
      </c>
      <c r="IS65" s="5">
        <f>IR65-IQ65</f>
        <v>0</v>
      </c>
      <c r="IT65" s="4">
        <v>0</v>
      </c>
      <c r="IU65" s="4">
        <v>0</v>
      </c>
      <c r="IV65" s="4">
        <v>1.826</v>
      </c>
      <c r="IW65" s="4">
        <v>1.802</v>
      </c>
      <c r="IX65" s="6"/>
      <c r="IY65" s="6"/>
      <c r="IZ65" s="6"/>
      <c r="JA65" s="9"/>
      <c r="JB65" s="7">
        <f>IFERROR(IQ65/F65,0)</f>
        <v>0</v>
      </c>
      <c r="JC65"/>
      <c r="JD65"/>
      <c r="JE65"/>
      <c r="JF65"/>
      <c r="JG65"/>
      <c r="JH65" s="4"/>
      <c r="JI65" s="4"/>
      <c r="JJ65" s="6"/>
      <c r="JK65" s="4"/>
      <c r="JL65" s="5">
        <v>0</v>
      </c>
      <c r="JM65" s="5"/>
      <c r="JN65" s="6"/>
      <c r="JO65" s="4"/>
      <c r="JP65" s="4"/>
      <c r="JQ65" s="5">
        <v>0</v>
      </c>
      <c r="JR65" s="5">
        <v>0</v>
      </c>
      <c r="JS65" s="5"/>
      <c r="JT65" s="4"/>
      <c r="JU65" s="5">
        <v>0</v>
      </c>
      <c r="JV65" s="4"/>
      <c r="JW65" s="4"/>
      <c r="JX65" s="4"/>
      <c r="JY65" s="4"/>
      <c r="JZ65" s="6"/>
      <c r="KA65" s="6"/>
      <c r="KB65" s="6"/>
      <c r="KC65" s="9"/>
      <c r="KD65"/>
      <c r="KE65"/>
      <c r="KF65"/>
      <c r="KG65"/>
      <c r="KH65"/>
      <c r="KI65"/>
      <c r="KJ65" s="4"/>
      <c r="KK65" s="4"/>
      <c r="KL65" s="6"/>
      <c r="KM65" s="4"/>
      <c r="KN65" s="5">
        <v>0</v>
      </c>
      <c r="KO65" s="5"/>
      <c r="KP65" s="6"/>
      <c r="KQ65" s="4"/>
      <c r="KR65" s="4"/>
      <c r="KS65" s="5">
        <v>0</v>
      </c>
      <c r="KT65" s="5">
        <v>0</v>
      </c>
      <c r="KU65" s="5"/>
      <c r="KV65" s="4"/>
      <c r="KW65" s="5">
        <v>0</v>
      </c>
      <c r="KX65" s="4"/>
      <c r="KY65" s="4"/>
      <c r="KZ65" s="4"/>
      <c r="LA65" s="4"/>
      <c r="LB65" s="6"/>
      <c r="LC65" s="6"/>
      <c r="LD65" s="6"/>
      <c r="LE65" s="9"/>
      <c r="LF65"/>
      <c r="LG65"/>
      <c r="LH65"/>
      <c r="LI65"/>
      <c r="LJ65"/>
      <c r="LK65"/>
      <c r="LL65" s="4"/>
      <c r="LM65" s="4"/>
      <c r="LN65" s="6"/>
      <c r="LO65" s="4"/>
      <c r="LP65" s="5">
        <v>0</v>
      </c>
      <c r="LQ65" s="5"/>
      <c r="LR65" s="6"/>
      <c r="LS65" s="4"/>
      <c r="LT65" s="4"/>
      <c r="LU65" s="5">
        <v>0</v>
      </c>
      <c r="LV65" s="5">
        <v>0</v>
      </c>
      <c r="LW65" s="5"/>
      <c r="LX65" s="4"/>
      <c r="LY65" s="5">
        <v>0</v>
      </c>
      <c r="LZ65" s="4"/>
      <c r="MA65" s="4"/>
      <c r="MB65" s="4"/>
      <c r="MC65" s="4"/>
      <c r="MD65" s="6"/>
      <c r="ME65" s="6"/>
      <c r="MF65" s="6"/>
      <c r="MG65" s="9"/>
      <c r="MH65"/>
    </row>
    <row r="66">
      <c r="A66" s="8">
        <v>25302</v>
      </c>
      <c r="B66" s="8">
        <v>25303</v>
      </c>
      <c r="C66" s="9">
        <f>B66-A66</f>
        <v>1</v>
      </c>
      <c r="D66" s="8">
        <v>25302</v>
      </c>
      <c r="E66" t="inlineStr">
        <is>
          <t xml:space="preserve">neutral</t>
        </is>
      </c>
      <c r="F66" s="4">
        <v>1.2580013131000056</v>
      </c>
      <c r="G66" s="6">
        <v>0.0066524181655087215</v>
      </c>
      <c r="H66" s="7">
        <f>SUM(CP66,DR66,ET66,FV66,GX66,HZ66,JB66,KD66,LF66,MH66)</f>
        <v>0.00665241816550872</v>
      </c>
      <c r="I66" s="7">
        <f>G66-H66</f>
        <v>1.734723475976807e-18</v>
      </c>
      <c r="J66" s="5">
        <f>F66*(1+H66)</f>
        <v>1.266370063887506</v>
      </c>
      <c r="K66" s="4">
        <v>1.266370063887506</v>
      </c>
      <c r="L66" s="5">
        <f>K66-J66</f>
        <v>0</v>
      </c>
      <c r="M66" s="4">
        <v>1.802</v>
      </c>
      <c r="N66" s="4">
        <v>1.814</v>
      </c>
      <c r="O66" s="5">
        <f>M66/$M$3</f>
        <v>0.9203268641470889</v>
      </c>
      <c r="P66" s="5">
        <f>N66/$M$3</f>
        <v>0.9264555669050052</v>
      </c>
      <c r="Q66" s="7">
        <f>IFERROR(N66/M66-1,0)</f>
        <v>0.006659267480577213</v>
      </c>
      <c r="R66" s="5">
        <f>SUM(IF(BQ66="lease",CB66,0),IF(CS66="lease",DD66,0),IF(DU66="lease",EF66,0),IF(EW66="lease",FH66,0),IF(FY66="lease",GJ66,0),IF(HA66="lease",HL66,0),IF(IC66="lease",IN66,0),IF(JE66="lease",JP66,0),IF(KG66="lease",KR66,0),IF(LI66="lease",LT66,0))</f>
        <v>1.2580013131000054</v>
      </c>
      <c r="S66" s="5">
        <f>SUM(IF(BQ66="lease",CI66,0),IF(CS66="lease",DK66,0),IF(DU66="lease",EM66,0),IF(EW66="lease",FO66,0),IF(FY66="lease",GQ66,0),IF(HA66="lease",HS66,0),IF(IC66="lease",IU66,0),IF(JE66="lease",JW66,0),IF(KG66="lease",KY66,0),IF(LI66="lease",MA66,0))</f>
        <v>1.2663700638875055</v>
      </c>
      <c r="T66" s="5">
        <f>SUM(IF(BQ66="keep",CB66,0),IF(CS66="keep",DD66,0),IF(DU66="keep",EF66,0),IF(EW66="keep",FH66,0),IF(FY66="keep",GJ66,0),IF(HA66="keep",HL66,0),IF(IC66="keep",IN66,0),IF(JE66="keep",JP66,0),IF(KG66="keep",KR66,0),IF(LI66="keep",LT66,0))</f>
        <v>0</v>
      </c>
      <c r="U66" s="5">
        <f>SUM(IF(BQ66="keep",CI66,0),IF(CS66="keep",DK66,0),IF(DU66="keep",EM66,0),IF(EW66="keep",FO66,0),IF(FY66="keep",GQ66,0),IF(HA66="keep",HS66,0),IF(IC66="keep",IU66,0),IF(JE66="keep",JW66,0),IF(KG66="keep",KY66,0),IF(LI66="keep",MA66,0))</f>
        <v>0</v>
      </c>
      <c r="V66" s="5">
        <f>R66/O66</f>
        <v>1.366907087153058</v>
      </c>
      <c r="W66" s="5">
        <f>S66/P66</f>
        <v>1.3668977867098873</v>
      </c>
      <c r="X66" s="5">
        <f>T66/O66</f>
        <v>0</v>
      </c>
      <c r="Y66" s="5">
        <f>U66/P66</f>
        <v>0</v>
      </c>
      <c r="Z66" s="5">
        <f>V66+X66</f>
        <v>1.366907087153058</v>
      </c>
      <c r="AA66" s="7">
        <f>IFERROR(W66/V66-1,0)</f>
        <v>-0.000006804005376892519</v>
      </c>
      <c r="AB66" s="7">
        <f>IFERROR((W66-V66)/Z66,0)</f>
        <v>-0.000006804005376900066</v>
      </c>
      <c r="AC66" s="7">
        <f>IFERROR(Y66/X66-1,0)</f>
        <v>0</v>
      </c>
      <c r="AD66" s="7">
        <f>IFERROR((Y66-X66)/Z66,0)</f>
        <v>0</v>
      </c>
      <c r="AE66" s="7">
        <f>AB66+AD66</f>
        <v>-0.000006804005376900066</v>
      </c>
      <c r="AF66" s="7">
        <f>(1+Q66)*(1+AE66)-1</f>
        <v>0.006652418165508545</v>
      </c>
      <c r="AG66" s="7">
        <f>G66-AF66</f>
        <v>1.7694179454963432e-16</v>
      </c>
      <c r="AH66" s="5">
        <f>SUM(IF(BQ66="lease",CE66,0),IF(CS66="lease",DG66,0),IF(DU66="lease",EI66,0),IF(EW66="lease",FK66,0),IF(FY66="lease",GM66,0),IF(HA66="lease",HO66,0),IF(IC66="lease",IQ66,0),IF(JE66="lease",JS66,0),IF(KG66="lease",KU66,0),IF(LI66="lease",LW66,0))</f>
        <v>0.0083687507875003</v>
      </c>
      <c r="AI66" s="5">
        <f>SUM(IF(BQ66="keep",CE66,0),IF(CS66="keep",DG66,0),IF(DU66="keep",EI66,0),IF(EW66="keep",FK66,0),IF(FY66="keep",GM66,0),IF(HA66="keep",HO66,0),IF(IC66="keep",IQ66,0),IF(JE66="keep",JS66,0),IF(KG66="keep",KU66,0),IF(LI66="keep",LW66,0))</f>
        <v>0</v>
      </c>
      <c r="AJ66" s="5">
        <f>SUM(IF(BQ66="lease",CH66,0),IF(CS66="lease",DJ66,0),IF(DU66="lease",EL66,0),IF(EW66="lease",FN66,0),IF(FY66="lease",GP66,0),IF(HA66="lease",HR66,0),IF(IC66="lease",IT66,0),IF(JE66="lease",JV66,0),IF(KG66="lease",KX66,0),IF(LI66="lease",LZ66,0))</f>
        <v>0</v>
      </c>
      <c r="AK66" s="5">
        <f>SUM(IF(BQ66="keep",CH66,0),IF(CS66="keep",DJ66,0),IF(DU66="keep",EL66,0),IF(EW66="keep",FN66,0),IF(FY66="keep",GP66,0),IF(HA66="keep",HR66,0),IF(IC66="keep",IT66,0),IF(JE66="keep",JV66,0),IF(KG66="keep",KX66,0),IF(LI66="keep",LZ66,0))</f>
        <v>0</v>
      </c>
      <c r="AL66" s="5">
        <f>R66-S65</f>
        <v>0</v>
      </c>
      <c r="AM66" s="5">
        <f>T66-U65</f>
        <v>0</v>
      </c>
      <c r="AN66" s="5">
        <f>AN65</f>
        <v>1</v>
      </c>
      <c r="AO66" s="5">
        <f>AO65+AH66</f>
        <v>0.26637006388750606</v>
      </c>
      <c r="AP66" s="5">
        <f>AP65+AL66</f>
        <v>-6.661338147750939e-16</v>
      </c>
      <c r="AQ66" s="5">
        <f>AN66+AO66+AP66</f>
        <v>1.2663700638875055</v>
      </c>
      <c r="AR66" s="5">
        <f>S66-AQ66</f>
        <v>0</v>
      </c>
      <c r="AS66" s="5">
        <f>AS65</f>
        <v>0</v>
      </c>
      <c r="AT66" s="5">
        <f>AT65+AI66</f>
        <v>0</v>
      </c>
      <c r="AU66" s="5">
        <f>AU65+AM66</f>
        <v>0</v>
      </c>
      <c r="AV66" s="5">
        <f>AS66+AT66+AU66</f>
        <v>0</v>
      </c>
      <c r="AW66" s="5">
        <f>U66-AV66</f>
        <v>0</v>
      </c>
      <c r="AX66" s="4">
        <v>1.2580013131000054</v>
      </c>
      <c r="AY66" s="4">
        <v>1.2663700638875057</v>
      </c>
      <c r="AZ66" s="5">
        <f>S66-AY66</f>
        <v>-2.220446049250313e-16</v>
      </c>
      <c r="BA66" s="4">
        <v>0</v>
      </c>
      <c r="BB66" s="4">
        <v>0</v>
      </c>
      <c r="BC66" s="5">
        <f>U66-BB66</f>
        <v>0</v>
      </c>
      <c r="BD66" s="7">
        <f>SUM(IF(BP66="direct",CC66/F66,0),IF(CR66="direct",DE66/F66,0),IF(DT66="direct",EG66/F66,0),IF(EV66="direct",FI66/F66,0),IF(FX66="direct",GK66/F66,0),IF(GZ66="direct",HM66/F66,0),IF(IB66="direct",IO66/F66,0),IF(JD66="direct",JQ66/F66,0),IF(KF66="direct",KS66/F66,0),IF(LH66="direct",LU66/F66,0))</f>
        <v>0.006659267480577141</v>
      </c>
      <c r="BE66" s="7">
        <f>-SUM(IF(BP66="direct",CD66/F66,0),IF(CR66="direct",DF66/F66,0),IF(DT66="direct",EH66/F66,0),IF(EV66="direct",FJ66/F66,0),IF(FX66="direct",GL66/F66,0),IF(GZ66="direct",HN66/F66,0),IF(IB66="direct",IP66/F66,0),IF(JD66="direct",JR66/F66,0),IF(KF66="direct",KT66/F66,0),IF(LH66="direct",LV66/F66,0))</f>
        <v>-0.000006849315068493151</v>
      </c>
      <c r="BF66" s="7">
        <f>BD66+BE66</f>
        <v>0.006652418165508649</v>
      </c>
      <c r="BG66" s="7">
        <f>BF66-SUM(IF(BP66="direct",CP66,0),IF(CR66="direct",DR66,0),IF(DT66="direct",ET66,0),IF(EV66="direct",FV66,0),IF(FX66="direct",GX66,0),IF(GZ66="direct",HZ66,0),IF(IB66="direct",JB66,0),IF(JD66="direct",KD66,0),IF(KF66="direct",LF66,0),IF(LH66="direct",MH66,0))</f>
        <v>-7.112366251504909e-17</v>
      </c>
      <c r="BH66" s="7">
        <f>SUM(IF(BP66="treasury",CP66,0),IF(CR66="treasury",DR66,0),IF(DT66="treasury",ET66,0),IF(EV66="treasury",FV66,0),IF(FX66="treasury",GX66,0),IF(GZ66="treasury",HZ66,0),IF(IB66="treasury",JB66,0),IF(JD66="treasury",KD66,0),IF(KF66="treasury",LF66,0),IF(LH66="treasury",MH66,0))</f>
        <v>0</v>
      </c>
      <c r="BI66" s="7">
        <f>SUM(IF(BP66="future",CP66,0),IF(CR66="future",DR66,0),IF(DT66="future",ET66,0),IF(EV66="future",FV66,0),IF(FX66="future",GX66,0),IF(GZ66="future",HZ66,0),IF(IB66="future",JB66,0),IF(JD66="future",KD66,0),IF(KF66="future",LF66,0),IF(LH66="future",MH66,0))</f>
        <v>0</v>
      </c>
      <c r="BJ66" s="7">
        <f>SUM(IF(BP66="cash",CP66,0),IF(CR66="cash",DR66,0),IF(DT66="cash",ET66,0),IF(EV66="cash",FV66,0),IF(FX66="cash",GX66,0),IF(GZ66="cash",HZ66,0),IF(IB66="cash",JB66,0),IF(JD66="cash",KD66,0),IF(KF66="cash",LF66,0),IF(LH66="cash",MH66,0))</f>
        <v>0</v>
      </c>
      <c r="BK66" s="7">
        <f>SUM(BF66,BH66,BI66,BJ66)</f>
        <v>0.00665241816550872</v>
      </c>
      <c r="BL66" s="7">
        <f>G66-BK66</f>
        <v>1.734723475976807e-18</v>
      </c>
      <c r="BM66" s="5">
        <f>MAX(ABS(CG66),ABS(DI66),ABS(EK66),ABS(FM66),ABS(GO66),ABS(HQ66),ABS(IS66),ABS(JU66),ABS(KW66),ABS(LY66))</f>
        <v>8.996675745966826e-17</v>
      </c>
      <c r="BN66" s="9">
        <f>COUNTA(BO66,CQ66,DS66,EU66,FW66,GY66,IA66,JC66,KE66,LG66)</f>
        <v>3</v>
      </c>
      <c r="BO66" t="inlineStr">
        <is>
          <t xml:space="preserve">Direct commodity holding</t>
        </is>
      </c>
      <c r="BP66" t="inlineStr">
        <is>
          <t xml:space="preserve">direct</t>
        </is>
      </c>
      <c r="BQ66" t="inlineStr">
        <is>
          <t xml:space="preserve">lease</t>
        </is>
      </c>
      <c r="BR66" t="inlineStr">
        <is>
          <t xml:space="preserve">long</t>
        </is>
      </c>
      <c r="BS66"/>
      <c r="BT66" s="4">
        <v>1.802</v>
      </c>
      <c r="BU66" s="4">
        <v>1.814</v>
      </c>
      <c r="BV66" s="6">
        <v>0.0025</v>
      </c>
      <c r="BW66" s="4">
        <v>0.6981139362375169</v>
      </c>
      <c r="BX66" s="5">
        <f>IF(BP66="direct",IFERROR(CD66/BU66,0),0)</f>
        <v>0.000004749970975744233</v>
      </c>
      <c r="BY66" s="5">
        <f>IF(BP66="direct",BW66-BX66,IF(BP66="cash",CI66,BW66))</f>
        <v>0.6981091862665412</v>
      </c>
      <c r="BZ66" s="6">
        <v>1</v>
      </c>
      <c r="CA66" s="4">
        <v>1.2580013131000056</v>
      </c>
      <c r="CB66" s="4">
        <v>1.2580013131000056</v>
      </c>
      <c r="CC66" s="5">
        <f>IF(BP66="direct",BW66*(BU66-BT66),CF66)</f>
        <v>0.00837736723485021</v>
      </c>
      <c r="CD66" s="5">
        <f>IF(BP66="direct",CB66*BV66*C66/365,0)</f>
        <v>0.00000861644735000004</v>
      </c>
      <c r="CE66" s="5">
        <f>CC66-CD66</f>
        <v>0.0083687507875003</v>
      </c>
      <c r="CF66" s="4">
        <v>0.0083687507875003</v>
      </c>
      <c r="CG66" s="5">
        <f>CF66-CE66</f>
        <v>8.996675745966826e-17</v>
      </c>
      <c r="CH66" s="4">
        <v>0</v>
      </c>
      <c r="CI66" s="4">
        <v>1.2663700638875057</v>
      </c>
      <c r="CJ66" s="4">
        <v>1.802</v>
      </c>
      <c r="CK66" s="4">
        <v>1.814</v>
      </c>
      <c r="CL66" s="6"/>
      <c r="CM66" s="6"/>
      <c r="CN66" s="6"/>
      <c r="CO66" s="9"/>
      <c r="CP66" s="7">
        <f>IFERROR(CE66/F66,0)</f>
        <v>0.00665241816550872</v>
      </c>
      <c r="CQ66" t="inlineStr">
        <is>
          <t xml:space="preserve">Lease cash / margin / financing</t>
        </is>
      </c>
      <c r="CR66" t="inlineStr">
        <is>
          <t xml:space="preserve">cash</t>
        </is>
      </c>
      <c r="CS66" t="inlineStr">
        <is>
          <t xml:space="preserve">lease</t>
        </is>
      </c>
      <c r="CT66" t="inlineStr">
        <is>
          <t xml:space="preserve">cash</t>
        </is>
      </c>
      <c r="CU66"/>
      <c r="CV66" s="4">
        <v>1</v>
      </c>
      <c r="CW66" s="4">
        <v>1</v>
      </c>
      <c r="CX66" s="6"/>
      <c r="CY66" s="4">
        <v>-2.220446049250313e-16</v>
      </c>
      <c r="CZ66" s="5">
        <f>IF(CR66="direct",IFERROR(DF66/CW66,0),0)</f>
        <v>0</v>
      </c>
      <c r="DA66" s="5">
        <f>IF(CR66="direct",CY66-CZ66,IF(CR66="cash",DK66,CY66))</f>
        <v>-2.220446049250313e-16</v>
      </c>
      <c r="DB66" s="6"/>
      <c r="DC66" s="4">
        <v>-2.220446049250313e-16</v>
      </c>
      <c r="DD66" s="4">
        <v>-2.220446049250313e-16</v>
      </c>
      <c r="DE66" s="5">
        <f>IF(CR66="direct",CY66*(CW66-CV66),DH66)</f>
        <v>0</v>
      </c>
      <c r="DF66" s="5">
        <f>IF(CR66="direct",DD66*CX66*C66/365,0)</f>
        <v>0</v>
      </c>
      <c r="DG66" s="5">
        <f>DE66-DF66</f>
        <v>0</v>
      </c>
      <c r="DH66" s="4">
        <v>0</v>
      </c>
      <c r="DI66" s="5">
        <f>DH66-DG66</f>
        <v>0</v>
      </c>
      <c r="DJ66" s="4">
        <v>0</v>
      </c>
      <c r="DK66" s="4">
        <v>-2.220446049250313e-16</v>
      </c>
      <c r="DL66" s="4">
        <v>1.802</v>
      </c>
      <c r="DM66" s="4">
        <v>1.814</v>
      </c>
      <c r="DN66" s="6"/>
      <c r="DO66" s="6"/>
      <c r="DP66" s="6"/>
      <c r="DQ66" s="9"/>
      <c r="DR66" s="7">
        <f>IFERROR(DG66/F66,0)</f>
        <v>0</v>
      </c>
      <c r="DS66" t="inlineStr">
        <is>
          <t xml:space="preserve">Keep cash / margin / financing</t>
        </is>
      </c>
      <c r="DT66" t="inlineStr">
        <is>
          <t xml:space="preserve">cash</t>
        </is>
      </c>
      <c r="DU66" t="inlineStr">
        <is>
          <t xml:space="preserve">keep</t>
        </is>
      </c>
      <c r="DV66" t="inlineStr">
        <is>
          <t xml:space="preserve">cash</t>
        </is>
      </c>
      <c r="DW66"/>
      <c r="DX66" s="4">
        <v>1</v>
      </c>
      <c r="DY66" s="4">
        <v>1</v>
      </c>
      <c r="DZ66" s="6"/>
      <c r="EA66" s="4">
        <v>0</v>
      </c>
      <c r="EB66" s="5">
        <f>IF(DT66="direct",IFERROR(EH66/DY66,0),0)</f>
        <v>0</v>
      </c>
      <c r="EC66" s="5">
        <f>IF(DT66="direct",EA66-EB66,IF(DT66="cash",EM66,EA66))</f>
        <v>0</v>
      </c>
      <c r="ED66" s="6"/>
      <c r="EE66" s="4">
        <v>0</v>
      </c>
      <c r="EF66" s="4">
        <v>0</v>
      </c>
      <c r="EG66" s="5">
        <f>IF(DT66="direct",EA66*(DY66-DX66),EJ66)</f>
        <v>0</v>
      </c>
      <c r="EH66" s="5">
        <f>IF(DT66="direct",EF66*DZ66*C66/365,0)</f>
        <v>0</v>
      </c>
      <c r="EI66" s="5">
        <f>EG66-EH66</f>
        <v>0</v>
      </c>
      <c r="EJ66" s="4">
        <v>0</v>
      </c>
      <c r="EK66" s="5">
        <f>EJ66-EI66</f>
        <v>0</v>
      </c>
      <c r="EL66" s="4">
        <v>0</v>
      </c>
      <c r="EM66" s="4">
        <v>0</v>
      </c>
      <c r="EN66" s="4">
        <v>1.802</v>
      </c>
      <c r="EO66" s="4">
        <v>1.814</v>
      </c>
      <c r="EP66" s="6"/>
      <c r="EQ66" s="6"/>
      <c r="ER66" s="6"/>
      <c r="ES66" s="9"/>
      <c r="ET66" s="7">
        <f>IFERROR(EI66/F66,0)</f>
        <v>0</v>
      </c>
      <c r="EU66"/>
      <c r="EV66"/>
      <c r="EW66"/>
      <c r="EX66"/>
      <c r="EY66"/>
      <c r="EZ66" s="4"/>
      <c r="FA66" s="4"/>
      <c r="FB66" s="6"/>
      <c r="FC66" s="4"/>
      <c r="FD66" s="5">
        <v>0</v>
      </c>
      <c r="FE66" s="5"/>
      <c r="FF66" s="6"/>
      <c r="FG66" s="4"/>
      <c r="FH66" s="4"/>
      <c r="FI66" s="5">
        <v>0</v>
      </c>
      <c r="FJ66" s="5">
        <v>0</v>
      </c>
      <c r="FK66" s="5"/>
      <c r="FL66" s="4"/>
      <c r="FM66" s="5">
        <v>0</v>
      </c>
      <c r="FN66" s="4"/>
      <c r="FO66" s="4"/>
      <c r="FP66" s="4"/>
      <c r="FQ66" s="4"/>
      <c r="FR66" s="6"/>
      <c r="FS66" s="6"/>
      <c r="FT66" s="6"/>
      <c r="FU66" s="9"/>
      <c r="FV66"/>
      <c r="FW66"/>
      <c r="FX66"/>
      <c r="FY66"/>
      <c r="FZ66"/>
      <c r="GA66"/>
      <c r="GB66" s="4"/>
      <c r="GC66" s="4"/>
      <c r="GD66" s="6"/>
      <c r="GE66" s="4"/>
      <c r="GF66" s="5">
        <v>0</v>
      </c>
      <c r="GG66" s="5"/>
      <c r="GH66" s="6"/>
      <c r="GI66" s="4"/>
      <c r="GJ66" s="4"/>
      <c r="GK66" s="5">
        <v>0</v>
      </c>
      <c r="GL66" s="5">
        <v>0</v>
      </c>
      <c r="GM66" s="5"/>
      <c r="GN66" s="4"/>
      <c r="GO66" s="5">
        <v>0</v>
      </c>
      <c r="GP66" s="4"/>
      <c r="GQ66" s="4"/>
      <c r="GR66" s="4"/>
      <c r="GS66" s="4"/>
      <c r="GT66" s="6"/>
      <c r="GU66" s="6"/>
      <c r="GV66" s="6"/>
      <c r="GW66" s="9"/>
      <c r="GX66"/>
      <c r="GY66"/>
      <c r="GZ66"/>
      <c r="HA66"/>
      <c r="HB66"/>
      <c r="HC66"/>
      <c r="HD66" s="4"/>
      <c r="HE66" s="4"/>
      <c r="HF66" s="6"/>
      <c r="HG66" s="4"/>
      <c r="HH66" s="5">
        <v>0</v>
      </c>
      <c r="HI66" s="5"/>
      <c r="HJ66" s="6"/>
      <c r="HK66" s="4"/>
      <c r="HL66" s="4"/>
      <c r="HM66" s="5">
        <v>0</v>
      </c>
      <c r="HN66" s="5">
        <v>0</v>
      </c>
      <c r="HO66" s="5"/>
      <c r="HP66" s="4"/>
      <c r="HQ66" s="5">
        <v>0</v>
      </c>
      <c r="HR66" s="4"/>
      <c r="HS66" s="4"/>
      <c r="HT66" s="4"/>
      <c r="HU66" s="4"/>
      <c r="HV66" s="6"/>
      <c r="HW66" s="6"/>
      <c r="HX66" s="6"/>
      <c r="HY66" s="9"/>
      <c r="HZ66"/>
      <c r="IA66"/>
      <c r="IB66"/>
      <c r="IC66"/>
      <c r="ID66"/>
      <c r="IE66"/>
      <c r="IF66" s="4"/>
      <c r="IG66" s="4"/>
      <c r="IH66" s="6"/>
      <c r="II66" s="4"/>
      <c r="IJ66" s="5">
        <v>0</v>
      </c>
      <c r="IK66" s="5"/>
      <c r="IL66" s="6"/>
      <c r="IM66" s="4"/>
      <c r="IN66" s="4"/>
      <c r="IO66" s="5">
        <v>0</v>
      </c>
      <c r="IP66" s="5">
        <v>0</v>
      </c>
      <c r="IQ66" s="5"/>
      <c r="IR66" s="4"/>
      <c r="IS66" s="5">
        <v>0</v>
      </c>
      <c r="IT66" s="4"/>
      <c r="IU66" s="4"/>
      <c r="IV66" s="4"/>
      <c r="IW66" s="4"/>
      <c r="IX66" s="6"/>
      <c r="IY66" s="6"/>
      <c r="IZ66" s="6"/>
      <c r="JA66" s="9"/>
      <c r="JB66"/>
      <c r="JC66"/>
      <c r="JD66"/>
      <c r="JE66"/>
      <c r="JF66"/>
      <c r="JG66"/>
      <c r="JH66" s="4"/>
      <c r="JI66" s="4"/>
      <c r="JJ66" s="6"/>
      <c r="JK66" s="4"/>
      <c r="JL66" s="5">
        <v>0</v>
      </c>
      <c r="JM66" s="5"/>
      <c r="JN66" s="6"/>
      <c r="JO66" s="4"/>
      <c r="JP66" s="4"/>
      <c r="JQ66" s="5">
        <v>0</v>
      </c>
      <c r="JR66" s="5">
        <v>0</v>
      </c>
      <c r="JS66" s="5"/>
      <c r="JT66" s="4"/>
      <c r="JU66" s="5">
        <v>0</v>
      </c>
      <c r="JV66" s="4"/>
      <c r="JW66" s="4"/>
      <c r="JX66" s="4"/>
      <c r="JY66" s="4"/>
      <c r="JZ66" s="6"/>
      <c r="KA66" s="6"/>
      <c r="KB66" s="6"/>
      <c r="KC66" s="9"/>
      <c r="KD66"/>
      <c r="KE66"/>
      <c r="KF66"/>
      <c r="KG66"/>
      <c r="KH66"/>
      <c r="KI66"/>
      <c r="KJ66" s="4"/>
      <c r="KK66" s="4"/>
      <c r="KL66" s="6"/>
      <c r="KM66" s="4"/>
      <c r="KN66" s="5">
        <v>0</v>
      </c>
      <c r="KO66" s="5"/>
      <c r="KP66" s="6"/>
      <c r="KQ66" s="4"/>
      <c r="KR66" s="4"/>
      <c r="KS66" s="5">
        <v>0</v>
      </c>
      <c r="KT66" s="5">
        <v>0</v>
      </c>
      <c r="KU66" s="5"/>
      <c r="KV66" s="4"/>
      <c r="KW66" s="5">
        <v>0</v>
      </c>
      <c r="KX66" s="4"/>
      <c r="KY66" s="4"/>
      <c r="KZ66" s="4"/>
      <c r="LA66" s="4"/>
      <c r="LB66" s="6"/>
      <c r="LC66" s="6"/>
      <c r="LD66" s="6"/>
      <c r="LE66" s="9"/>
      <c r="LF66"/>
      <c r="LG66"/>
      <c r="LH66"/>
      <c r="LI66"/>
      <c r="LJ66"/>
      <c r="LK66"/>
      <c r="LL66" s="4"/>
      <c r="LM66" s="4"/>
      <c r="LN66" s="6"/>
      <c r="LO66" s="4"/>
      <c r="LP66" s="5">
        <v>0</v>
      </c>
      <c r="LQ66" s="5"/>
      <c r="LR66" s="6"/>
      <c r="LS66" s="4"/>
      <c r="LT66" s="4"/>
      <c r="LU66" s="5">
        <v>0</v>
      </c>
      <c r="LV66" s="5">
        <v>0</v>
      </c>
      <c r="LW66" s="5"/>
      <c r="LX66" s="4"/>
      <c r="LY66" s="5">
        <v>0</v>
      </c>
      <c r="LZ66" s="4"/>
      <c r="MA66" s="4"/>
      <c r="MB66" s="4"/>
      <c r="MC66" s="4"/>
      <c r="MD66" s="6"/>
      <c r="ME66" s="6"/>
      <c r="MF66" s="6"/>
      <c r="MG66" s="9"/>
      <c r="MH66"/>
    </row>
    <row r="67">
      <c r="A67" s="8">
        <v>25303</v>
      </c>
      <c r="B67" s="8">
        <v>25304</v>
      </c>
      <c r="C67" s="9">
        <f>B67-A67</f>
        <v>1</v>
      </c>
      <c r="D67" s="8">
        <v>25303</v>
      </c>
      <c r="E67" t="inlineStr">
        <is>
          <t xml:space="preserve">positive</t>
        </is>
      </c>
      <c r="F67" s="4">
        <v>1.266370063887506</v>
      </c>
      <c r="G67" s="6">
        <v>-0.0008440987927475109</v>
      </c>
      <c r="H67" s="7">
        <f>SUM(CP67,DR67,ET67,FV67,GX67,HZ67,JB67,KD67,LF67,MH67)</f>
        <v>-0.0008440987927475112</v>
      </c>
      <c r="I67" s="7">
        <f>G67-H67</f>
        <v>3.2526065174565133e-19</v>
      </c>
      <c r="J67" s="5">
        <f>F67*(1+H67)</f>
        <v>1.265301122445407</v>
      </c>
      <c r="K67" s="4">
        <v>1.265301122445407</v>
      </c>
      <c r="L67" s="5">
        <f>K67-J67</f>
        <v>0</v>
      </c>
      <c r="M67" s="4">
        <v>1.814</v>
      </c>
      <c r="N67" s="4">
        <v>1.801</v>
      </c>
      <c r="O67" s="5">
        <f>M67/$M$3</f>
        <v>0.9264555669050052</v>
      </c>
      <c r="P67" s="5">
        <f>N67/$M$3</f>
        <v>0.9198161389172625</v>
      </c>
      <c r="Q67" s="7">
        <f>IFERROR(N67/M67-1,0)</f>
        <v>-0.00716648291069466</v>
      </c>
      <c r="R67" s="5">
        <f>SUM(IF(BQ67="lease",CB67,0),IF(CS67="lease",DD67,0),IF(DU67="lease",EF67,0),IF(EW67="lease",FH67,0),IF(FY67="lease",GJ67,0),IF(HA67="lease",HL67,0),IF(IC67="lease",IN67,0),IF(JE67="lease",JP67,0),IF(KG67="lease",KR67,0),IF(LI67="lease",LT67,0))</f>
        <v>1.2663700638875057</v>
      </c>
      <c r="S67" s="5">
        <f>SUM(IF(BQ67="lease",CI67,0),IF(CS67="lease",DK67,0),IF(DU67="lease",EM67,0),IF(EW67="lease",FO67,0),IF(FY67="lease",GQ67,0),IF(HA67="lease",HS67,0),IF(IC67="lease",IU67,0),IF(JE67="lease",JW67,0),IF(KG67="lease",KY67,0),IF(LI67="lease",MA67,0))</f>
        <v>1.2653011224454065</v>
      </c>
      <c r="T67" s="5">
        <f>SUM(IF(BQ67="keep",CB67,0),IF(CS67="keep",DD67,0),IF(DU67="keep",EF67,0),IF(EW67="keep",FH67,0),IF(FY67="keep",GJ67,0),IF(HA67="keep",HL67,0),IF(IC67="keep",IN67,0),IF(JE67="keep",JP67,0),IF(KG67="keep",KR67,0),IF(LI67="keep",LT67,0))</f>
        <v>0</v>
      </c>
      <c r="U67" s="5">
        <f>SUM(IF(BQ67="keep",CI67,0),IF(CS67="keep",DK67,0),IF(DU67="keep",EM67,0),IF(EW67="keep",FO67,0),IF(FY67="keep",GQ67,0),IF(HA67="keep",HS67,0),IF(IC67="keep",IU67,0),IF(JE67="keep",JW67,0),IF(KG67="keep",KY67,0),IF(LI67="keep",MA67,0))</f>
        <v>0</v>
      </c>
      <c r="V67" s="5">
        <f>R67/O67</f>
        <v>1.3668977867098875</v>
      </c>
      <c r="W67" s="5">
        <f>S67/P67</f>
        <v>1.375602219737982</v>
      </c>
      <c r="X67" s="5">
        <f>T67/O67</f>
        <v>0</v>
      </c>
      <c r="Y67" s="5">
        <f>U67/P67</f>
        <v>0</v>
      </c>
      <c r="Z67" s="5">
        <f>V67+X67</f>
        <v>1.3668977867098875</v>
      </c>
      <c r="AA67" s="7">
        <f>IFERROR(W67/V67-1,0)</f>
        <v>0.006368020427515608</v>
      </c>
      <c r="AB67" s="7">
        <f>IFERROR((W67-V67)/Z67,0)</f>
        <v>0.006368020427515683</v>
      </c>
      <c r="AC67" s="7">
        <f>IFERROR(Y67/X67-1,0)</f>
        <v>0</v>
      </c>
      <c r="AD67" s="7">
        <f>IFERROR((Y67-X67)/Z67,0)</f>
        <v>0</v>
      </c>
      <c r="AE67" s="7">
        <f>AB67+AD67</f>
        <v>0.006368020427515683</v>
      </c>
      <c r="AF67" s="7">
        <f>(1+Q67)*(1+AE67)-1</f>
        <v>-0.0008440987927478272</v>
      </c>
      <c r="AG67" s="7">
        <f>G67-AF67</f>
        <v>3.1626177371402164e-16</v>
      </c>
      <c r="AH67" s="5">
        <f>SUM(IF(BQ67="lease",CE67,0),IF(CS67="lease",DG67,0),IF(DU67="lease",EI67,0),IF(EW67="lease",FK67,0),IF(FY67="lease",GM67,0),IF(HA67="lease",HO67,0),IF(IC67="lease",IQ67,0),IF(JE67="lease",JS67,0),IF(KG67="lease",KU67,0),IF(LI67="lease",LW67,0))</f>
        <v>-0.0010689414420990324</v>
      </c>
      <c r="AI67" s="5">
        <f>SUM(IF(BQ67="keep",CE67,0),IF(CS67="keep",DG67,0),IF(DU67="keep",EI67,0),IF(EW67="keep",FK67,0),IF(FY67="keep",GM67,0),IF(HA67="keep",HO67,0),IF(IC67="keep",IQ67,0),IF(JE67="keep",JS67,0),IF(KG67="keep",KU67,0),IF(LI67="keep",LW67,0))</f>
        <v>0</v>
      </c>
      <c r="AJ67" s="5">
        <f>SUM(IF(BQ67="lease",CH67,0),IF(CS67="lease",DJ67,0),IF(DU67="lease",EL67,0),IF(EW67="lease",FN67,0),IF(FY67="lease",GP67,0),IF(HA67="lease",HR67,0),IF(IC67="lease",IT67,0),IF(JE67="lease",JV67,0),IF(KG67="lease",KX67,0),IF(LI67="lease",LZ67,0))</f>
        <v>0</v>
      </c>
      <c r="AK67" s="5">
        <f>SUM(IF(BQ67="keep",CH67,0),IF(CS67="keep",DJ67,0),IF(DU67="keep",EL67,0),IF(EW67="keep",FN67,0),IF(FY67="keep",GP67,0),IF(HA67="keep",HR67,0),IF(IC67="keep",IT67,0),IF(JE67="keep",JV67,0),IF(KG67="keep",KX67,0),IF(LI67="keep",LZ67,0))</f>
        <v>0</v>
      </c>
      <c r="AL67" s="5">
        <f>R67-S66</f>
        <v>2.220446049250313e-16</v>
      </c>
      <c r="AM67" s="5">
        <f>T67-U66</f>
        <v>0</v>
      </c>
      <c r="AN67" s="5">
        <f>AN66</f>
        <v>1</v>
      </c>
      <c r="AO67" s="5">
        <f>AO66+AH67</f>
        <v>0.26530112244540704</v>
      </c>
      <c r="AP67" s="5">
        <f>AP66+AL67</f>
        <v>-4.440892098500626e-16</v>
      </c>
      <c r="AQ67" s="5">
        <f>AN67+AO67+AP67</f>
        <v>1.2653011224454067</v>
      </c>
      <c r="AR67" s="5">
        <f>S67-AQ67</f>
        <v>-2.220446049250313e-16</v>
      </c>
      <c r="AS67" s="5">
        <f>AS66</f>
        <v>0</v>
      </c>
      <c r="AT67" s="5">
        <f>AT66+AI67</f>
        <v>0</v>
      </c>
      <c r="AU67" s="5">
        <f>AU66+AM67</f>
        <v>0</v>
      </c>
      <c r="AV67" s="5">
        <f>AS67+AT67+AU67</f>
        <v>0</v>
      </c>
      <c r="AW67" s="5">
        <f>U67-AV67</f>
        <v>0</v>
      </c>
      <c r="AX67" s="4">
        <v>1.2663700638875057</v>
      </c>
      <c r="AY67" s="4">
        <v>1.2653011224454067</v>
      </c>
      <c r="AZ67" s="5">
        <f>S67-AY67</f>
        <v>-2.220446049250313e-16</v>
      </c>
      <c r="BA67" s="4">
        <v>0</v>
      </c>
      <c r="BB67" s="4">
        <v>0</v>
      </c>
      <c r="BC67" s="5">
        <f>U67-BB67</f>
        <v>0</v>
      </c>
      <c r="BD67" s="7">
        <f>SUM(IF(BP67="direct",CC67/F67,0),IF(CR67="direct",DE67/F67,0),IF(DT67="direct",EG67/F67,0),IF(EV67="direct",FI67/F67,0),IF(FX67="direct",GK67/F67,0),IF(GZ67="direct",HM67/F67,0),IF(IB67="direct",IO67/F67,0),IF(JD67="direct",JQ67/F67,0),IF(KF67="direct",KS67/F67,0),IF(LH67="direct",LU67/F67,0))</f>
        <v>-0.0024209622410853947</v>
      </c>
      <c r="BE67" s="7">
        <f>-SUM(IF(BP67="direct",CD67/F67,0),IF(CR67="direct",DF67/F67,0),IF(DT67="direct",EH67/F67,0),IF(EV67="direct",FJ67/F67,0),IF(FX67="direct",GL67/F67,0),IF(GZ67="direct",HN67/F67,0),IF(IB67="direct",IP67/F67,0),IF(JD67="direct",JR67/F67,0),IF(KF67="direct",KT67/F67,0),IF(LH67="direct",LV67/F67,0))</f>
        <v>-0.0000023138174422175263</v>
      </c>
      <c r="BF67" s="7">
        <f>BD67+BE67</f>
        <v>-0.0024232760585276123</v>
      </c>
      <c r="BG67" s="7">
        <f>BF67-SUM(IF(BP67="direct",CP67,0),IF(CR67="direct",DR67,0),IF(DT67="direct",ET67,0),IF(EV67="direct",FV67,0),IF(FX67="direct",GX67,0),IF(GZ67="direct",HZ67,0),IF(IB67="direct",JB67,0),IF(JD67="direct",KD67,0),IF(KF67="direct",LF67,0),IF(LH67="direct",MH67,0))</f>
        <v>-1.734723475976807e-18</v>
      </c>
      <c r="BH67" s="7">
        <f>SUM(IF(BP67="treasury",CP67,0),IF(CR67="treasury",DR67,0),IF(DT67="treasury",ET67,0),IF(EV67="treasury",FV67,0),IF(FX67="treasury",GX67,0),IF(GZ67="treasury",HZ67,0),IF(IB67="treasury",JB67,0),IF(JD67="treasury",KD67,0),IF(KF67="treasury",LF67,0),IF(LH67="treasury",MH67,0))</f>
        <v>0.00011175466151143138</v>
      </c>
      <c r="BI67" s="7">
        <f>SUM(IF(BP67="future",CP67,0),IF(CR67="future",DR67,0),IF(DT67="future",ET67,0),IF(EV67="future",FV67,0),IF(FX67="future",GX67,0),IF(GZ67="future",HZ67,0),IF(IB67="future",JB67,0),IF(JD67="future",KD67,0),IF(KF67="future",LF67,0),IF(LH67="future",MH67,0))</f>
        <v>0.001467422604268668</v>
      </c>
      <c r="BJ67" s="7">
        <f>SUM(IF(BP67="cash",CP67,0),IF(CR67="cash",DR67,0),IF(DT67="cash",ET67,0),IF(EV67="cash",FV67,0),IF(FX67="cash",GX67,0),IF(GZ67="cash",HZ67,0),IF(IB67="cash",JB67,0),IF(JD67="cash",KD67,0),IF(KF67="cash",LF67,0),IF(LH67="cash",MH67,0))</f>
        <v>0</v>
      </c>
      <c r="BK67" s="7">
        <f>SUM(BF67,BH67,BI67,BJ67)</f>
        <v>-0.000844098792747511</v>
      </c>
      <c r="BL67" s="7">
        <f>G67-BK67</f>
        <v>1.0842021724855044e-19</v>
      </c>
      <c r="BM67" s="5">
        <f>MAX(ABS(CG67),ABS(DI67),ABS(EK67),ABS(FM67),ABS(GO67),ABS(HQ67),ABS(IS67),ABS(JU67),ABS(KW67),ABS(LY67))</f>
        <v>1.2682454912649188e-16</v>
      </c>
      <c r="BN67" s="9">
        <f>COUNTA(BO67,CQ67,DS67,EU67,FW67,GY67,IA67,JC67,KE67,LG67)</f>
        <v>6</v>
      </c>
      <c r="BO67" t="inlineStr">
        <is>
          <t xml:space="preserve">Direct commodity holding</t>
        </is>
      </c>
      <c r="BP67" t="inlineStr">
        <is>
          <t xml:space="preserve">direct</t>
        </is>
      </c>
      <c r="BQ67" t="inlineStr">
        <is>
          <t xml:space="preserve">lease</t>
        </is>
      </c>
      <c r="BR67" t="inlineStr">
        <is>
          <t xml:space="preserve">long</t>
        </is>
      </c>
      <c r="BS67"/>
      <c r="BT67" s="4">
        <v>1.814</v>
      </c>
      <c r="BU67" s="4">
        <v>1.801</v>
      </c>
      <c r="BV67" s="6">
        <v>0.0025</v>
      </c>
      <c r="BW67" s="4">
        <v>0.23583339291634783</v>
      </c>
      <c r="BX67" s="5">
        <f>IF(BP67="direct",IFERROR(CD67/BU67,0),0)</f>
        <v>0.0000016269567696418848</v>
      </c>
      <c r="BY67" s="5">
        <f>IF(BP67="direct",BW67-BX67,IF(BP67="cash",CI67,BW67))</f>
        <v>0.2358317659595782</v>
      </c>
      <c r="BZ67" s="6">
        <v>0.33781734656375884</v>
      </c>
      <c r="CA67" s="4">
        <v>0.427801774750255</v>
      </c>
      <c r="CB67" s="4">
        <v>0.427801774750255</v>
      </c>
      <c r="CC67" s="5">
        <f>IF(BP67="direct",BW67*(BU67-BT67),CF67)</f>
        <v>-0.0030658341079125508</v>
      </c>
      <c r="CD67" s="5">
        <f>IF(BP67="direct",CB67*BV67*C67/365,0)</f>
        <v>0.0000029301491421250342</v>
      </c>
      <c r="CE67" s="5">
        <f>CC67-CD67</f>
        <v>-0.003068764257054674</v>
      </c>
      <c r="CF67" s="4">
        <v>-0.003068764257054674</v>
      </c>
      <c r="CG67" s="5">
        <f>CF67-CE67</f>
        <v>1.957069624631061e-18</v>
      </c>
      <c r="CH67" s="4">
        <v>0</v>
      </c>
      <c r="CI67" s="4">
        <v>0.42473301049320034</v>
      </c>
      <c r="CJ67" s="4">
        <v>1.814</v>
      </c>
      <c r="CK67" s="4">
        <v>1.801</v>
      </c>
      <c r="CL67" s="6"/>
      <c r="CM67" s="6"/>
      <c r="CN67" s="6"/>
      <c r="CO67" s="9"/>
      <c r="CP67" s="7">
        <f>IFERROR(CE67/F67,0)</f>
        <v>-0.0024232760585276105</v>
      </c>
      <c r="CQ67" t="inlineStr">
        <is>
          <t xml:space="preserve">Treasury collateral</t>
        </is>
      </c>
      <c r="CR67" t="inlineStr">
        <is>
          <t xml:space="preserve">treasury</t>
        </is>
      </c>
      <c r="CS67" t="inlineStr">
        <is>
          <t xml:space="preserve">lease</t>
        </is>
      </c>
      <c r="CT67" t="inlineStr">
        <is>
          <t xml:space="preserve">long</t>
        </is>
      </c>
      <c r="CU67"/>
      <c r="CV67" s="4">
        <v>101.64867690418802</v>
      </c>
      <c r="CW67" s="4">
        <v>101.66583185897512</v>
      </c>
      <c r="CX67" s="6"/>
      <c r="CY67" s="4">
        <v>0.00824967244706656</v>
      </c>
      <c r="CZ67" s="5">
        <f>IF(CR67="direct",IFERROR(DF67/CW67,0),0)</f>
        <v>0</v>
      </c>
      <c r="DA67" s="5">
        <f>IF(CR67="direct",CY67-CZ67,IF(CR67="cash",DK67,CY67))</f>
        <v>0.00824967244706656</v>
      </c>
      <c r="DB67" s="6">
        <v>0.6621826534362412</v>
      </c>
      <c r="DC67" s="4">
        <v>0.8385682891372509</v>
      </c>
      <c r="DD67" s="4">
        <v>0.8385682891372509</v>
      </c>
      <c r="DE67" s="5">
        <f>IF(CR67="direct",CY67*(CW67-CV67),DH67)</f>
        <v>0.00014152275783783114</v>
      </c>
      <c r="DF67" s="5">
        <f>IF(CR67="direct",DD67*CX67*C67/365,0)</f>
        <v>0</v>
      </c>
      <c r="DG67" s="5">
        <f>DE67-DF67</f>
        <v>0.00014152275783795796</v>
      </c>
      <c r="DH67" s="4">
        <v>0.00014152275783795796</v>
      </c>
      <c r="DI67" s="5">
        <f>DH67-DG67</f>
        <v>1.2682454912649188e-16</v>
      </c>
      <c r="DJ67" s="4">
        <v>-1.0489656018797255e-16</v>
      </c>
      <c r="DK67" s="4">
        <v>0.8387098118950888</v>
      </c>
      <c r="DL67" s="4">
        <v>1.814</v>
      </c>
      <c r="DM67" s="4">
        <v>1.801</v>
      </c>
      <c r="DN67" s="6"/>
      <c r="DO67" s="6"/>
      <c r="DP67" s="6"/>
      <c r="DQ67" s="9">
        <v>48</v>
      </c>
      <c r="DR67" s="7">
        <f>IFERROR(DG67/F67,0)</f>
        <v>0.00011175466151143138</v>
      </c>
      <c r="DS67" t="inlineStr">
        <is>
          <t xml:space="preserve">SI69K</t>
        </is>
      </c>
      <c r="DT67" t="inlineStr">
        <is>
          <t xml:space="preserve">future</t>
        </is>
      </c>
      <c r="DU67" t="inlineStr">
        <is>
          <t xml:space="preserve">lease</t>
        </is>
      </c>
      <c r="DV67" t="inlineStr">
        <is>
          <t xml:space="preserve">long</t>
        </is>
      </c>
      <c r="DW67" t="inlineStr">
        <is>
          <t xml:space="preserve">regular</t>
        </is>
      </c>
      <c r="DX67" s="4">
        <v>1.805</v>
      </c>
      <c r="DY67" s="4">
        <v>1.8090000000000002</v>
      </c>
      <c r="DZ67" s="6"/>
      <c r="EA67" s="4">
        <v>0.46456946197424576</v>
      </c>
      <c r="EB67" s="5">
        <f>IF(DT67="direct",IFERROR(EH67/DY67,0),0)</f>
        <v>0</v>
      </c>
      <c r="EC67" s="5">
        <f>IF(DT67="direct",EA67-EB67,IF(DT67="cash",EM67,EA67))</f>
        <v>0.46456946197424576</v>
      </c>
      <c r="ED67" s="6">
        <v>0.6621665362882452</v>
      </c>
      <c r="EE67" s="4">
        <v>0.8385478788635136</v>
      </c>
      <c r="EF67" s="4">
        <v>0</v>
      </c>
      <c r="EG67" s="5">
        <f>IF(DT67="direct",EA67*(DY67-DX67),EJ67)</f>
        <v>0.001858277847897077</v>
      </c>
      <c r="EH67" s="5">
        <f>IF(DT67="direct",EF67*DZ67*C67/365,0)</f>
        <v>0</v>
      </c>
      <c r="EI67" s="5">
        <f>EG67-EH67</f>
        <v>0.001858277847897077</v>
      </c>
      <c r="EJ67" s="4">
        <v>0.001858277847897077</v>
      </c>
      <c r="EK67" s="5">
        <f>EJ67-EI67</f>
        <v>0</v>
      </c>
      <c r="EL67" s="4">
        <v>-0.001858277847897077</v>
      </c>
      <c r="EM67" s="4">
        <v>0</v>
      </c>
      <c r="EN67" s="4">
        <v>1.814</v>
      </c>
      <c r="EO67" s="4">
        <v>1.801</v>
      </c>
      <c r="EP67" s="6">
        <v>-0.004961411245865577</v>
      </c>
      <c r="EQ67" s="6">
        <v>0.0616</v>
      </c>
      <c r="ER67" s="6">
        <v>0.09932739801543616</v>
      </c>
      <c r="ES67" s="9">
        <v>48</v>
      </c>
      <c r="ET67" s="7">
        <f>IFERROR(EI67/F67,0)</f>
        <v>0.0014674050665668226</v>
      </c>
      <c r="EU67" t="inlineStr">
        <is>
          <t xml:space="preserve">SI69N</t>
        </is>
      </c>
      <c r="EV67" t="inlineStr">
        <is>
          <t xml:space="preserve">future</t>
        </is>
      </c>
      <c r="EW67" t="inlineStr">
        <is>
          <t xml:space="preserve">lease</t>
        </is>
      </c>
      <c r="EX67" t="inlineStr">
        <is>
          <t xml:space="preserve">long</t>
        </is>
      </c>
      <c r="EY67" t="inlineStr">
        <is>
          <t xml:space="preserve">regular</t>
        </is>
      </c>
      <c r="EZ67" s="4">
        <v>1.838</v>
      </c>
      <c r="FA67" s="4">
        <v>1.84</v>
      </c>
      <c r="FB67" s="6"/>
      <c r="FC67" s="4">
        <v>0.000011104610303268857</v>
      </c>
      <c r="FD67" s="5">
        <f>IF(EV67="direct",IFERROR(FJ67/FA67,0),0)</f>
        <v>0</v>
      </c>
      <c r="FE67" s="5">
        <f>IF(EV67="direct",FC67-FD67,IF(EV67="cash",FO67,FC67))</f>
        <v>0.000011104610303268857</v>
      </c>
      <c r="FF67" s="6">
        <v>0.0000161171479960231</v>
      </c>
      <c r="FG67" s="4">
        <v>0.00002041027373740816</v>
      </c>
      <c r="FH67" s="4">
        <v>0</v>
      </c>
      <c r="FI67" s="5">
        <f>IF(EV67="direct",FC67*(FA67-EZ67),FL67)</f>
        <v>2.2209220606537203e-8</v>
      </c>
      <c r="FJ67" s="5">
        <f>IF(EV67="direct",FH67*FB67*C67/365,0)</f>
        <v>0</v>
      </c>
      <c r="FK67" s="5">
        <f>FI67-FJ67</f>
        <v>2.2209220606537203e-8</v>
      </c>
      <c r="FL67" s="4">
        <v>2.2209220606537203e-8</v>
      </c>
      <c r="FM67" s="5">
        <f>FL67-FK67</f>
        <v>0</v>
      </c>
      <c r="FN67" s="4">
        <v>-2.2209220606537203e-8</v>
      </c>
      <c r="FO67" s="4">
        <v>0</v>
      </c>
      <c r="FP67" s="4">
        <v>1.814</v>
      </c>
      <c r="FQ67" s="4">
        <v>1.801</v>
      </c>
      <c r="FR67" s="6">
        <v>0.013230429988974723</v>
      </c>
      <c r="FS67" s="6">
        <v>0.06164175824175824</v>
      </c>
      <c r="FT67" s="6">
        <v>0.017740786005614843</v>
      </c>
      <c r="FU67" s="9">
        <v>110</v>
      </c>
      <c r="FV67" s="7">
        <f>IFERROR(FK67/F67,0)</f>
        <v>1.753770184550895e-8</v>
      </c>
      <c r="FW67" t="inlineStr">
        <is>
          <t xml:space="preserve">Lease cash / margin / financing</t>
        </is>
      </c>
      <c r="FX67" t="inlineStr">
        <is>
          <t xml:space="preserve">cash</t>
        </is>
      </c>
      <c r="FY67" t="inlineStr">
        <is>
          <t xml:space="preserve">lease</t>
        </is>
      </c>
      <c r="FZ67" t="inlineStr">
        <is>
          <t xml:space="preserve">cash</t>
        </is>
      </c>
      <c r="GA67"/>
      <c r="GB67" s="4">
        <v>1</v>
      </c>
      <c r="GC67" s="4">
        <v>1</v>
      </c>
      <c r="GD67" s="6"/>
      <c r="GE67" s="4">
        <v>-2.220446049250313e-16</v>
      </c>
      <c r="GF67" s="5">
        <f>IF(FX67="direct",IFERROR(GL67/GC67,0),0)</f>
        <v>0</v>
      </c>
      <c r="GG67" s="5">
        <f>IF(FX67="direct",GE67-GF67,IF(FX67="cash",GQ67,GE67))</f>
        <v>0.0018583000571175663</v>
      </c>
      <c r="GH67" s="6"/>
      <c r="GI67" s="4">
        <v>-2.220446049250313e-16</v>
      </c>
      <c r="GJ67" s="4">
        <v>-2.220446049250313e-16</v>
      </c>
      <c r="GK67" s="5">
        <f>IF(FX67="direct",GE67*(GC67-GB67),GN67)</f>
        <v>0</v>
      </c>
      <c r="GL67" s="5">
        <f>IF(FX67="direct",GJ67*GD67*C67/365,0)</f>
        <v>0</v>
      </c>
      <c r="GM67" s="5">
        <f>GK67-GL67</f>
        <v>0</v>
      </c>
      <c r="GN67" s="4">
        <v>0</v>
      </c>
      <c r="GO67" s="5">
        <f>GN67-GM67</f>
        <v>0</v>
      </c>
      <c r="GP67" s="4">
        <v>0.0018583000571177884</v>
      </c>
      <c r="GQ67" s="4">
        <v>0.0018583000571175663</v>
      </c>
      <c r="GR67" s="4">
        <v>1.814</v>
      </c>
      <c r="GS67" s="4">
        <v>1.801</v>
      </c>
      <c r="GT67" s="6"/>
      <c r="GU67" s="6"/>
      <c r="GV67" s="6"/>
      <c r="GW67" s="9"/>
      <c r="GX67" s="7">
        <f>IFERROR(GM67/F67,0)</f>
        <v>0</v>
      </c>
      <c r="GY67" t="inlineStr">
        <is>
          <t xml:space="preserve">Keep cash / margin / financing</t>
        </is>
      </c>
      <c r="GZ67" t="inlineStr">
        <is>
          <t xml:space="preserve">cash</t>
        </is>
      </c>
      <c r="HA67" t="inlineStr">
        <is>
          <t xml:space="preserve">keep</t>
        </is>
      </c>
      <c r="HB67" t="inlineStr">
        <is>
          <t xml:space="preserve">cash</t>
        </is>
      </c>
      <c r="HC67"/>
      <c r="HD67" s="4">
        <v>1</v>
      </c>
      <c r="HE67" s="4">
        <v>1</v>
      </c>
      <c r="HF67" s="6"/>
      <c r="HG67" s="4">
        <v>0</v>
      </c>
      <c r="HH67" s="5">
        <f>IF(GZ67="direct",IFERROR(HN67/HE67,0),0)</f>
        <v>0</v>
      </c>
      <c r="HI67" s="5">
        <f>IF(GZ67="direct",HG67-HH67,IF(GZ67="cash",HS67,HG67))</f>
        <v>0</v>
      </c>
      <c r="HJ67" s="6"/>
      <c r="HK67" s="4">
        <v>0</v>
      </c>
      <c r="HL67" s="4">
        <v>0</v>
      </c>
      <c r="HM67" s="5">
        <f>IF(GZ67="direct",HG67*(HE67-HD67),HP67)</f>
        <v>0</v>
      </c>
      <c r="HN67" s="5">
        <f>IF(GZ67="direct",HL67*HF67*C67/365,0)</f>
        <v>0</v>
      </c>
      <c r="HO67" s="5">
        <f>HM67-HN67</f>
        <v>0</v>
      </c>
      <c r="HP67" s="4">
        <v>0</v>
      </c>
      <c r="HQ67" s="5">
        <f>HP67-HO67</f>
        <v>0</v>
      </c>
      <c r="HR67" s="4">
        <v>0</v>
      </c>
      <c r="HS67" s="4">
        <v>0</v>
      </c>
      <c r="HT67" s="4">
        <v>1.814</v>
      </c>
      <c r="HU67" s="4">
        <v>1.801</v>
      </c>
      <c r="HV67" s="6"/>
      <c r="HW67" s="6"/>
      <c r="HX67" s="6"/>
      <c r="HY67" s="9"/>
      <c r="HZ67" s="7">
        <f>IFERROR(HO67/F67,0)</f>
        <v>0</v>
      </c>
      <c r="IA67"/>
      <c r="IB67"/>
      <c r="IC67"/>
      <c r="ID67"/>
      <c r="IE67"/>
      <c r="IF67" s="4"/>
      <c r="IG67" s="4"/>
      <c r="IH67" s="6"/>
      <c r="II67" s="4"/>
      <c r="IJ67" s="5">
        <v>0</v>
      </c>
      <c r="IK67" s="5"/>
      <c r="IL67" s="6"/>
      <c r="IM67" s="4"/>
      <c r="IN67" s="4"/>
      <c r="IO67" s="5">
        <v>0</v>
      </c>
      <c r="IP67" s="5">
        <v>0</v>
      </c>
      <c r="IQ67" s="5"/>
      <c r="IR67" s="4"/>
      <c r="IS67" s="5">
        <v>0</v>
      </c>
      <c r="IT67" s="4"/>
      <c r="IU67" s="4"/>
      <c r="IV67" s="4"/>
      <c r="IW67" s="4"/>
      <c r="IX67" s="6"/>
      <c r="IY67" s="6"/>
      <c r="IZ67" s="6"/>
      <c r="JA67" s="9"/>
      <c r="JB67"/>
      <c r="JC67"/>
      <c r="JD67"/>
      <c r="JE67"/>
      <c r="JF67"/>
      <c r="JG67"/>
      <c r="JH67" s="4"/>
      <c r="JI67" s="4"/>
      <c r="JJ67" s="6"/>
      <c r="JK67" s="4"/>
      <c r="JL67" s="5">
        <v>0</v>
      </c>
      <c r="JM67" s="5"/>
      <c r="JN67" s="6"/>
      <c r="JO67" s="4"/>
      <c r="JP67" s="4"/>
      <c r="JQ67" s="5">
        <v>0</v>
      </c>
      <c r="JR67" s="5">
        <v>0</v>
      </c>
      <c r="JS67" s="5"/>
      <c r="JT67" s="4"/>
      <c r="JU67" s="5">
        <v>0</v>
      </c>
      <c r="JV67" s="4"/>
      <c r="JW67" s="4"/>
      <c r="JX67" s="4"/>
      <c r="JY67" s="4"/>
      <c r="JZ67" s="6"/>
      <c r="KA67" s="6"/>
      <c r="KB67" s="6"/>
      <c r="KC67" s="9"/>
      <c r="KD67"/>
      <c r="KE67"/>
      <c r="KF67"/>
      <c r="KG67"/>
      <c r="KH67"/>
      <c r="KI67"/>
      <c r="KJ67" s="4"/>
      <c r="KK67" s="4"/>
      <c r="KL67" s="6"/>
      <c r="KM67" s="4"/>
      <c r="KN67" s="5">
        <v>0</v>
      </c>
      <c r="KO67" s="5"/>
      <c r="KP67" s="6"/>
      <c r="KQ67" s="4"/>
      <c r="KR67" s="4"/>
      <c r="KS67" s="5">
        <v>0</v>
      </c>
      <c r="KT67" s="5">
        <v>0</v>
      </c>
      <c r="KU67" s="5"/>
      <c r="KV67" s="4"/>
      <c r="KW67" s="5">
        <v>0</v>
      </c>
      <c r="KX67" s="4"/>
      <c r="KY67" s="4"/>
      <c r="KZ67" s="4"/>
      <c r="LA67" s="4"/>
      <c r="LB67" s="6"/>
      <c r="LC67" s="6"/>
      <c r="LD67" s="6"/>
      <c r="LE67" s="9"/>
      <c r="LF67"/>
      <c r="LG67"/>
      <c r="LH67"/>
      <c r="LI67"/>
      <c r="LJ67"/>
      <c r="LK67"/>
      <c r="LL67" s="4"/>
      <c r="LM67" s="4"/>
      <c r="LN67" s="6"/>
      <c r="LO67" s="4"/>
      <c r="LP67" s="5">
        <v>0</v>
      </c>
      <c r="LQ67" s="5"/>
      <c r="LR67" s="6"/>
      <c r="LS67" s="4"/>
      <c r="LT67" s="4"/>
      <c r="LU67" s="5">
        <v>0</v>
      </c>
      <c r="LV67" s="5">
        <v>0</v>
      </c>
      <c r="LW67" s="5"/>
      <c r="LX67" s="4"/>
      <c r="LY67" s="5">
        <v>0</v>
      </c>
      <c r="LZ67" s="4"/>
      <c r="MA67" s="4"/>
      <c r="MB67" s="4"/>
      <c r="MC67" s="4"/>
      <c r="MD67" s="6"/>
      <c r="ME67" s="6"/>
      <c r="MF67" s="6"/>
      <c r="MG67" s="9"/>
      <c r="MH67"/>
    </row>
    <row r="68">
      <c r="A68" s="8">
        <v>25304</v>
      </c>
      <c r="B68" s="8">
        <v>25307</v>
      </c>
      <c r="C68" s="9">
        <f>B68-A68</f>
        <v>3</v>
      </c>
      <c r="D68" s="8">
        <v>25304</v>
      </c>
      <c r="E68" t="inlineStr">
        <is>
          <t xml:space="preserve">positive</t>
        </is>
      </c>
      <c r="F68" s="4">
        <v>1.265301122445407</v>
      </c>
      <c r="G68" s="6">
        <v>-0.0018832015240712022</v>
      </c>
      <c r="H68" s="7">
        <f>SUM(CP68,DR68,ET68,FV68,GX68,HZ68,JB68,KD68,LF68,MH68)</f>
        <v>-0.0018832015240712022</v>
      </c>
      <c r="I68" s="7">
        <f>G68-H68</f>
        <v>0</v>
      </c>
      <c r="J68" s="5">
        <f>F68*(1+H68)</f>
        <v>1.2629183054432087</v>
      </c>
      <c r="K68" s="4">
        <v>1.2629183054432087</v>
      </c>
      <c r="L68" s="5">
        <f>K68-J68</f>
        <v>0</v>
      </c>
      <c r="M68" s="4">
        <v>1.801</v>
      </c>
      <c r="N68" s="4">
        <v>1.8</v>
      </c>
      <c r="O68" s="5">
        <f>M68/$M$3</f>
        <v>0.9198161389172625</v>
      </c>
      <c r="P68" s="5">
        <f>N68/$M$3</f>
        <v>0.9193054136874362</v>
      </c>
      <c r="Q68" s="7">
        <f>IFERROR(N68/M68-1,0)</f>
        <v>-0.0005552470849526925</v>
      </c>
      <c r="R68" s="5">
        <f>SUM(IF(BQ68="lease",CB68,0),IF(CS68="lease",DD68,0),IF(DU68="lease",EF68,0),IF(EW68="lease",FH68,0),IF(FY68="lease",GJ68,0),IF(HA68="lease",HL68,0),IF(IC68="lease",IN68,0),IF(JE68="lease",JP68,0),IF(KG68="lease",KR68,0),IF(LI68="lease",LT68,0))</f>
        <v>1.2653011224454067</v>
      </c>
      <c r="S68" s="5">
        <f>SUM(IF(BQ68="lease",CI68,0),IF(CS68="lease",DK68,0),IF(DU68="lease",EM68,0),IF(EW68="lease",FO68,0),IF(FY68="lease",GQ68,0),IF(HA68="lease",HS68,0),IF(IC68="lease",IU68,0),IF(JE68="lease",JW68,0),IF(KG68="lease",KY68,0),IF(LI68="lease",MA68,0))</f>
        <v>1.2629183054432085</v>
      </c>
      <c r="T68" s="5">
        <f>SUM(IF(BQ68="keep",CB68,0),IF(CS68="keep",DD68,0),IF(DU68="keep",EF68,0),IF(EW68="keep",FH68,0),IF(FY68="keep",GJ68,0),IF(HA68="keep",HL68,0),IF(IC68="keep",IN68,0),IF(JE68="keep",JP68,0),IF(KG68="keep",KR68,0),IF(LI68="keep",LT68,0))</f>
        <v>0</v>
      </c>
      <c r="U68" s="5">
        <f>SUM(IF(BQ68="keep",CI68,0),IF(CS68="keep",DK68,0),IF(DU68="keep",EM68,0),IF(EW68="keep",FO68,0),IF(FY68="keep",GQ68,0),IF(HA68="keep",HS68,0),IF(IC68="keep",IU68,0),IF(JE68="keep",JW68,0),IF(KG68="keep",KY68,0),IF(LI68="keep",MA68,0))</f>
        <v>0</v>
      </c>
      <c r="V68" s="5">
        <f>R68/O68</f>
        <v>1.3756022197379825</v>
      </c>
      <c r="W68" s="5">
        <f>S68/P68</f>
        <v>1.37377446780989</v>
      </c>
      <c r="X68" s="5">
        <f>T68/O68</f>
        <v>0</v>
      </c>
      <c r="Y68" s="5">
        <f>U68/P68</f>
        <v>0</v>
      </c>
      <c r="Z68" s="5">
        <f>V68+X68</f>
        <v>1.3756022197379825</v>
      </c>
      <c r="AA68" s="7">
        <f>IFERROR(W68/V68-1,0)</f>
        <v>-0.0013286921915847127</v>
      </c>
      <c r="AB68" s="7">
        <f>IFERROR((W68-V68)/Z68,0)</f>
        <v>-0.0013286921915847307</v>
      </c>
      <c r="AC68" s="7">
        <f>IFERROR(Y68/X68-1,0)</f>
        <v>0</v>
      </c>
      <c r="AD68" s="7">
        <f>IFERROR((Y68-X68)/Z68,0)</f>
        <v>0</v>
      </c>
      <c r="AE68" s="7">
        <f>AB68+AD68</f>
        <v>-0.0013286921915847307</v>
      </c>
      <c r="AF68" s="7">
        <f>(1+Q68)*(1+AE68)-1</f>
        <v>-0.0018832015240711764</v>
      </c>
      <c r="AG68" s="7">
        <f>G68-AF68</f>
        <v>-2.5804011705155006e-17</v>
      </c>
      <c r="AH68" s="5">
        <f>SUM(IF(BQ68="lease",CE68,0),IF(CS68="lease",DG68,0),IF(DU68="lease",EI68,0),IF(EW68="lease",FK68,0),IF(FY68="lease",GM68,0),IF(HA68="lease",HO68,0),IF(IC68="lease",IQ68,0),IF(JE68="lease",JS68,0),IF(KG68="lease",KU68,0),IF(LI68="lease",LW68,0))</f>
        <v>-0.002382817002198193</v>
      </c>
      <c r="AI68" s="5">
        <f>SUM(IF(BQ68="keep",CE68,0),IF(CS68="keep",DG68,0),IF(DU68="keep",EI68,0),IF(EW68="keep",FK68,0),IF(FY68="keep",GM68,0),IF(HA68="keep",HO68,0),IF(IC68="keep",IQ68,0),IF(JE68="keep",JS68,0),IF(KG68="keep",KU68,0),IF(LI68="keep",LW68,0))</f>
        <v>0</v>
      </c>
      <c r="AJ68" s="5">
        <f>SUM(IF(BQ68="lease",CH68,0),IF(CS68="lease",DJ68,0),IF(DU68="lease",EL68,0),IF(EW68="lease",FN68,0),IF(FY68="lease",GP68,0),IF(HA68="lease",HR68,0),IF(IC68="lease",IT68,0),IF(JE68="lease",JV68,0),IF(KG68="lease",KX68,0),IF(LI68="lease",LZ68,0))</f>
        <v>0</v>
      </c>
      <c r="AK68" s="5">
        <f>SUM(IF(BQ68="keep",CH68,0),IF(CS68="keep",DJ68,0),IF(DU68="keep",EL68,0),IF(EW68="keep",FN68,0),IF(FY68="keep",GP68,0),IF(HA68="keep",HR68,0),IF(IC68="keep",IT68,0),IF(JE68="keep",JV68,0),IF(KG68="keep",KX68,0),IF(LI68="keep",LZ68,0))</f>
        <v>0</v>
      </c>
      <c r="AL68" s="5">
        <f>R68-S67</f>
        <v>2.220446049250313e-16</v>
      </c>
      <c r="AM68" s="5">
        <f>T68-U67</f>
        <v>0</v>
      </c>
      <c r="AN68" s="5">
        <f>AN67</f>
        <v>1</v>
      </c>
      <c r="AO68" s="5">
        <f>AO67+AH68</f>
        <v>0.2629183054432089</v>
      </c>
      <c r="AP68" s="5">
        <f>AP67+AL68</f>
        <v>-2.220446049250313e-16</v>
      </c>
      <c r="AQ68" s="5">
        <f>AN68+AO68+AP68</f>
        <v>1.2629183054432087</v>
      </c>
      <c r="AR68" s="5">
        <f>S68-AQ68</f>
        <v>-2.220446049250313e-16</v>
      </c>
      <c r="AS68" s="5">
        <f>AS67</f>
        <v>0</v>
      </c>
      <c r="AT68" s="5">
        <f>AT67+AI68</f>
        <v>0</v>
      </c>
      <c r="AU68" s="5">
        <f>AU67+AM68</f>
        <v>0</v>
      </c>
      <c r="AV68" s="5">
        <f>AS68+AT68+AU68</f>
        <v>0</v>
      </c>
      <c r="AW68" s="5">
        <f>U68-AV68</f>
        <v>0</v>
      </c>
      <c r="AX68" s="4">
        <v>1.2653011224454067</v>
      </c>
      <c r="AY68" s="4">
        <v>1.2629183054432085</v>
      </c>
      <c r="AZ68" s="5">
        <f>S68-AY68</f>
        <v>0</v>
      </c>
      <c r="BA68" s="4">
        <v>0</v>
      </c>
      <c r="BB68" s="4">
        <v>0</v>
      </c>
      <c r="BC68" s="5">
        <f>U68-BB68</f>
        <v>0</v>
      </c>
      <c r="BD68" s="7">
        <f>SUM(IF(BP68="direct",CC68/F68,0),IF(CR68="direct",DE68/F68,0),IF(DT68="direct",EG68/F68,0),IF(EV68="direct",FI68/F68,0),IF(FX68="direct",GK68/F68,0),IF(GZ68="direct",HM68/F68,0),IF(IB68="direct",IO68/F68,0),IF(JD68="direct",JQ68/F68,0),IF(KF68="direct",KS68/F68,0),IF(LH68="direct",LU68/F68,0))</f>
        <v>-0.0004545482208908078</v>
      </c>
      <c r="BE68" s="7">
        <f>-SUM(IF(BP68="direct",CD68/F68,0),IF(CR68="direct",DF68/F68,0),IF(DT68="direct",EH68/F68,0),IF(EV68="direct",FJ68/F68,0),IF(FX68="direct",GL68/F68,0),IF(GZ68="direct",HN68/F68,0),IF(IB68="direct",IP68/F68,0),IF(JD68="direct",JR68/F68,0),IF(KF68="direct",KT68/F68,0),IF(LH68="direct",LV68/F68,0))</f>
        <v>-0.000016821397516940447</v>
      </c>
      <c r="BF68" s="7">
        <f>BD68+BE68</f>
        <v>-0.00047136961840774826</v>
      </c>
      <c r="BG68" s="7">
        <f>BF68-SUM(IF(BP68="direct",CP68,0),IF(CR68="direct",DR68,0),IF(DT68="direct",ET68,0),IF(EV68="direct",FV68,0),IF(FX68="direct",GX68,0),IF(GZ68="direct",HZ68,0),IF(IB68="direct",JB68,0),IF(JD68="direct",KD68,0),IF(KF68="direct",LF68,0),IF(LH68="direct",MH68,0))</f>
        <v>-4.130810277169772e-17</v>
      </c>
      <c r="BH68" s="7">
        <f>SUM(IF(BP68="treasury",CP68,0),IF(CR68="treasury",DR68,0),IF(DT68="treasury",ET68,0),IF(EV68="treasury",FV68,0),IF(FX68="treasury",GX68,0),IF(GZ68="treasury",HZ68,0),IF(IB68="treasury",JB68,0),IF(JD68="treasury",KD68,0),IF(KF68="treasury",LF68,0),IF(LH68="treasury",MH68,0))</f>
        <v>0.00009197119695314263</v>
      </c>
      <c r="BI68" s="7">
        <f>SUM(IF(BP68="future",CP68,0),IF(CR68="future",DR68,0),IF(DT68="future",ET68,0),IF(EV68="future",FV68,0),IF(FX68="future",GX68,0),IF(GZ68="future",HZ68,0),IF(IB68="future",JB68,0),IF(JD68="future",KD68,0),IF(KF68="future",LF68,0),IF(LH68="future",MH68,0))</f>
        <v>-0.0015038031026166378</v>
      </c>
      <c r="BJ68" s="7">
        <f>SUM(IF(BP68="cash",CP68,0),IF(CR68="cash",DR68,0),IF(DT68="cash",ET68,0),IF(EV68="cash",FV68,0),IF(FX68="cash",GX68,0),IF(GZ68="cash",HZ68,0),IF(IB68="cash",JB68,0),IF(JD68="cash",KD68,0),IF(KF68="cash",LF68,0),IF(LH68="cash",MH68,0))</f>
        <v>0</v>
      </c>
      <c r="BK68" s="7">
        <f>SUM(BF68,BH68,BI68,BJ68)</f>
        <v>-0.0018832015240712022</v>
      </c>
      <c r="BL68" s="7">
        <f>G68-BK68</f>
        <v>0</v>
      </c>
      <c r="BM68" s="5">
        <f>MAX(ABS(CG68),ABS(DI68),ABS(EK68),ABS(FM68),ABS(GO68),ABS(HQ68),ABS(IS68),ABS(JU68),ABS(KW68),ABS(LY68))</f>
        <v>5.225176845022328e-17</v>
      </c>
      <c r="BN68" s="9">
        <f>COUNTA(BO68,CQ68,DS68,EU68,FW68,GY68,IA68,JC68,KE68,LG68)</f>
        <v>5</v>
      </c>
      <c r="BO68" t="inlineStr">
        <is>
          <t xml:space="preserve">Direct commodity holding</t>
        </is>
      </c>
      <c r="BP68" t="inlineStr">
        <is>
          <t xml:space="preserve">direct</t>
        </is>
      </c>
      <c r="BQ68" t="inlineStr">
        <is>
          <t xml:space="preserve">lease</t>
        </is>
      </c>
      <c r="BR68" t="inlineStr">
        <is>
          <t xml:space="preserve">long</t>
        </is>
      </c>
      <c r="BS68"/>
      <c r="BT68" s="4">
        <v>1.801</v>
      </c>
      <c r="BU68" s="4">
        <v>1.8</v>
      </c>
      <c r="BV68" s="6">
        <v>0.0025</v>
      </c>
      <c r="BW68" s="4">
        <v>0.5751403740987653</v>
      </c>
      <c r="BX68" s="5">
        <f>IF(BP68="direct",IFERROR(CD68/BU68,0),0)</f>
        <v>0.00001182451842182507</v>
      </c>
      <c r="BY68" s="5">
        <f>IF(BP68="direct",BW68-BX68,IF(BP68="cash",CI68,BW68))</f>
        <v>0.5751285495803434</v>
      </c>
      <c r="BZ68" s="6">
        <v>0.8186413458244349</v>
      </c>
      <c r="CA68" s="4">
        <v>1.0358278137518762</v>
      </c>
      <c r="CB68" s="4">
        <v>1.0358278137518762</v>
      </c>
      <c r="CC68" s="5">
        <f>IF(BP68="direct",BW68*(BU68-BT68),CF68)</f>
        <v>-0.0005751403740987019</v>
      </c>
      <c r="CD68" s="5">
        <f>IF(BP68="direct",CB68*BV68*C68/365,0)</f>
        <v>0.000021284133159285127</v>
      </c>
      <c r="CE68" s="5">
        <f>CC68-CD68</f>
        <v>-0.0005964245072579348</v>
      </c>
      <c r="CF68" s="4">
        <v>-0.0005964245072579348</v>
      </c>
      <c r="CG68" s="5">
        <f>CF68-CE68</f>
        <v>5.225176845022328e-17</v>
      </c>
      <c r="CH68" s="4">
        <v>0</v>
      </c>
      <c r="CI68" s="4">
        <v>1.035231389244618</v>
      </c>
      <c r="CJ68" s="4">
        <v>1.801</v>
      </c>
      <c r="CK68" s="4">
        <v>1.8</v>
      </c>
      <c r="CL68" s="6"/>
      <c r="CM68" s="6"/>
      <c r="CN68" s="6"/>
      <c r="CO68" s="9"/>
      <c r="CP68" s="7">
        <f>IFERROR(CE68/F68,0)</f>
        <v>-0.00047136961840770695</v>
      </c>
      <c r="CQ68" t="inlineStr">
        <is>
          <t xml:space="preserve">Treasury collateral</t>
        </is>
      </c>
      <c r="CR68" t="inlineStr">
        <is>
          <t xml:space="preserve">treasury</t>
        </is>
      </c>
      <c r="CS68" t="inlineStr">
        <is>
          <t xml:space="preserve">lease</t>
        </is>
      </c>
      <c r="CT68" t="inlineStr">
        <is>
          <t xml:space="preserve">long</t>
        </is>
      </c>
      <c r="CU68"/>
      <c r="CV68" s="4">
        <v>101.66583185897512</v>
      </c>
      <c r="CW68" s="4">
        <v>101.71738896987128</v>
      </c>
      <c r="CX68" s="6"/>
      <c r="CY68" s="4">
        <v>0.002257133045562865</v>
      </c>
      <c r="CZ68" s="5">
        <f>IF(CR68="direct",IFERROR(DF68/CW68,0),0)</f>
        <v>0</v>
      </c>
      <c r="DA68" s="5">
        <f>IF(CR68="direct",CY68-CZ68,IF(CR68="cash",DK68,CY68))</f>
        <v>0.002257133045562865</v>
      </c>
      <c r="DB68" s="6">
        <v>0.1813586541755649</v>
      </c>
      <c r="DC68" s="4">
        <v>0.22947330869353066</v>
      </c>
      <c r="DD68" s="4">
        <v>0.22947330869353066</v>
      </c>
      <c r="DE68" s="5">
        <f>IF(CR68="direct",CY68*(CW68-CV68),DH68)</f>
        <v>0.0001163712587374612</v>
      </c>
      <c r="DF68" s="5">
        <f>IF(CR68="direct",DD68*CX68*C68/365,0)</f>
        <v>0</v>
      </c>
      <c r="DG68" s="5">
        <f>DE68-DF68</f>
        <v>0.00011637125873745896</v>
      </c>
      <c r="DH68" s="4">
        <v>0.00011637125873745896</v>
      </c>
      <c r="DI68" s="5">
        <f>DH68-DG68</f>
        <v>-2.236166980751353e-18</v>
      </c>
      <c r="DJ68" s="4">
        <v>-6.830473686658678e-18</v>
      </c>
      <c r="DK68" s="4">
        <v>0.22958967995226812</v>
      </c>
      <c r="DL68" s="4">
        <v>1.801</v>
      </c>
      <c r="DM68" s="4">
        <v>1.8</v>
      </c>
      <c r="DN68" s="6"/>
      <c r="DO68" s="6"/>
      <c r="DP68" s="6"/>
      <c r="DQ68" s="9">
        <v>47</v>
      </c>
      <c r="DR68" s="7">
        <f>IFERROR(DG68/F68,0)</f>
        <v>0.00009197119695314263</v>
      </c>
      <c r="DS68" t="inlineStr">
        <is>
          <t xml:space="preserve">SI69K</t>
        </is>
      </c>
      <c r="DT68" t="inlineStr">
        <is>
          <t xml:space="preserve">future</t>
        </is>
      </c>
      <c r="DU68" t="inlineStr">
        <is>
          <t xml:space="preserve">lease</t>
        </is>
      </c>
      <c r="DV68" t="inlineStr">
        <is>
          <t xml:space="preserve">long</t>
        </is>
      </c>
      <c r="DW68" t="inlineStr">
        <is>
          <t xml:space="preserve">regular</t>
        </is>
      </c>
      <c r="DX68" s="4">
        <v>1.8090000000000002</v>
      </c>
      <c r="DY68" s="4">
        <v>1.794</v>
      </c>
      <c r="DZ68" s="6"/>
      <c r="EA68" s="4">
        <v>0.1268509169118467</v>
      </c>
      <c r="EB68" s="5">
        <f>IF(DT68="direct",IFERROR(EH68/DY68,0),0)</f>
        <v>0</v>
      </c>
      <c r="EC68" s="5">
        <f>IF(DT68="direct",EA68-EB68,IF(DT68="cash",EM68,EA68))</f>
        <v>0.1268509169118467</v>
      </c>
      <c r="ED68" s="6">
        <v>0.1813586541755649</v>
      </c>
      <c r="EE68" s="4">
        <v>0.22947330869353066</v>
      </c>
      <c r="EF68" s="4">
        <v>0</v>
      </c>
      <c r="EG68" s="5">
        <f>IF(DT68="direct",EA68*(DY68-DX68),EJ68)</f>
        <v>-0.0019027637536777173</v>
      </c>
      <c r="EH68" s="5">
        <f>IF(DT68="direct",EF68*DZ68*C68/365,0)</f>
        <v>0</v>
      </c>
      <c r="EI68" s="5">
        <f>EG68-EH68</f>
        <v>-0.0019027637536777173</v>
      </c>
      <c r="EJ68" s="4">
        <v>-0.0019027637536777173</v>
      </c>
      <c r="EK68" s="5">
        <f>EJ68-EI68</f>
        <v>0</v>
      </c>
      <c r="EL68" s="4">
        <v>0.0019027637536777173</v>
      </c>
      <c r="EM68" s="4">
        <v>0</v>
      </c>
      <c r="EN68" s="4">
        <v>1.801</v>
      </c>
      <c r="EO68" s="4">
        <v>1.8</v>
      </c>
      <c r="EP68" s="6">
        <v>0.00444197667962265</v>
      </c>
      <c r="EQ68" s="6">
        <v>0.0617</v>
      </c>
      <c r="ER68" s="6">
        <v>0.027203798126334736</v>
      </c>
      <c r="ES68" s="9">
        <v>47</v>
      </c>
      <c r="ET68" s="7">
        <f>IFERROR(EI68/F68,0)</f>
        <v>-0.0015038031026166378</v>
      </c>
      <c r="EU68" t="inlineStr">
        <is>
          <t xml:space="preserve">Lease cash / margin / financing</t>
        </is>
      </c>
      <c r="EV68" t="inlineStr">
        <is>
          <t xml:space="preserve">cash</t>
        </is>
      </c>
      <c r="EW68" t="inlineStr">
        <is>
          <t xml:space="preserve">lease</t>
        </is>
      </c>
      <c r="EX68" t="inlineStr">
        <is>
          <t xml:space="preserve">cash</t>
        </is>
      </c>
      <c r="EY68"/>
      <c r="EZ68" s="4">
        <v>1</v>
      </c>
      <c r="FA68" s="4">
        <v>1</v>
      </c>
      <c r="FB68" s="6"/>
      <c r="FC68" s="4">
        <v>0</v>
      </c>
      <c r="FD68" s="5">
        <f>IF(EV68="direct",IFERROR(FJ68/FA68,0),0)</f>
        <v>0</v>
      </c>
      <c r="FE68" s="5">
        <f>IF(EV68="direct",FC68-FD68,IF(EV68="cash",FO68,FC68))</f>
        <v>-0.0019027637536777105</v>
      </c>
      <c r="FF68" s="6"/>
      <c r="FG68" s="4">
        <v>0</v>
      </c>
      <c r="FH68" s="4">
        <v>0</v>
      </c>
      <c r="FI68" s="5">
        <f>IF(EV68="direct",FC68*(FA68-EZ68),FL68)</f>
        <v>0</v>
      </c>
      <c r="FJ68" s="5">
        <f>IF(EV68="direct",FH68*FB68*C68/365,0)</f>
        <v>0</v>
      </c>
      <c r="FK68" s="5">
        <f>FI68-FJ68</f>
        <v>0</v>
      </c>
      <c r="FL68" s="4">
        <v>0</v>
      </c>
      <c r="FM68" s="5">
        <f>FL68-FK68</f>
        <v>0</v>
      </c>
      <c r="FN68" s="4">
        <v>-0.0019027637536777105</v>
      </c>
      <c r="FO68" s="4">
        <v>-0.0019027637536777105</v>
      </c>
      <c r="FP68" s="4">
        <v>1.801</v>
      </c>
      <c r="FQ68" s="4">
        <v>1.8</v>
      </c>
      <c r="FR68" s="6"/>
      <c r="FS68" s="6"/>
      <c r="FT68" s="6"/>
      <c r="FU68" s="9"/>
      <c r="FV68" s="7">
        <f>IFERROR(FK68/F68,0)</f>
        <v>0</v>
      </c>
      <c r="FW68" t="inlineStr">
        <is>
          <t xml:space="preserve">Keep cash / margin / financing</t>
        </is>
      </c>
      <c r="FX68" t="inlineStr">
        <is>
          <t xml:space="preserve">cash</t>
        </is>
      </c>
      <c r="FY68" t="inlineStr">
        <is>
          <t xml:space="preserve">keep</t>
        </is>
      </c>
      <c r="FZ68" t="inlineStr">
        <is>
          <t xml:space="preserve">cash</t>
        </is>
      </c>
      <c r="GA68"/>
      <c r="GB68" s="4">
        <v>1</v>
      </c>
      <c r="GC68" s="4">
        <v>1</v>
      </c>
      <c r="GD68" s="6"/>
      <c r="GE68" s="4">
        <v>0</v>
      </c>
      <c r="GF68" s="5">
        <f>IF(FX68="direct",IFERROR(GL68/GC68,0),0)</f>
        <v>0</v>
      </c>
      <c r="GG68" s="5">
        <f>IF(FX68="direct",GE68-GF68,IF(FX68="cash",GQ68,GE68))</f>
        <v>0</v>
      </c>
      <c r="GH68" s="6"/>
      <c r="GI68" s="4">
        <v>0</v>
      </c>
      <c r="GJ68" s="4">
        <v>0</v>
      </c>
      <c r="GK68" s="5">
        <f>IF(FX68="direct",GE68*(GC68-GB68),GN68)</f>
        <v>0</v>
      </c>
      <c r="GL68" s="5">
        <f>IF(FX68="direct",GJ68*GD68*C68/365,0)</f>
        <v>0</v>
      </c>
      <c r="GM68" s="5">
        <f>GK68-GL68</f>
        <v>0</v>
      </c>
      <c r="GN68" s="4">
        <v>0</v>
      </c>
      <c r="GO68" s="5">
        <f>GN68-GM68</f>
        <v>0</v>
      </c>
      <c r="GP68" s="4">
        <v>0</v>
      </c>
      <c r="GQ68" s="4">
        <v>0</v>
      </c>
      <c r="GR68" s="4">
        <v>1.801</v>
      </c>
      <c r="GS68" s="4">
        <v>1.8</v>
      </c>
      <c r="GT68" s="6"/>
      <c r="GU68" s="6"/>
      <c r="GV68" s="6"/>
      <c r="GW68" s="9"/>
      <c r="GX68" s="7">
        <f>IFERROR(GM68/F68,0)</f>
        <v>0</v>
      </c>
      <c r="GY68"/>
      <c r="GZ68"/>
      <c r="HA68"/>
      <c r="HB68"/>
      <c r="HC68"/>
      <c r="HD68" s="4"/>
      <c r="HE68" s="4"/>
      <c r="HF68" s="6"/>
      <c r="HG68" s="4"/>
      <c r="HH68" s="5">
        <v>0</v>
      </c>
      <c r="HI68" s="5"/>
      <c r="HJ68" s="6"/>
      <c r="HK68" s="4"/>
      <c r="HL68" s="4"/>
      <c r="HM68" s="5">
        <v>0</v>
      </c>
      <c r="HN68" s="5">
        <v>0</v>
      </c>
      <c r="HO68" s="5"/>
      <c r="HP68" s="4"/>
      <c r="HQ68" s="5">
        <v>0</v>
      </c>
      <c r="HR68" s="4"/>
      <c r="HS68" s="4"/>
      <c r="HT68" s="4"/>
      <c r="HU68" s="4"/>
      <c r="HV68" s="6"/>
      <c r="HW68" s="6"/>
      <c r="HX68" s="6"/>
      <c r="HY68" s="9"/>
      <c r="HZ68"/>
      <c r="IA68"/>
      <c r="IB68"/>
      <c r="IC68"/>
      <c r="ID68"/>
      <c r="IE68"/>
      <c r="IF68" s="4"/>
      <c r="IG68" s="4"/>
      <c r="IH68" s="6"/>
      <c r="II68" s="4"/>
      <c r="IJ68" s="5">
        <v>0</v>
      </c>
      <c r="IK68" s="5"/>
      <c r="IL68" s="6"/>
      <c r="IM68" s="4"/>
      <c r="IN68" s="4"/>
      <c r="IO68" s="5">
        <v>0</v>
      </c>
      <c r="IP68" s="5">
        <v>0</v>
      </c>
      <c r="IQ68" s="5"/>
      <c r="IR68" s="4"/>
      <c r="IS68" s="5">
        <v>0</v>
      </c>
      <c r="IT68" s="4"/>
      <c r="IU68" s="4"/>
      <c r="IV68" s="4"/>
      <c r="IW68" s="4"/>
      <c r="IX68" s="6"/>
      <c r="IY68" s="6"/>
      <c r="IZ68" s="6"/>
      <c r="JA68" s="9"/>
      <c r="JB68"/>
      <c r="JC68"/>
      <c r="JD68"/>
      <c r="JE68"/>
      <c r="JF68"/>
      <c r="JG68"/>
      <c r="JH68" s="4"/>
      <c r="JI68" s="4"/>
      <c r="JJ68" s="6"/>
      <c r="JK68" s="4"/>
      <c r="JL68" s="5">
        <v>0</v>
      </c>
      <c r="JM68" s="5"/>
      <c r="JN68" s="6"/>
      <c r="JO68" s="4"/>
      <c r="JP68" s="4"/>
      <c r="JQ68" s="5">
        <v>0</v>
      </c>
      <c r="JR68" s="5">
        <v>0</v>
      </c>
      <c r="JS68" s="5"/>
      <c r="JT68" s="4"/>
      <c r="JU68" s="5">
        <v>0</v>
      </c>
      <c r="JV68" s="4"/>
      <c r="JW68" s="4"/>
      <c r="JX68" s="4"/>
      <c r="JY68" s="4"/>
      <c r="JZ68" s="6"/>
      <c r="KA68" s="6"/>
      <c r="KB68" s="6"/>
      <c r="KC68" s="9"/>
      <c r="KD68"/>
      <c r="KE68"/>
      <c r="KF68"/>
      <c r="KG68"/>
      <c r="KH68"/>
      <c r="KI68"/>
      <c r="KJ68" s="4"/>
      <c r="KK68" s="4"/>
      <c r="KL68" s="6"/>
      <c r="KM68" s="4"/>
      <c r="KN68" s="5">
        <v>0</v>
      </c>
      <c r="KO68" s="5"/>
      <c r="KP68" s="6"/>
      <c r="KQ68" s="4"/>
      <c r="KR68" s="4"/>
      <c r="KS68" s="5">
        <v>0</v>
      </c>
      <c r="KT68" s="5">
        <v>0</v>
      </c>
      <c r="KU68" s="5"/>
      <c r="KV68" s="4"/>
      <c r="KW68" s="5">
        <v>0</v>
      </c>
      <c r="KX68" s="4"/>
      <c r="KY68" s="4"/>
      <c r="KZ68" s="4"/>
      <c r="LA68" s="4"/>
      <c r="LB68" s="6"/>
      <c r="LC68" s="6"/>
      <c r="LD68" s="6"/>
      <c r="LE68" s="9"/>
      <c r="LF68"/>
      <c r="LG68"/>
      <c r="LH68"/>
      <c r="LI68"/>
      <c r="LJ68"/>
      <c r="LK68"/>
      <c r="LL68" s="4"/>
      <c r="LM68" s="4"/>
      <c r="LN68" s="6"/>
      <c r="LO68" s="4"/>
      <c r="LP68" s="5">
        <v>0</v>
      </c>
      <c r="LQ68" s="5"/>
      <c r="LR68" s="6"/>
      <c r="LS68" s="4"/>
      <c r="LT68" s="4"/>
      <c r="LU68" s="5">
        <v>0</v>
      </c>
      <c r="LV68" s="5">
        <v>0</v>
      </c>
      <c r="LW68" s="5"/>
      <c r="LX68" s="4"/>
      <c r="LY68" s="5">
        <v>0</v>
      </c>
      <c r="LZ68" s="4"/>
      <c r="MA68" s="4"/>
      <c r="MB68" s="4"/>
      <c r="MC68" s="4"/>
      <c r="MD68" s="6"/>
      <c r="ME68" s="6"/>
      <c r="MF68" s="6"/>
      <c r="MG68" s="9"/>
      <c r="MH68"/>
    </row>
    <row r="69">
      <c r="A69" s="8">
        <v>25307</v>
      </c>
      <c r="B69" s="8">
        <v>25308</v>
      </c>
      <c r="C69" s="9">
        <f>B69-A69</f>
        <v>1</v>
      </c>
      <c r="D69" s="8">
        <v>25307</v>
      </c>
      <c r="E69" t="inlineStr">
        <is>
          <t xml:space="preserve">positive</t>
        </is>
      </c>
      <c r="F69" s="4">
        <v>1.2629183054432087</v>
      </c>
      <c r="G69" s="6">
        <v>-0.0038940061550370593</v>
      </c>
      <c r="H69" s="7">
        <f>SUM(CP69,DR69,ET69,FV69,GX69,HZ69,JB69,KD69,LF69,MH69)</f>
        <v>-0.0038940061550370593</v>
      </c>
      <c r="I69" s="7">
        <f>G69-H69</f>
        <v>0</v>
      </c>
      <c r="J69" s="5">
        <f>F69*(1+H69)</f>
        <v>1.2580004937885039</v>
      </c>
      <c r="K69" s="4">
        <v>1.2580004937885039</v>
      </c>
      <c r="L69" s="5">
        <f>K69-J69</f>
        <v>0</v>
      </c>
      <c r="M69" s="4">
        <v>1.8</v>
      </c>
      <c r="N69" s="4">
        <v>1.797</v>
      </c>
      <c r="O69" s="5">
        <f>M69/$M$3</f>
        <v>0.9193054136874362</v>
      </c>
      <c r="P69" s="5">
        <f>N69/$M$3</f>
        <v>0.9177732379979571</v>
      </c>
      <c r="Q69" s="7">
        <f>IFERROR(N69/M69-1,0)</f>
        <v>-0.0016666666666667052</v>
      </c>
      <c r="R69" s="5">
        <f>SUM(IF(BQ69="lease",CB69,0),IF(CS69="lease",DD69,0),IF(DU69="lease",EF69,0),IF(EW69="lease",FH69,0),IF(FY69="lease",GJ69,0),IF(HA69="lease",HL69,0),IF(IC69="lease",IN69,0),IF(JE69="lease",JP69,0),IF(KG69="lease",KR69,0),IF(LI69="lease",LT69,0))</f>
        <v>1.2629183054432085</v>
      </c>
      <c r="S69" s="5">
        <f>SUM(IF(BQ69="lease",CI69,0),IF(CS69="lease",DK69,0),IF(DU69="lease",EM69,0),IF(EW69="lease",FO69,0),IF(FY69="lease",GQ69,0),IF(HA69="lease",HS69,0),IF(IC69="lease",IU69,0),IF(JE69="lease",JW69,0),IF(KG69="lease",KY69,0),IF(LI69="lease",MA69,0))</f>
        <v>1.2580004937885036</v>
      </c>
      <c r="T69" s="5">
        <f>SUM(IF(BQ69="keep",CB69,0),IF(CS69="keep",DD69,0),IF(DU69="keep",EF69,0),IF(EW69="keep",FH69,0),IF(FY69="keep",GJ69,0),IF(HA69="keep",HL69,0),IF(IC69="keep",IN69,0),IF(JE69="keep",JP69,0),IF(KG69="keep",KR69,0),IF(LI69="keep",LT69,0))</f>
        <v>0</v>
      </c>
      <c r="U69" s="5">
        <f>SUM(IF(BQ69="keep",CI69,0),IF(CS69="keep",DK69,0),IF(DU69="keep",EM69,0),IF(EW69="keep",FO69,0),IF(FY69="keep",GQ69,0),IF(HA69="keep",HS69,0),IF(IC69="keep",IU69,0),IF(JE69="keep",JW69,0),IF(KG69="keep",KY69,0),IF(LI69="keep",MA69,0))</f>
        <v>0</v>
      </c>
      <c r="V69" s="5">
        <f>R69/O69</f>
        <v>1.37377446780989</v>
      </c>
      <c r="W69" s="5">
        <f>S69/P69</f>
        <v>1.370709497405615</v>
      </c>
      <c r="X69" s="5">
        <f>T69/O69</f>
        <v>0</v>
      </c>
      <c r="Y69" s="5">
        <f>U69/P69</f>
        <v>0</v>
      </c>
      <c r="Z69" s="5">
        <f>V69+X69</f>
        <v>1.37377446780989</v>
      </c>
      <c r="AA69" s="7">
        <f>IFERROR(W69/V69-1,0)</f>
        <v>-0.0022310579182339696</v>
      </c>
      <c r="AB69" s="7">
        <f>IFERROR((W69-V69)/Z69,0)</f>
        <v>-0.0022310579182339544</v>
      </c>
      <c r="AC69" s="7">
        <f>IFERROR(Y69/X69-1,0)</f>
        <v>0</v>
      </c>
      <c r="AD69" s="7">
        <f>IFERROR((Y69-X69)/Z69,0)</f>
        <v>0</v>
      </c>
      <c r="AE69" s="7">
        <f>AB69+AD69</f>
        <v>-0.0022310579182339544</v>
      </c>
      <c r="AF69" s="7">
        <f>(1+Q69)*(1+AE69)-1</f>
        <v>-0.0038940061550369887</v>
      </c>
      <c r="AG69" s="7">
        <f>G69-AF69</f>
        <v>-7.068998164605489e-17</v>
      </c>
      <c r="AH69" s="5">
        <f>SUM(IF(BQ69="lease",CE69,0),IF(CS69="lease",DG69,0),IF(DU69="lease",EI69,0),IF(EW69="lease",FK69,0),IF(FY69="lease",GM69,0),IF(HA69="lease",HO69,0),IF(IC69="lease",IQ69,0),IF(JE69="lease",JS69,0),IF(KG69="lease",KU69,0),IF(LI69="lease",LW69,0))</f>
        <v>-0.004917811654704828</v>
      </c>
      <c r="AI69" s="5">
        <f>SUM(IF(BQ69="keep",CE69,0),IF(CS69="keep",DG69,0),IF(DU69="keep",EI69,0),IF(EW69="keep",FK69,0),IF(FY69="keep",GM69,0),IF(HA69="keep",HO69,0),IF(IC69="keep",IQ69,0),IF(JE69="keep",JS69,0),IF(KG69="keep",KU69,0),IF(LI69="keep",LW69,0))</f>
        <v>0</v>
      </c>
      <c r="AJ69" s="5">
        <f>SUM(IF(BQ69="lease",CH69,0),IF(CS69="lease",DJ69,0),IF(DU69="lease",EL69,0),IF(EW69="lease",FN69,0),IF(FY69="lease",GP69,0),IF(HA69="lease",HR69,0),IF(IC69="lease",IT69,0),IF(JE69="lease",JV69,0),IF(KG69="lease",KX69,0),IF(LI69="lease",LZ69,0))</f>
        <v>0</v>
      </c>
      <c r="AK69" s="5">
        <f>SUM(IF(BQ69="keep",CH69,0),IF(CS69="keep",DJ69,0),IF(DU69="keep",EL69,0),IF(EW69="keep",FN69,0),IF(FY69="keep",GP69,0),IF(HA69="keep",HR69,0),IF(IC69="keep",IT69,0),IF(JE69="keep",JV69,0),IF(KG69="keep",KX69,0),IF(LI69="keep",LZ69,0))</f>
        <v>0</v>
      </c>
      <c r="AL69" s="5">
        <f>R69-S68</f>
        <v>0</v>
      </c>
      <c r="AM69" s="5">
        <f>T69-U68</f>
        <v>0</v>
      </c>
      <c r="AN69" s="5">
        <f>AN68</f>
        <v>1</v>
      </c>
      <c r="AO69" s="5">
        <f>AO68+AH69</f>
        <v>0.25800049378850404</v>
      </c>
      <c r="AP69" s="5">
        <f>AP68+AL69</f>
        <v>-2.220446049250313e-16</v>
      </c>
      <c r="AQ69" s="5">
        <f>AN69+AO69+AP69</f>
        <v>1.2580004937885039</v>
      </c>
      <c r="AR69" s="5">
        <f>S69-AQ69</f>
        <v>-2.220446049250313e-16</v>
      </c>
      <c r="AS69" s="5">
        <f>AS68</f>
        <v>0</v>
      </c>
      <c r="AT69" s="5">
        <f>AT68+AI69</f>
        <v>0</v>
      </c>
      <c r="AU69" s="5">
        <f>AU68+AM69</f>
        <v>0</v>
      </c>
      <c r="AV69" s="5">
        <f>AS69+AT69+AU69</f>
        <v>0</v>
      </c>
      <c r="AW69" s="5">
        <f>U69-AV69</f>
        <v>0</v>
      </c>
      <c r="AX69" s="4">
        <v>1.2629183054432085</v>
      </c>
      <c r="AY69" s="4">
        <v>1.2580004937885036</v>
      </c>
      <c r="AZ69" s="5">
        <f>S69-AY69</f>
        <v>0</v>
      </c>
      <c r="BA69" s="4">
        <v>0</v>
      </c>
      <c r="BB69" s="4">
        <v>0</v>
      </c>
      <c r="BC69" s="5">
        <f>U69-BB69</f>
        <v>0</v>
      </c>
      <c r="BD69" s="7">
        <f>SUM(IF(BP69="direct",CC69/F69,0),IF(CR69="direct",DE69/F69,0),IF(DT69="direct",EG69/F69,0),IF(EV69="direct",FI69/F69,0),IF(FX69="direct",GK69/F69,0),IF(GZ69="direct",HM69/F69,0),IF(IB69="direct",IO69/F69,0),IF(JD69="direct",JQ69/F69,0),IF(KF69="direct",KS69/F69,0),IF(LH69="direct",LU69/F69,0))</f>
        <v>-0.0006749831649831935</v>
      </c>
      <c r="BE69" s="7">
        <f>-SUM(IF(BP69="direct",CD69/F69,0),IF(CR69="direct",DF69/F69,0),IF(DT69="direct",EH69/F69,0),IF(EV69="direct",FJ69/F69,0),IF(FX69="direct",GL69/F69,0),IF(GZ69="direct",HN69/F69,0),IF(IB69="direct",IP69/F69,0),IF(JD69="direct",JR69/F69,0),IF(KF69="direct",KT69/F69,0),IF(LH69="direct",LV69/F69,0))</f>
        <v>-0.000002773903417739047</v>
      </c>
      <c r="BF69" s="7">
        <f>BD69+BE69</f>
        <v>-0.0006777570684009326</v>
      </c>
      <c r="BG69" s="7">
        <f>BF69-SUM(IF(BP69="direct",CP69,0),IF(CR69="direct",DR69,0),IF(DT69="direct",ET69,0),IF(EV69="direct",FV69,0),IF(FX69="direct",GX69,0),IF(GZ69="direct",HZ69,0),IF(IB69="direct",JB69,0),IF(JD69="direct",KD69,0),IF(KF69="direct",LF69,0),IF(LH69="direct",MH69,0))</f>
        <v>-9.86623976961809e-18</v>
      </c>
      <c r="BH69" s="7">
        <f>SUM(IF(BP69="treasury",CP69,0),IF(CR69="treasury",DR69,0),IF(DT69="treasury",ET69,0),IF(EV69="treasury",FV69,0),IF(FX69="treasury",GX69,0),IF(GZ69="treasury",HZ69,0),IF(IB69="treasury",JB69,0),IF(JD69="treasury",KD69,0),IF(KF69="treasury",LF69,0),IF(LH69="treasury",MH69,0))</f>
        <v>0.00010041814307458111</v>
      </c>
      <c r="BI69" s="7">
        <f>SUM(IF(BP69="future",CP69,0),IF(CR69="future",DR69,0),IF(DT69="future",ET69,0),IF(EV69="future",FV69,0),IF(FX69="future",GX69,0),IF(GZ69="future",HZ69,0),IF(IB69="future",JB69,0),IF(JD69="future",KD69,0),IF(KF69="future",LF69,0),IF(LH69="future",MH69,0))</f>
        <v>-0.003316667229710718</v>
      </c>
      <c r="BJ69" s="7">
        <f>SUM(IF(BP69="cash",CP69,0),IF(CR69="cash",DR69,0),IF(DT69="cash",ET69,0),IF(EV69="cash",FV69,0),IF(FX69="cash",GX69,0),IF(GZ69="cash",HZ69,0),IF(IB69="cash",JB69,0),IF(JD69="cash",KD69,0),IF(KF69="cash",LF69,0),IF(LH69="cash",MH69,0))</f>
        <v>0</v>
      </c>
      <c r="BK69" s="7">
        <f>SUM(BF69,BH69,BI69,BJ69)</f>
        <v>-0.0038940061550370598</v>
      </c>
      <c r="BL69" s="7">
        <f>G69-BK69</f>
        <v>4.336808689942018e-19</v>
      </c>
      <c r="BM69" s="5">
        <f>MAX(ABS(CG69),ABS(DI69),ABS(EK69),ABS(FM69),ABS(GO69),ABS(HQ69),ABS(IS69),ABS(JU69),ABS(KW69),ABS(LY69))</f>
        <v>7.215365457891032e-17</v>
      </c>
      <c r="BN69" s="9">
        <f>COUNTA(BO69,CQ69,DS69,EU69,FW69,GY69,IA69,JC69,KE69,LG69)</f>
        <v>5</v>
      </c>
      <c r="BO69" t="inlineStr">
        <is>
          <t xml:space="preserve">Direct commodity holding</t>
        </is>
      </c>
      <c r="BP69" t="inlineStr">
        <is>
          <t xml:space="preserve">direct</t>
        </is>
      </c>
      <c r="BQ69" t="inlineStr">
        <is>
          <t xml:space="preserve">lease</t>
        </is>
      </c>
      <c r="BR69" t="inlineStr">
        <is>
          <t xml:space="preserve">long</t>
        </is>
      </c>
      <c r="BS69"/>
      <c r="BT69" s="4">
        <v>1.8</v>
      </c>
      <c r="BU69" s="4">
        <v>1.797</v>
      </c>
      <c r="BV69" s="6">
        <v>0.0025</v>
      </c>
      <c r="BW69" s="4">
        <v>0.28414953164107876</v>
      </c>
      <c r="BX69" s="5">
        <f>IF(BP69="direct",IFERROR(CD69/BU69,0),0)</f>
        <v>0.000001949478800108026</v>
      </c>
      <c r="BY69" s="5">
        <f>IF(BP69="direct",BW69-BX69,IF(BP69="cash",CI69,BW69))</f>
        <v>0.28414758216227864</v>
      </c>
      <c r="BZ69" s="6">
        <v>0.40498989898990073</v>
      </c>
      <c r="CA69" s="4">
        <v>0.5114691569539418</v>
      </c>
      <c r="CB69" s="4">
        <v>0.5114691569539418</v>
      </c>
      <c r="CC69" s="5">
        <f>IF(BP69="direct",BW69*(BU69-BT69),CF69)</f>
        <v>-0.0008524485949232685</v>
      </c>
      <c r="CD69" s="5">
        <f>IF(BP69="direct",CB69*BV69*C69/365,0)</f>
        <v>0.0000035032134037941224</v>
      </c>
      <c r="CE69" s="5">
        <f>CC69-CD69</f>
        <v>-0.0008559518083270501</v>
      </c>
      <c r="CF69" s="4">
        <v>-0.0008559518083270501</v>
      </c>
      <c r="CG69" s="5">
        <f>CF69-CE69</f>
        <v>1.2527617289891102e-17</v>
      </c>
      <c r="CH69" s="4">
        <v>0</v>
      </c>
      <c r="CI69" s="4">
        <v>0.5106132051456147</v>
      </c>
      <c r="CJ69" s="4">
        <v>1.8</v>
      </c>
      <c r="CK69" s="4">
        <v>1.797</v>
      </c>
      <c r="CL69" s="6"/>
      <c r="CM69" s="6"/>
      <c r="CN69" s="6"/>
      <c r="CO69" s="9"/>
      <c r="CP69" s="7">
        <f>IFERROR(CE69/F69,0)</f>
        <v>-0.0006777570684009227</v>
      </c>
      <c r="CQ69" t="inlineStr">
        <is>
          <t xml:space="preserve">Treasury collateral</t>
        </is>
      </c>
      <c r="CR69" t="inlineStr">
        <is>
          <t xml:space="preserve">treasury</t>
        </is>
      </c>
      <c r="CS69" t="inlineStr">
        <is>
          <t xml:space="preserve">lease</t>
        </is>
      </c>
      <c r="CT69" t="inlineStr">
        <is>
          <t xml:space="preserve">long</t>
        </is>
      </c>
      <c r="CU69"/>
      <c r="CV69" s="4">
        <v>101.71738896987128</v>
      </c>
      <c r="CW69" s="4">
        <v>101.73455552099607</v>
      </c>
      <c r="CX69" s="6"/>
      <c r="CY69" s="4">
        <v>0.007387617359228975</v>
      </c>
      <c r="CZ69" s="5">
        <f>IF(CR69="direct",IFERROR(DF69/CW69,0),0)</f>
        <v>0</v>
      </c>
      <c r="DA69" s="5">
        <f>IF(CR69="direct",CY69-CZ69,IF(CR69="cash",DK69,CY69))</f>
        <v>0.007387617359228975</v>
      </c>
      <c r="DB69" s="6">
        <v>0.5950101010100992</v>
      </c>
      <c r="DC69" s="4">
        <v>0.7514491484892669</v>
      </c>
      <c r="DD69" s="4">
        <v>0.7514491484892669</v>
      </c>
      <c r="DE69" s="5">
        <f>IF(CR69="direct",CY69*(CW69-CV69),DH69)</f>
        <v>0.00012681991108757582</v>
      </c>
      <c r="DF69" s="5">
        <f>IF(CR69="direct",DD69*CX69*C69/365,0)</f>
        <v>0</v>
      </c>
      <c r="DG69" s="5">
        <f>DE69-DF69</f>
        <v>0.00012681991108750367</v>
      </c>
      <c r="DH69" s="4">
        <v>0.00012681991108750367</v>
      </c>
      <c r="DI69" s="5">
        <f>DH69-DG69</f>
        <v>-7.215365457891032e-17</v>
      </c>
      <c r="DJ69" s="4">
        <v>3.531788576871531e-17</v>
      </c>
      <c r="DK69" s="4">
        <v>0.7515759684003545</v>
      </c>
      <c r="DL69" s="4">
        <v>1.8</v>
      </c>
      <c r="DM69" s="4">
        <v>1.797</v>
      </c>
      <c r="DN69" s="6"/>
      <c r="DO69" s="6"/>
      <c r="DP69" s="6"/>
      <c r="DQ69" s="9">
        <v>44</v>
      </c>
      <c r="DR69" s="7">
        <f>IFERROR(DG69/F69,0)</f>
        <v>0.00010041814307458111</v>
      </c>
      <c r="DS69" t="inlineStr">
        <is>
          <t xml:space="preserve">SI69K</t>
        </is>
      </c>
      <c r="DT69" t="inlineStr">
        <is>
          <t xml:space="preserve">future</t>
        </is>
      </c>
      <c r="DU69" t="inlineStr">
        <is>
          <t xml:space="preserve">lease</t>
        </is>
      </c>
      <c r="DV69" t="inlineStr">
        <is>
          <t xml:space="preserve">long</t>
        </is>
      </c>
      <c r="DW69" t="inlineStr">
        <is>
          <t xml:space="preserve">regular</t>
        </is>
      </c>
      <c r="DX69" s="4">
        <v>1.794</v>
      </c>
      <c r="DY69" s="4">
        <v>1.784</v>
      </c>
      <c r="DZ69" s="6"/>
      <c r="EA69" s="4">
        <v>0.41886797574652557</v>
      </c>
      <c r="EB69" s="5">
        <f>IF(DT69="direct",IFERROR(EH69/DY69,0),0)</f>
        <v>0</v>
      </c>
      <c r="EC69" s="5">
        <f>IF(DT69="direct",EA69-EB69,IF(DT69="cash",EM69,EA69))</f>
        <v>0.41886797574652557</v>
      </c>
      <c r="ED69" s="6">
        <v>0.5950101010100992</v>
      </c>
      <c r="EE69" s="4">
        <v>0.7514491484892669</v>
      </c>
      <c r="EF69" s="4">
        <v>0</v>
      </c>
      <c r="EG69" s="5">
        <f>IF(DT69="direct",EA69*(DY69-DX69),EJ69)</f>
        <v>-0.004188679757465281</v>
      </c>
      <c r="EH69" s="5">
        <f>IF(DT69="direct",EF69*DZ69*C69/365,0)</f>
        <v>0</v>
      </c>
      <c r="EI69" s="5">
        <f>EG69-EH69</f>
        <v>-0.004188679757465281</v>
      </c>
      <c r="EJ69" s="4">
        <v>-0.004188679757465281</v>
      </c>
      <c r="EK69" s="5">
        <f>EJ69-EI69</f>
        <v>0</v>
      </c>
      <c r="EL69" s="4">
        <v>0.004188679757465281</v>
      </c>
      <c r="EM69" s="4">
        <v>0</v>
      </c>
      <c r="EN69" s="4">
        <v>1.8</v>
      </c>
      <c r="EO69" s="4">
        <v>1.797</v>
      </c>
      <c r="EP69" s="6">
        <v>-0.0033333333333332993</v>
      </c>
      <c r="EQ69" s="6">
        <v>0.0616</v>
      </c>
      <c r="ER69" s="6">
        <v>0.08925151515151487</v>
      </c>
      <c r="ES69" s="9">
        <v>44</v>
      </c>
      <c r="ET69" s="7">
        <f>IFERROR(EI69/F69,0)</f>
        <v>-0.003316667229710718</v>
      </c>
      <c r="EU69" t="inlineStr">
        <is>
          <t xml:space="preserve">Lease cash / margin / financing</t>
        </is>
      </c>
      <c r="EV69" t="inlineStr">
        <is>
          <t xml:space="preserve">cash</t>
        </is>
      </c>
      <c r="EW69" t="inlineStr">
        <is>
          <t xml:space="preserve">lease</t>
        </is>
      </c>
      <c r="EX69" t="inlineStr">
        <is>
          <t xml:space="preserve">cash</t>
        </is>
      </c>
      <c r="EY69"/>
      <c r="EZ69" s="4">
        <v>1</v>
      </c>
      <c r="FA69" s="4">
        <v>1</v>
      </c>
      <c r="FB69" s="6"/>
      <c r="FC69" s="4">
        <v>-2.220446049250313e-16</v>
      </c>
      <c r="FD69" s="5">
        <f>IF(EV69="direct",IFERROR(FJ69/FA69,0),0)</f>
        <v>0</v>
      </c>
      <c r="FE69" s="5">
        <f>IF(EV69="direct",FC69-FD69,IF(EV69="cash",FO69,FC69))</f>
        <v>-0.004188679757465539</v>
      </c>
      <c r="FF69" s="6"/>
      <c r="FG69" s="4">
        <v>-2.220446049250313e-16</v>
      </c>
      <c r="FH69" s="4">
        <v>-2.220446049250313e-16</v>
      </c>
      <c r="FI69" s="5">
        <f>IF(EV69="direct",FC69*(FA69-EZ69),FL69)</f>
        <v>0</v>
      </c>
      <c r="FJ69" s="5">
        <f>IF(EV69="direct",FH69*FB69*C69/365,0)</f>
        <v>0</v>
      </c>
      <c r="FK69" s="5">
        <f>FI69-FJ69</f>
        <v>0</v>
      </c>
      <c r="FL69" s="4">
        <v>0</v>
      </c>
      <c r="FM69" s="5">
        <f>FL69-FK69</f>
        <v>0</v>
      </c>
      <c r="FN69" s="4">
        <v>-0.004188679757465317</v>
      </c>
      <c r="FO69" s="4">
        <v>-0.004188679757465539</v>
      </c>
      <c r="FP69" s="4">
        <v>1.8</v>
      </c>
      <c r="FQ69" s="4">
        <v>1.797</v>
      </c>
      <c r="FR69" s="6"/>
      <c r="FS69" s="6"/>
      <c r="FT69" s="6"/>
      <c r="FU69" s="9"/>
      <c r="FV69" s="7">
        <f>IFERROR(FK69/F69,0)</f>
        <v>0</v>
      </c>
      <c r="FW69" t="inlineStr">
        <is>
          <t xml:space="preserve">Keep cash / margin / financing</t>
        </is>
      </c>
      <c r="FX69" t="inlineStr">
        <is>
          <t xml:space="preserve">cash</t>
        </is>
      </c>
      <c r="FY69" t="inlineStr">
        <is>
          <t xml:space="preserve">keep</t>
        </is>
      </c>
      <c r="FZ69" t="inlineStr">
        <is>
          <t xml:space="preserve">cash</t>
        </is>
      </c>
      <c r="GA69"/>
      <c r="GB69" s="4">
        <v>1</v>
      </c>
      <c r="GC69" s="4">
        <v>1</v>
      </c>
      <c r="GD69" s="6"/>
      <c r="GE69" s="4">
        <v>0</v>
      </c>
      <c r="GF69" s="5">
        <f>IF(FX69="direct",IFERROR(GL69/GC69,0),0)</f>
        <v>0</v>
      </c>
      <c r="GG69" s="5">
        <f>IF(FX69="direct",GE69-GF69,IF(FX69="cash",GQ69,GE69))</f>
        <v>0</v>
      </c>
      <c r="GH69" s="6"/>
      <c r="GI69" s="4">
        <v>0</v>
      </c>
      <c r="GJ69" s="4">
        <v>0</v>
      </c>
      <c r="GK69" s="5">
        <f>IF(FX69="direct",GE69*(GC69-GB69),GN69)</f>
        <v>0</v>
      </c>
      <c r="GL69" s="5">
        <f>IF(FX69="direct",GJ69*GD69*C69/365,0)</f>
        <v>0</v>
      </c>
      <c r="GM69" s="5">
        <f>GK69-GL69</f>
        <v>0</v>
      </c>
      <c r="GN69" s="4">
        <v>0</v>
      </c>
      <c r="GO69" s="5">
        <f>GN69-GM69</f>
        <v>0</v>
      </c>
      <c r="GP69" s="4">
        <v>0</v>
      </c>
      <c r="GQ69" s="4">
        <v>0</v>
      </c>
      <c r="GR69" s="4">
        <v>1.8</v>
      </c>
      <c r="GS69" s="4">
        <v>1.797</v>
      </c>
      <c r="GT69" s="6"/>
      <c r="GU69" s="6"/>
      <c r="GV69" s="6"/>
      <c r="GW69" s="9"/>
      <c r="GX69" s="7">
        <f>IFERROR(GM69/F69,0)</f>
        <v>0</v>
      </c>
      <c r="GY69"/>
      <c r="GZ69"/>
      <c r="HA69"/>
      <c r="HB69"/>
      <c r="HC69"/>
      <c r="HD69" s="4"/>
      <c r="HE69" s="4"/>
      <c r="HF69" s="6"/>
      <c r="HG69" s="4"/>
      <c r="HH69" s="5">
        <v>0</v>
      </c>
      <c r="HI69" s="5"/>
      <c r="HJ69" s="6"/>
      <c r="HK69" s="4"/>
      <c r="HL69" s="4"/>
      <c r="HM69" s="5">
        <v>0</v>
      </c>
      <c r="HN69" s="5">
        <v>0</v>
      </c>
      <c r="HO69" s="5"/>
      <c r="HP69" s="4"/>
      <c r="HQ69" s="5">
        <v>0</v>
      </c>
      <c r="HR69" s="4"/>
      <c r="HS69" s="4"/>
      <c r="HT69" s="4"/>
      <c r="HU69" s="4"/>
      <c r="HV69" s="6"/>
      <c r="HW69" s="6"/>
      <c r="HX69" s="6"/>
      <c r="HY69" s="9"/>
      <c r="HZ69"/>
      <c r="IA69"/>
      <c r="IB69"/>
      <c r="IC69"/>
      <c r="ID69"/>
      <c r="IE69"/>
      <c r="IF69" s="4"/>
      <c r="IG69" s="4"/>
      <c r="IH69" s="6"/>
      <c r="II69" s="4"/>
      <c r="IJ69" s="5">
        <v>0</v>
      </c>
      <c r="IK69" s="5"/>
      <c r="IL69" s="6"/>
      <c r="IM69" s="4"/>
      <c r="IN69" s="4"/>
      <c r="IO69" s="5">
        <v>0</v>
      </c>
      <c r="IP69" s="5">
        <v>0</v>
      </c>
      <c r="IQ69" s="5"/>
      <c r="IR69" s="4"/>
      <c r="IS69" s="5">
        <v>0</v>
      </c>
      <c r="IT69" s="4"/>
      <c r="IU69" s="4"/>
      <c r="IV69" s="4"/>
      <c r="IW69" s="4"/>
      <c r="IX69" s="6"/>
      <c r="IY69" s="6"/>
      <c r="IZ69" s="6"/>
      <c r="JA69" s="9"/>
      <c r="JB69"/>
      <c r="JC69"/>
      <c r="JD69"/>
      <c r="JE69"/>
      <c r="JF69"/>
      <c r="JG69"/>
      <c r="JH69" s="4"/>
      <c r="JI69" s="4"/>
      <c r="JJ69" s="6"/>
      <c r="JK69" s="4"/>
      <c r="JL69" s="5">
        <v>0</v>
      </c>
      <c r="JM69" s="5"/>
      <c r="JN69" s="6"/>
      <c r="JO69" s="4"/>
      <c r="JP69" s="4"/>
      <c r="JQ69" s="5">
        <v>0</v>
      </c>
      <c r="JR69" s="5">
        <v>0</v>
      </c>
      <c r="JS69" s="5"/>
      <c r="JT69" s="4"/>
      <c r="JU69" s="5">
        <v>0</v>
      </c>
      <c r="JV69" s="4"/>
      <c r="JW69" s="4"/>
      <c r="JX69" s="4"/>
      <c r="JY69" s="4"/>
      <c r="JZ69" s="6"/>
      <c r="KA69" s="6"/>
      <c r="KB69" s="6"/>
      <c r="KC69" s="9"/>
      <c r="KD69"/>
      <c r="KE69"/>
      <c r="KF69"/>
      <c r="KG69"/>
      <c r="KH69"/>
      <c r="KI69"/>
      <c r="KJ69" s="4"/>
      <c r="KK69" s="4"/>
      <c r="KL69" s="6"/>
      <c r="KM69" s="4"/>
      <c r="KN69" s="5">
        <v>0</v>
      </c>
      <c r="KO69" s="5"/>
      <c r="KP69" s="6"/>
      <c r="KQ69" s="4"/>
      <c r="KR69" s="4"/>
      <c r="KS69" s="5">
        <v>0</v>
      </c>
      <c r="KT69" s="5">
        <v>0</v>
      </c>
      <c r="KU69" s="5"/>
      <c r="KV69" s="4"/>
      <c r="KW69" s="5">
        <v>0</v>
      </c>
      <c r="KX69" s="4"/>
      <c r="KY69" s="4"/>
      <c r="KZ69" s="4"/>
      <c r="LA69" s="4"/>
      <c r="LB69" s="6"/>
      <c r="LC69" s="6"/>
      <c r="LD69" s="6"/>
      <c r="LE69" s="9"/>
      <c r="LF69"/>
      <c r="LG69"/>
      <c r="LH69"/>
      <c r="LI69"/>
      <c r="LJ69"/>
      <c r="LK69"/>
      <c r="LL69" s="4"/>
      <c r="LM69" s="4"/>
      <c r="LN69" s="6"/>
      <c r="LO69" s="4"/>
      <c r="LP69" s="5">
        <v>0</v>
      </c>
      <c r="LQ69" s="5"/>
      <c r="LR69" s="6"/>
      <c r="LS69" s="4"/>
      <c r="LT69" s="4"/>
      <c r="LU69" s="5">
        <v>0</v>
      </c>
      <c r="LV69" s="5">
        <v>0</v>
      </c>
      <c r="LW69" s="5"/>
      <c r="LX69" s="4"/>
      <c r="LY69" s="5">
        <v>0</v>
      </c>
      <c r="LZ69" s="4"/>
      <c r="MA69" s="4"/>
      <c r="MB69" s="4"/>
      <c r="MC69" s="4"/>
      <c r="MD69" s="6"/>
      <c r="ME69" s="6"/>
      <c r="MF69" s="6"/>
      <c r="MG69" s="9"/>
      <c r="MH69"/>
    </row>
    <row r="70">
      <c r="A70" s="8">
        <v>25308</v>
      </c>
      <c r="B70" s="8">
        <v>25309</v>
      </c>
      <c r="C70" s="9">
        <f>B70-A70</f>
        <v>1</v>
      </c>
      <c r="D70" s="8">
        <v>25308</v>
      </c>
      <c r="E70" t="inlineStr">
        <is>
          <t xml:space="preserve">positive</t>
        </is>
      </c>
      <c r="F70" s="4">
        <v>1.2580004937885039</v>
      </c>
      <c r="G70" s="6">
        <v>0.005686976384471995</v>
      </c>
      <c r="H70" s="7">
        <f>SUM(CP70,DR70,ET70,FV70,GX70,HZ70,JB70,KD70,LF70,MH70)</f>
        <v>0.005686976384471995</v>
      </c>
      <c r="I70" s="7">
        <f>G70-H70</f>
        <v>0</v>
      </c>
      <c r="J70" s="5">
        <f>F70*(1+H70)</f>
        <v>1.2651547128883331</v>
      </c>
      <c r="K70" s="4">
        <v>1.2651547128883331</v>
      </c>
      <c r="L70" s="5">
        <f>K70-J70</f>
        <v>0</v>
      </c>
      <c r="M70" s="4">
        <v>1.797</v>
      </c>
      <c r="N70" s="4">
        <v>1.797</v>
      </c>
      <c r="O70" s="5">
        <f>M70/$M$3</f>
        <v>0.9177732379979571</v>
      </c>
      <c r="P70" s="5">
        <f>N70/$M$3</f>
        <v>0.9177732379979571</v>
      </c>
      <c r="Q70" s="7">
        <f>IFERROR(N70/M70-1,0)</f>
        <v>0</v>
      </c>
      <c r="R70" s="5">
        <f>SUM(IF(BQ70="lease",CB70,0),IF(CS70="lease",DD70,0),IF(DU70="lease",EF70,0),IF(EW70="lease",FH70,0),IF(FY70="lease",GJ70,0),IF(HA70="lease",HL70,0),IF(IC70="lease",IN70,0),IF(JE70="lease",JP70,0),IF(KG70="lease",KR70,0),IF(LI70="lease",LT70,0))</f>
        <v>1.2580004937885036</v>
      </c>
      <c r="S70" s="5">
        <f>SUM(IF(BQ70="lease",CI70,0),IF(CS70="lease",DK70,0),IF(DU70="lease",EM70,0),IF(EW70="lease",FO70,0),IF(FY70="lease",GQ70,0),IF(HA70="lease",HS70,0),IF(IC70="lease",IU70,0),IF(JE70="lease",JW70,0),IF(KG70="lease",KY70,0),IF(LI70="lease",MA70,0))</f>
        <v>1.265154712888333</v>
      </c>
      <c r="T70" s="5">
        <f>SUM(IF(BQ70="keep",CB70,0),IF(CS70="keep",DD70,0),IF(DU70="keep",EF70,0),IF(EW70="keep",FH70,0),IF(FY70="keep",GJ70,0),IF(HA70="keep",HL70,0),IF(IC70="keep",IN70,0),IF(JE70="keep",JP70,0),IF(KG70="keep",KR70,0),IF(LI70="keep",LT70,0))</f>
        <v>0</v>
      </c>
      <c r="U70" s="5">
        <f>SUM(IF(BQ70="keep",CI70,0),IF(CS70="keep",DK70,0),IF(DU70="keep",EM70,0),IF(EW70="keep",FO70,0),IF(FY70="keep",GQ70,0),IF(HA70="keep",HS70,0),IF(IC70="keep",IU70,0),IF(JE70="keep",JW70,0),IF(KG70="keep",KY70,0),IF(LI70="keep",MA70,0))</f>
        <v>0</v>
      </c>
      <c r="V70" s="5">
        <f>R70/O70</f>
        <v>1.370709497405615</v>
      </c>
      <c r="W70" s="5">
        <f>S70/P70</f>
        <v>1.378504689947332</v>
      </c>
      <c r="X70" s="5">
        <f>T70/O70</f>
        <v>0</v>
      </c>
      <c r="Y70" s="5">
        <f>U70/P70</f>
        <v>0</v>
      </c>
      <c r="Z70" s="5">
        <f>V70+X70</f>
        <v>1.370709497405615</v>
      </c>
      <c r="AA70" s="7">
        <f>IFERROR(W70/V70-1,0)</f>
        <v>0.005686976384471798</v>
      </c>
      <c r="AB70" s="7">
        <f>IFERROR((W70-V70)/Z70,0)</f>
        <v>0.005686976384471849</v>
      </c>
      <c r="AC70" s="7">
        <f>IFERROR(Y70/X70-1,0)</f>
        <v>0</v>
      </c>
      <c r="AD70" s="7">
        <f>IFERROR((Y70-X70)/Z70,0)</f>
        <v>0</v>
      </c>
      <c r="AE70" s="7">
        <f>AB70+AD70</f>
        <v>0.005686976384471849</v>
      </c>
      <c r="AF70" s="7">
        <f>(1+Q70)*(1+AE70)-1</f>
        <v>0.005686976384471798</v>
      </c>
      <c r="AG70" s="7">
        <f>G70-AF70</f>
        <v>1.968911145233676e-16</v>
      </c>
      <c r="AH70" s="5">
        <f>SUM(IF(BQ70="lease",CE70,0),IF(CS70="lease",DG70,0),IF(DU70="lease",EI70,0),IF(EW70="lease",FK70,0),IF(FY70="lease",GM70,0),IF(HA70="lease",HO70,0),IF(IC70="lease",IQ70,0),IF(JE70="lease",JS70,0),IF(KG70="lease",KU70,0),IF(LI70="lease",LW70,0))</f>
        <v>0.00715421909982933</v>
      </c>
      <c r="AI70" s="5">
        <f>SUM(IF(BQ70="keep",CE70,0),IF(CS70="keep",DG70,0),IF(DU70="keep",EI70,0),IF(EW70="keep",FK70,0),IF(FY70="keep",GM70,0),IF(HA70="keep",HO70,0),IF(IC70="keep",IQ70,0),IF(JE70="keep",JS70,0),IF(KG70="keep",KU70,0),IF(LI70="keep",LW70,0))</f>
        <v>0</v>
      </c>
      <c r="AJ70" s="5">
        <f>SUM(IF(BQ70="lease",CH70,0),IF(CS70="lease",DJ70,0),IF(DU70="lease",EL70,0),IF(EW70="lease",FN70,0),IF(FY70="lease",GP70,0),IF(HA70="lease",HR70,0),IF(IC70="lease",IT70,0),IF(JE70="lease",JV70,0),IF(KG70="lease",KX70,0),IF(LI70="lease",LZ70,0))</f>
        <v>0</v>
      </c>
      <c r="AK70" s="5">
        <f>SUM(IF(BQ70="keep",CH70,0),IF(CS70="keep",DJ70,0),IF(DU70="keep",EL70,0),IF(EW70="keep",FN70,0),IF(FY70="keep",GP70,0),IF(HA70="keep",HR70,0),IF(IC70="keep",IT70,0),IF(JE70="keep",JV70,0),IF(KG70="keep",KX70,0),IF(LI70="keep",LZ70,0))</f>
        <v>0</v>
      </c>
      <c r="AL70" s="5">
        <f>R70-S69</f>
        <v>0</v>
      </c>
      <c r="AM70" s="5">
        <f>T70-U69</f>
        <v>0</v>
      </c>
      <c r="AN70" s="5">
        <f>AN69</f>
        <v>1</v>
      </c>
      <c r="AO70" s="5">
        <f>AO69+AH70</f>
        <v>0.26515471288833337</v>
      </c>
      <c r="AP70" s="5">
        <f>AP69+AL70</f>
        <v>-2.220446049250313e-16</v>
      </c>
      <c r="AQ70" s="5">
        <f>AN70+AO70+AP70</f>
        <v>1.2651547128883331</v>
      </c>
      <c r="AR70" s="5">
        <f>S70-AQ70</f>
        <v>-2.220446049250313e-16</v>
      </c>
      <c r="AS70" s="5">
        <f>AS69</f>
        <v>0</v>
      </c>
      <c r="AT70" s="5">
        <f>AT69+AI70</f>
        <v>0</v>
      </c>
      <c r="AU70" s="5">
        <f>AU69+AM70</f>
        <v>0</v>
      </c>
      <c r="AV70" s="5">
        <f>AS70+AT70+AU70</f>
        <v>0</v>
      </c>
      <c r="AW70" s="5">
        <f>U70-AV70</f>
        <v>0</v>
      </c>
      <c r="AX70" s="4">
        <v>1.2580004937885036</v>
      </c>
      <c r="AY70" s="4">
        <v>1.265154712888333</v>
      </c>
      <c r="AZ70" s="5">
        <f>S70-AY70</f>
        <v>0</v>
      </c>
      <c r="BA70" s="4">
        <v>0</v>
      </c>
      <c r="BB70" s="4">
        <v>0</v>
      </c>
      <c r="BC70" s="5">
        <f>U70-BB70</f>
        <v>0</v>
      </c>
      <c r="BD70" s="7">
        <f>SUM(IF(BP70="direct",CC70/F70,0),IF(CR70="direct",DE70/F70,0),IF(DT70="direct",EG70/F70,0),IF(EV70="direct",FI70/F70,0),IF(FX70="direct",GK70/F70,0),IF(GZ70="direct",HM70/F70,0),IF(IB70="direct",IO70/F70,0),IF(JD70="direct",JQ70/F70,0),IF(KF70="direct",KS70/F70,0),IF(LH70="direct",LU70/F70,0))</f>
        <v>0</v>
      </c>
      <c r="BE70" s="7">
        <f>-SUM(IF(BP70="direct",CD70/F70,0),IF(CR70="direct",DF70/F70,0),IF(DT70="direct",EH70/F70,0),IF(EV70="direct",FJ70/F70,0),IF(FX70="direct",GL70/F70,0),IF(GZ70="direct",HN70/F70,0),IF(IB70="direct",IP70/F70,0),IF(JD70="direct",JR70/F70,0),IF(KF70="direct",KT70/F70,0),IF(LH70="direct",LV70/F70,0))</f>
        <v>-0.0000012005819641233274</v>
      </c>
      <c r="BF70" s="7">
        <f>BD70+BE70</f>
        <v>-0.0000012005819641233274</v>
      </c>
      <c r="BG70" s="7">
        <f>BF70-SUM(IF(BP70="direct",CP70,0),IF(CR70="direct",DR70,0),IF(DT70="direct",ET70,0),IF(EV70="direct",FV70,0),IF(FX70="direct",GX70,0),IF(GZ70="direct",HZ70,0),IF(IB70="direct",JB70,0),IF(JD70="direct",KD70,0),IF(KF70="direct",LF70,0),IF(LH70="direct",MH70,0))</f>
        <v>-2.117582368135751e-22</v>
      </c>
      <c r="BH70" s="7">
        <f>SUM(IF(BP70="treasury",CP70,0),IF(CR70="treasury",DR70,0),IF(DT70="treasury",ET70,0),IF(EV70="treasury",FV70,0),IF(FX70="treasury",GX70,0),IF(GZ70="treasury",HZ70,0),IF(IB70="treasury",JB70,0),IF(JD70="treasury",KD70,0),IF(KF70="treasury",LF70,0),IF(LH70="treasury",MH70,0))</f>
        <v>0.000140766428960896</v>
      </c>
      <c r="BI70" s="7">
        <f>SUM(IF(BP70="future",CP70,0),IF(CR70="future",DR70,0),IF(DT70="future",ET70,0),IF(EV70="future",FV70,0),IF(FX70="future",GX70,0),IF(GZ70="future",HZ70,0),IF(IB70="future",JB70,0),IF(JD70="future",KD70,0),IF(KF70="future",LF70,0),IF(LH70="future",MH70,0))</f>
        <v>0.005547410537475222</v>
      </c>
      <c r="BJ70" s="7">
        <f>SUM(IF(BP70="cash",CP70,0),IF(CR70="cash",DR70,0),IF(DT70="cash",ET70,0),IF(EV70="cash",FV70,0),IF(FX70="cash",GX70,0),IF(GZ70="cash",HZ70,0),IF(IB70="cash",JB70,0),IF(JD70="cash",KD70,0),IF(KF70="cash",LF70,0),IF(LH70="cash",MH70,0))</f>
        <v>0</v>
      </c>
      <c r="BK70" s="7">
        <f>SUM(BF70,BH70,BI70,BJ70)</f>
        <v>0.005686976384471995</v>
      </c>
      <c r="BL70" s="7">
        <f>G70-BK70</f>
        <v>0</v>
      </c>
      <c r="BM70" s="5">
        <f>MAX(ABS(CG70),ABS(DI70),ABS(EK70),ABS(FM70),ABS(GO70),ABS(HQ70),ABS(IS70),ABS(JU70),ABS(KW70),ABS(LY70))</f>
        <v>3.5236570605778894e-19</v>
      </c>
      <c r="BN70" s="9">
        <f>COUNTA(BO70,CQ70,DS70,EU70,FW70,GY70,IA70,JC70,KE70,LG70)</f>
        <v>5</v>
      </c>
      <c r="BO70" t="inlineStr">
        <is>
          <t xml:space="preserve">Direct commodity holding</t>
        </is>
      </c>
      <c r="BP70" t="inlineStr">
        <is>
          <t xml:space="preserve">direct</t>
        </is>
      </c>
      <c r="BQ70" t="inlineStr">
        <is>
          <t xml:space="preserve">lease</t>
        </is>
      </c>
      <c r="BR70" t="inlineStr">
        <is>
          <t xml:space="preserve">long</t>
        </is>
      </c>
      <c r="BS70"/>
      <c r="BT70" s="4">
        <v>1.797</v>
      </c>
      <c r="BU70" s="4">
        <v>1.797</v>
      </c>
      <c r="BV70" s="6">
        <v>0.0025</v>
      </c>
      <c r="BW70" s="4">
        <v>0.12270927920996369</v>
      </c>
      <c r="BX70" s="5">
        <f>IF(BP70="direct",IFERROR(CD70/BU70,0),0)</f>
        <v>8.404745151367377e-7</v>
      </c>
      <c r="BY70" s="5">
        <f>IF(BP70="direct",BW70-BX70,IF(BP70="cash",CI70,BW70))</f>
        <v>0.12270843873544855</v>
      </c>
      <c r="BZ70" s="6">
        <v>0.17528496676200578</v>
      </c>
      <c r="CA70" s="4">
        <v>0.22050857474030475</v>
      </c>
      <c r="CB70" s="4">
        <v>0.22050857474030475</v>
      </c>
      <c r="CC70" s="5">
        <f>IF(BP70="direct",BW70*(BU70-BT70),CF70)</f>
        <v>0</v>
      </c>
      <c r="CD70" s="5">
        <f>IF(BP70="direct",CB70*BV70*C70/365,0)</f>
        <v>0.0000015103327037007177</v>
      </c>
      <c r="CE70" s="5">
        <f>CC70-CD70</f>
        <v>-0.0000015103327037007174</v>
      </c>
      <c r="CF70" s="4">
        <v>-0.0000015103327037007174</v>
      </c>
      <c r="CG70" s="5">
        <f>CF70-CE70</f>
        <v>2.117582368135751e-22</v>
      </c>
      <c r="CH70" s="4">
        <v>0</v>
      </c>
      <c r="CI70" s="4">
        <v>0.22050706440760104</v>
      </c>
      <c r="CJ70" s="4">
        <v>1.797</v>
      </c>
      <c r="CK70" s="4">
        <v>1.797</v>
      </c>
      <c r="CL70" s="6"/>
      <c r="CM70" s="6"/>
      <c r="CN70" s="6"/>
      <c r="CO70" s="9"/>
      <c r="CP70" s="7">
        <f>IFERROR(CE70/F70,0)</f>
        <v>-0.0000012005819641233271</v>
      </c>
      <c r="CQ70" t="inlineStr">
        <is>
          <t xml:space="preserve">Treasury collateral</t>
        </is>
      </c>
      <c r="CR70" t="inlineStr">
        <is>
          <t xml:space="preserve">treasury</t>
        </is>
      </c>
      <c r="CS70" t="inlineStr">
        <is>
          <t xml:space="preserve">lease</t>
        </is>
      </c>
      <c r="CT70" t="inlineStr">
        <is>
          <t xml:space="preserve">long</t>
        </is>
      </c>
      <c r="CU70"/>
      <c r="CV70" s="4">
        <v>101.73455552099607</v>
      </c>
      <c r="CW70" s="4">
        <v>101.75192007663705</v>
      </c>
      <c r="CX70" s="6"/>
      <c r="CY70" s="4">
        <v>0.010198028720281582</v>
      </c>
      <c r="CZ70" s="5">
        <f>IF(CR70="direct",IFERROR(DF70/CW70,0),0)</f>
        <v>0</v>
      </c>
      <c r="DA70" s="5">
        <f>IF(CR70="direct",CY70-CZ70,IF(CR70="cash",DK70,CY70))</f>
        <v>0.010198028720281582</v>
      </c>
      <c r="DB70" s="6">
        <v>0.8247150332379942</v>
      </c>
      <c r="DC70" s="4">
        <v>1.037491919048199</v>
      </c>
      <c r="DD70" s="4">
        <v>1.037491919048199</v>
      </c>
      <c r="DE70" s="5">
        <f>IF(CR70="direct",CY70*(CW70-CV70),DH70)</f>
        <v>0.00017708423714165117</v>
      </c>
      <c r="DF70" s="5">
        <f>IF(CR70="direct",DD70*CX70*C70/365,0)</f>
        <v>0</v>
      </c>
      <c r="DG70" s="5">
        <f>DE70-DF70</f>
        <v>0.00017708423714165152</v>
      </c>
      <c r="DH70" s="4">
        <v>0.00017708423714165152</v>
      </c>
      <c r="DI70" s="5">
        <f>DH70-DG70</f>
        <v>3.5236570605778894e-19</v>
      </c>
      <c r="DJ70" s="4">
        <v>1.4869832795638693e-16</v>
      </c>
      <c r="DK70" s="4">
        <v>1.0376690032853408</v>
      </c>
      <c r="DL70" s="4">
        <v>1.797</v>
      </c>
      <c r="DM70" s="4">
        <v>1.797</v>
      </c>
      <c r="DN70" s="6"/>
      <c r="DO70" s="6"/>
      <c r="DP70" s="6"/>
      <c r="DQ70" s="9">
        <v>43</v>
      </c>
      <c r="DR70" s="7">
        <f>IFERROR(DG70/F70,0)</f>
        <v>0.000140766428960896</v>
      </c>
      <c r="DS70" t="inlineStr">
        <is>
          <t xml:space="preserve">SI69K</t>
        </is>
      </c>
      <c r="DT70" t="inlineStr">
        <is>
          <t xml:space="preserve">future</t>
        </is>
      </c>
      <c r="DU70" t="inlineStr">
        <is>
          <t xml:space="preserve">lease</t>
        </is>
      </c>
      <c r="DV70" t="inlineStr">
        <is>
          <t xml:space="preserve">long</t>
        </is>
      </c>
      <c r="DW70" t="inlineStr">
        <is>
          <t xml:space="preserve">regular</t>
        </is>
      </c>
      <c r="DX70" s="4">
        <v>1.784</v>
      </c>
      <c r="DY70" s="4">
        <v>1.796</v>
      </c>
      <c r="DZ70" s="6"/>
      <c r="EA70" s="4">
        <v>0.5815537662826228</v>
      </c>
      <c r="EB70" s="5">
        <f>IF(DT70="direct",IFERROR(EH70/DY70,0),0)</f>
        <v>0</v>
      </c>
      <c r="EC70" s="5">
        <f>IF(DT70="direct",EA70-EB70,IF(DT70="cash",EM70,EA70))</f>
        <v>0.5815537662826228</v>
      </c>
      <c r="ED70" s="6">
        <v>0.8247150332379942</v>
      </c>
      <c r="EE70" s="4">
        <v>1.037491919048199</v>
      </c>
      <c r="EF70" s="4">
        <v>0</v>
      </c>
      <c r="EG70" s="5">
        <f>IF(DT70="direct",EA70*(DY70-DX70),EJ70)</f>
        <v>0.00697864519539138</v>
      </c>
      <c r="EH70" s="5">
        <f>IF(DT70="direct",EF70*DZ70*C70/365,0)</f>
        <v>0</v>
      </c>
      <c r="EI70" s="5">
        <f>EG70-EH70</f>
        <v>0.00697864519539138</v>
      </c>
      <c r="EJ70" s="4">
        <v>0.00697864519539138</v>
      </c>
      <c r="EK70" s="5">
        <f>EJ70-EI70</f>
        <v>0</v>
      </c>
      <c r="EL70" s="4">
        <v>-0.00697864519539138</v>
      </c>
      <c r="EM70" s="4">
        <v>0</v>
      </c>
      <c r="EN70" s="4">
        <v>1.797</v>
      </c>
      <c r="EO70" s="4">
        <v>1.797</v>
      </c>
      <c r="EP70" s="6">
        <v>-0.0072342793544796224</v>
      </c>
      <c r="EQ70" s="6">
        <v>0.0623</v>
      </c>
      <c r="ER70" s="6">
        <v>0.12370725498569912</v>
      </c>
      <c r="ES70" s="9">
        <v>43</v>
      </c>
      <c r="ET70" s="7">
        <f>IFERROR(EI70/F70,0)</f>
        <v>0.005547410537475222</v>
      </c>
      <c r="EU70" t="inlineStr">
        <is>
          <t xml:space="preserve">Lease cash / margin / financing</t>
        </is>
      </c>
      <c r="EV70" t="inlineStr">
        <is>
          <t xml:space="preserve">cash</t>
        </is>
      </c>
      <c r="EW70" t="inlineStr">
        <is>
          <t xml:space="preserve">lease</t>
        </is>
      </c>
      <c r="EX70" t="inlineStr">
        <is>
          <t xml:space="preserve">cash</t>
        </is>
      </c>
      <c r="EY70"/>
      <c r="EZ70" s="4">
        <v>1</v>
      </c>
      <c r="FA70" s="4">
        <v>1</v>
      </c>
      <c r="FB70" s="6"/>
      <c r="FC70" s="4">
        <v>-2.220446049250313e-16</v>
      </c>
      <c r="FD70" s="5">
        <f>IF(EV70="direct",IFERROR(FJ70/FA70,0),0)</f>
        <v>0</v>
      </c>
      <c r="FE70" s="5">
        <f>IF(EV70="direct",FC70-FD70,IF(EV70="cash",FO70,FC70))</f>
        <v>0.006978645195391009</v>
      </c>
      <c r="FF70" s="6"/>
      <c r="FG70" s="4">
        <v>-2.220446049250313e-16</v>
      </c>
      <c r="FH70" s="4">
        <v>-2.220446049250313e-16</v>
      </c>
      <c r="FI70" s="5">
        <f>IF(EV70="direct",FC70*(FA70-EZ70),FL70)</f>
        <v>0</v>
      </c>
      <c r="FJ70" s="5">
        <f>IF(EV70="direct",FH70*FB70*C70/365,0)</f>
        <v>0</v>
      </c>
      <c r="FK70" s="5">
        <f>FI70-FJ70</f>
        <v>0</v>
      </c>
      <c r="FL70" s="4">
        <v>0</v>
      </c>
      <c r="FM70" s="5">
        <f>FL70-FK70</f>
        <v>0</v>
      </c>
      <c r="FN70" s="4">
        <v>0.006978645195391231</v>
      </c>
      <c r="FO70" s="4">
        <v>0.006978645195391009</v>
      </c>
      <c r="FP70" s="4">
        <v>1.797</v>
      </c>
      <c r="FQ70" s="4">
        <v>1.797</v>
      </c>
      <c r="FR70" s="6"/>
      <c r="FS70" s="6"/>
      <c r="FT70" s="6"/>
      <c r="FU70" s="9"/>
      <c r="FV70" s="7">
        <f>IFERROR(FK70/F70,0)</f>
        <v>0</v>
      </c>
      <c r="FW70" t="inlineStr">
        <is>
          <t xml:space="preserve">Keep cash / margin / financing</t>
        </is>
      </c>
      <c r="FX70" t="inlineStr">
        <is>
          <t xml:space="preserve">cash</t>
        </is>
      </c>
      <c r="FY70" t="inlineStr">
        <is>
          <t xml:space="preserve">keep</t>
        </is>
      </c>
      <c r="FZ70" t="inlineStr">
        <is>
          <t xml:space="preserve">cash</t>
        </is>
      </c>
      <c r="GA70"/>
      <c r="GB70" s="4">
        <v>1</v>
      </c>
      <c r="GC70" s="4">
        <v>1</v>
      </c>
      <c r="GD70" s="6"/>
      <c r="GE70" s="4">
        <v>0</v>
      </c>
      <c r="GF70" s="5">
        <f>IF(FX70="direct",IFERROR(GL70/GC70,0),0)</f>
        <v>0</v>
      </c>
      <c r="GG70" s="5">
        <f>IF(FX70="direct",GE70-GF70,IF(FX70="cash",GQ70,GE70))</f>
        <v>0</v>
      </c>
      <c r="GH70" s="6"/>
      <c r="GI70" s="4">
        <v>0</v>
      </c>
      <c r="GJ70" s="4">
        <v>0</v>
      </c>
      <c r="GK70" s="5">
        <f>IF(FX70="direct",GE70*(GC70-GB70),GN70)</f>
        <v>0</v>
      </c>
      <c r="GL70" s="5">
        <f>IF(FX70="direct",GJ70*GD70*C70/365,0)</f>
        <v>0</v>
      </c>
      <c r="GM70" s="5">
        <f>GK70-GL70</f>
        <v>0</v>
      </c>
      <c r="GN70" s="4">
        <v>0</v>
      </c>
      <c r="GO70" s="5">
        <f>GN70-GM70</f>
        <v>0</v>
      </c>
      <c r="GP70" s="4">
        <v>0</v>
      </c>
      <c r="GQ70" s="4">
        <v>0</v>
      </c>
      <c r="GR70" s="4">
        <v>1.797</v>
      </c>
      <c r="GS70" s="4">
        <v>1.797</v>
      </c>
      <c r="GT70" s="6"/>
      <c r="GU70" s="6"/>
      <c r="GV70" s="6"/>
      <c r="GW70" s="9"/>
      <c r="GX70" s="7">
        <f>IFERROR(GM70/F70,0)</f>
        <v>0</v>
      </c>
      <c r="GY70"/>
      <c r="GZ70"/>
      <c r="HA70"/>
      <c r="HB70"/>
      <c r="HC70"/>
      <c r="HD70" s="4"/>
      <c r="HE70" s="4"/>
      <c r="HF70" s="6"/>
      <c r="HG70" s="4"/>
      <c r="HH70" s="5">
        <v>0</v>
      </c>
      <c r="HI70" s="5"/>
      <c r="HJ70" s="6"/>
      <c r="HK70" s="4"/>
      <c r="HL70" s="4"/>
      <c r="HM70" s="5">
        <v>0</v>
      </c>
      <c r="HN70" s="5">
        <v>0</v>
      </c>
      <c r="HO70" s="5"/>
      <c r="HP70" s="4"/>
      <c r="HQ70" s="5">
        <v>0</v>
      </c>
      <c r="HR70" s="4"/>
      <c r="HS70" s="4"/>
      <c r="HT70" s="4"/>
      <c r="HU70" s="4"/>
      <c r="HV70" s="6"/>
      <c r="HW70" s="6"/>
      <c r="HX70" s="6"/>
      <c r="HY70" s="9"/>
      <c r="HZ70"/>
      <c r="IA70"/>
      <c r="IB70"/>
      <c r="IC70"/>
      <c r="ID70"/>
      <c r="IE70"/>
      <c r="IF70" s="4"/>
      <c r="IG70" s="4"/>
      <c r="IH70" s="6"/>
      <c r="II70" s="4"/>
      <c r="IJ70" s="5">
        <v>0</v>
      </c>
      <c r="IK70" s="5"/>
      <c r="IL70" s="6"/>
      <c r="IM70" s="4"/>
      <c r="IN70" s="4"/>
      <c r="IO70" s="5">
        <v>0</v>
      </c>
      <c r="IP70" s="5">
        <v>0</v>
      </c>
      <c r="IQ70" s="5"/>
      <c r="IR70" s="4"/>
      <c r="IS70" s="5">
        <v>0</v>
      </c>
      <c r="IT70" s="4"/>
      <c r="IU70" s="4"/>
      <c r="IV70" s="4"/>
      <c r="IW70" s="4"/>
      <c r="IX70" s="6"/>
      <c r="IY70" s="6"/>
      <c r="IZ70" s="6"/>
      <c r="JA70" s="9"/>
      <c r="JB70"/>
      <c r="JC70"/>
      <c r="JD70"/>
      <c r="JE70"/>
      <c r="JF70"/>
      <c r="JG70"/>
      <c r="JH70" s="4"/>
      <c r="JI70" s="4"/>
      <c r="JJ70" s="6"/>
      <c r="JK70" s="4"/>
      <c r="JL70" s="5">
        <v>0</v>
      </c>
      <c r="JM70" s="5"/>
      <c r="JN70" s="6"/>
      <c r="JO70" s="4"/>
      <c r="JP70" s="4"/>
      <c r="JQ70" s="5">
        <v>0</v>
      </c>
      <c r="JR70" s="5">
        <v>0</v>
      </c>
      <c r="JS70" s="5"/>
      <c r="JT70" s="4"/>
      <c r="JU70" s="5">
        <v>0</v>
      </c>
      <c r="JV70" s="4"/>
      <c r="JW70" s="4"/>
      <c r="JX70" s="4"/>
      <c r="JY70" s="4"/>
      <c r="JZ70" s="6"/>
      <c r="KA70" s="6"/>
      <c r="KB70" s="6"/>
      <c r="KC70" s="9"/>
      <c r="KD70"/>
      <c r="KE70"/>
      <c r="KF70"/>
      <c r="KG70"/>
      <c r="KH70"/>
      <c r="KI70"/>
      <c r="KJ70" s="4"/>
      <c r="KK70" s="4"/>
      <c r="KL70" s="6"/>
      <c r="KM70" s="4"/>
      <c r="KN70" s="5">
        <v>0</v>
      </c>
      <c r="KO70" s="5"/>
      <c r="KP70" s="6"/>
      <c r="KQ70" s="4"/>
      <c r="KR70" s="4"/>
      <c r="KS70" s="5">
        <v>0</v>
      </c>
      <c r="KT70" s="5">
        <v>0</v>
      </c>
      <c r="KU70" s="5"/>
      <c r="KV70" s="4"/>
      <c r="KW70" s="5">
        <v>0</v>
      </c>
      <c r="KX70" s="4"/>
      <c r="KY70" s="4"/>
      <c r="KZ70" s="4"/>
      <c r="LA70" s="4"/>
      <c r="LB70" s="6"/>
      <c r="LC70" s="6"/>
      <c r="LD70" s="6"/>
      <c r="LE70" s="9"/>
      <c r="LF70"/>
      <c r="LG70"/>
      <c r="LH70"/>
      <c r="LI70"/>
      <c r="LJ70"/>
      <c r="LK70"/>
      <c r="LL70" s="4"/>
      <c r="LM70" s="4"/>
      <c r="LN70" s="6"/>
      <c r="LO70" s="4"/>
      <c r="LP70" s="5">
        <v>0</v>
      </c>
      <c r="LQ70" s="5"/>
      <c r="LR70" s="6"/>
      <c r="LS70" s="4"/>
      <c r="LT70" s="4"/>
      <c r="LU70" s="5">
        <v>0</v>
      </c>
      <c r="LV70" s="5">
        <v>0</v>
      </c>
      <c r="LW70" s="5"/>
      <c r="LX70" s="4"/>
      <c r="LY70" s="5">
        <v>0</v>
      </c>
      <c r="LZ70" s="4"/>
      <c r="MA70" s="4"/>
      <c r="MB70" s="4"/>
      <c r="MC70" s="4"/>
      <c r="MD70" s="6"/>
      <c r="ME70" s="6"/>
      <c r="MF70" s="6"/>
      <c r="MG70" s="9"/>
      <c r="MH70"/>
    </row>
    <row r="71">
      <c r="A71" s="8">
        <v>25309</v>
      </c>
      <c r="B71" s="8">
        <v>25310</v>
      </c>
      <c r="C71" s="9">
        <f>B71-A71</f>
        <v>1</v>
      </c>
      <c r="D71" s="8">
        <v>25309</v>
      </c>
      <c r="E71" t="inlineStr">
        <is>
          <t xml:space="preserve">positive</t>
        </is>
      </c>
      <c r="F71" s="4">
        <v>1.2651547128883331</v>
      </c>
      <c r="G71" s="6">
        <v>0.000413053225297983</v>
      </c>
      <c r="H71" s="7">
        <f>SUM(CP71,DR71,ET71,FV71,GX71,HZ71,JB71,KD71,LF71,MH71)</f>
        <v>0.000413053225297983</v>
      </c>
      <c r="I71" s="7">
        <f>G71-H71</f>
        <v>0</v>
      </c>
      <c r="J71" s="5">
        <f>F71*(1+H71)</f>
        <v>1.2656772891229926</v>
      </c>
      <c r="K71" s="4">
        <v>1.2656772891229926</v>
      </c>
      <c r="L71" s="5">
        <f>K71-J71</f>
        <v>0</v>
      </c>
      <c r="M71" s="4">
        <v>1.797</v>
      </c>
      <c r="N71" s="4">
        <v>1.807</v>
      </c>
      <c r="O71" s="5">
        <f>M71/$M$3</f>
        <v>0.9177732379979571</v>
      </c>
      <c r="P71" s="5">
        <f>N71/$M$3</f>
        <v>0.9228804902962207</v>
      </c>
      <c r="Q71" s="7">
        <f>IFERROR(N71/M71-1,0)</f>
        <v>0.005564830272676735</v>
      </c>
      <c r="R71" s="5">
        <f>SUM(IF(BQ71="lease",CB71,0),IF(CS71="lease",DD71,0),IF(DU71="lease",EF71,0),IF(EW71="lease",FH71,0),IF(FY71="lease",GJ71,0),IF(HA71="lease",HL71,0),IF(IC71="lease",IN71,0),IF(JE71="lease",JP71,0),IF(KG71="lease",KR71,0),IF(LI71="lease",LT71,0))</f>
        <v>1.265154712888333</v>
      </c>
      <c r="S71" s="5">
        <f>SUM(IF(BQ71="lease",CI71,0),IF(CS71="lease",DK71,0),IF(DU71="lease",EM71,0),IF(EW71="lease",FO71,0),IF(FY71="lease",GQ71,0),IF(HA71="lease",HS71,0),IF(IC71="lease",IU71,0),IF(JE71="lease",JW71,0),IF(KG71="lease",KY71,0),IF(LI71="lease",MA71,0))</f>
        <v>1.2656772891229924</v>
      </c>
      <c r="T71" s="5">
        <f>SUM(IF(BQ71="keep",CB71,0),IF(CS71="keep",DD71,0),IF(DU71="keep",EF71,0),IF(EW71="keep",FH71,0),IF(FY71="keep",GJ71,0),IF(HA71="keep",HL71,0),IF(IC71="keep",IN71,0),IF(JE71="keep",JP71,0),IF(KG71="keep",KR71,0),IF(LI71="keep",LT71,0))</f>
        <v>0</v>
      </c>
      <c r="U71" s="5">
        <f>SUM(IF(BQ71="keep",CI71,0),IF(CS71="keep",DK71,0),IF(DU71="keep",EM71,0),IF(EW71="keep",FO71,0),IF(FY71="keep",GQ71,0),IF(HA71="keep",HS71,0),IF(IC71="keep",IU71,0),IF(JE71="keep",JW71,0),IF(KG71="keep",KY71,0),IF(LI71="keep",MA71,0))</f>
        <v>0</v>
      </c>
      <c r="V71" s="5">
        <f>R71/O71</f>
        <v>1.378504689947332</v>
      </c>
      <c r="W71" s="5">
        <f>S71/P71</f>
        <v>1.3714422424476032</v>
      </c>
      <c r="X71" s="5">
        <f>T71/O71</f>
        <v>0</v>
      </c>
      <c r="Y71" s="5">
        <f>U71/P71</f>
        <v>0</v>
      </c>
      <c r="Z71" s="5">
        <f>V71+X71</f>
        <v>1.378504689947332</v>
      </c>
      <c r="AA71" s="7">
        <f>IFERROR(W71/V71-1,0)</f>
        <v>-0.005123266936435833</v>
      </c>
      <c r="AB71" s="7">
        <f>IFERROR((W71-V71)/Z71,0)</f>
        <v>-0.005123266936435874</v>
      </c>
      <c r="AC71" s="7">
        <f>IFERROR(Y71/X71-1,0)</f>
        <v>0</v>
      </c>
      <c r="AD71" s="7">
        <f>IFERROR((Y71-X71)/Z71,0)</f>
        <v>0</v>
      </c>
      <c r="AE71" s="7">
        <f>AB71+AD71</f>
        <v>-0.005123266936435874</v>
      </c>
      <c r="AF71" s="7">
        <f>(1+Q71)*(1+AE71)-1</f>
        <v>0.0004130532252979435</v>
      </c>
      <c r="AG71" s="7">
        <f>G71-AF71</f>
        <v>3.946495907847236e-17</v>
      </c>
      <c r="AH71" s="5">
        <f>SUM(IF(BQ71="lease",CE71,0),IF(CS71="lease",DG71,0),IF(DU71="lease",EI71,0),IF(EW71="lease",FK71,0),IF(FY71="lease",GM71,0),IF(HA71="lease",HO71,0),IF(IC71="lease",IQ71,0),IF(JE71="lease",JS71,0),IF(KG71="lease",KU71,0),IF(LI71="lease",LW71,0))</f>
        <v>0.0005225762346594697</v>
      </c>
      <c r="AI71" s="5">
        <f>SUM(IF(BQ71="keep",CE71,0),IF(CS71="keep",DG71,0),IF(DU71="keep",EI71,0),IF(EW71="keep",FK71,0),IF(FY71="keep",GM71,0),IF(HA71="keep",HO71,0),IF(IC71="keep",IQ71,0),IF(JE71="keep",JS71,0),IF(KG71="keep",KU71,0),IF(LI71="keep",LW71,0))</f>
        <v>0</v>
      </c>
      <c r="AJ71" s="5">
        <f>SUM(IF(BQ71="lease",CH71,0),IF(CS71="lease",DJ71,0),IF(DU71="lease",EL71,0),IF(EW71="lease",FN71,0),IF(FY71="lease",GP71,0),IF(HA71="lease",HR71,0),IF(IC71="lease",IT71,0),IF(JE71="lease",JV71,0),IF(KG71="lease",KX71,0),IF(LI71="lease",LZ71,0))</f>
        <v>0</v>
      </c>
      <c r="AK71" s="5">
        <f>SUM(IF(BQ71="keep",CH71,0),IF(CS71="keep",DJ71,0),IF(DU71="keep",EL71,0),IF(EW71="keep",FN71,0),IF(FY71="keep",GP71,0),IF(HA71="keep",HR71,0),IF(IC71="keep",IT71,0),IF(JE71="keep",JV71,0),IF(KG71="keep",KX71,0),IF(LI71="keep",LZ71,0))</f>
        <v>0</v>
      </c>
      <c r="AL71" s="5">
        <f>R71-S70</f>
        <v>0</v>
      </c>
      <c r="AM71" s="5">
        <f>T71-U70</f>
        <v>0</v>
      </c>
      <c r="AN71" s="5">
        <f>AN70</f>
        <v>1</v>
      </c>
      <c r="AO71" s="5">
        <f>AO70+AH71</f>
        <v>0.2656772891229928</v>
      </c>
      <c r="AP71" s="5">
        <f>AP70+AL71</f>
        <v>-2.220446049250313e-16</v>
      </c>
      <c r="AQ71" s="5">
        <f>AN71+AO71+AP71</f>
        <v>1.2656772891229926</v>
      </c>
      <c r="AR71" s="5">
        <f>S71-AQ71</f>
        <v>-2.220446049250313e-16</v>
      </c>
      <c r="AS71" s="5">
        <f>AS70</f>
        <v>0</v>
      </c>
      <c r="AT71" s="5">
        <f>AT70+AI71</f>
        <v>0</v>
      </c>
      <c r="AU71" s="5">
        <f>AU70+AM71</f>
        <v>0</v>
      </c>
      <c r="AV71" s="5">
        <f>AS71+AT71+AU71</f>
        <v>0</v>
      </c>
      <c r="AW71" s="5">
        <f>U71-AV71</f>
        <v>0</v>
      </c>
      <c r="AX71" s="4">
        <v>1.265154712888333</v>
      </c>
      <c r="AY71" s="4">
        <v>1.2656772891229924</v>
      </c>
      <c r="AZ71" s="5">
        <f>S71-AY71</f>
        <v>0</v>
      </c>
      <c r="BA71" s="4">
        <v>0</v>
      </c>
      <c r="BB71" s="4">
        <v>0</v>
      </c>
      <c r="BC71" s="5">
        <f>U71-BB71</f>
        <v>0</v>
      </c>
      <c r="BD71" s="7">
        <f>SUM(IF(BP71="direct",CC71/F71,0),IF(CR71="direct",DE71/F71,0),IF(DT71="direct",EG71/F71,0),IF(EV71="direct",FI71/F71,0),IF(FX71="direct",GK71/F71,0),IF(GZ71="direct",HM71/F71,0),IF(IB71="direct",IO71/F71,0),IF(JD71="direct",JQ71/F71,0),IF(KF71="direct",KS71/F71,0),IF(LH71="direct",LU71/F71,0))</f>
        <v>0.0030778667223567663</v>
      </c>
      <c r="BE71" s="7">
        <f>-SUM(IF(BP71="direct",CD71/F71,0),IF(CR71="direct",DF71/F71,0),IF(DT71="direct",EH71/F71,0),IF(EV71="direct",FJ71/F71,0),IF(FX71="direct",GL71/F71,0),IF(GZ71="direct",HN71/F71,0),IF(IB71="direct",IP71/F71,0),IF(JD71="direct",JR71/F71,0),IF(KF71="direct",KT71/F71,0),IF(LH71="direct",LV71/F71,0))</f>
        <v>-0.0000037883058219692493</v>
      </c>
      <c r="BF71" s="7">
        <f>BD71+BE71</f>
        <v>0.003074078416534797</v>
      </c>
      <c r="BG71" s="7">
        <f>BF71-SUM(IF(BP71="direct",CP71,0),IF(CR71="direct",DR71,0),IF(DT71="direct",ET71,0),IF(EV71="direct",FV71,0),IF(FX71="direct",GX71,0),IF(GZ71="direct",HZ71,0),IF(IB71="direct",JB71,0),IF(JD71="direct",KD71,0),IF(KF71="direct",LF71,0),IF(LH71="direct",MH71,0))</f>
        <v>-2.6020852139652106e-17</v>
      </c>
      <c r="BH71" s="7">
        <f>SUM(IF(BP71="treasury",CP71,0),IF(CR71="treasury",DR71,0),IF(DT71="treasury",ET71,0),IF(EV71="treasury",FV71,0),IF(FX71="treasury",GX71,0),IF(GZ71="treasury",HZ71,0),IF(IB71="treasury",JB71,0),IF(JD71="treasury",KD71,0),IF(KF71="treasury",LF71,0),IF(LH71="treasury",MH71,0))</f>
        <v>0.00007615791005351468</v>
      </c>
      <c r="BI71" s="7">
        <f>SUM(IF(BP71="future",CP71,0),IF(CR71="future",DR71,0),IF(DT71="future",ET71,0),IF(EV71="future",FV71,0),IF(FX71="future",GX71,0),IF(GZ71="future",HZ71,0),IF(IB71="future",JB71,0),IF(JD71="future",KD71,0),IF(KF71="future",LF71,0),IF(LH71="future",MH71,0))</f>
        <v>-0.002737183101290355</v>
      </c>
      <c r="BJ71" s="7">
        <f>SUM(IF(BP71="cash",CP71,0),IF(CR71="cash",DR71,0),IF(DT71="cash",ET71,0),IF(EV71="cash",FV71,0),IF(FX71="cash",GX71,0),IF(GZ71="cash",HZ71,0),IF(IB71="cash",JB71,0),IF(JD71="cash",KD71,0),IF(KF71="cash",LF71,0),IF(LH71="cash",MH71,0))</f>
        <v>0</v>
      </c>
      <c r="BK71" s="7">
        <f>SUM(BF71,BH71,BI71,BJ71)</f>
        <v>0.000413053225297983</v>
      </c>
      <c r="BL71" s="7">
        <f>G71-BK71</f>
        <v>0</v>
      </c>
      <c r="BM71" s="5">
        <f>MAX(ABS(CG71),ABS(DI71),ABS(EK71),ABS(FM71),ABS(GO71),ABS(HQ71),ABS(IS71),ABS(JU71),ABS(KW71),ABS(LY71))</f>
        <v>1.2957571213917385e-16</v>
      </c>
      <c r="BN71" s="9">
        <f>COUNTA(BO71,CQ71,DS71,EU71,FW71,GY71,IA71,JC71,KE71,LG71)</f>
        <v>5</v>
      </c>
      <c r="BO71" t="inlineStr">
        <is>
          <t xml:space="preserve">Direct commodity holding</t>
        </is>
      </c>
      <c r="BP71" t="inlineStr">
        <is>
          <t xml:space="preserve">direct</t>
        </is>
      </c>
      <c r="BQ71" t="inlineStr">
        <is>
          <t xml:space="preserve">lease</t>
        </is>
      </c>
      <c r="BR71" t="inlineStr">
        <is>
          <t xml:space="preserve">long</t>
        </is>
      </c>
      <c r="BS71"/>
      <c r="BT71" s="4">
        <v>1.797</v>
      </c>
      <c r="BU71" s="4">
        <v>1.807</v>
      </c>
      <c r="BV71" s="6">
        <v>0.0025</v>
      </c>
      <c r="BW71" s="4">
        <v>0.3893977589431826</v>
      </c>
      <c r="BX71" s="5">
        <f>IF(BP71="direct",IFERROR(CD71/BU71,0),0)</f>
        <v>0.0000026523480711271206</v>
      </c>
      <c r="BY71" s="5">
        <f>IF(BP71="direct",BW71-BX71,IF(BP71="cash",CI71,BW71))</f>
        <v>0.3893951065951115</v>
      </c>
      <c r="BZ71" s="6">
        <v>0.5530926500075104</v>
      </c>
      <c r="CA71" s="4">
        <v>0.6997477728208992</v>
      </c>
      <c r="CB71" s="4">
        <v>0.6997477728208992</v>
      </c>
      <c r="CC71" s="5">
        <f>IF(BP71="direct",BW71*(BU71-BT71),CF71)</f>
        <v>0.0038939775894318296</v>
      </c>
      <c r="CD71" s="5">
        <f>IF(BP71="direct",CB71*BV71*C71/365,0)</f>
        <v>0.000004792792964526707</v>
      </c>
      <c r="CE71" s="5">
        <f>CC71-CD71</f>
        <v>0.003889184796467336</v>
      </c>
      <c r="CF71" s="4">
        <v>0.003889184796467336</v>
      </c>
      <c r="CG71" s="5">
        <f>CF71-CE71</f>
        <v>3.316896318153115e-17</v>
      </c>
      <c r="CH71" s="4">
        <v>0</v>
      </c>
      <c r="CI71" s="4">
        <v>0.7036369576173664</v>
      </c>
      <c r="CJ71" s="4">
        <v>1.797</v>
      </c>
      <c r="CK71" s="4">
        <v>1.807</v>
      </c>
      <c r="CL71" s="6"/>
      <c r="CM71" s="6"/>
      <c r="CN71" s="6"/>
      <c r="CO71" s="9"/>
      <c r="CP71" s="7">
        <f>IFERROR(CE71/F71,0)</f>
        <v>0.003074078416534823</v>
      </c>
      <c r="CQ71" t="inlineStr">
        <is>
          <t xml:space="preserve">Treasury collateral</t>
        </is>
      </c>
      <c r="CR71" t="inlineStr">
        <is>
          <t xml:space="preserve">treasury</t>
        </is>
      </c>
      <c r="CS71" t="inlineStr">
        <is>
          <t xml:space="preserve">lease</t>
        </is>
      </c>
      <c r="CT71" t="inlineStr">
        <is>
          <t xml:space="preserve">long</t>
        </is>
      </c>
      <c r="CU71"/>
      <c r="CV71" s="4">
        <v>101.75192007663705</v>
      </c>
      <c r="CW71" s="4">
        <v>101.76925971890762</v>
      </c>
      <c r="CX71" s="6"/>
      <c r="CY71" s="4">
        <v>0.005556720105542809</v>
      </c>
      <c r="CZ71" s="5">
        <f>IF(CR71="direct",IFERROR(DF71/CW71,0),0)</f>
        <v>0</v>
      </c>
      <c r="DA71" s="5">
        <f>IF(CR71="direct",CY71-CZ71,IF(CR71="cash",DK71,CY71))</f>
        <v>0.005556720105542809</v>
      </c>
      <c r="DB71" s="6">
        <v>0.44690734999248966</v>
      </c>
      <c r="DC71" s="4">
        <v>0.5654069400674341</v>
      </c>
      <c r="DD71" s="4">
        <v>0.5654069400674341</v>
      </c>
      <c r="DE71" s="5">
        <f>IF(CR71="direct",CY71*(CW71-CV71),DH71)</f>
        <v>0.00009635153882780029</v>
      </c>
      <c r="DF71" s="5">
        <f>IF(CR71="direct",DD71*CX71*C71/365,0)</f>
        <v>0</v>
      </c>
      <c r="DG71" s="5">
        <f>DE71-DF71</f>
        <v>0.00009635153882792987</v>
      </c>
      <c r="DH71" s="4">
        <v>0.00009635153882792987</v>
      </c>
      <c r="DI71" s="5">
        <f>DH71-DG71</f>
        <v>1.2957571213917385e-16</v>
      </c>
      <c r="DJ71" s="4">
        <v>-1.1964170973377541e-16</v>
      </c>
      <c r="DK71" s="4">
        <v>0.5655032916062619</v>
      </c>
      <c r="DL71" s="4">
        <v>1.797</v>
      </c>
      <c r="DM71" s="4">
        <v>1.807</v>
      </c>
      <c r="DN71" s="6"/>
      <c r="DO71" s="6"/>
      <c r="DP71" s="6"/>
      <c r="DQ71" s="9">
        <v>42</v>
      </c>
      <c r="DR71" s="7">
        <f>IFERROR(DG71/F71,0)</f>
        <v>0.00007615791005351468</v>
      </c>
      <c r="DS71" t="inlineStr">
        <is>
          <t xml:space="preserve">SI69K</t>
        </is>
      </c>
      <c r="DT71" t="inlineStr">
        <is>
          <t xml:space="preserve">future</t>
        </is>
      </c>
      <c r="DU71" t="inlineStr">
        <is>
          <t xml:space="preserve">lease</t>
        </is>
      </c>
      <c r="DV71" t="inlineStr">
        <is>
          <t xml:space="preserve">long</t>
        </is>
      </c>
      <c r="DW71" t="inlineStr">
        <is>
          <t xml:space="preserve">regular</t>
        </is>
      </c>
      <c r="DX71" s="4">
        <v>1.796</v>
      </c>
      <c r="DY71" s="4">
        <v>1.785</v>
      </c>
      <c r="DZ71" s="6"/>
      <c r="EA71" s="4">
        <v>0.31481455460324836</v>
      </c>
      <c r="EB71" s="5">
        <f>IF(DT71="direct",IFERROR(EH71/DY71,0),0)</f>
        <v>0</v>
      </c>
      <c r="EC71" s="5">
        <f>IF(DT71="direct",EA71-EB71,IF(DT71="cash",EM71,EA71))</f>
        <v>0.31481455460324836</v>
      </c>
      <c r="ED71" s="6">
        <v>0.44690734999248966</v>
      </c>
      <c r="EE71" s="4">
        <v>0.5654069400674341</v>
      </c>
      <c r="EF71" s="4">
        <v>0</v>
      </c>
      <c r="EG71" s="5">
        <f>IF(DT71="direct",EA71*(DY71-DX71),EJ71)</f>
        <v>-0.0034629601006357963</v>
      </c>
      <c r="EH71" s="5">
        <f>IF(DT71="direct",EF71*DZ71*C71/365,0)</f>
        <v>0</v>
      </c>
      <c r="EI71" s="5">
        <f>EG71-EH71</f>
        <v>-0.0034629601006357963</v>
      </c>
      <c r="EJ71" s="4">
        <v>-0.0034629601006357963</v>
      </c>
      <c r="EK71" s="5">
        <f>EJ71-EI71</f>
        <v>0</v>
      </c>
      <c r="EL71" s="4">
        <v>0.0034629601006357963</v>
      </c>
      <c r="EM71" s="4">
        <v>0</v>
      </c>
      <c r="EN71" s="4">
        <v>1.797</v>
      </c>
      <c r="EO71" s="4">
        <v>1.807</v>
      </c>
      <c r="EP71" s="6">
        <v>-0.0005564830272676291</v>
      </c>
      <c r="EQ71" s="6">
        <v>0.0622</v>
      </c>
      <c r="ER71" s="6">
        <v>0.06703610249887344</v>
      </c>
      <c r="ES71" s="9">
        <v>42</v>
      </c>
      <c r="ET71" s="7">
        <f>IFERROR(EI71/F71,0)</f>
        <v>-0.002737183101290355</v>
      </c>
      <c r="EU71" t="inlineStr">
        <is>
          <t xml:space="preserve">Lease cash / margin / financing</t>
        </is>
      </c>
      <c r="EV71" t="inlineStr">
        <is>
          <t xml:space="preserve">cash</t>
        </is>
      </c>
      <c r="EW71" t="inlineStr">
        <is>
          <t xml:space="preserve">lease</t>
        </is>
      </c>
      <c r="EX71" t="inlineStr">
        <is>
          <t xml:space="preserve">cash</t>
        </is>
      </c>
      <c r="EY71"/>
      <c r="EZ71" s="4">
        <v>1</v>
      </c>
      <c r="FA71" s="4">
        <v>1</v>
      </c>
      <c r="FB71" s="6"/>
      <c r="FC71" s="4">
        <v>-2.220446049250313e-16</v>
      </c>
      <c r="FD71" s="5">
        <f>IF(EV71="direct",IFERROR(FJ71/FA71,0),0)</f>
        <v>0</v>
      </c>
      <c r="FE71" s="5">
        <f>IF(EV71="direct",FC71-FD71,IF(EV71="cash",FO71,FC71))</f>
        <v>-0.0034629601006358987</v>
      </c>
      <c r="FF71" s="6"/>
      <c r="FG71" s="4">
        <v>-2.220446049250313e-16</v>
      </c>
      <c r="FH71" s="4">
        <v>-2.220446049250313e-16</v>
      </c>
      <c r="FI71" s="5">
        <f>IF(EV71="direct",FC71*(FA71-EZ71),FL71)</f>
        <v>0</v>
      </c>
      <c r="FJ71" s="5">
        <f>IF(EV71="direct",FH71*FB71*C71/365,0)</f>
        <v>0</v>
      </c>
      <c r="FK71" s="5">
        <f>FI71-FJ71</f>
        <v>0</v>
      </c>
      <c r="FL71" s="4">
        <v>0</v>
      </c>
      <c r="FM71" s="5">
        <f>FL71-FK71</f>
        <v>0</v>
      </c>
      <c r="FN71" s="4">
        <v>-0.0034629601006356766</v>
      </c>
      <c r="FO71" s="4">
        <v>-0.0034629601006358987</v>
      </c>
      <c r="FP71" s="4">
        <v>1.797</v>
      </c>
      <c r="FQ71" s="4">
        <v>1.807</v>
      </c>
      <c r="FR71" s="6"/>
      <c r="FS71" s="6"/>
      <c r="FT71" s="6"/>
      <c r="FU71" s="9"/>
      <c r="FV71" s="7">
        <f>IFERROR(FK71/F71,0)</f>
        <v>0</v>
      </c>
      <c r="FW71" t="inlineStr">
        <is>
          <t xml:space="preserve">Keep cash / margin / financing</t>
        </is>
      </c>
      <c r="FX71" t="inlineStr">
        <is>
          <t xml:space="preserve">cash</t>
        </is>
      </c>
      <c r="FY71" t="inlineStr">
        <is>
          <t xml:space="preserve">keep</t>
        </is>
      </c>
      <c r="FZ71" t="inlineStr">
        <is>
          <t xml:space="preserve">cash</t>
        </is>
      </c>
      <c r="GA71"/>
      <c r="GB71" s="4">
        <v>1</v>
      </c>
      <c r="GC71" s="4">
        <v>1</v>
      </c>
      <c r="GD71" s="6"/>
      <c r="GE71" s="4">
        <v>0</v>
      </c>
      <c r="GF71" s="5">
        <f>IF(FX71="direct",IFERROR(GL71/GC71,0),0)</f>
        <v>0</v>
      </c>
      <c r="GG71" s="5">
        <f>IF(FX71="direct",GE71-GF71,IF(FX71="cash",GQ71,GE71))</f>
        <v>0</v>
      </c>
      <c r="GH71" s="6"/>
      <c r="GI71" s="4">
        <v>0</v>
      </c>
      <c r="GJ71" s="4">
        <v>0</v>
      </c>
      <c r="GK71" s="5">
        <f>IF(FX71="direct",GE71*(GC71-GB71),GN71)</f>
        <v>0</v>
      </c>
      <c r="GL71" s="5">
        <f>IF(FX71="direct",GJ71*GD71*C71/365,0)</f>
        <v>0</v>
      </c>
      <c r="GM71" s="5">
        <f>GK71-GL71</f>
        <v>0</v>
      </c>
      <c r="GN71" s="4">
        <v>0</v>
      </c>
      <c r="GO71" s="5">
        <f>GN71-GM71</f>
        <v>0</v>
      </c>
      <c r="GP71" s="4">
        <v>0</v>
      </c>
      <c r="GQ71" s="4">
        <v>0</v>
      </c>
      <c r="GR71" s="4">
        <v>1.797</v>
      </c>
      <c r="GS71" s="4">
        <v>1.807</v>
      </c>
      <c r="GT71" s="6"/>
      <c r="GU71" s="6"/>
      <c r="GV71" s="6"/>
      <c r="GW71" s="9"/>
      <c r="GX71" s="7">
        <f>IFERROR(GM71/F71,0)</f>
        <v>0</v>
      </c>
      <c r="GY71"/>
      <c r="GZ71"/>
      <c r="HA71"/>
      <c r="HB71"/>
      <c r="HC71"/>
      <c r="HD71" s="4"/>
      <c r="HE71" s="4"/>
      <c r="HF71" s="6"/>
      <c r="HG71" s="4"/>
      <c r="HH71" s="5">
        <v>0</v>
      </c>
      <c r="HI71" s="5"/>
      <c r="HJ71" s="6"/>
      <c r="HK71" s="4"/>
      <c r="HL71" s="4"/>
      <c r="HM71" s="5">
        <v>0</v>
      </c>
      <c r="HN71" s="5">
        <v>0</v>
      </c>
      <c r="HO71" s="5"/>
      <c r="HP71" s="4"/>
      <c r="HQ71" s="5">
        <v>0</v>
      </c>
      <c r="HR71" s="4"/>
      <c r="HS71" s="4"/>
      <c r="HT71" s="4"/>
      <c r="HU71" s="4"/>
      <c r="HV71" s="6"/>
      <c r="HW71" s="6"/>
      <c r="HX71" s="6"/>
      <c r="HY71" s="9"/>
      <c r="HZ71"/>
      <c r="IA71"/>
      <c r="IB71"/>
      <c r="IC71"/>
      <c r="ID71"/>
      <c r="IE71"/>
      <c r="IF71" s="4"/>
      <c r="IG71" s="4"/>
      <c r="IH71" s="6"/>
      <c r="II71" s="4"/>
      <c r="IJ71" s="5">
        <v>0</v>
      </c>
      <c r="IK71" s="5"/>
      <c r="IL71" s="6"/>
      <c r="IM71" s="4"/>
      <c r="IN71" s="4"/>
      <c r="IO71" s="5">
        <v>0</v>
      </c>
      <c r="IP71" s="5">
        <v>0</v>
      </c>
      <c r="IQ71" s="5"/>
      <c r="IR71" s="4"/>
      <c r="IS71" s="5">
        <v>0</v>
      </c>
      <c r="IT71" s="4"/>
      <c r="IU71" s="4"/>
      <c r="IV71" s="4"/>
      <c r="IW71" s="4"/>
      <c r="IX71" s="6"/>
      <c r="IY71" s="6"/>
      <c r="IZ71" s="6"/>
      <c r="JA71" s="9"/>
      <c r="JB71"/>
      <c r="JC71"/>
      <c r="JD71"/>
      <c r="JE71"/>
      <c r="JF71"/>
      <c r="JG71"/>
      <c r="JH71" s="4"/>
      <c r="JI71" s="4"/>
      <c r="JJ71" s="6"/>
      <c r="JK71" s="4"/>
      <c r="JL71" s="5">
        <v>0</v>
      </c>
      <c r="JM71" s="5"/>
      <c r="JN71" s="6"/>
      <c r="JO71" s="4"/>
      <c r="JP71" s="4"/>
      <c r="JQ71" s="5">
        <v>0</v>
      </c>
      <c r="JR71" s="5">
        <v>0</v>
      </c>
      <c r="JS71" s="5"/>
      <c r="JT71" s="4"/>
      <c r="JU71" s="5">
        <v>0</v>
      </c>
      <c r="JV71" s="4"/>
      <c r="JW71" s="4"/>
      <c r="JX71" s="4"/>
      <c r="JY71" s="4"/>
      <c r="JZ71" s="6"/>
      <c r="KA71" s="6"/>
      <c r="KB71" s="6"/>
      <c r="KC71" s="9"/>
      <c r="KD71"/>
      <c r="KE71"/>
      <c r="KF71"/>
      <c r="KG71"/>
      <c r="KH71"/>
      <c r="KI71"/>
      <c r="KJ71" s="4"/>
      <c r="KK71" s="4"/>
      <c r="KL71" s="6"/>
      <c r="KM71" s="4"/>
      <c r="KN71" s="5">
        <v>0</v>
      </c>
      <c r="KO71" s="5"/>
      <c r="KP71" s="6"/>
      <c r="KQ71" s="4"/>
      <c r="KR71" s="4"/>
      <c r="KS71" s="5">
        <v>0</v>
      </c>
      <c r="KT71" s="5">
        <v>0</v>
      </c>
      <c r="KU71" s="5"/>
      <c r="KV71" s="4"/>
      <c r="KW71" s="5">
        <v>0</v>
      </c>
      <c r="KX71" s="4"/>
      <c r="KY71" s="4"/>
      <c r="KZ71" s="4"/>
      <c r="LA71" s="4"/>
      <c r="LB71" s="6"/>
      <c r="LC71" s="6"/>
      <c r="LD71" s="6"/>
      <c r="LE71" s="9"/>
      <c r="LF71"/>
      <c r="LG71"/>
      <c r="LH71"/>
      <c r="LI71"/>
      <c r="LJ71"/>
      <c r="LK71"/>
      <c r="LL71" s="4"/>
      <c r="LM71" s="4"/>
      <c r="LN71" s="6"/>
      <c r="LO71" s="4"/>
      <c r="LP71" s="5">
        <v>0</v>
      </c>
      <c r="LQ71" s="5"/>
      <c r="LR71" s="6"/>
      <c r="LS71" s="4"/>
      <c r="LT71" s="4"/>
      <c r="LU71" s="5">
        <v>0</v>
      </c>
      <c r="LV71" s="5">
        <v>0</v>
      </c>
      <c r="LW71" s="5"/>
      <c r="LX71" s="4"/>
      <c r="LY71" s="5">
        <v>0</v>
      </c>
      <c r="LZ71" s="4"/>
      <c r="MA71" s="4"/>
      <c r="MB71" s="4"/>
      <c r="MC71" s="4"/>
      <c r="MD71" s="6"/>
      <c r="ME71" s="6"/>
      <c r="MF71" s="6"/>
      <c r="MG71" s="9"/>
      <c r="MH71"/>
    </row>
    <row r="72">
      <c r="A72" s="8">
        <v>25310</v>
      </c>
      <c r="B72" s="8">
        <v>25311</v>
      </c>
      <c r="C72" s="9">
        <f>B72-A72</f>
        <v>1</v>
      </c>
      <c r="D72" s="8">
        <v>25310</v>
      </c>
      <c r="E72" t="inlineStr">
        <is>
          <t xml:space="preserve">positive</t>
        </is>
      </c>
      <c r="F72" s="4">
        <v>1.2656772891229926</v>
      </c>
      <c r="G72" s="6">
        <v>-0.0009505851655729635</v>
      </c>
      <c r="H72" s="7">
        <f>SUM(CP72,DR72,ET72,FV72,GX72,HZ72,JB72,KD72,LF72,MH72)</f>
        <v>-0.0009505851655729635</v>
      </c>
      <c r="I72" s="7">
        <f>G72-H72</f>
        <v>0</v>
      </c>
      <c r="J72" s="5">
        <f>F72*(1+H72)</f>
        <v>1.2644741550675496</v>
      </c>
      <c r="K72" s="4">
        <v>1.2644741550675496</v>
      </c>
      <c r="L72" s="5">
        <f>K72-J72</f>
        <v>0</v>
      </c>
      <c r="M72" s="4">
        <v>1.807</v>
      </c>
      <c r="N72" s="4">
        <v>1.802</v>
      </c>
      <c r="O72" s="5">
        <f>M72/$M$3</f>
        <v>0.9228804902962207</v>
      </c>
      <c r="P72" s="5">
        <f>N72/$M$3</f>
        <v>0.9203268641470889</v>
      </c>
      <c r="Q72" s="7">
        <f>IFERROR(N72/M72-1,0)</f>
        <v>-0.0027670171555063128</v>
      </c>
      <c r="R72" s="5">
        <f>SUM(IF(BQ72="lease",CB72,0),IF(CS72="lease",DD72,0),IF(DU72="lease",EF72,0),IF(EW72="lease",FH72,0),IF(FY72="lease",GJ72,0),IF(HA72="lease",HL72,0),IF(IC72="lease",IN72,0),IF(JE72="lease",JP72,0),IF(KG72="lease",KR72,0),IF(LI72="lease",LT72,0))</f>
        <v>1.2656772891229924</v>
      </c>
      <c r="S72" s="5">
        <f>SUM(IF(BQ72="lease",CI72,0),IF(CS72="lease",DK72,0),IF(DU72="lease",EM72,0),IF(EW72="lease",FO72,0),IF(FY72="lease",GQ72,0),IF(HA72="lease",HS72,0),IF(IC72="lease",IU72,0),IF(JE72="lease",JW72,0),IF(KG72="lease",KY72,0),IF(LI72="lease",MA72,0))</f>
        <v>1.2644741550675496</v>
      </c>
      <c r="T72" s="5">
        <f>SUM(IF(BQ72="keep",CB72,0),IF(CS72="keep",DD72,0),IF(DU72="keep",EF72,0),IF(EW72="keep",FH72,0),IF(FY72="keep",GJ72,0),IF(HA72="keep",HL72,0),IF(IC72="keep",IN72,0),IF(JE72="keep",JP72,0),IF(KG72="keep",KR72,0),IF(LI72="keep",LT72,0))</f>
        <v>0</v>
      </c>
      <c r="U72" s="5">
        <f>SUM(IF(BQ72="keep",CI72,0),IF(CS72="keep",DK72,0),IF(DU72="keep",EM72,0),IF(EW72="keep",FO72,0),IF(FY72="keep",GQ72,0),IF(HA72="keep",HS72,0),IF(IC72="keep",IU72,0),IF(JE72="keep",JW72,0),IF(KG72="keep",KY72,0),IF(LI72="keep",MA72,0))</f>
        <v>0</v>
      </c>
      <c r="V72" s="5">
        <f>R72/O72</f>
        <v>1.3714422424476032</v>
      </c>
      <c r="W72" s="5">
        <f>S72/P72</f>
        <v>1.37394028613888</v>
      </c>
      <c r="X72" s="5">
        <f>T72/O72</f>
        <v>0</v>
      </c>
      <c r="Y72" s="5">
        <f>U72/P72</f>
        <v>0</v>
      </c>
      <c r="Z72" s="5">
        <f>V72+X72</f>
        <v>1.3714422424476032</v>
      </c>
      <c r="AA72" s="7">
        <f>IFERROR(W72/V72-1,0)</f>
        <v>0.0018214720343006086</v>
      </c>
      <c r="AB72" s="7">
        <f>IFERROR((W72-V72)/Z72,0)</f>
        <v>0.0018214720343006858</v>
      </c>
      <c r="AC72" s="7">
        <f>IFERROR(Y72/X72-1,0)</f>
        <v>0</v>
      </c>
      <c r="AD72" s="7">
        <f>IFERROR((Y72-X72)/Z72,0)</f>
        <v>0</v>
      </c>
      <c r="AE72" s="7">
        <f>AB72+AD72</f>
        <v>0.0018214720343006858</v>
      </c>
      <c r="AF72" s="7">
        <f>(1+Q72)*(1+AE72)-1</f>
        <v>-0.0009505851655728925</v>
      </c>
      <c r="AG72" s="7">
        <f>G72-AF72</f>
        <v>-7.101524229780054e-17</v>
      </c>
      <c r="AH72" s="5">
        <f>SUM(IF(BQ72="lease",CE72,0),IF(CS72="lease",DG72,0),IF(DU72="lease",EI72,0),IF(EW72="lease",FK72,0),IF(FY72="lease",GM72,0),IF(HA72="lease",HO72,0),IF(IC72="lease",IQ72,0),IF(JE72="lease",JS72,0),IF(KG72="lease",KU72,0),IF(LI72="lease",LW72,0))</f>
        <v>-0.0012031340554429196</v>
      </c>
      <c r="AI72" s="5">
        <f>SUM(IF(BQ72="keep",CE72,0),IF(CS72="keep",DG72,0),IF(DU72="keep",EI72,0),IF(EW72="keep",FK72,0),IF(FY72="keep",GM72,0),IF(HA72="keep",HO72,0),IF(IC72="keep",IQ72,0),IF(JE72="keep",JS72,0),IF(KG72="keep",KU72,0),IF(LI72="keep",LW72,0))</f>
        <v>0</v>
      </c>
      <c r="AJ72" s="5">
        <f>SUM(IF(BQ72="lease",CH72,0),IF(CS72="lease",DJ72,0),IF(DU72="lease",EL72,0),IF(EW72="lease",FN72,0),IF(FY72="lease",GP72,0),IF(HA72="lease",HR72,0),IF(IC72="lease",IT72,0),IF(JE72="lease",JV72,0),IF(KG72="lease",KX72,0),IF(LI72="lease",LZ72,0))</f>
        <v>0</v>
      </c>
      <c r="AK72" s="5">
        <f>SUM(IF(BQ72="keep",CH72,0),IF(CS72="keep",DJ72,0),IF(DU72="keep",EL72,0),IF(EW72="keep",FN72,0),IF(FY72="keep",GP72,0),IF(HA72="keep",HR72,0),IF(IC72="keep",IT72,0),IF(JE72="keep",JV72,0),IF(KG72="keep",KX72,0),IF(LI72="keep",LZ72,0))</f>
        <v>0</v>
      </c>
      <c r="AL72" s="5">
        <f>R72-S71</f>
        <v>0</v>
      </c>
      <c r="AM72" s="5">
        <f>T72-U71</f>
        <v>0</v>
      </c>
      <c r="AN72" s="5">
        <f>AN71</f>
        <v>1</v>
      </c>
      <c r="AO72" s="5">
        <f>AO71+AH72</f>
        <v>0.2644741550675499</v>
      </c>
      <c r="AP72" s="5">
        <f>AP71+AL72</f>
        <v>-2.220446049250313e-16</v>
      </c>
      <c r="AQ72" s="5">
        <f>AN72+AO72+AP72</f>
        <v>1.2644741550675496</v>
      </c>
      <c r="AR72" s="5">
        <f>S72-AQ72</f>
        <v>0</v>
      </c>
      <c r="AS72" s="5">
        <f>AS71</f>
        <v>0</v>
      </c>
      <c r="AT72" s="5">
        <f>AT71+AI72</f>
        <v>0</v>
      </c>
      <c r="AU72" s="5">
        <f>AU71+AM72</f>
        <v>0</v>
      </c>
      <c r="AV72" s="5">
        <f>AS72+AT72+AU72</f>
        <v>0</v>
      </c>
      <c r="AW72" s="5">
        <f>U72-AV72</f>
        <v>0</v>
      </c>
      <c r="AX72" s="4">
        <v>1.2656772891229924</v>
      </c>
      <c r="AY72" s="4">
        <v>1.2644741550675496</v>
      </c>
      <c r="AZ72" s="5">
        <f>S72-AY72</f>
        <v>0</v>
      </c>
      <c r="BA72" s="4">
        <v>0</v>
      </c>
      <c r="BB72" s="4">
        <v>0</v>
      </c>
      <c r="BC72" s="5">
        <f>U72-BB72</f>
        <v>0</v>
      </c>
      <c r="BD72" s="7">
        <f>SUM(IF(BP72="direct",CC72/F72,0),IF(CR72="direct",DE72/F72,0),IF(DT72="direct",EG72/F72,0),IF(EV72="direct",FI72/F72,0),IF(FX72="direct",GK72/F72,0),IF(GZ72="direct",HM72/F72,0),IF(IB72="direct",IO72/F72,0),IF(JD72="direct",JQ72/F72,0),IF(KF72="direct",KS72/F72,0),IF(LH72="direct",LU72/F72,0))</f>
        <v>0</v>
      </c>
      <c r="BE72" s="7">
        <f>-SUM(IF(BP72="direct",CD72/F72,0),IF(CR72="direct",DF72/F72,0),IF(DT72="direct",EH72/F72,0),IF(EV72="direct",FJ72/F72,0),IF(FX72="direct",GL72/F72,0),IF(GZ72="direct",HN72/F72,0),IF(IB72="direct",IP72/F72,0),IF(JD72="direct",JR72/F72,0),IF(KF72="direct",KT72/F72,0),IF(LH72="direct",LV72/F72,0))</f>
        <v>0</v>
      </c>
      <c r="BF72" s="7">
        <f>BD72+BE72</f>
        <v>0</v>
      </c>
      <c r="BG72" s="7">
        <f>BF72-SUM(IF(BP72="direct",CP72,0),IF(CR72="direct",DR72,0),IF(DT72="direct",ET72,0),IF(EV72="direct",FV72,0),IF(FX72="direct",GX72,0),IF(GZ72="direct",HZ72,0),IF(IB72="direct",JB72,0),IF(JD72="direct",KD72,0),IF(KF72="direct",LF72,0),IF(LH72="direct",MH72,0))</f>
        <v>0</v>
      </c>
      <c r="BH72" s="7">
        <f>SUM(IF(BP72="treasury",CP72,0),IF(CR72="treasury",DR72,0),IF(DT72="treasury",ET72,0),IF(EV72="treasury",FV72,0),IF(FX72="treasury",GX72,0),IF(GZ72="treasury",HZ72,0),IF(IB72="treasury",JB72,0),IF(JD72="treasury",KD72,0),IF(KF72="treasury",LF72,0),IF(LH72="treasury",MH72,0))</f>
        <v>0.00016986301369863014</v>
      </c>
      <c r="BI72" s="7">
        <f>SUM(IF(BP72="future",CP72,0),IF(CR72="future",DR72,0),IF(DT72="future",ET72,0),IF(EV72="future",FV72,0),IF(FX72="future",GX72,0),IF(GZ72="future",HZ72,0),IF(IB72="future",JB72,0),IF(JD72="future",KD72,0),IF(KF72="future",LF72,0),IF(LH72="future",MH72,0))</f>
        <v>-0.0011204481792715937</v>
      </c>
      <c r="BJ72" s="7">
        <f>SUM(IF(BP72="cash",CP72,0),IF(CR72="cash",DR72,0),IF(DT72="cash",ET72,0),IF(EV72="cash",FV72,0),IF(FX72="cash",GX72,0),IF(GZ72="cash",HZ72,0),IF(IB72="cash",JB72,0),IF(JD72="cash",KD72,0),IF(KF72="cash",LF72,0),IF(LH72="cash",MH72,0))</f>
        <v>0</v>
      </c>
      <c r="BK72" s="7">
        <f>SUM(BF72,BH72,BI72,BJ72)</f>
        <v>-0.0009505851655729635</v>
      </c>
      <c r="BL72" s="7">
        <f>G72-BK72</f>
        <v>0</v>
      </c>
      <c r="BM72" s="5">
        <f>MAX(ABS(CG72),ABS(DI72),ABS(EK72),ABS(FM72),ABS(GO72),ABS(HQ72),ABS(IS72),ABS(JU72),ABS(KW72),ABS(LY72))</f>
        <v>1.0240289519125589e-16</v>
      </c>
      <c r="BN72" s="9">
        <f>COUNTA(BO72,CQ72,DS72,EU72,FW72,GY72,IA72,JC72,KE72,LG72)</f>
        <v>4</v>
      </c>
      <c r="BO72" t="inlineStr">
        <is>
          <t xml:space="preserve">Treasury collateral</t>
        </is>
      </c>
      <c r="BP72" t="inlineStr">
        <is>
          <t xml:space="preserve">treasury</t>
        </is>
      </c>
      <c r="BQ72" t="inlineStr">
        <is>
          <t xml:space="preserve">lease</t>
        </is>
      </c>
      <c r="BR72" t="inlineStr">
        <is>
          <t xml:space="preserve">long</t>
        </is>
      </c>
      <c r="BS72"/>
      <c r="BT72" s="4">
        <v>101.76925971890762</v>
      </c>
      <c r="BU72" s="4">
        <v>101.78654655206536</v>
      </c>
      <c r="BV72" s="6"/>
      <c r="BW72" s="4">
        <v>0.01243673475289949</v>
      </c>
      <c r="BX72" s="5">
        <f>IF(BP72="direct",IFERROR(CD72/BU72,0),0)</f>
        <v>0</v>
      </c>
      <c r="BY72" s="5">
        <f>IF(BP72="direct",BW72-BX72,IF(BP72="cash",CI72,BW72))</f>
        <v>0.01243673475289949</v>
      </c>
      <c r="BZ72" s="6">
        <v>1</v>
      </c>
      <c r="CA72" s="4">
        <v>1.2656772891229926</v>
      </c>
      <c r="CB72" s="4">
        <v>1.2656772891229926</v>
      </c>
      <c r="CC72" s="5">
        <f>IF(BP72="direct",BW72*(BU72-BT72),CF72)</f>
        <v>0.00021499175870044637</v>
      </c>
      <c r="CD72" s="5">
        <f>IF(BP72="direct",CB72*BV72*C72/365,0)</f>
        <v>0</v>
      </c>
      <c r="CE72" s="5">
        <f>CC72-CD72</f>
        <v>0.00021499175870034397</v>
      </c>
      <c r="CF72" s="4">
        <v>0.00021499175870034397</v>
      </c>
      <c r="CG72" s="5">
        <f>CF72-CE72</f>
        <v>-1.0240289519125589e-16</v>
      </c>
      <c r="CH72" s="4">
        <v>8.955509944730267e-17</v>
      </c>
      <c r="CI72" s="4">
        <v>1.265892280881693</v>
      </c>
      <c r="CJ72" s="4">
        <v>1.807</v>
      </c>
      <c r="CK72" s="4">
        <v>1.802</v>
      </c>
      <c r="CL72" s="6"/>
      <c r="CM72" s="6"/>
      <c r="CN72" s="6"/>
      <c r="CO72" s="9">
        <v>41</v>
      </c>
      <c r="CP72" s="7">
        <f>IFERROR(CE72/F72,0)</f>
        <v>0.00016986301369863014</v>
      </c>
      <c r="CQ72" t="inlineStr">
        <is>
          <t xml:space="preserve">SI69K</t>
        </is>
      </c>
      <c r="CR72" t="inlineStr">
        <is>
          <t xml:space="preserve">future</t>
        </is>
      </c>
      <c r="CS72" t="inlineStr">
        <is>
          <t xml:space="preserve">lease</t>
        </is>
      </c>
      <c r="CT72" t="inlineStr">
        <is>
          <t xml:space="preserve">long</t>
        </is>
      </c>
      <c r="CU72" t="inlineStr">
        <is>
          <t xml:space="preserve">regular</t>
        </is>
      </c>
      <c r="CV72" s="4">
        <v>1.785</v>
      </c>
      <c r="CW72" s="4">
        <v>1.7830000000000001</v>
      </c>
      <c r="CX72" s="6"/>
      <c r="CY72" s="4">
        <v>0.7090629070717046</v>
      </c>
      <c r="CZ72" s="5">
        <f>IF(CR72="direct",IFERROR(DF72/CW72,0),0)</f>
        <v>0</v>
      </c>
      <c r="DA72" s="5">
        <f>IF(CR72="direct",CY72-CZ72,IF(CR72="cash",DK72,CY72))</f>
        <v>0.7090629070717046</v>
      </c>
      <c r="DB72" s="6">
        <v>1</v>
      </c>
      <c r="DC72" s="4">
        <v>1.2656772891229926</v>
      </c>
      <c r="DD72" s="4">
        <v>0</v>
      </c>
      <c r="DE72" s="5">
        <f>IF(CR72="direct",CY72*(CW72-CV72),DH72)</f>
        <v>-0.0014181258141432636</v>
      </c>
      <c r="DF72" s="5">
        <f>IF(CR72="direct",DD72*CX72*C72/365,0)</f>
        <v>0</v>
      </c>
      <c r="DG72" s="5">
        <f>DE72-DF72</f>
        <v>-0.0014181258141432636</v>
      </c>
      <c r="DH72" s="4">
        <v>-0.0014181258141432636</v>
      </c>
      <c r="DI72" s="5">
        <f>DH72-DG72</f>
        <v>0</v>
      </c>
      <c r="DJ72" s="4">
        <v>0.0014181258141432636</v>
      </c>
      <c r="DK72" s="4">
        <v>0</v>
      </c>
      <c r="DL72" s="4">
        <v>1.807</v>
      </c>
      <c r="DM72" s="4">
        <v>1.802</v>
      </c>
      <c r="DN72" s="6">
        <v>-0.01217487548422802</v>
      </c>
      <c r="DO72" s="6">
        <v>0.062</v>
      </c>
      <c r="DP72" s="6">
        <v>0.17038608662788357</v>
      </c>
      <c r="DQ72" s="9">
        <v>41</v>
      </c>
      <c r="DR72" s="7">
        <f>IFERROR(DG72/F72,0)</f>
        <v>-0.0011204481792715937</v>
      </c>
      <c r="DS72" t="inlineStr">
        <is>
          <t xml:space="preserve">Lease cash / margin / financing</t>
        </is>
      </c>
      <c r="DT72" t="inlineStr">
        <is>
          <t xml:space="preserve">cash</t>
        </is>
      </c>
      <c r="DU72" t="inlineStr">
        <is>
          <t xml:space="preserve">lease</t>
        </is>
      </c>
      <c r="DV72" t="inlineStr">
        <is>
          <t xml:space="preserve">cash</t>
        </is>
      </c>
      <c r="DW72"/>
      <c r="DX72" s="4">
        <v>1</v>
      </c>
      <c r="DY72" s="4">
        <v>1</v>
      </c>
      <c r="DZ72" s="6"/>
      <c r="EA72" s="4">
        <v>-2.220446049250313e-16</v>
      </c>
      <c r="EB72" s="5">
        <f>IF(DT72="direct",IFERROR(EH72/DY72,0),0)</f>
        <v>0</v>
      </c>
      <c r="EC72" s="5">
        <f>IF(DT72="direct",EA72-EB72,IF(DT72="cash",EM72,EA72))</f>
        <v>-0.0014181258141435752</v>
      </c>
      <c r="ED72" s="6"/>
      <c r="EE72" s="4">
        <v>-2.220446049250313e-16</v>
      </c>
      <c r="EF72" s="4">
        <v>-2.220446049250313e-16</v>
      </c>
      <c r="EG72" s="5">
        <f>IF(DT72="direct",EA72*(DY72-DX72),EJ72)</f>
        <v>0</v>
      </c>
      <c r="EH72" s="5">
        <f>IF(DT72="direct",EF72*DZ72*C72/365,0)</f>
        <v>0</v>
      </c>
      <c r="EI72" s="5">
        <f>EG72-EH72</f>
        <v>0</v>
      </c>
      <c r="EJ72" s="4">
        <v>0</v>
      </c>
      <c r="EK72" s="5">
        <f>EJ72-EI72</f>
        <v>0</v>
      </c>
      <c r="EL72" s="4">
        <v>-0.0014181258141433531</v>
      </c>
      <c r="EM72" s="4">
        <v>-0.0014181258141435752</v>
      </c>
      <c r="EN72" s="4">
        <v>1.807</v>
      </c>
      <c r="EO72" s="4">
        <v>1.802</v>
      </c>
      <c r="EP72" s="6"/>
      <c r="EQ72" s="6"/>
      <c r="ER72" s="6"/>
      <c r="ES72" s="9"/>
      <c r="ET72" s="7">
        <f>IFERROR(EI72/F72,0)</f>
        <v>0</v>
      </c>
      <c r="EU72" t="inlineStr">
        <is>
          <t xml:space="preserve">Keep cash / margin / financing</t>
        </is>
      </c>
      <c r="EV72" t="inlineStr">
        <is>
          <t xml:space="preserve">cash</t>
        </is>
      </c>
      <c r="EW72" t="inlineStr">
        <is>
          <t xml:space="preserve">keep</t>
        </is>
      </c>
      <c r="EX72" t="inlineStr">
        <is>
          <t xml:space="preserve">cash</t>
        </is>
      </c>
      <c r="EY72"/>
      <c r="EZ72" s="4">
        <v>1</v>
      </c>
      <c r="FA72" s="4">
        <v>1</v>
      </c>
      <c r="FB72" s="6"/>
      <c r="FC72" s="4">
        <v>0</v>
      </c>
      <c r="FD72" s="5">
        <f>IF(EV72="direct",IFERROR(FJ72/FA72,0),0)</f>
        <v>0</v>
      </c>
      <c r="FE72" s="5">
        <f>IF(EV72="direct",FC72-FD72,IF(EV72="cash",FO72,FC72))</f>
        <v>0</v>
      </c>
      <c r="FF72" s="6"/>
      <c r="FG72" s="4">
        <v>0</v>
      </c>
      <c r="FH72" s="4">
        <v>0</v>
      </c>
      <c r="FI72" s="5">
        <f>IF(EV72="direct",FC72*(FA72-EZ72),FL72)</f>
        <v>0</v>
      </c>
      <c r="FJ72" s="5">
        <f>IF(EV72="direct",FH72*FB72*C72/365,0)</f>
        <v>0</v>
      </c>
      <c r="FK72" s="5">
        <f>FI72-FJ72</f>
        <v>0</v>
      </c>
      <c r="FL72" s="4">
        <v>0</v>
      </c>
      <c r="FM72" s="5">
        <f>FL72-FK72</f>
        <v>0</v>
      </c>
      <c r="FN72" s="4">
        <v>0</v>
      </c>
      <c r="FO72" s="4">
        <v>0</v>
      </c>
      <c r="FP72" s="4">
        <v>1.807</v>
      </c>
      <c r="FQ72" s="4">
        <v>1.802</v>
      </c>
      <c r="FR72" s="6"/>
      <c r="FS72" s="6"/>
      <c r="FT72" s="6"/>
      <c r="FU72" s="9"/>
      <c r="FV72" s="7">
        <f>IFERROR(FK72/F72,0)</f>
        <v>0</v>
      </c>
      <c r="FW72"/>
      <c r="FX72"/>
      <c r="FY72"/>
      <c r="FZ72"/>
      <c r="GA72"/>
      <c r="GB72" s="4"/>
      <c r="GC72" s="4"/>
      <c r="GD72" s="6"/>
      <c r="GE72" s="4"/>
      <c r="GF72" s="5">
        <v>0</v>
      </c>
      <c r="GG72" s="5"/>
      <c r="GH72" s="6"/>
      <c r="GI72" s="4"/>
      <c r="GJ72" s="4"/>
      <c r="GK72" s="5">
        <v>0</v>
      </c>
      <c r="GL72" s="5">
        <v>0</v>
      </c>
      <c r="GM72" s="5"/>
      <c r="GN72" s="4"/>
      <c r="GO72" s="5">
        <v>0</v>
      </c>
      <c r="GP72" s="4"/>
      <c r="GQ72" s="4"/>
      <c r="GR72" s="4"/>
      <c r="GS72" s="4"/>
      <c r="GT72" s="6"/>
      <c r="GU72" s="6"/>
      <c r="GV72" s="6"/>
      <c r="GW72" s="9"/>
      <c r="GX72"/>
      <c r="GY72"/>
      <c r="GZ72"/>
      <c r="HA72"/>
      <c r="HB72"/>
      <c r="HC72"/>
      <c r="HD72" s="4"/>
      <c r="HE72" s="4"/>
      <c r="HF72" s="6"/>
      <c r="HG72" s="4"/>
      <c r="HH72" s="5">
        <v>0</v>
      </c>
      <c r="HI72" s="5"/>
      <c r="HJ72" s="6"/>
      <c r="HK72" s="4"/>
      <c r="HL72" s="4"/>
      <c r="HM72" s="5">
        <v>0</v>
      </c>
      <c r="HN72" s="5">
        <v>0</v>
      </c>
      <c r="HO72" s="5"/>
      <c r="HP72" s="4"/>
      <c r="HQ72" s="5">
        <v>0</v>
      </c>
      <c r="HR72" s="4"/>
      <c r="HS72" s="4"/>
      <c r="HT72" s="4"/>
      <c r="HU72" s="4"/>
      <c r="HV72" s="6"/>
      <c r="HW72" s="6"/>
      <c r="HX72" s="6"/>
      <c r="HY72" s="9"/>
      <c r="HZ72"/>
      <c r="IA72"/>
      <c r="IB72"/>
      <c r="IC72"/>
      <c r="ID72"/>
      <c r="IE72"/>
      <c r="IF72" s="4"/>
      <c r="IG72" s="4"/>
      <c r="IH72" s="6"/>
      <c r="II72" s="4"/>
      <c r="IJ72" s="5">
        <v>0</v>
      </c>
      <c r="IK72" s="5"/>
      <c r="IL72" s="6"/>
      <c r="IM72" s="4"/>
      <c r="IN72" s="4"/>
      <c r="IO72" s="5">
        <v>0</v>
      </c>
      <c r="IP72" s="5">
        <v>0</v>
      </c>
      <c r="IQ72" s="5"/>
      <c r="IR72" s="4"/>
      <c r="IS72" s="5">
        <v>0</v>
      </c>
      <c r="IT72" s="4"/>
      <c r="IU72" s="4"/>
      <c r="IV72" s="4"/>
      <c r="IW72" s="4"/>
      <c r="IX72" s="6"/>
      <c r="IY72" s="6"/>
      <c r="IZ72" s="6"/>
      <c r="JA72" s="9"/>
      <c r="JB72"/>
      <c r="JC72"/>
      <c r="JD72"/>
      <c r="JE72"/>
      <c r="JF72"/>
      <c r="JG72"/>
      <c r="JH72" s="4"/>
      <c r="JI72" s="4"/>
      <c r="JJ72" s="6"/>
      <c r="JK72" s="4"/>
      <c r="JL72" s="5">
        <v>0</v>
      </c>
      <c r="JM72" s="5"/>
      <c r="JN72" s="6"/>
      <c r="JO72" s="4"/>
      <c r="JP72" s="4"/>
      <c r="JQ72" s="5">
        <v>0</v>
      </c>
      <c r="JR72" s="5">
        <v>0</v>
      </c>
      <c r="JS72" s="5"/>
      <c r="JT72" s="4"/>
      <c r="JU72" s="5">
        <v>0</v>
      </c>
      <c r="JV72" s="4"/>
      <c r="JW72" s="4"/>
      <c r="JX72" s="4"/>
      <c r="JY72" s="4"/>
      <c r="JZ72" s="6"/>
      <c r="KA72" s="6"/>
      <c r="KB72" s="6"/>
      <c r="KC72" s="9"/>
      <c r="KD72"/>
      <c r="KE72"/>
      <c r="KF72"/>
      <c r="KG72"/>
      <c r="KH72"/>
      <c r="KI72"/>
      <c r="KJ72" s="4"/>
      <c r="KK72" s="4"/>
      <c r="KL72" s="6"/>
      <c r="KM72" s="4"/>
      <c r="KN72" s="5">
        <v>0</v>
      </c>
      <c r="KO72" s="5"/>
      <c r="KP72" s="6"/>
      <c r="KQ72" s="4"/>
      <c r="KR72" s="4"/>
      <c r="KS72" s="5">
        <v>0</v>
      </c>
      <c r="KT72" s="5">
        <v>0</v>
      </c>
      <c r="KU72" s="5"/>
      <c r="KV72" s="4"/>
      <c r="KW72" s="5">
        <v>0</v>
      </c>
      <c r="KX72" s="4"/>
      <c r="KY72" s="4"/>
      <c r="KZ72" s="4"/>
      <c r="LA72" s="4"/>
      <c r="LB72" s="6"/>
      <c r="LC72" s="6"/>
      <c r="LD72" s="6"/>
      <c r="LE72" s="9"/>
      <c r="LF72"/>
      <c r="LG72"/>
      <c r="LH72"/>
      <c r="LI72"/>
      <c r="LJ72"/>
      <c r="LK72"/>
      <c r="LL72" s="4"/>
      <c r="LM72" s="4"/>
      <c r="LN72" s="6"/>
      <c r="LO72" s="4"/>
      <c r="LP72" s="5">
        <v>0</v>
      </c>
      <c r="LQ72" s="5"/>
      <c r="LR72" s="6"/>
      <c r="LS72" s="4"/>
      <c r="LT72" s="4"/>
      <c r="LU72" s="5">
        <v>0</v>
      </c>
      <c r="LV72" s="5">
        <v>0</v>
      </c>
      <c r="LW72" s="5"/>
      <c r="LX72" s="4"/>
      <c r="LY72" s="5">
        <v>0</v>
      </c>
      <c r="LZ72" s="4"/>
      <c r="MA72" s="4"/>
      <c r="MB72" s="4"/>
      <c r="MC72" s="4"/>
      <c r="MD72" s="6"/>
      <c r="ME72" s="6"/>
      <c r="MF72" s="6"/>
      <c r="MG72" s="9"/>
      <c r="MH72"/>
    </row>
    <row r="73">
      <c r="A73" s="8">
        <v>25311</v>
      </c>
      <c r="B73" s="8">
        <v>25314</v>
      </c>
      <c r="C73" s="9">
        <f>B73-A73</f>
        <v>3</v>
      </c>
      <c r="D73" s="8">
        <v>25311</v>
      </c>
      <c r="E73" t="inlineStr">
        <is>
          <t xml:space="preserve">positive</t>
        </is>
      </c>
      <c r="F73" s="4">
        <v>1.2644741550675496</v>
      </c>
      <c r="G73" s="6">
        <v>-0.029216415153773552</v>
      </c>
      <c r="H73" s="7">
        <f>SUM(CP73,DR73,ET73,FV73,GX73,HZ73,JB73,KD73,LF73,MH73)</f>
        <v>-0.029216415153773552</v>
      </c>
      <c r="I73" s="7">
        <f>G73-H73</f>
        <v>0</v>
      </c>
      <c r="J73" s="5">
        <f>F73*(1+H73)</f>
        <v>1.2275307532018789</v>
      </c>
      <c r="K73" s="4">
        <v>1.2275307532018789</v>
      </c>
      <c r="L73" s="5">
        <f>K73-J73</f>
        <v>0</v>
      </c>
      <c r="M73" s="4">
        <v>1.802</v>
      </c>
      <c r="N73" s="4">
        <v>1.8</v>
      </c>
      <c r="O73" s="5">
        <f>M73/$M$3</f>
        <v>0.9203268641470889</v>
      </c>
      <c r="P73" s="5">
        <f>N73/$M$3</f>
        <v>0.9193054136874362</v>
      </c>
      <c r="Q73" s="7">
        <f>IFERROR(N73/M73-1,0)</f>
        <v>-0.0011098779134295356</v>
      </c>
      <c r="R73" s="5">
        <f>SUM(IF(BQ73="lease",CB73,0),IF(CS73="lease",DD73,0),IF(DU73="lease",EF73,0),IF(EW73="lease",FH73,0),IF(FY73="lease",GJ73,0),IF(HA73="lease",HL73,0),IF(IC73="lease",IN73,0),IF(JE73="lease",JP73,0),IF(KG73="lease",KR73,0),IF(LI73="lease",LT73,0))</f>
        <v>1.2644741550675496</v>
      </c>
      <c r="S73" s="5">
        <f>SUM(IF(BQ73="lease",CI73,0),IF(CS73="lease",DK73,0),IF(DU73="lease",EM73,0),IF(EW73="lease",FO73,0),IF(FY73="lease",GQ73,0),IF(HA73="lease",HS73,0),IF(IC73="lease",IU73,0),IF(JE73="lease",JW73,0),IF(KG73="lease",KY73,0),IF(LI73="lease",MA73,0))</f>
        <v>1.227530753201879</v>
      </c>
      <c r="T73" s="5">
        <f>SUM(IF(BQ73="keep",CB73,0),IF(CS73="keep",DD73,0),IF(DU73="keep",EF73,0),IF(EW73="keep",FH73,0),IF(FY73="keep",GJ73,0),IF(HA73="keep",HL73,0),IF(IC73="keep",IN73,0),IF(JE73="keep",JP73,0),IF(KG73="keep",KR73,0),IF(LI73="keep",LT73,0))</f>
        <v>0</v>
      </c>
      <c r="U73" s="5">
        <f>SUM(IF(BQ73="keep",CI73,0),IF(CS73="keep",DK73,0),IF(DU73="keep",EM73,0),IF(EW73="keep",FO73,0),IF(FY73="keep",GQ73,0),IF(HA73="keep",HS73,0),IF(IC73="keep",IU73,0),IF(JE73="keep",JW73,0),IF(KG73="keep",KY73,0),IF(LI73="keep",MA73,0))</f>
        <v>0</v>
      </c>
      <c r="V73" s="5">
        <f>R73/O73</f>
        <v>1.37394028613888</v>
      </c>
      <c r="W73" s="5">
        <f>S73/P73</f>
        <v>1.3352806748718218</v>
      </c>
      <c r="X73" s="5">
        <f>T73/O73</f>
        <v>0</v>
      </c>
      <c r="Y73" s="5">
        <f>U73/P73</f>
        <v>0</v>
      </c>
      <c r="Z73" s="5">
        <f>V73+X73</f>
        <v>1.37394028613888</v>
      </c>
      <c r="AA73" s="7">
        <f>IFERROR(W73/V73-1,0)</f>
        <v>-0.028137766726166524</v>
      </c>
      <c r="AB73" s="7">
        <f>IFERROR((W73-V73)/Z73,0)</f>
        <v>-0.02813776672616653</v>
      </c>
      <c r="AC73" s="7">
        <f>IFERROR(Y73/X73-1,0)</f>
        <v>0</v>
      </c>
      <c r="AD73" s="7">
        <f>IFERROR((Y73-X73)/Z73,0)</f>
        <v>0</v>
      </c>
      <c r="AE73" s="7">
        <f>AB73+AD73</f>
        <v>-0.02813776672616653</v>
      </c>
      <c r="AF73" s="7">
        <f>(1+Q73)*(1+AE73)-1</f>
        <v>-0.02921641515377349</v>
      </c>
      <c r="AG73" s="7">
        <f>G73-AF73</f>
        <v>-6.245004513516506e-17</v>
      </c>
      <c r="AH73" s="5">
        <f>SUM(IF(BQ73="lease",CE73,0),IF(CS73="lease",DG73,0),IF(DU73="lease",EI73,0),IF(EW73="lease",FK73,0),IF(FY73="lease",GM73,0),IF(HA73="lease",HO73,0),IF(IC73="lease",IQ73,0),IF(JE73="lease",JS73,0),IF(KG73="lease",KU73,0),IF(LI73="lease",LW73,0))</f>
        <v>-0.036943401865670564</v>
      </c>
      <c r="AI73" s="5">
        <f>SUM(IF(BQ73="keep",CE73,0),IF(CS73="keep",DG73,0),IF(DU73="keep",EI73,0),IF(EW73="keep",FK73,0),IF(FY73="keep",GM73,0),IF(HA73="keep",HO73,0),IF(IC73="keep",IQ73,0),IF(JE73="keep",JS73,0),IF(KG73="keep",KU73,0),IF(LI73="keep",LW73,0))</f>
        <v>0</v>
      </c>
      <c r="AJ73" s="5">
        <f>SUM(IF(BQ73="lease",CH73,0),IF(CS73="lease",DJ73,0),IF(DU73="lease",EL73,0),IF(EW73="lease",FN73,0),IF(FY73="lease",GP73,0),IF(HA73="lease",HR73,0),IF(IC73="lease",IT73,0),IF(JE73="lease",JV73,0),IF(KG73="lease",KX73,0),IF(LI73="lease",LZ73,0))</f>
        <v>0</v>
      </c>
      <c r="AK73" s="5">
        <f>SUM(IF(BQ73="keep",CH73,0),IF(CS73="keep",DJ73,0),IF(DU73="keep",EL73,0),IF(EW73="keep",FN73,0),IF(FY73="keep",GP73,0),IF(HA73="keep",HR73,0),IF(IC73="keep",IT73,0),IF(JE73="keep",JV73,0),IF(KG73="keep",KX73,0),IF(LI73="keep",LZ73,0))</f>
        <v>0</v>
      </c>
      <c r="AL73" s="5">
        <f>R73-S72</f>
        <v>0</v>
      </c>
      <c r="AM73" s="5">
        <f>T73-U72</f>
        <v>0</v>
      </c>
      <c r="AN73" s="5">
        <f>AN72</f>
        <v>1</v>
      </c>
      <c r="AO73" s="5">
        <f>AO72+AH73</f>
        <v>0.22753075320187932</v>
      </c>
      <c r="AP73" s="5">
        <f>AP72+AL73</f>
        <v>-2.220446049250313e-16</v>
      </c>
      <c r="AQ73" s="5">
        <f>AN73+AO73+AP73</f>
        <v>1.227530753201879</v>
      </c>
      <c r="AR73" s="5">
        <f>S73-AQ73</f>
        <v>0</v>
      </c>
      <c r="AS73" s="5">
        <f>AS72</f>
        <v>0</v>
      </c>
      <c r="AT73" s="5">
        <f>AT72+AI73</f>
        <v>0</v>
      </c>
      <c r="AU73" s="5">
        <f>AU72+AM73</f>
        <v>0</v>
      </c>
      <c r="AV73" s="5">
        <f>AS73+AT73+AU73</f>
        <v>0</v>
      </c>
      <c r="AW73" s="5">
        <f>U73-AV73</f>
        <v>0</v>
      </c>
      <c r="AX73" s="4">
        <v>1.2644741550675496</v>
      </c>
      <c r="AY73" s="4">
        <v>1.227530753201879</v>
      </c>
      <c r="AZ73" s="5">
        <f>S73-AY73</f>
        <v>0</v>
      </c>
      <c r="BA73" s="4">
        <v>0</v>
      </c>
      <c r="BB73" s="4">
        <v>0</v>
      </c>
      <c r="BC73" s="5">
        <f>U73-BB73</f>
        <v>0</v>
      </c>
      <c r="BD73" s="7">
        <f>SUM(IF(BP73="direct",CC73/F73,0),IF(CR73="direct",DE73/F73,0),IF(DT73="direct",EG73/F73,0),IF(EV73="direct",FI73/F73,0),IF(FX73="direct",GK73/F73,0),IF(GZ73="direct",HM73/F73,0),IF(IB73="direct",IO73/F73,0),IF(JD73="direct",JQ73/F73,0),IF(KF73="direct",KS73/F73,0),IF(LH73="direct",LU73/F73,0))</f>
        <v>0</v>
      </c>
      <c r="BE73" s="7">
        <f>-SUM(IF(BP73="direct",CD73/F73,0),IF(CR73="direct",DF73/F73,0),IF(DT73="direct",EH73/F73,0),IF(EV73="direct",FJ73/F73,0),IF(FX73="direct",GL73/F73,0),IF(GZ73="direct",HN73/F73,0),IF(IB73="direct",IP73/F73,0),IF(JD73="direct",JR73/F73,0),IF(KF73="direct",KT73/F73,0),IF(LH73="direct",LV73/F73,0))</f>
        <v>0</v>
      </c>
      <c r="BF73" s="7">
        <f>BD73+BE73</f>
        <v>0</v>
      </c>
      <c r="BG73" s="7">
        <f>BF73-SUM(IF(BP73="direct",CP73,0),IF(CR73="direct",DR73,0),IF(DT73="direct",ET73,0),IF(EV73="direct",FV73,0),IF(FX73="direct",GX73,0),IF(GZ73="direct",HZ73,0),IF(IB73="direct",JB73,0),IF(JD73="direct",KD73,0),IF(KF73="direct",LF73,0),IF(LH73="direct",MH73,0))</f>
        <v>0</v>
      </c>
      <c r="BH73" s="7">
        <f>SUM(IF(BP73="treasury",CP73,0),IF(CR73="treasury",DR73,0),IF(DT73="treasury",ET73,0),IF(EV73="treasury",FV73,0),IF(FX73="treasury",GX73,0),IF(GZ73="treasury",HZ73,0),IF(IB73="treasury",JB73,0),IF(JD73="treasury",KD73,0),IF(KF73="treasury",LF73,0),IF(LH73="treasury",MH73,0))</f>
        <v>0.0005087671232876712</v>
      </c>
      <c r="BI73" s="7">
        <f>SUM(IF(BP73="future",CP73,0),IF(CR73="future",DR73,0),IF(DT73="future",ET73,0),IF(EV73="future",FV73,0),IF(FX73="future",GX73,0),IF(GZ73="future",HZ73,0),IF(IB73="future",JB73,0),IF(JD73="future",KD73,0),IF(KF73="future",LF73,0),IF(LH73="future",MH73,0))</f>
        <v>-0.029725182277061227</v>
      </c>
      <c r="BJ73" s="7">
        <f>SUM(IF(BP73="cash",CP73,0),IF(CR73="cash",DR73,0),IF(DT73="cash",ET73,0),IF(EV73="cash",FV73,0),IF(FX73="cash",GX73,0),IF(GZ73="cash",HZ73,0),IF(IB73="cash",JB73,0),IF(JD73="cash",KD73,0),IF(KF73="cash",LF73,0),IF(LH73="cash",MH73,0))</f>
        <v>0</v>
      </c>
      <c r="BK73" s="7">
        <f>SUM(BF73,BH73,BI73,BJ73)</f>
        <v>-0.029216415153773555</v>
      </c>
      <c r="BL73" s="7">
        <f>G73-BK73</f>
        <v>3.469446951953614e-18</v>
      </c>
      <c r="BM73" s="5">
        <f>MAX(ABS(CG73),ABS(DI73),ABS(EK73),ABS(FM73),ABS(GO73),ABS(HQ73),ABS(IS73),ABS(JU73),ABS(KW73),ABS(LY73))</f>
        <v>2.2367090818375956e-16</v>
      </c>
      <c r="BN73" s="9">
        <f>COUNTA(BO73,CQ73,DS73,EU73,FW73,GY73,IA73,JC73,KE73,LG73)</f>
        <v>4</v>
      </c>
      <c r="BO73" t="inlineStr">
        <is>
          <t xml:space="preserve">Treasury collateral</t>
        </is>
      </c>
      <c r="BP73" t="inlineStr">
        <is>
          <t xml:space="preserve">treasury</t>
        </is>
      </c>
      <c r="BQ73" t="inlineStr">
        <is>
          <t xml:space="preserve">lease</t>
        </is>
      </c>
      <c r="BR73" t="inlineStr">
        <is>
          <t xml:space="preserve">long</t>
        </is>
      </c>
      <c r="BS73"/>
      <c r="BT73" s="4">
        <v>101.78654655206536</v>
      </c>
      <c r="BU73" s="4">
        <v>101.83833220054406</v>
      </c>
      <c r="BV73" s="6"/>
      <c r="BW73" s="4">
        <v>0.012422802402680514</v>
      </c>
      <c r="BX73" s="5">
        <f>IF(BP73="direct",IFERROR(CD73/BU73,0),0)</f>
        <v>0</v>
      </c>
      <c r="BY73" s="5">
        <f>IF(BP73="direct",BW73-BX73,IF(BP73="cash",CI73,BW73))</f>
        <v>0.012422802402680514</v>
      </c>
      <c r="BZ73" s="6">
        <v>1</v>
      </c>
      <c r="CA73" s="4">
        <v>1.2644741550675496</v>
      </c>
      <c r="CB73" s="4">
        <v>1.2644741550675496</v>
      </c>
      <c r="CC73" s="5">
        <f>IF(BP73="direct",BW73*(BU73-BT73),CF73)</f>
        <v>0.0006433228783455496</v>
      </c>
      <c r="CD73" s="5">
        <f>IF(BP73="direct",CB73*BV73*C73/365,0)</f>
        <v>0</v>
      </c>
      <c r="CE73" s="5">
        <f>CC73-CD73</f>
        <v>0.0006433228783453259</v>
      </c>
      <c r="CF73" s="4">
        <v>0.0006433228783453259</v>
      </c>
      <c r="CG73" s="5">
        <f>CF73-CE73</f>
        <v>-2.2367090818375956e-16</v>
      </c>
      <c r="CH73" s="4">
        <v>2.387413183813081e-16</v>
      </c>
      <c r="CI73" s="4">
        <v>1.2651174779458951</v>
      </c>
      <c r="CJ73" s="4">
        <v>1.802</v>
      </c>
      <c r="CK73" s="4">
        <v>1.8</v>
      </c>
      <c r="CL73" s="6"/>
      <c r="CM73" s="6"/>
      <c r="CN73" s="6"/>
      <c r="CO73" s="9">
        <v>40</v>
      </c>
      <c r="CP73" s="7">
        <f>IFERROR(CE73/F73,0)</f>
        <v>0.0005087671232876712</v>
      </c>
      <c r="CQ73" t="inlineStr">
        <is>
          <t xml:space="preserve">SI69K</t>
        </is>
      </c>
      <c r="CR73" t="inlineStr">
        <is>
          <t xml:space="preserve">future</t>
        </is>
      </c>
      <c r="CS73" t="inlineStr">
        <is>
          <t xml:space="preserve">lease</t>
        </is>
      </c>
      <c r="CT73" t="inlineStr">
        <is>
          <t xml:space="preserve">long</t>
        </is>
      </c>
      <c r="CU73" t="inlineStr">
        <is>
          <t xml:space="preserve">regular</t>
        </is>
      </c>
      <c r="CV73" s="4">
        <v>1.7830000000000001</v>
      </c>
      <c r="CW73" s="4">
        <v>1.73</v>
      </c>
      <c r="CX73" s="6"/>
      <c r="CY73" s="4">
        <v>0.7091834857361466</v>
      </c>
      <c r="CZ73" s="5">
        <f>IF(CR73="direct",IFERROR(DF73/CW73,0),0)</f>
        <v>0</v>
      </c>
      <c r="DA73" s="5">
        <f>IF(CR73="direct",CY73-CZ73,IF(CR73="cash",DK73,CY73))</f>
        <v>0.7091834857361466</v>
      </c>
      <c r="DB73" s="6">
        <v>1</v>
      </c>
      <c r="DC73" s="4">
        <v>1.2644741550675496</v>
      </c>
      <c r="DD73" s="4">
        <v>0</v>
      </c>
      <c r="DE73" s="5">
        <f>IF(CR73="direct",CY73*(CW73-CV73),DH73)</f>
        <v>-0.03758672474401589</v>
      </c>
      <c r="DF73" s="5">
        <f>IF(CR73="direct",DD73*CX73*C73/365,0)</f>
        <v>0</v>
      </c>
      <c r="DG73" s="5">
        <f>DE73-DF73</f>
        <v>-0.03758672474401589</v>
      </c>
      <c r="DH73" s="4">
        <v>-0.03758672474401589</v>
      </c>
      <c r="DI73" s="5">
        <f>DH73-DG73</f>
        <v>0</v>
      </c>
      <c r="DJ73" s="4">
        <v>0.03758672474401589</v>
      </c>
      <c r="DK73" s="4">
        <v>0</v>
      </c>
      <c r="DL73" s="4">
        <v>1.802</v>
      </c>
      <c r="DM73" s="4">
        <v>1.8</v>
      </c>
      <c r="DN73" s="6">
        <v>-0.010543840177580366</v>
      </c>
      <c r="DO73" s="6">
        <v>0.0619</v>
      </c>
      <c r="DP73" s="6">
        <v>0.15811254162042085</v>
      </c>
      <c r="DQ73" s="9">
        <v>40</v>
      </c>
      <c r="DR73" s="7">
        <f>IFERROR(DG73/F73,0)</f>
        <v>-0.029725182277061227</v>
      </c>
      <c r="DS73" t="inlineStr">
        <is>
          <t xml:space="preserve">Lease cash / margin / financing</t>
        </is>
      </c>
      <c r="DT73" t="inlineStr">
        <is>
          <t xml:space="preserve">cash</t>
        </is>
      </c>
      <c r="DU73" t="inlineStr">
        <is>
          <t xml:space="preserve">lease</t>
        </is>
      </c>
      <c r="DV73" t="inlineStr">
        <is>
          <t xml:space="preserve">cash</t>
        </is>
      </c>
      <c r="DW73"/>
      <c r="DX73" s="4">
        <v>1</v>
      </c>
      <c r="DY73" s="4">
        <v>1</v>
      </c>
      <c r="DZ73" s="6"/>
      <c r="EA73" s="4">
        <v>0</v>
      </c>
      <c r="EB73" s="5">
        <f>IF(DT73="direct",IFERROR(EH73/DY73,0),0)</f>
        <v>0</v>
      </c>
      <c r="EC73" s="5">
        <f>IF(DT73="direct",EA73-EB73,IF(DT73="cash",EM73,EA73))</f>
        <v>-0.03758672474401613</v>
      </c>
      <c r="ED73" s="6"/>
      <c r="EE73" s="4">
        <v>0</v>
      </c>
      <c r="EF73" s="4">
        <v>0</v>
      </c>
      <c r="EG73" s="5">
        <f>IF(DT73="direct",EA73*(DY73-DX73),EJ73)</f>
        <v>0</v>
      </c>
      <c r="EH73" s="5">
        <f>IF(DT73="direct",EF73*DZ73*C73/365,0)</f>
        <v>0</v>
      </c>
      <c r="EI73" s="5">
        <f>EG73-EH73</f>
        <v>0</v>
      </c>
      <c r="EJ73" s="4">
        <v>0</v>
      </c>
      <c r="EK73" s="5">
        <f>EJ73-EI73</f>
        <v>0</v>
      </c>
      <c r="EL73" s="4">
        <v>-0.03758672474401613</v>
      </c>
      <c r="EM73" s="4">
        <v>-0.03758672474401613</v>
      </c>
      <c r="EN73" s="4">
        <v>1.802</v>
      </c>
      <c r="EO73" s="4">
        <v>1.8</v>
      </c>
      <c r="EP73" s="6"/>
      <c r="EQ73" s="6"/>
      <c r="ER73" s="6"/>
      <c r="ES73" s="9"/>
      <c r="ET73" s="7">
        <f>IFERROR(EI73/F73,0)</f>
        <v>0</v>
      </c>
      <c r="EU73" t="inlineStr">
        <is>
          <t xml:space="preserve">Keep cash / margin / financing</t>
        </is>
      </c>
      <c r="EV73" t="inlineStr">
        <is>
          <t xml:space="preserve">cash</t>
        </is>
      </c>
      <c r="EW73" t="inlineStr">
        <is>
          <t xml:space="preserve">keep</t>
        </is>
      </c>
      <c r="EX73" t="inlineStr">
        <is>
          <t xml:space="preserve">cash</t>
        </is>
      </c>
      <c r="EY73"/>
      <c r="EZ73" s="4">
        <v>1</v>
      </c>
      <c r="FA73" s="4">
        <v>1</v>
      </c>
      <c r="FB73" s="6"/>
      <c r="FC73" s="4">
        <v>0</v>
      </c>
      <c r="FD73" s="5">
        <f>IF(EV73="direct",IFERROR(FJ73/FA73,0),0)</f>
        <v>0</v>
      </c>
      <c r="FE73" s="5">
        <f>IF(EV73="direct",FC73-FD73,IF(EV73="cash",FO73,FC73))</f>
        <v>0</v>
      </c>
      <c r="FF73" s="6"/>
      <c r="FG73" s="4">
        <v>0</v>
      </c>
      <c r="FH73" s="4">
        <v>0</v>
      </c>
      <c r="FI73" s="5">
        <f>IF(EV73="direct",FC73*(FA73-EZ73),FL73)</f>
        <v>0</v>
      </c>
      <c r="FJ73" s="5">
        <f>IF(EV73="direct",FH73*FB73*C73/365,0)</f>
        <v>0</v>
      </c>
      <c r="FK73" s="5">
        <f>FI73-FJ73</f>
        <v>0</v>
      </c>
      <c r="FL73" s="4">
        <v>0</v>
      </c>
      <c r="FM73" s="5">
        <f>FL73-FK73</f>
        <v>0</v>
      </c>
      <c r="FN73" s="4">
        <v>0</v>
      </c>
      <c r="FO73" s="4">
        <v>0</v>
      </c>
      <c r="FP73" s="4">
        <v>1.802</v>
      </c>
      <c r="FQ73" s="4">
        <v>1.8</v>
      </c>
      <c r="FR73" s="6"/>
      <c r="FS73" s="6"/>
      <c r="FT73" s="6"/>
      <c r="FU73" s="9"/>
      <c r="FV73" s="7">
        <f>IFERROR(FK73/F73,0)</f>
        <v>0</v>
      </c>
      <c r="FW73"/>
      <c r="FX73"/>
      <c r="FY73"/>
      <c r="FZ73"/>
      <c r="GA73"/>
      <c r="GB73" s="4"/>
      <c r="GC73" s="4"/>
      <c r="GD73" s="6"/>
      <c r="GE73" s="4"/>
      <c r="GF73" s="5">
        <v>0</v>
      </c>
      <c r="GG73" s="5"/>
      <c r="GH73" s="6"/>
      <c r="GI73" s="4"/>
      <c r="GJ73" s="4"/>
      <c r="GK73" s="5">
        <v>0</v>
      </c>
      <c r="GL73" s="5">
        <v>0</v>
      </c>
      <c r="GM73" s="5"/>
      <c r="GN73" s="4"/>
      <c r="GO73" s="5">
        <v>0</v>
      </c>
      <c r="GP73" s="4"/>
      <c r="GQ73" s="4"/>
      <c r="GR73" s="4"/>
      <c r="GS73" s="4"/>
      <c r="GT73" s="6"/>
      <c r="GU73" s="6"/>
      <c r="GV73" s="6"/>
      <c r="GW73" s="9"/>
      <c r="GX73"/>
      <c r="GY73"/>
      <c r="GZ73"/>
      <c r="HA73"/>
      <c r="HB73"/>
      <c r="HC73"/>
      <c r="HD73" s="4"/>
      <c r="HE73" s="4"/>
      <c r="HF73" s="6"/>
      <c r="HG73" s="4"/>
      <c r="HH73" s="5">
        <v>0</v>
      </c>
      <c r="HI73" s="5"/>
      <c r="HJ73" s="6"/>
      <c r="HK73" s="4"/>
      <c r="HL73" s="4"/>
      <c r="HM73" s="5">
        <v>0</v>
      </c>
      <c r="HN73" s="5">
        <v>0</v>
      </c>
      <c r="HO73" s="5"/>
      <c r="HP73" s="4"/>
      <c r="HQ73" s="5">
        <v>0</v>
      </c>
      <c r="HR73" s="4"/>
      <c r="HS73" s="4"/>
      <c r="HT73" s="4"/>
      <c r="HU73" s="4"/>
      <c r="HV73" s="6"/>
      <c r="HW73" s="6"/>
      <c r="HX73" s="6"/>
      <c r="HY73" s="9"/>
      <c r="HZ73"/>
      <c r="IA73"/>
      <c r="IB73"/>
      <c r="IC73"/>
      <c r="ID73"/>
      <c r="IE73"/>
      <c r="IF73" s="4"/>
      <c r="IG73" s="4"/>
      <c r="IH73" s="6"/>
      <c r="II73" s="4"/>
      <c r="IJ73" s="5">
        <v>0</v>
      </c>
      <c r="IK73" s="5"/>
      <c r="IL73" s="6"/>
      <c r="IM73" s="4"/>
      <c r="IN73" s="4"/>
      <c r="IO73" s="5">
        <v>0</v>
      </c>
      <c r="IP73" s="5">
        <v>0</v>
      </c>
      <c r="IQ73" s="5"/>
      <c r="IR73" s="4"/>
      <c r="IS73" s="5">
        <v>0</v>
      </c>
      <c r="IT73" s="4"/>
      <c r="IU73" s="4"/>
      <c r="IV73" s="4"/>
      <c r="IW73" s="4"/>
      <c r="IX73" s="6"/>
      <c r="IY73" s="6"/>
      <c r="IZ73" s="6"/>
      <c r="JA73" s="9"/>
      <c r="JB73"/>
      <c r="JC73"/>
      <c r="JD73"/>
      <c r="JE73"/>
      <c r="JF73"/>
      <c r="JG73"/>
      <c r="JH73" s="4"/>
      <c r="JI73" s="4"/>
      <c r="JJ73" s="6"/>
      <c r="JK73" s="4"/>
      <c r="JL73" s="5">
        <v>0</v>
      </c>
      <c r="JM73" s="5"/>
      <c r="JN73" s="6"/>
      <c r="JO73" s="4"/>
      <c r="JP73" s="4"/>
      <c r="JQ73" s="5">
        <v>0</v>
      </c>
      <c r="JR73" s="5">
        <v>0</v>
      </c>
      <c r="JS73" s="5"/>
      <c r="JT73" s="4"/>
      <c r="JU73" s="5">
        <v>0</v>
      </c>
      <c r="JV73" s="4"/>
      <c r="JW73" s="4"/>
      <c r="JX73" s="4"/>
      <c r="JY73" s="4"/>
      <c r="JZ73" s="6"/>
      <c r="KA73" s="6"/>
      <c r="KB73" s="6"/>
      <c r="KC73" s="9"/>
      <c r="KD73"/>
      <c r="KE73"/>
      <c r="KF73"/>
      <c r="KG73"/>
      <c r="KH73"/>
      <c r="KI73"/>
      <c r="KJ73" s="4"/>
      <c r="KK73" s="4"/>
      <c r="KL73" s="6"/>
      <c r="KM73" s="4"/>
      <c r="KN73" s="5">
        <v>0</v>
      </c>
      <c r="KO73" s="5"/>
      <c r="KP73" s="6"/>
      <c r="KQ73" s="4"/>
      <c r="KR73" s="4"/>
      <c r="KS73" s="5">
        <v>0</v>
      </c>
      <c r="KT73" s="5">
        <v>0</v>
      </c>
      <c r="KU73" s="5"/>
      <c r="KV73" s="4"/>
      <c r="KW73" s="5">
        <v>0</v>
      </c>
      <c r="KX73" s="4"/>
      <c r="KY73" s="4"/>
      <c r="KZ73" s="4"/>
      <c r="LA73" s="4"/>
      <c r="LB73" s="6"/>
      <c r="LC73" s="6"/>
      <c r="LD73" s="6"/>
      <c r="LE73" s="9"/>
      <c r="LF73"/>
      <c r="LG73"/>
      <c r="LH73"/>
      <c r="LI73"/>
      <c r="LJ73"/>
      <c r="LK73"/>
      <c r="LL73" s="4"/>
      <c r="LM73" s="4"/>
      <c r="LN73" s="6"/>
      <c r="LO73" s="4"/>
      <c r="LP73" s="5">
        <v>0</v>
      </c>
      <c r="LQ73" s="5"/>
      <c r="LR73" s="6"/>
      <c r="LS73" s="4"/>
      <c r="LT73" s="4"/>
      <c r="LU73" s="5">
        <v>0</v>
      </c>
      <c r="LV73" s="5">
        <v>0</v>
      </c>
      <c r="LW73" s="5"/>
      <c r="LX73" s="4"/>
      <c r="LY73" s="5">
        <v>0</v>
      </c>
      <c r="LZ73" s="4"/>
      <c r="MA73" s="4"/>
      <c r="MB73" s="4"/>
      <c r="MC73" s="4"/>
      <c r="MD73" s="6"/>
      <c r="ME73" s="6"/>
      <c r="MF73" s="6"/>
      <c r="MG73" s="9"/>
      <c r="MH73"/>
    </row>
    <row r="74">
      <c r="A74" s="8">
        <v>25314</v>
      </c>
      <c r="B74" s="8">
        <v>25315</v>
      </c>
      <c r="C74" s="9">
        <f>B74-A74</f>
        <v>1</v>
      </c>
      <c r="D74" s="8">
        <v>25314</v>
      </c>
      <c r="E74" t="inlineStr">
        <is>
          <t xml:space="preserve">positive</t>
        </is>
      </c>
      <c r="F74" s="4">
        <v>1.2275307532018789</v>
      </c>
      <c r="G74" s="6">
        <v>0.009417596009185203</v>
      </c>
      <c r="H74" s="7">
        <f>SUM(CP74,DR74,ET74,FV74,GX74,HZ74,JB74,KD74,LF74,MH74)</f>
        <v>0.009417596009185203</v>
      </c>
      <c r="I74" s="7">
        <f>G74-H74</f>
        <v>0</v>
      </c>
      <c r="J74" s="5">
        <f>F74*(1+H74)</f>
        <v>1.2390911419243849</v>
      </c>
      <c r="K74" s="4">
        <v>1.2390911419243849</v>
      </c>
      <c r="L74" s="5">
        <f>K74-J74</f>
        <v>0</v>
      </c>
      <c r="M74" s="4">
        <v>1.8</v>
      </c>
      <c r="N74" s="4">
        <v>1.77</v>
      </c>
      <c r="O74" s="5">
        <f>M74/$M$3</f>
        <v>0.9193054136874362</v>
      </c>
      <c r="P74" s="5">
        <f>N74/$M$3</f>
        <v>0.9039836567926456</v>
      </c>
      <c r="Q74" s="7">
        <f>IFERROR(N74/M74-1,0)</f>
        <v>-0.01666666666666672</v>
      </c>
      <c r="R74" s="5">
        <f>SUM(IF(BQ74="lease",CB74,0),IF(CS74="lease",DD74,0),IF(DU74="lease",EF74,0),IF(EW74="lease",FH74,0),IF(FY74="lease",GJ74,0),IF(HA74="lease",HL74,0),IF(IC74="lease",IN74,0),IF(JE74="lease",JP74,0),IF(KG74="lease",KR74,0),IF(LI74="lease",LT74,0))</f>
        <v>1.227530753201879</v>
      </c>
      <c r="S74" s="5">
        <f>SUM(IF(BQ74="lease",CI74,0),IF(CS74="lease",DK74,0),IF(DU74="lease",EM74,0),IF(EW74="lease",FO74,0),IF(FY74="lease",GQ74,0),IF(HA74="lease",HS74,0),IF(IC74="lease",IU74,0),IF(JE74="lease",JW74,0),IF(KG74="lease",KY74,0),IF(LI74="lease",MA74,0))</f>
        <v>1.2390911419243853</v>
      </c>
      <c r="T74" s="5">
        <f>SUM(IF(BQ74="keep",CB74,0),IF(CS74="keep",DD74,0),IF(DU74="keep",EF74,0),IF(EW74="keep",FH74,0),IF(FY74="keep",GJ74,0),IF(HA74="keep",HL74,0),IF(IC74="keep",IN74,0),IF(JE74="keep",JP74,0),IF(KG74="keep",KR74,0),IF(LI74="keep",LT74,0))</f>
        <v>0</v>
      </c>
      <c r="U74" s="5">
        <f>SUM(IF(BQ74="keep",CI74,0),IF(CS74="keep",DK74,0),IF(DU74="keep",EM74,0),IF(EW74="keep",FO74,0),IF(FY74="keep",GQ74,0),IF(HA74="keep",HS74,0),IF(IC74="keep",IU74,0),IF(JE74="keep",JW74,0),IF(KG74="keep",KY74,0),IF(LI74="keep",MA74,0))</f>
        <v>0</v>
      </c>
      <c r="V74" s="5">
        <f>R74/O74</f>
        <v>1.3352806748718218</v>
      </c>
      <c r="W74" s="5">
        <f>S74/P74</f>
        <v>1.3707008225355628</v>
      </c>
      <c r="X74" s="5">
        <f>T74/O74</f>
        <v>0</v>
      </c>
      <c r="Y74" s="5">
        <f>U74/P74</f>
        <v>0</v>
      </c>
      <c r="Z74" s="5">
        <f>V74+X74</f>
        <v>1.3352806748718218</v>
      </c>
      <c r="AA74" s="7">
        <f>IFERROR(W74/V74-1,0)</f>
        <v>0.02652636882290027</v>
      </c>
      <c r="AB74" s="7">
        <f>IFERROR((W74-V74)/Z74,0)</f>
        <v>0.02652636882290019</v>
      </c>
      <c r="AC74" s="7">
        <f>IFERROR(Y74/X74-1,0)</f>
        <v>0</v>
      </c>
      <c r="AD74" s="7">
        <f>IFERROR((Y74-X74)/Z74,0)</f>
        <v>0</v>
      </c>
      <c r="AE74" s="7">
        <f>AB74+AD74</f>
        <v>0.02652636882290019</v>
      </c>
      <c r="AF74" s="7">
        <f>(1+Q74)*(1+AE74)-1</f>
        <v>0.009417596009185125</v>
      </c>
      <c r="AG74" s="7">
        <f>G74-AF74</f>
        <v>7.806255641895632e-17</v>
      </c>
      <c r="AH74" s="5">
        <f>SUM(IF(BQ74="lease",CE74,0),IF(CS74="lease",DG74,0),IF(DU74="lease",EI74,0),IF(EW74="lease",FK74,0),IF(FY74="lease",GM74,0),IF(HA74="lease",HO74,0),IF(IC74="lease",IQ74,0),IF(JE74="lease",JS74,0),IF(KG74="lease",KU74,0),IF(LI74="lease",LW74,0))</f>
        <v>0.011560388722506122</v>
      </c>
      <c r="AI74" s="5">
        <f>SUM(IF(BQ74="keep",CE74,0),IF(CS74="keep",DG74,0),IF(DU74="keep",EI74,0),IF(EW74="keep",FK74,0),IF(FY74="keep",GM74,0),IF(HA74="keep",HO74,0),IF(IC74="keep",IQ74,0),IF(JE74="keep",JS74,0),IF(KG74="keep",KU74,0),IF(LI74="keep",LW74,0))</f>
        <v>0</v>
      </c>
      <c r="AJ74" s="5">
        <f>SUM(IF(BQ74="lease",CH74,0),IF(CS74="lease",DJ74,0),IF(DU74="lease",EL74,0),IF(EW74="lease",FN74,0),IF(FY74="lease",GP74,0),IF(HA74="lease",HR74,0),IF(IC74="lease",IT74,0),IF(JE74="lease",JV74,0),IF(KG74="lease",KX74,0),IF(LI74="lease",LZ74,0))</f>
        <v>0</v>
      </c>
      <c r="AK74" s="5">
        <f>SUM(IF(BQ74="keep",CH74,0),IF(CS74="keep",DJ74,0),IF(DU74="keep",EL74,0),IF(EW74="keep",FN74,0),IF(FY74="keep",GP74,0),IF(HA74="keep",HR74,0),IF(IC74="keep",IT74,0),IF(JE74="keep",JV74,0),IF(KG74="keep",KX74,0),IF(LI74="keep",LZ74,0))</f>
        <v>0</v>
      </c>
      <c r="AL74" s="5">
        <f>R74-S73</f>
        <v>0</v>
      </c>
      <c r="AM74" s="5">
        <f>T74-U73</f>
        <v>0</v>
      </c>
      <c r="AN74" s="5">
        <f>AN73</f>
        <v>1</v>
      </c>
      <c r="AO74" s="5">
        <f>AO73+AH74</f>
        <v>0.23909114192438544</v>
      </c>
      <c r="AP74" s="5">
        <f>AP73+AL74</f>
        <v>-2.220446049250313e-16</v>
      </c>
      <c r="AQ74" s="5">
        <f>AN74+AO74+AP74</f>
        <v>1.2390911419243853</v>
      </c>
      <c r="AR74" s="5">
        <f>S74-AQ74</f>
        <v>0</v>
      </c>
      <c r="AS74" s="5">
        <f>AS73</f>
        <v>0</v>
      </c>
      <c r="AT74" s="5">
        <f>AT73+AI74</f>
        <v>0</v>
      </c>
      <c r="AU74" s="5">
        <f>AU73+AM74</f>
        <v>0</v>
      </c>
      <c r="AV74" s="5">
        <f>AS74+AT74+AU74</f>
        <v>0</v>
      </c>
      <c r="AW74" s="5">
        <f>U74-AV74</f>
        <v>0</v>
      </c>
      <c r="AX74" s="4">
        <v>1.227530753201879</v>
      </c>
      <c r="AY74" s="4">
        <v>1.2390911419243853</v>
      </c>
      <c r="AZ74" s="5">
        <f>S74-AY74</f>
        <v>0</v>
      </c>
      <c r="BA74" s="4">
        <v>0</v>
      </c>
      <c r="BB74" s="4">
        <v>0</v>
      </c>
      <c r="BC74" s="5">
        <f>U74-BB74</f>
        <v>0</v>
      </c>
      <c r="BD74" s="7">
        <f>SUM(IF(BP74="direct",CC74/F74,0),IF(CR74="direct",DE74/F74,0),IF(DT74="direct",EG74/F74,0),IF(EV74="direct",FI74/F74,0),IF(FX74="direct",GK74/F74,0),IF(GZ74="direct",HM74/F74,0),IF(IB74="direct",IO74/F74,0),IF(JD74="direct",JQ74/F74,0),IF(KF74="direct",KS74/F74,0),IF(LH74="direct",LU74/F74,0))</f>
        <v>0</v>
      </c>
      <c r="BE74" s="7">
        <f>-SUM(IF(BP74="direct",CD74/F74,0),IF(CR74="direct",DF74/F74,0),IF(DT74="direct",EH74/F74,0),IF(EV74="direct",FJ74/F74,0),IF(FX74="direct",GL74/F74,0),IF(GZ74="direct",HN74/F74,0),IF(IB74="direct",IP74/F74,0),IF(JD74="direct",JR74/F74,0),IF(KF74="direct",KT74/F74,0),IF(LH74="direct",LV74/F74,0))</f>
        <v>0</v>
      </c>
      <c r="BF74" s="7">
        <f>BD74+BE74</f>
        <v>0</v>
      </c>
      <c r="BG74" s="7">
        <f>BF74-SUM(IF(BP74="direct",CP74,0),IF(CR74="direct",DR74,0),IF(DT74="direct",ET74,0),IF(EV74="direct",FV74,0),IF(FX74="direct",GX74,0),IF(GZ74="direct",HZ74,0),IF(IB74="direct",JB74,0),IF(JD74="direct",KD74,0),IF(KF74="direct",LF74,0),IF(LH74="direct",MH74,0))</f>
        <v>0</v>
      </c>
      <c r="BH74" s="7">
        <f>SUM(IF(BP74="treasury",CP74,0),IF(CR74="treasury",DR74,0),IF(DT74="treasury",ET74,0),IF(EV74="treasury",FV74,0),IF(FX74="treasury",GX74,0),IF(GZ74="treasury",HZ74,0),IF(IB74="treasury",JB74,0),IF(JD74="treasury",KD74,0),IF(KF74="treasury",LF74,0),IF(LH74="treasury",MH74,0))</f>
        <v>0.00016904109589041096</v>
      </c>
      <c r="BI74" s="7">
        <f>SUM(IF(BP74="future",CP74,0),IF(CR74="future",DR74,0),IF(DT74="future",ET74,0),IF(EV74="future",FV74,0),IF(FX74="future",GX74,0),IF(GZ74="future",HZ74,0),IF(IB74="future",JB74,0),IF(JD74="future",KD74,0),IF(KF74="future",LF74,0),IF(LH74="future",MH74,0))</f>
        <v>0.009248554913294793</v>
      </c>
      <c r="BJ74" s="7">
        <f>SUM(IF(BP74="cash",CP74,0),IF(CR74="cash",DR74,0),IF(DT74="cash",ET74,0),IF(EV74="cash",FV74,0),IF(FX74="cash",GX74,0),IF(GZ74="cash",HZ74,0),IF(IB74="cash",JB74,0),IF(JD74="cash",KD74,0),IF(KF74="cash",LF74,0),IF(LH74="cash",MH74,0))</f>
        <v>0</v>
      </c>
      <c r="BK74" s="7">
        <f>SUM(BF74,BH74,BI74,BJ74)</f>
        <v>0.009417596009185203</v>
      </c>
      <c r="BL74" s="7">
        <f>G74-BK74</f>
        <v>0</v>
      </c>
      <c r="BM74" s="5">
        <f>MAX(ABS(CG74),ABS(DI74),ABS(EK74),ABS(FM74),ABS(GO74),ABS(HQ74),ABS(IS74),ABS(JU74),ABS(KW74),ABS(LY74))</f>
        <v>2.6885503372209296e-16</v>
      </c>
      <c r="BN74" s="9">
        <f>COUNTA(BO74,CQ74,DS74,EU74,FW74,GY74,IA74,JC74,KE74,LG74)</f>
        <v>4</v>
      </c>
      <c r="BO74" t="inlineStr">
        <is>
          <t xml:space="preserve">Treasury collateral</t>
        </is>
      </c>
      <c r="BP74" t="inlineStr">
        <is>
          <t xml:space="preserve">treasury</t>
        </is>
      </c>
      <c r="BQ74" t="inlineStr">
        <is>
          <t xml:space="preserve">lease</t>
        </is>
      </c>
      <c r="BR74" t="inlineStr">
        <is>
          <t xml:space="preserve">long</t>
        </is>
      </c>
      <c r="BS74"/>
      <c r="BT74" s="4">
        <v>101.83833220054406</v>
      </c>
      <c r="BU74" s="4">
        <v>101.85554706382287</v>
      </c>
      <c r="BV74" s="6"/>
      <c r="BW74" s="4">
        <v>0.012053720113803287</v>
      </c>
      <c r="BX74" s="5">
        <f>IF(BP74="direct",IFERROR(CD74/BU74,0),0)</f>
        <v>0</v>
      </c>
      <c r="BY74" s="5">
        <f>IF(BP74="direct",BW74-BX74,IF(BP74="cash",CI74,BW74))</f>
        <v>0.012053720113803287</v>
      </c>
      <c r="BZ74" s="6">
        <v>1</v>
      </c>
      <c r="CA74" s="4">
        <v>1.2275307532018789</v>
      </c>
      <c r="CB74" s="4">
        <v>1.2275307532018789</v>
      </c>
      <c r="CC74" s="5">
        <f>IF(BP74="direct",BW74*(BU74-BT74),CF74)</f>
        <v>0.00020750314376015834</v>
      </c>
      <c r="CD74" s="5">
        <f>IF(BP74="direct",CB74*BV74*C74/365,0)</f>
        <v>0</v>
      </c>
      <c r="CE74" s="5">
        <f>CC74-CD74</f>
        <v>0.0002075031437604272</v>
      </c>
      <c r="CF74" s="4">
        <v>0.0002075031437604272</v>
      </c>
      <c r="CG74" s="5">
        <f>CF74-CE74</f>
        <v>2.6885503372209296e-16</v>
      </c>
      <c r="CH74" s="4">
        <v>-3.7001109641499053e-16</v>
      </c>
      <c r="CI74" s="4">
        <v>1.227738256345639</v>
      </c>
      <c r="CJ74" s="4">
        <v>1.8</v>
      </c>
      <c r="CK74" s="4">
        <v>1.77</v>
      </c>
      <c r="CL74" s="6"/>
      <c r="CM74" s="6"/>
      <c r="CN74" s="6"/>
      <c r="CO74" s="9">
        <v>37</v>
      </c>
      <c r="CP74" s="7">
        <f>IFERROR(CE74/F74,0)</f>
        <v>0.00016904109589041096</v>
      </c>
      <c r="CQ74" t="inlineStr">
        <is>
          <t xml:space="preserve">SI69K</t>
        </is>
      </c>
      <c r="CR74" t="inlineStr">
        <is>
          <t xml:space="preserve">future</t>
        </is>
      </c>
      <c r="CS74" t="inlineStr">
        <is>
          <t xml:space="preserve">lease</t>
        </is>
      </c>
      <c r="CT74" t="inlineStr">
        <is>
          <t xml:space="preserve">long</t>
        </is>
      </c>
      <c r="CU74" t="inlineStr">
        <is>
          <t xml:space="preserve">regular</t>
        </is>
      </c>
      <c r="CV74" s="4">
        <v>1.73</v>
      </c>
      <c r="CW74" s="4">
        <v>1.746</v>
      </c>
      <c r="CX74" s="6"/>
      <c r="CY74" s="4">
        <v>0.7095553486716063</v>
      </c>
      <c r="CZ74" s="5">
        <f>IF(CR74="direct",IFERROR(DF74/CW74,0),0)</f>
        <v>0</v>
      </c>
      <c r="DA74" s="5">
        <f>IF(CR74="direct",CY74-CZ74,IF(CR74="cash",DK74,CY74))</f>
        <v>0.7095553486716063</v>
      </c>
      <c r="DB74" s="6">
        <v>1</v>
      </c>
      <c r="DC74" s="4">
        <v>1.2275307532018789</v>
      </c>
      <c r="DD74" s="4">
        <v>0</v>
      </c>
      <c r="DE74" s="5">
        <f>IF(CR74="direct",CY74*(CW74-CV74),DH74)</f>
        <v>0.011352885578745696</v>
      </c>
      <c r="DF74" s="5">
        <f>IF(CR74="direct",DD74*CX74*C74/365,0)</f>
        <v>0</v>
      </c>
      <c r="DG74" s="5">
        <f>DE74-DF74</f>
        <v>0.011352885578745696</v>
      </c>
      <c r="DH74" s="4">
        <v>0.011352885578745696</v>
      </c>
      <c r="DI74" s="5">
        <f>DH74-DG74</f>
        <v>0</v>
      </c>
      <c r="DJ74" s="4">
        <v>-0.011352885578745696</v>
      </c>
      <c r="DK74" s="4">
        <v>0</v>
      </c>
      <c r="DL74" s="4">
        <v>1.8</v>
      </c>
      <c r="DM74" s="4">
        <v>1.77</v>
      </c>
      <c r="DN74" s="6">
        <v>-0.03888888888888897</v>
      </c>
      <c r="DO74" s="6">
        <v>0.0617</v>
      </c>
      <c r="DP74" s="6">
        <v>0.44533363363363443</v>
      </c>
      <c r="DQ74" s="9">
        <v>37</v>
      </c>
      <c r="DR74" s="7">
        <f>IFERROR(DG74/F74,0)</f>
        <v>0.009248554913294793</v>
      </c>
      <c r="DS74" t="inlineStr">
        <is>
          <t xml:space="preserve">Lease cash / margin / financing</t>
        </is>
      </c>
      <c r="DT74" t="inlineStr">
        <is>
          <t xml:space="preserve">cash</t>
        </is>
      </c>
      <c r="DU74" t="inlineStr">
        <is>
          <t xml:space="preserve">lease</t>
        </is>
      </c>
      <c r="DV74" t="inlineStr">
        <is>
          <t xml:space="preserve">cash</t>
        </is>
      </c>
      <c r="DW74"/>
      <c r="DX74" s="4">
        <v>1</v>
      </c>
      <c r="DY74" s="4">
        <v>1</v>
      </c>
      <c r="DZ74" s="6"/>
      <c r="EA74" s="4">
        <v>2.220446049250313e-16</v>
      </c>
      <c r="EB74" s="5">
        <f>IF(DT74="direct",IFERROR(EH74/DY74,0),0)</f>
        <v>0</v>
      </c>
      <c r="EC74" s="5">
        <f>IF(DT74="direct",EA74-EB74,IF(DT74="cash",EM74,EA74))</f>
        <v>0.011352885578746287</v>
      </c>
      <c r="ED74" s="6"/>
      <c r="EE74" s="4">
        <v>2.220446049250313e-16</v>
      </c>
      <c r="EF74" s="4">
        <v>2.220446049250313e-16</v>
      </c>
      <c r="EG74" s="5">
        <f>IF(DT74="direct",EA74*(DY74-DX74),EJ74)</f>
        <v>0</v>
      </c>
      <c r="EH74" s="5">
        <f>IF(DT74="direct",EF74*DZ74*C74/365,0)</f>
        <v>0</v>
      </c>
      <c r="EI74" s="5">
        <f>EG74-EH74</f>
        <v>0</v>
      </c>
      <c r="EJ74" s="4">
        <v>0</v>
      </c>
      <c r="EK74" s="5">
        <f>EJ74-EI74</f>
        <v>0</v>
      </c>
      <c r="EL74" s="4">
        <v>0.011352885578746065</v>
      </c>
      <c r="EM74" s="4">
        <v>0.011352885578746287</v>
      </c>
      <c r="EN74" s="4">
        <v>1.8</v>
      </c>
      <c r="EO74" s="4">
        <v>1.77</v>
      </c>
      <c r="EP74" s="6"/>
      <c r="EQ74" s="6"/>
      <c r="ER74" s="6"/>
      <c r="ES74" s="9"/>
      <c r="ET74" s="7">
        <f>IFERROR(EI74/F74,0)</f>
        <v>0</v>
      </c>
      <c r="EU74" t="inlineStr">
        <is>
          <t xml:space="preserve">Keep cash / margin / financing</t>
        </is>
      </c>
      <c r="EV74" t="inlineStr">
        <is>
          <t xml:space="preserve">cash</t>
        </is>
      </c>
      <c r="EW74" t="inlineStr">
        <is>
          <t xml:space="preserve">keep</t>
        </is>
      </c>
      <c r="EX74" t="inlineStr">
        <is>
          <t xml:space="preserve">cash</t>
        </is>
      </c>
      <c r="EY74"/>
      <c r="EZ74" s="4">
        <v>1</v>
      </c>
      <c r="FA74" s="4">
        <v>1</v>
      </c>
      <c r="FB74" s="6"/>
      <c r="FC74" s="4">
        <v>0</v>
      </c>
      <c r="FD74" s="5">
        <f>IF(EV74="direct",IFERROR(FJ74/FA74,0),0)</f>
        <v>0</v>
      </c>
      <c r="FE74" s="5">
        <f>IF(EV74="direct",FC74-FD74,IF(EV74="cash",FO74,FC74))</f>
        <v>0</v>
      </c>
      <c r="FF74" s="6"/>
      <c r="FG74" s="4">
        <v>0</v>
      </c>
      <c r="FH74" s="4">
        <v>0</v>
      </c>
      <c r="FI74" s="5">
        <f>IF(EV74="direct",FC74*(FA74-EZ74),FL74)</f>
        <v>0</v>
      </c>
      <c r="FJ74" s="5">
        <f>IF(EV74="direct",FH74*FB74*C74/365,0)</f>
        <v>0</v>
      </c>
      <c r="FK74" s="5">
        <f>FI74-FJ74</f>
        <v>0</v>
      </c>
      <c r="FL74" s="4">
        <v>0</v>
      </c>
      <c r="FM74" s="5">
        <f>FL74-FK74</f>
        <v>0</v>
      </c>
      <c r="FN74" s="4">
        <v>0</v>
      </c>
      <c r="FO74" s="4">
        <v>0</v>
      </c>
      <c r="FP74" s="4">
        <v>1.8</v>
      </c>
      <c r="FQ74" s="4">
        <v>1.77</v>
      </c>
      <c r="FR74" s="6"/>
      <c r="FS74" s="6"/>
      <c r="FT74" s="6"/>
      <c r="FU74" s="9"/>
      <c r="FV74" s="7">
        <f>IFERROR(FK74/F74,0)</f>
        <v>0</v>
      </c>
      <c r="FW74"/>
      <c r="FX74"/>
      <c r="FY74"/>
      <c r="FZ74"/>
      <c r="GA74"/>
      <c r="GB74" s="4"/>
      <c r="GC74" s="4"/>
      <c r="GD74" s="6"/>
      <c r="GE74" s="4"/>
      <c r="GF74" s="5">
        <v>0</v>
      </c>
      <c r="GG74" s="5"/>
      <c r="GH74" s="6"/>
      <c r="GI74" s="4"/>
      <c r="GJ74" s="4"/>
      <c r="GK74" s="5">
        <v>0</v>
      </c>
      <c r="GL74" s="5">
        <v>0</v>
      </c>
      <c r="GM74" s="5"/>
      <c r="GN74" s="4"/>
      <c r="GO74" s="5">
        <v>0</v>
      </c>
      <c r="GP74" s="4"/>
      <c r="GQ74" s="4"/>
      <c r="GR74" s="4"/>
      <c r="GS74" s="4"/>
      <c r="GT74" s="6"/>
      <c r="GU74" s="6"/>
      <c r="GV74" s="6"/>
      <c r="GW74" s="9"/>
      <c r="GX74"/>
      <c r="GY74"/>
      <c r="GZ74"/>
      <c r="HA74"/>
      <c r="HB74"/>
      <c r="HC74"/>
      <c r="HD74" s="4"/>
      <c r="HE74" s="4"/>
      <c r="HF74" s="6"/>
      <c r="HG74" s="4"/>
      <c r="HH74" s="5">
        <v>0</v>
      </c>
      <c r="HI74" s="5"/>
      <c r="HJ74" s="6"/>
      <c r="HK74" s="4"/>
      <c r="HL74" s="4"/>
      <c r="HM74" s="5">
        <v>0</v>
      </c>
      <c r="HN74" s="5">
        <v>0</v>
      </c>
      <c r="HO74" s="5"/>
      <c r="HP74" s="4"/>
      <c r="HQ74" s="5">
        <v>0</v>
      </c>
      <c r="HR74" s="4"/>
      <c r="HS74" s="4"/>
      <c r="HT74" s="4"/>
      <c r="HU74" s="4"/>
      <c r="HV74" s="6"/>
      <c r="HW74" s="6"/>
      <c r="HX74" s="6"/>
      <c r="HY74" s="9"/>
      <c r="HZ74"/>
      <c r="IA74"/>
      <c r="IB74"/>
      <c r="IC74"/>
      <c r="ID74"/>
      <c r="IE74"/>
      <c r="IF74" s="4"/>
      <c r="IG74" s="4"/>
      <c r="IH74" s="6"/>
      <c r="II74" s="4"/>
      <c r="IJ74" s="5">
        <v>0</v>
      </c>
      <c r="IK74" s="5"/>
      <c r="IL74" s="6"/>
      <c r="IM74" s="4"/>
      <c r="IN74" s="4"/>
      <c r="IO74" s="5">
        <v>0</v>
      </c>
      <c r="IP74" s="5">
        <v>0</v>
      </c>
      <c r="IQ74" s="5"/>
      <c r="IR74" s="4"/>
      <c r="IS74" s="5">
        <v>0</v>
      </c>
      <c r="IT74" s="4"/>
      <c r="IU74" s="4"/>
      <c r="IV74" s="4"/>
      <c r="IW74" s="4"/>
      <c r="IX74" s="6"/>
      <c r="IY74" s="6"/>
      <c r="IZ74" s="6"/>
      <c r="JA74" s="9"/>
      <c r="JB74"/>
      <c r="JC74"/>
      <c r="JD74"/>
      <c r="JE74"/>
      <c r="JF74"/>
      <c r="JG74"/>
      <c r="JH74" s="4"/>
      <c r="JI74" s="4"/>
      <c r="JJ74" s="6"/>
      <c r="JK74" s="4"/>
      <c r="JL74" s="5">
        <v>0</v>
      </c>
      <c r="JM74" s="5"/>
      <c r="JN74" s="6"/>
      <c r="JO74" s="4"/>
      <c r="JP74" s="4"/>
      <c r="JQ74" s="5">
        <v>0</v>
      </c>
      <c r="JR74" s="5">
        <v>0</v>
      </c>
      <c r="JS74" s="5"/>
      <c r="JT74" s="4"/>
      <c r="JU74" s="5">
        <v>0</v>
      </c>
      <c r="JV74" s="4"/>
      <c r="JW74" s="4"/>
      <c r="JX74" s="4"/>
      <c r="JY74" s="4"/>
      <c r="JZ74" s="6"/>
      <c r="KA74" s="6"/>
      <c r="KB74" s="6"/>
      <c r="KC74" s="9"/>
      <c r="KD74"/>
      <c r="KE74"/>
      <c r="KF74"/>
      <c r="KG74"/>
      <c r="KH74"/>
      <c r="KI74"/>
      <c r="KJ74" s="4"/>
      <c r="KK74" s="4"/>
      <c r="KL74" s="6"/>
      <c r="KM74" s="4"/>
      <c r="KN74" s="5">
        <v>0</v>
      </c>
      <c r="KO74" s="5"/>
      <c r="KP74" s="6"/>
      <c r="KQ74" s="4"/>
      <c r="KR74" s="4"/>
      <c r="KS74" s="5">
        <v>0</v>
      </c>
      <c r="KT74" s="5">
        <v>0</v>
      </c>
      <c r="KU74" s="5"/>
      <c r="KV74" s="4"/>
      <c r="KW74" s="5">
        <v>0</v>
      </c>
      <c r="KX74" s="4"/>
      <c r="KY74" s="4"/>
      <c r="KZ74" s="4"/>
      <c r="LA74" s="4"/>
      <c r="LB74" s="6"/>
      <c r="LC74" s="6"/>
      <c r="LD74" s="6"/>
      <c r="LE74" s="9"/>
      <c r="LF74"/>
      <c r="LG74"/>
      <c r="LH74"/>
      <c r="LI74"/>
      <c r="LJ74"/>
      <c r="LK74"/>
      <c r="LL74" s="4"/>
      <c r="LM74" s="4"/>
      <c r="LN74" s="6"/>
      <c r="LO74" s="4"/>
      <c r="LP74" s="5">
        <v>0</v>
      </c>
      <c r="LQ74" s="5"/>
      <c r="LR74" s="6"/>
      <c r="LS74" s="4"/>
      <c r="LT74" s="4"/>
      <c r="LU74" s="5">
        <v>0</v>
      </c>
      <c r="LV74" s="5">
        <v>0</v>
      </c>
      <c r="LW74" s="5"/>
      <c r="LX74" s="4"/>
      <c r="LY74" s="5">
        <v>0</v>
      </c>
      <c r="LZ74" s="4"/>
      <c r="MA74" s="4"/>
      <c r="MB74" s="4"/>
      <c r="MC74" s="4"/>
      <c r="MD74" s="6"/>
      <c r="ME74" s="6"/>
      <c r="MF74" s="6"/>
      <c r="MG74" s="9"/>
      <c r="MH74"/>
    </row>
    <row r="75">
      <c r="A75" s="8">
        <v>25315</v>
      </c>
      <c r="B75" s="8">
        <v>25316</v>
      </c>
      <c r="C75" s="9">
        <f>B75-A75</f>
        <v>1</v>
      </c>
      <c r="D75" s="8">
        <v>25315</v>
      </c>
      <c r="E75" t="inlineStr">
        <is>
          <t xml:space="preserve">positive</t>
        </is>
      </c>
      <c r="F75" s="4">
        <v>1.2390911419243849</v>
      </c>
      <c r="G75" s="6">
        <v>0.01448748324938406</v>
      </c>
      <c r="H75" s="7">
        <f>SUM(CP75,DR75,ET75,FV75,GX75,HZ75,JB75,KD75,LF75,MH75)</f>
        <v>0.01448748324938406</v>
      </c>
      <c r="I75" s="7">
        <f>G75-H75</f>
        <v>0</v>
      </c>
      <c r="J75" s="5">
        <f>F75*(1+H75)</f>
        <v>1.2570424540874745</v>
      </c>
      <c r="K75" s="4">
        <v>1.2570424540874745</v>
      </c>
      <c r="L75" s="5">
        <f>K75-J75</f>
        <v>0</v>
      </c>
      <c r="M75" s="4">
        <v>1.77</v>
      </c>
      <c r="N75" s="4">
        <v>1.785</v>
      </c>
      <c r="O75" s="5">
        <f>M75/$M$3</f>
        <v>0.9039836567926456</v>
      </c>
      <c r="P75" s="5">
        <f>N75/$M$3</f>
        <v>0.9116445352400409</v>
      </c>
      <c r="Q75" s="7">
        <f>IFERROR(N75/M75-1,0)</f>
        <v>0.008474576271186418</v>
      </c>
      <c r="R75" s="5">
        <f>SUM(IF(BQ75="lease",CB75,0),IF(CS75="lease",DD75,0),IF(DU75="lease",EF75,0),IF(EW75="lease",FH75,0),IF(FY75="lease",GJ75,0),IF(HA75="lease",HL75,0),IF(IC75="lease",IN75,0),IF(JE75="lease",JP75,0),IF(KG75="lease",KR75,0),IF(LI75="lease",LT75,0))</f>
        <v>1.2390911419243853</v>
      </c>
      <c r="S75" s="5">
        <f>SUM(IF(BQ75="lease",CI75,0),IF(CS75="lease",DK75,0),IF(DU75="lease",EM75,0),IF(EW75="lease",FO75,0),IF(FY75="lease",GQ75,0),IF(HA75="lease",HS75,0),IF(IC75="lease",IU75,0),IF(JE75="lease",JW75,0),IF(KG75="lease",KY75,0),IF(LI75="lease",MA75,0))</f>
        <v>1.257042454087475</v>
      </c>
      <c r="T75" s="5">
        <f>SUM(IF(BQ75="keep",CB75,0),IF(CS75="keep",DD75,0),IF(DU75="keep",EF75,0),IF(EW75="keep",FH75,0),IF(FY75="keep",GJ75,0),IF(HA75="keep",HL75,0),IF(IC75="keep",IN75,0),IF(JE75="keep",JP75,0),IF(KG75="keep",KR75,0),IF(LI75="keep",LT75,0))</f>
        <v>0</v>
      </c>
      <c r="U75" s="5">
        <f>SUM(IF(BQ75="keep",CI75,0),IF(CS75="keep",DK75,0),IF(DU75="keep",EM75,0),IF(EW75="keep",FO75,0),IF(FY75="keep",GQ75,0),IF(HA75="keep",HS75,0),IF(IC75="keep",IU75,0),IF(JE75="keep",JW75,0),IF(KG75="keep",KY75,0),IF(LI75="keep",MA75,0))</f>
        <v>0</v>
      </c>
      <c r="V75" s="5">
        <f>R75/O75</f>
        <v>1.3707008225355628</v>
      </c>
      <c r="W75" s="5">
        <f>S75/P75</f>
        <v>1.3788734594416112</v>
      </c>
      <c r="X75" s="5">
        <f>T75/O75</f>
        <v>0</v>
      </c>
      <c r="Y75" s="5">
        <f>U75/P75</f>
        <v>0</v>
      </c>
      <c r="Z75" s="5">
        <f>V75+X75</f>
        <v>1.3707008225355628</v>
      </c>
      <c r="AA75" s="7">
        <f>IFERROR(W75/V75-1,0)</f>
        <v>0.0059623783481288495</v>
      </c>
      <c r="AB75" s="7">
        <f>IFERROR((W75-V75)/Z75,0)</f>
        <v>0.005962378348128827</v>
      </c>
      <c r="AC75" s="7">
        <f>IFERROR(Y75/X75-1,0)</f>
        <v>0</v>
      </c>
      <c r="AD75" s="7">
        <f>IFERROR((Y75-X75)/Z75,0)</f>
        <v>0</v>
      </c>
      <c r="AE75" s="7">
        <f>AB75+AD75</f>
        <v>0.005962378348128827</v>
      </c>
      <c r="AF75" s="7">
        <f>(1+Q75)*(1+AE75)-1</f>
        <v>0.014487483249384203</v>
      </c>
      <c r="AG75" s="7">
        <f>G75-AF75</f>
        <v>-1.43982048506075e-16</v>
      </c>
      <c r="AH75" s="5">
        <f>SUM(IF(BQ75="lease",CE75,0),IF(CS75="lease",DG75,0),IF(DU75="lease",EI75,0),IF(EW75="lease",FK75,0),IF(FY75="lease",GM75,0),IF(HA75="lease",HO75,0),IF(IC75="lease",IQ75,0),IF(JE75="lease",JS75,0),IF(KG75="lease",KU75,0),IF(LI75="lease",LW75,0))</f>
        <v>0.01795131216308969</v>
      </c>
      <c r="AI75" s="5">
        <f>SUM(IF(BQ75="keep",CE75,0),IF(CS75="keep",DG75,0),IF(DU75="keep",EI75,0),IF(EW75="keep",FK75,0),IF(FY75="keep",GM75,0),IF(HA75="keep",HO75,0),IF(IC75="keep",IQ75,0),IF(JE75="keep",JS75,0),IF(KG75="keep",KU75,0),IF(LI75="keep",LW75,0))</f>
        <v>0</v>
      </c>
      <c r="AJ75" s="5">
        <f>SUM(IF(BQ75="lease",CH75,0),IF(CS75="lease",DJ75,0),IF(DU75="lease",EL75,0),IF(EW75="lease",FN75,0),IF(FY75="lease",GP75,0),IF(HA75="lease",HR75,0),IF(IC75="lease",IT75,0),IF(JE75="lease",JV75,0),IF(KG75="lease",KX75,0),IF(LI75="lease",LZ75,0))</f>
        <v>0</v>
      </c>
      <c r="AK75" s="5">
        <f>SUM(IF(BQ75="keep",CH75,0),IF(CS75="keep",DJ75,0),IF(DU75="keep",EL75,0),IF(EW75="keep",FN75,0),IF(FY75="keep",GP75,0),IF(HA75="keep",HR75,0),IF(IC75="keep",IT75,0),IF(JE75="keep",JV75,0),IF(KG75="keep",KX75,0),IF(LI75="keep",LZ75,0))</f>
        <v>0</v>
      </c>
      <c r="AL75" s="5">
        <f>R75-S74</f>
        <v>0</v>
      </c>
      <c r="AM75" s="5">
        <f>T75-U74</f>
        <v>0</v>
      </c>
      <c r="AN75" s="5">
        <f>AN74</f>
        <v>1</v>
      </c>
      <c r="AO75" s="5">
        <f>AO74+AH75</f>
        <v>0.2570424540874751</v>
      </c>
      <c r="AP75" s="5">
        <f>AP74+AL75</f>
        <v>-2.220446049250313e-16</v>
      </c>
      <c r="AQ75" s="5">
        <f>AN75+AO75+AP75</f>
        <v>1.257042454087475</v>
      </c>
      <c r="AR75" s="5">
        <f>S75-AQ75</f>
        <v>0</v>
      </c>
      <c r="AS75" s="5">
        <f>AS74</f>
        <v>0</v>
      </c>
      <c r="AT75" s="5">
        <f>AT74+AI75</f>
        <v>0</v>
      </c>
      <c r="AU75" s="5">
        <f>AU74+AM75</f>
        <v>0</v>
      </c>
      <c r="AV75" s="5">
        <f>AS75+AT75+AU75</f>
        <v>0</v>
      </c>
      <c r="AW75" s="5">
        <f>U75-AV75</f>
        <v>0</v>
      </c>
      <c r="AX75" s="4">
        <v>1.2390911419243853</v>
      </c>
      <c r="AY75" s="4">
        <v>1.257042454087475</v>
      </c>
      <c r="AZ75" s="5">
        <f>S75-AY75</f>
        <v>0</v>
      </c>
      <c r="BA75" s="4">
        <v>0</v>
      </c>
      <c r="BB75" s="4">
        <v>0</v>
      </c>
      <c r="BC75" s="5">
        <f>U75-BB75</f>
        <v>0</v>
      </c>
      <c r="BD75" s="7">
        <f>SUM(IF(BP75="direct",CC75/F75,0),IF(CR75="direct",DE75/F75,0),IF(DT75="direct",EG75/F75,0),IF(EV75="direct",FI75/F75,0),IF(FX75="direct",GK75/F75,0),IF(GZ75="direct",HM75/F75,0),IF(IB75="direct",IO75/F75,0),IF(JD75="direct",JQ75/F75,0),IF(KF75="direct",KS75/F75,0),IF(LH75="direct",LU75/F75,0))</f>
        <v>0</v>
      </c>
      <c r="BE75" s="7">
        <f>-SUM(IF(BP75="direct",CD75/F75,0),IF(CR75="direct",DF75/F75,0),IF(DT75="direct",EH75/F75,0),IF(EV75="direct",FJ75/F75,0),IF(FX75="direct",GL75/F75,0),IF(GZ75="direct",HN75/F75,0),IF(IB75="direct",IP75/F75,0),IF(JD75="direct",JR75/F75,0),IF(KF75="direct",KT75/F75,0),IF(LH75="direct",LV75/F75,0))</f>
        <v>0</v>
      </c>
      <c r="BF75" s="7">
        <f>BD75+BE75</f>
        <v>0</v>
      </c>
      <c r="BG75" s="7">
        <f>BF75-SUM(IF(BP75="direct",CP75,0),IF(CR75="direct",DR75,0),IF(DT75="direct",ET75,0),IF(EV75="direct",FV75,0),IF(FX75="direct",GX75,0),IF(GZ75="direct",HZ75,0),IF(IB75="direct",JB75,0),IF(JD75="direct",KD75,0),IF(KF75="direct",LF75,0),IF(LH75="direct",MH75,0))</f>
        <v>0</v>
      </c>
      <c r="BH75" s="7">
        <f>SUM(IF(BP75="treasury",CP75,0),IF(CR75="treasury",DR75,0),IF(DT75="treasury",ET75,0),IF(EV75="treasury",FV75,0),IF(FX75="treasury",GX75,0),IF(GZ75="treasury",HZ75,0),IF(IB75="treasury",JB75,0),IF(JD75="treasury",KD75,0),IF(KF75="treasury",LF75,0),IF(LH75="treasury",MH75,0))</f>
        <v>0.00016904109589041096</v>
      </c>
      <c r="BI75" s="7">
        <f>SUM(IF(BP75="future",CP75,0),IF(CR75="future",DR75,0),IF(DT75="future",ET75,0),IF(EV75="future",FV75,0),IF(FX75="future",GX75,0),IF(GZ75="future",HZ75,0),IF(IB75="future",JB75,0),IF(JD75="future",KD75,0),IF(KF75="future",LF75,0),IF(LH75="future",MH75,0))</f>
        <v>0.014318442153493647</v>
      </c>
      <c r="BJ75" s="7">
        <f>SUM(IF(BP75="cash",CP75,0),IF(CR75="cash",DR75,0),IF(DT75="cash",ET75,0),IF(EV75="cash",FV75,0),IF(FX75="cash",GX75,0),IF(GZ75="cash",HZ75,0),IF(IB75="cash",JB75,0),IF(JD75="cash",KD75,0),IF(KF75="cash",LF75,0),IF(LH75="cash",MH75,0))</f>
        <v>0</v>
      </c>
      <c r="BK75" s="7">
        <f>SUM(BF75,BH75,BI75,BJ75)</f>
        <v>0.014487483249384057</v>
      </c>
      <c r="BL75" s="7">
        <f>G75-BK75</f>
        <v>1.734723475976807e-18</v>
      </c>
      <c r="BM75" s="5">
        <f>MAX(ABS(CG75),ABS(DI75),ABS(EK75),ABS(FM75),ABS(GO75),ABS(HQ75),ABS(IS75),ABS(JU75),ABS(KW75),ABS(LY75))</f>
        <v>1.8344700758454735e-16</v>
      </c>
      <c r="BN75" s="9">
        <f>COUNTA(BO75,CQ75,DS75,EU75,FW75,GY75,IA75,JC75,KE75,LG75)</f>
        <v>4</v>
      </c>
      <c r="BO75" t="inlineStr">
        <is>
          <t xml:space="preserve">Treasury collateral</t>
        </is>
      </c>
      <c r="BP75" t="inlineStr">
        <is>
          <t xml:space="preserve">treasury</t>
        </is>
      </c>
      <c r="BQ75" t="inlineStr">
        <is>
          <t xml:space="preserve">lease</t>
        </is>
      </c>
      <c r="BR75" t="inlineStr">
        <is>
          <t xml:space="preserve">long</t>
        </is>
      </c>
      <c r="BS75"/>
      <c r="BT75" s="4">
        <v>101.85554706382287</v>
      </c>
      <c r="BU75" s="4">
        <v>101.87276483712104</v>
      </c>
      <c r="BV75" s="6"/>
      <c r="BW75" s="4">
        <v>0.012165180764754698</v>
      </c>
      <c r="BX75" s="5">
        <f>IF(BP75="direct",IFERROR(CD75/BU75,0),0)</f>
        <v>0</v>
      </c>
      <c r="BY75" s="5">
        <f>IF(BP75="direct",BW75-BX75,IF(BP75="cash",CI75,BW75))</f>
        <v>0.012165180764754698</v>
      </c>
      <c r="BZ75" s="6">
        <v>1</v>
      </c>
      <c r="CA75" s="4">
        <v>1.2390911419243849</v>
      </c>
      <c r="CB75" s="4">
        <v>1.2390911419243849</v>
      </c>
      <c r="CC75" s="5">
        <f>IF(BP75="direct",BW75*(BU75-BT75),CF75)</f>
        <v>0.0002094573245388153</v>
      </c>
      <c r="CD75" s="5">
        <f>IF(BP75="direct",CB75*BV75*C75/365,0)</f>
        <v>0</v>
      </c>
      <c r="CE75" s="5">
        <f>CC75-CD75</f>
        <v>0.00020945732453899875</v>
      </c>
      <c r="CF75" s="4">
        <v>0.00020945732453899875</v>
      </c>
      <c r="CG75" s="5">
        <f>CF75-CE75</f>
        <v>1.8344700758454735e-16</v>
      </c>
      <c r="CH75" s="4">
        <v>-1.900335357823968e-16</v>
      </c>
      <c r="CI75" s="4">
        <v>1.2393005992489237</v>
      </c>
      <c r="CJ75" s="4">
        <v>1.77</v>
      </c>
      <c r="CK75" s="4">
        <v>1.785</v>
      </c>
      <c r="CL75" s="6"/>
      <c r="CM75" s="6"/>
      <c r="CN75" s="6"/>
      <c r="CO75" s="9">
        <v>36</v>
      </c>
      <c r="CP75" s="7">
        <f>IFERROR(CE75/F75,0)</f>
        <v>0.00016904109589041096</v>
      </c>
      <c r="CQ75" t="inlineStr">
        <is>
          <t xml:space="preserve">SI69K</t>
        </is>
      </c>
      <c r="CR75" t="inlineStr">
        <is>
          <t xml:space="preserve">future</t>
        </is>
      </c>
      <c r="CS75" t="inlineStr">
        <is>
          <t xml:space="preserve">lease</t>
        </is>
      </c>
      <c r="CT75" t="inlineStr">
        <is>
          <t xml:space="preserve">long</t>
        </is>
      </c>
      <c r="CU75" t="inlineStr">
        <is>
          <t xml:space="preserve">regular</t>
        </is>
      </c>
      <c r="CV75" s="4">
        <v>1.746</v>
      </c>
      <c r="CW75" s="4">
        <v>1.771</v>
      </c>
      <c r="CX75" s="6"/>
      <c r="CY75" s="4">
        <v>0.7096741935420303</v>
      </c>
      <c r="CZ75" s="5">
        <f>IF(CR75="direct",IFERROR(DF75/CW75,0),0)</f>
        <v>0</v>
      </c>
      <c r="DA75" s="5">
        <f>IF(CR75="direct",CY75-CZ75,IF(CR75="cash",DK75,CY75))</f>
        <v>0.7096741935420303</v>
      </c>
      <c r="DB75" s="6">
        <v>1</v>
      </c>
      <c r="DC75" s="4">
        <v>1.2390911419243849</v>
      </c>
      <c r="DD75" s="4">
        <v>0</v>
      </c>
      <c r="DE75" s="5">
        <f>IF(CR75="direct",CY75*(CW75-CV75),DH75)</f>
        <v>0.017741854838550692</v>
      </c>
      <c r="DF75" s="5">
        <f>IF(CR75="direct",DD75*CX75*C75/365,0)</f>
        <v>0</v>
      </c>
      <c r="DG75" s="5">
        <f>DE75-DF75</f>
        <v>0.017741854838550692</v>
      </c>
      <c r="DH75" s="4">
        <v>0.017741854838550692</v>
      </c>
      <c r="DI75" s="5">
        <f>DH75-DG75</f>
        <v>0</v>
      </c>
      <c r="DJ75" s="4">
        <v>-0.017741854838550692</v>
      </c>
      <c r="DK75" s="4">
        <v>0</v>
      </c>
      <c r="DL75" s="4">
        <v>1.77</v>
      </c>
      <c r="DM75" s="4">
        <v>1.785</v>
      </c>
      <c r="DN75" s="6">
        <v>-0.013559322033898313</v>
      </c>
      <c r="DO75" s="6">
        <v>0.0617</v>
      </c>
      <c r="DP75" s="6">
        <v>0.1991764595103579</v>
      </c>
      <c r="DQ75" s="9">
        <v>36</v>
      </c>
      <c r="DR75" s="7">
        <f>IFERROR(DG75/F75,0)</f>
        <v>0.014318442153493647</v>
      </c>
      <c r="DS75" t="inlineStr">
        <is>
          <t xml:space="preserve">Lease cash / margin / financing</t>
        </is>
      </c>
      <c r="DT75" t="inlineStr">
        <is>
          <t xml:space="preserve">cash</t>
        </is>
      </c>
      <c r="DU75" t="inlineStr">
        <is>
          <t xml:space="preserve">lease</t>
        </is>
      </c>
      <c r="DV75" t="inlineStr">
        <is>
          <t xml:space="preserve">cash</t>
        </is>
      </c>
      <c r="DW75"/>
      <c r="DX75" s="4">
        <v>1</v>
      </c>
      <c r="DY75" s="4">
        <v>1</v>
      </c>
      <c r="DZ75" s="6"/>
      <c r="EA75" s="4">
        <v>4.440892098500626e-16</v>
      </c>
      <c r="EB75" s="5">
        <f>IF(DT75="direct",IFERROR(EH75/DY75,0),0)</f>
        <v>0</v>
      </c>
      <c r="EC75" s="5">
        <f>IF(DT75="direct",EA75-EB75,IF(DT75="cash",EM75,EA75))</f>
        <v>0.017741854838551327</v>
      </c>
      <c r="ED75" s="6"/>
      <c r="EE75" s="4">
        <v>4.440892098500626e-16</v>
      </c>
      <c r="EF75" s="4">
        <v>4.440892098500626e-16</v>
      </c>
      <c r="EG75" s="5">
        <f>IF(DT75="direct",EA75*(DY75-DX75),EJ75)</f>
        <v>0</v>
      </c>
      <c r="EH75" s="5">
        <f>IF(DT75="direct",EF75*DZ75*C75/365,0)</f>
        <v>0</v>
      </c>
      <c r="EI75" s="5">
        <f>EG75-EH75</f>
        <v>0</v>
      </c>
      <c r="EJ75" s="4">
        <v>0</v>
      </c>
      <c r="EK75" s="5">
        <f>EJ75-EI75</f>
        <v>0</v>
      </c>
      <c r="EL75" s="4">
        <v>0.017741854838550883</v>
      </c>
      <c r="EM75" s="4">
        <v>0.017741854838551327</v>
      </c>
      <c r="EN75" s="4">
        <v>1.77</v>
      </c>
      <c r="EO75" s="4">
        <v>1.785</v>
      </c>
      <c r="EP75" s="6"/>
      <c r="EQ75" s="6"/>
      <c r="ER75" s="6"/>
      <c r="ES75" s="9"/>
      <c r="ET75" s="7">
        <f>IFERROR(EI75/F75,0)</f>
        <v>0</v>
      </c>
      <c r="EU75" t="inlineStr">
        <is>
          <t xml:space="preserve">Keep cash / margin / financing</t>
        </is>
      </c>
      <c r="EV75" t="inlineStr">
        <is>
          <t xml:space="preserve">cash</t>
        </is>
      </c>
      <c r="EW75" t="inlineStr">
        <is>
          <t xml:space="preserve">keep</t>
        </is>
      </c>
      <c r="EX75" t="inlineStr">
        <is>
          <t xml:space="preserve">cash</t>
        </is>
      </c>
      <c r="EY75"/>
      <c r="EZ75" s="4">
        <v>1</v>
      </c>
      <c r="FA75" s="4">
        <v>1</v>
      </c>
      <c r="FB75" s="6"/>
      <c r="FC75" s="4">
        <v>0</v>
      </c>
      <c r="FD75" s="5">
        <f>IF(EV75="direct",IFERROR(FJ75/FA75,0),0)</f>
        <v>0</v>
      </c>
      <c r="FE75" s="5">
        <f>IF(EV75="direct",FC75-FD75,IF(EV75="cash",FO75,FC75))</f>
        <v>0</v>
      </c>
      <c r="FF75" s="6"/>
      <c r="FG75" s="4">
        <v>0</v>
      </c>
      <c r="FH75" s="4">
        <v>0</v>
      </c>
      <c r="FI75" s="5">
        <f>IF(EV75="direct",FC75*(FA75-EZ75),FL75)</f>
        <v>0</v>
      </c>
      <c r="FJ75" s="5">
        <f>IF(EV75="direct",FH75*FB75*C75/365,0)</f>
        <v>0</v>
      </c>
      <c r="FK75" s="5">
        <f>FI75-FJ75</f>
        <v>0</v>
      </c>
      <c r="FL75" s="4">
        <v>0</v>
      </c>
      <c r="FM75" s="5">
        <f>FL75-FK75</f>
        <v>0</v>
      </c>
      <c r="FN75" s="4">
        <v>0</v>
      </c>
      <c r="FO75" s="4">
        <v>0</v>
      </c>
      <c r="FP75" s="4">
        <v>1.77</v>
      </c>
      <c r="FQ75" s="4">
        <v>1.785</v>
      </c>
      <c r="FR75" s="6"/>
      <c r="FS75" s="6"/>
      <c r="FT75" s="6"/>
      <c r="FU75" s="9"/>
      <c r="FV75" s="7">
        <f>IFERROR(FK75/F75,0)</f>
        <v>0</v>
      </c>
      <c r="FW75"/>
      <c r="FX75"/>
      <c r="FY75"/>
      <c r="FZ75"/>
      <c r="GA75"/>
      <c r="GB75" s="4"/>
      <c r="GC75" s="4"/>
      <c r="GD75" s="6"/>
      <c r="GE75" s="4"/>
      <c r="GF75" s="5">
        <v>0</v>
      </c>
      <c r="GG75" s="5"/>
      <c r="GH75" s="6"/>
      <c r="GI75" s="4"/>
      <c r="GJ75" s="4"/>
      <c r="GK75" s="5">
        <v>0</v>
      </c>
      <c r="GL75" s="5">
        <v>0</v>
      </c>
      <c r="GM75" s="5"/>
      <c r="GN75" s="4"/>
      <c r="GO75" s="5">
        <v>0</v>
      </c>
      <c r="GP75" s="4"/>
      <c r="GQ75" s="4"/>
      <c r="GR75" s="4"/>
      <c r="GS75" s="4"/>
      <c r="GT75" s="6"/>
      <c r="GU75" s="6"/>
      <c r="GV75" s="6"/>
      <c r="GW75" s="9"/>
      <c r="GX75"/>
      <c r="GY75"/>
      <c r="GZ75"/>
      <c r="HA75"/>
      <c r="HB75"/>
      <c r="HC75"/>
      <c r="HD75" s="4"/>
      <c r="HE75" s="4"/>
      <c r="HF75" s="6"/>
      <c r="HG75" s="4"/>
      <c r="HH75" s="5">
        <v>0</v>
      </c>
      <c r="HI75" s="5"/>
      <c r="HJ75" s="6"/>
      <c r="HK75" s="4"/>
      <c r="HL75" s="4"/>
      <c r="HM75" s="5">
        <v>0</v>
      </c>
      <c r="HN75" s="5">
        <v>0</v>
      </c>
      <c r="HO75" s="5"/>
      <c r="HP75" s="4"/>
      <c r="HQ75" s="5">
        <v>0</v>
      </c>
      <c r="HR75" s="4"/>
      <c r="HS75" s="4"/>
      <c r="HT75" s="4"/>
      <c r="HU75" s="4"/>
      <c r="HV75" s="6"/>
      <c r="HW75" s="6"/>
      <c r="HX75" s="6"/>
      <c r="HY75" s="9"/>
      <c r="HZ75"/>
      <c r="IA75"/>
      <c r="IB75"/>
      <c r="IC75"/>
      <c r="ID75"/>
      <c r="IE75"/>
      <c r="IF75" s="4"/>
      <c r="IG75" s="4"/>
      <c r="IH75" s="6"/>
      <c r="II75" s="4"/>
      <c r="IJ75" s="5">
        <v>0</v>
      </c>
      <c r="IK75" s="5"/>
      <c r="IL75" s="6"/>
      <c r="IM75" s="4"/>
      <c r="IN75" s="4"/>
      <c r="IO75" s="5">
        <v>0</v>
      </c>
      <c r="IP75" s="5">
        <v>0</v>
      </c>
      <c r="IQ75" s="5"/>
      <c r="IR75" s="4"/>
      <c r="IS75" s="5">
        <v>0</v>
      </c>
      <c r="IT75" s="4"/>
      <c r="IU75" s="4"/>
      <c r="IV75" s="4"/>
      <c r="IW75" s="4"/>
      <c r="IX75" s="6"/>
      <c r="IY75" s="6"/>
      <c r="IZ75" s="6"/>
      <c r="JA75" s="9"/>
      <c r="JB75"/>
      <c r="JC75"/>
      <c r="JD75"/>
      <c r="JE75"/>
      <c r="JF75"/>
      <c r="JG75"/>
      <c r="JH75" s="4"/>
      <c r="JI75" s="4"/>
      <c r="JJ75" s="6"/>
      <c r="JK75" s="4"/>
      <c r="JL75" s="5">
        <v>0</v>
      </c>
      <c r="JM75" s="5"/>
      <c r="JN75" s="6"/>
      <c r="JO75" s="4"/>
      <c r="JP75" s="4"/>
      <c r="JQ75" s="5">
        <v>0</v>
      </c>
      <c r="JR75" s="5">
        <v>0</v>
      </c>
      <c r="JS75" s="5"/>
      <c r="JT75" s="4"/>
      <c r="JU75" s="5">
        <v>0</v>
      </c>
      <c r="JV75" s="4"/>
      <c r="JW75" s="4"/>
      <c r="JX75" s="4"/>
      <c r="JY75" s="4"/>
      <c r="JZ75" s="6"/>
      <c r="KA75" s="6"/>
      <c r="KB75" s="6"/>
      <c r="KC75" s="9"/>
      <c r="KD75"/>
      <c r="KE75"/>
      <c r="KF75"/>
      <c r="KG75"/>
      <c r="KH75"/>
      <c r="KI75"/>
      <c r="KJ75" s="4"/>
      <c r="KK75" s="4"/>
      <c r="KL75" s="6"/>
      <c r="KM75" s="4"/>
      <c r="KN75" s="5">
        <v>0</v>
      </c>
      <c r="KO75" s="5"/>
      <c r="KP75" s="6"/>
      <c r="KQ75" s="4"/>
      <c r="KR75" s="4"/>
      <c r="KS75" s="5">
        <v>0</v>
      </c>
      <c r="KT75" s="5">
        <v>0</v>
      </c>
      <c r="KU75" s="5"/>
      <c r="KV75" s="4"/>
      <c r="KW75" s="5">
        <v>0</v>
      </c>
      <c r="KX75" s="4"/>
      <c r="KY75" s="4"/>
      <c r="KZ75" s="4"/>
      <c r="LA75" s="4"/>
      <c r="LB75" s="6"/>
      <c r="LC75" s="6"/>
      <c r="LD75" s="6"/>
      <c r="LE75" s="9"/>
      <c r="LF75"/>
      <c r="LG75"/>
      <c r="LH75"/>
      <c r="LI75"/>
      <c r="LJ75"/>
      <c r="LK75"/>
      <c r="LL75" s="4"/>
      <c r="LM75" s="4"/>
      <c r="LN75" s="6"/>
      <c r="LO75" s="4"/>
      <c r="LP75" s="5">
        <v>0</v>
      </c>
      <c r="LQ75" s="5"/>
      <c r="LR75" s="6"/>
      <c r="LS75" s="4"/>
      <c r="LT75" s="4"/>
      <c r="LU75" s="5">
        <v>0</v>
      </c>
      <c r="LV75" s="5">
        <v>0</v>
      </c>
      <c r="LW75" s="5"/>
      <c r="LX75" s="4"/>
      <c r="LY75" s="5">
        <v>0</v>
      </c>
      <c r="LZ75" s="4"/>
      <c r="MA75" s="4"/>
      <c r="MB75" s="4"/>
      <c r="MC75" s="4"/>
      <c r="MD75" s="6"/>
      <c r="ME75" s="6"/>
      <c r="MF75" s="6"/>
      <c r="MG75" s="9"/>
      <c r="MH75"/>
    </row>
    <row r="76">
      <c r="A76" s="8">
        <v>25316</v>
      </c>
      <c r="B76" s="8">
        <v>25317</v>
      </c>
      <c r="C76" s="9">
        <f>B76-A76</f>
        <v>1</v>
      </c>
      <c r="D76" s="8">
        <v>25316</v>
      </c>
      <c r="E76" t="inlineStr">
        <is>
          <t xml:space="preserve">positive</t>
        </is>
      </c>
      <c r="F76" s="4">
        <v>1.2570424540874745</v>
      </c>
      <c r="G76" s="6">
        <v>-0.002900418529278196</v>
      </c>
      <c r="H76" s="7">
        <f>SUM(CP76,DR76,ET76,FV76,GX76,HZ76,JB76,KD76,LF76,MH76)</f>
        <v>-0.0029004185292781965</v>
      </c>
      <c r="I76" s="7">
        <f>G76-H76</f>
        <v>4.336808689942018e-19</v>
      </c>
      <c r="J76" s="5">
        <f>F76*(1+H76)</f>
        <v>1.2533965048615499</v>
      </c>
      <c r="K76" s="4">
        <v>1.2533965048615499</v>
      </c>
      <c r="L76" s="5">
        <f>K76-J76</f>
        <v>0</v>
      </c>
      <c r="M76" s="4">
        <v>1.785</v>
      </c>
      <c r="N76" s="4">
        <v>1.792</v>
      </c>
      <c r="O76" s="5">
        <f>M76/$M$3</f>
        <v>0.9116445352400409</v>
      </c>
      <c r="P76" s="5">
        <f>N76/$M$3</f>
        <v>0.9152196118488254</v>
      </c>
      <c r="Q76" s="7">
        <f>IFERROR(N76/M76-1,0)</f>
        <v>0.0039215686274509665</v>
      </c>
      <c r="R76" s="5">
        <f>SUM(IF(BQ76="lease",CB76,0),IF(CS76="lease",DD76,0),IF(DU76="lease",EF76,0),IF(EW76="lease",FH76,0),IF(FY76="lease",GJ76,0),IF(HA76="lease",HL76,0),IF(IC76="lease",IN76,0),IF(JE76="lease",JP76,0),IF(KG76="lease",KR76,0),IF(LI76="lease",LT76,0))</f>
        <v>1.257042454087475</v>
      </c>
      <c r="S76" s="5">
        <f>SUM(IF(BQ76="lease",CI76,0),IF(CS76="lease",DK76,0),IF(DU76="lease",EM76,0),IF(EW76="lease",FO76,0),IF(FY76="lease",GQ76,0),IF(HA76="lease",HS76,0),IF(IC76="lease",IU76,0),IF(JE76="lease",JW76,0),IF(KG76="lease",KY76,0),IF(LI76="lease",MA76,0))</f>
        <v>1.2533965048615505</v>
      </c>
      <c r="T76" s="5">
        <f>SUM(IF(BQ76="keep",CB76,0),IF(CS76="keep",DD76,0),IF(DU76="keep",EF76,0),IF(EW76="keep",FH76,0),IF(FY76="keep",GJ76,0),IF(HA76="keep",HL76,0),IF(IC76="keep",IN76,0),IF(JE76="keep",JP76,0),IF(KG76="keep",KR76,0),IF(LI76="keep",LT76,0))</f>
        <v>0</v>
      </c>
      <c r="U76" s="5">
        <f>SUM(IF(BQ76="keep",CI76,0),IF(CS76="keep",DK76,0),IF(DU76="keep",EM76,0),IF(EW76="keep",FO76,0),IF(FY76="keep",GQ76,0),IF(HA76="keep",HS76,0),IF(IC76="keep",IU76,0),IF(JE76="keep",JW76,0),IF(KG76="keep",KY76,0),IF(LI76="keep",MA76,0))</f>
        <v>0</v>
      </c>
      <c r="V76" s="5">
        <f>R76/O76</f>
        <v>1.3788734594416112</v>
      </c>
      <c r="W76" s="5">
        <f>S76/P76</f>
        <v>1.3695035471645736</v>
      </c>
      <c r="X76" s="5">
        <f>T76/O76</f>
        <v>0</v>
      </c>
      <c r="Y76" s="5">
        <f>U76/P76</f>
        <v>0</v>
      </c>
      <c r="Z76" s="5">
        <f>V76+X76</f>
        <v>1.3788734594416112</v>
      </c>
      <c r="AA76" s="7">
        <f>IFERROR(W76/V76-1,0)</f>
        <v>-0.006795338769398085</v>
      </c>
      <c r="AB76" s="7">
        <f>IFERROR((W76-V76)/Z76,0)</f>
        <v>-0.006795338769398094</v>
      </c>
      <c r="AC76" s="7">
        <f>IFERROR(Y76/X76-1,0)</f>
        <v>0</v>
      </c>
      <c r="AD76" s="7">
        <f>IFERROR((Y76-X76)/Z76,0)</f>
        <v>0</v>
      </c>
      <c r="AE76" s="7">
        <f>AB76+AD76</f>
        <v>-0.006795338769398094</v>
      </c>
      <c r="AF76" s="7">
        <f>(1+Q76)*(1+AE76)-1</f>
        <v>-0.002900418529278137</v>
      </c>
      <c r="AG76" s="7">
        <f>G76-AF76</f>
        <v>-5.898059818321144e-17</v>
      </c>
      <c r="AH76" s="5">
        <f>SUM(IF(BQ76="lease",CE76,0),IF(CS76="lease",DG76,0),IF(DU76="lease",EI76,0),IF(EW76="lease",FK76,0),IF(FY76="lease",GM76,0),IF(HA76="lease",HO76,0),IF(IC76="lease",IQ76,0),IF(JE76="lease",JS76,0),IF(KG76="lease",KU76,0),IF(LI76="lease",LW76,0))</f>
        <v>-0.0036459492259246474</v>
      </c>
      <c r="AI76" s="5">
        <f>SUM(IF(BQ76="keep",CE76,0),IF(CS76="keep",DG76,0),IF(DU76="keep",EI76,0),IF(EW76="keep",FK76,0),IF(FY76="keep",GM76,0),IF(HA76="keep",HO76,0),IF(IC76="keep",IQ76,0),IF(JE76="keep",JS76,0),IF(KG76="keep",KU76,0),IF(LI76="keep",LW76,0))</f>
        <v>0</v>
      </c>
      <c r="AJ76" s="5">
        <f>SUM(IF(BQ76="lease",CH76,0),IF(CS76="lease",DJ76,0),IF(DU76="lease",EL76,0),IF(EW76="lease",FN76,0),IF(FY76="lease",GP76,0),IF(HA76="lease",HR76,0),IF(IC76="lease",IT76,0),IF(JE76="lease",JV76,0),IF(KG76="lease",KX76,0),IF(LI76="lease",LZ76,0))</f>
        <v>0</v>
      </c>
      <c r="AK76" s="5">
        <f>SUM(IF(BQ76="keep",CH76,0),IF(CS76="keep",DJ76,0),IF(DU76="keep",EL76,0),IF(EW76="keep",FN76,0),IF(FY76="keep",GP76,0),IF(HA76="keep",HR76,0),IF(IC76="keep",IT76,0),IF(JE76="keep",JV76,0),IF(KG76="keep",KX76,0),IF(LI76="keep",LZ76,0))</f>
        <v>0</v>
      </c>
      <c r="AL76" s="5">
        <f>R76-S75</f>
        <v>0</v>
      </c>
      <c r="AM76" s="5">
        <f>T76-U75</f>
        <v>0</v>
      </c>
      <c r="AN76" s="5">
        <f>AN75</f>
        <v>1</v>
      </c>
      <c r="AO76" s="5">
        <f>AO75+AH76</f>
        <v>0.25339650486155046</v>
      </c>
      <c r="AP76" s="5">
        <f>AP75+AL76</f>
        <v>-2.220446049250313e-16</v>
      </c>
      <c r="AQ76" s="5">
        <f>AN76+AO76+AP76</f>
        <v>1.2533965048615503</v>
      </c>
      <c r="AR76" s="5">
        <f>S76-AQ76</f>
        <v>2.220446049250313e-16</v>
      </c>
      <c r="AS76" s="5">
        <f>AS75</f>
        <v>0</v>
      </c>
      <c r="AT76" s="5">
        <f>AT75+AI76</f>
        <v>0</v>
      </c>
      <c r="AU76" s="5">
        <f>AU75+AM76</f>
        <v>0</v>
      </c>
      <c r="AV76" s="5">
        <f>AS76+AT76+AU76</f>
        <v>0</v>
      </c>
      <c r="AW76" s="5">
        <f>U76-AV76</f>
        <v>0</v>
      </c>
      <c r="AX76" s="4">
        <v>1.257042454087475</v>
      </c>
      <c r="AY76" s="4">
        <v>1.2533965048615503</v>
      </c>
      <c r="AZ76" s="5">
        <f>S76-AY76</f>
        <v>2.220446049250313e-16</v>
      </c>
      <c r="BA76" s="4">
        <v>0</v>
      </c>
      <c r="BB76" s="4">
        <v>0</v>
      </c>
      <c r="BC76" s="5">
        <f>U76-BB76</f>
        <v>0</v>
      </c>
      <c r="BD76" s="7">
        <f>SUM(IF(BP76="direct",CC76/F76,0),IF(CR76="direct",DE76/F76,0),IF(DT76="direct",EG76/F76,0),IF(EV76="direct",FI76/F76,0),IF(FX76="direct",GK76/F76,0),IF(GZ76="direct",HM76/F76,0),IF(IB76="direct",IO76/F76,0),IF(JD76="direct",JQ76/F76,0),IF(KF76="direct",KS76/F76,0),IF(LH76="direct",LU76/F76,0))</f>
        <v>0.0001753538016513899</v>
      </c>
      <c r="BE76" s="7">
        <f>-SUM(IF(BP76="direct",CD76/F76,0),IF(CR76="direct",DF76/F76,0),IF(DT76="direct",EH76/F76,0),IF(EV76="direct",FJ76/F76,0),IF(FX76="direct",GL76/F76,0),IF(GZ76="direct",HN76/F76,0),IF(IB76="direct",IP76/F76,0),IF(JD76="direct",JR76/F76,0),IF(KF76="direct",KT76/F76,0),IF(LH76="direct",LV76/F76,0))</f>
        <v>-3.06268626171943e-7</v>
      </c>
      <c r="BF76" s="7">
        <f>BD76+BE76</f>
        <v>0.00017504753302521796</v>
      </c>
      <c r="BG76" s="7">
        <f>BF76-SUM(IF(BP76="direct",CP76,0),IF(CR76="direct",DR76,0),IF(DT76="direct",ET76,0),IF(EV76="direct",FV76,0),IF(FX76="direct",GX76,0),IF(GZ76="direct",HZ76,0),IF(IB76="direct",JB76,0),IF(JD76="direct",KD76,0),IF(KF76="direct",LF76,0),IF(LH76="direct",MH76,0))</f>
        <v>3.5236570605778894e-18</v>
      </c>
      <c r="BH76" s="7">
        <f>SUM(IF(BP76="treasury",CP76,0),IF(CR76="treasury",DR76,0),IF(DT76="treasury",ET76,0),IF(EV76="treasury",FV76,0),IF(FX76="treasury",GX76,0),IF(GZ76="treasury",HZ76,0),IF(IB76="treasury",JB76,0),IF(JD76="treasury",KD76,0),IF(KF76="treasury",LF76,0),IF(LH76="treasury",MH76,0))</f>
        <v>0.00016095894248110173</v>
      </c>
      <c r="BI76" s="7">
        <f>SUM(IF(BP76="future",CP76,0),IF(CR76="future",DR76,0),IF(DT76="future",ET76,0),IF(EV76="future",FV76,0),IF(FX76="future",GX76,0),IF(GZ76="future",HZ76,0),IF(IB76="future",JB76,0),IF(JD76="future",KD76,0),IF(KF76="future",LF76,0),IF(LH76="future",MH76,0))</f>
        <v>-0.0032364250047845124</v>
      </c>
      <c r="BJ76" s="7">
        <f>SUM(IF(BP76="cash",CP76,0),IF(CR76="cash",DR76,0),IF(DT76="cash",ET76,0),IF(EV76="cash",FV76,0),IF(FX76="cash",GX76,0),IF(GZ76="cash",HZ76,0),IF(IB76="cash",JB76,0),IF(JD76="cash",KD76,0),IF(KF76="cash",LF76,0),IF(LH76="cash",MH76,0))</f>
        <v>0</v>
      </c>
      <c r="BK76" s="7">
        <f>SUM(BF76,BH76,BI76,BJ76)</f>
        <v>-0.002900418529278196</v>
      </c>
      <c r="BL76" s="7">
        <f>G76-BK76</f>
        <v>0</v>
      </c>
      <c r="BM76" s="5">
        <f>MAX(ABS(CG76),ABS(DI76),ABS(EK76),ABS(FM76),ABS(GO76),ABS(HQ76),ABS(IS76),ABS(JU76),ABS(KW76),ABS(LY76))</f>
        <v>4.441681956723941e-18</v>
      </c>
      <c r="BN76" s="9">
        <f>COUNTA(BO76,CQ76,DS76,EU76,FW76,GY76,IA76,JC76,KE76,LG76)</f>
        <v>5</v>
      </c>
      <c r="BO76" t="inlineStr">
        <is>
          <t xml:space="preserve">Direct commodity holding</t>
        </is>
      </c>
      <c r="BP76" t="inlineStr">
        <is>
          <t xml:space="preserve">direct</t>
        </is>
      </c>
      <c r="BQ76" t="inlineStr">
        <is>
          <t xml:space="preserve">lease</t>
        </is>
      </c>
      <c r="BR76" t="inlineStr">
        <is>
          <t xml:space="preserve">long</t>
        </is>
      </c>
      <c r="BS76"/>
      <c r="BT76" s="4">
        <v>1.785</v>
      </c>
      <c r="BU76" s="4">
        <v>1.792</v>
      </c>
      <c r="BV76" s="6">
        <v>0.0025</v>
      </c>
      <c r="BW76" s="4">
        <v>0.031489596165918246</v>
      </c>
      <c r="BX76" s="5">
        <f>IF(BP76="direct",IFERROR(CD76/BU76,0),0)</f>
        <v>2.1483965706092553e-7</v>
      </c>
      <c r="BY76" s="5">
        <f>IF(BP76="direct",BW76-BX76,IF(BP76="cash",CI76,BW76))</f>
        <v>0.03148938132626119</v>
      </c>
      <c r="BZ76" s="6">
        <v>0.04471521942110367</v>
      </c>
      <c r="CA76" s="4">
        <v>0.05620892915616407</v>
      </c>
      <c r="CB76" s="4">
        <v>0.05620892915616407</v>
      </c>
      <c r="CC76" s="5">
        <f>IF(BP76="direct",BW76*(BU76-BT76),CF76)</f>
        <v>0.0002204271731614314</v>
      </c>
      <c r="CD76" s="5">
        <f>IF(BP76="direct",CB76*BV76*C76/365,0)</f>
        <v>3.8499266545317855e-7</v>
      </c>
      <c r="CE76" s="5">
        <f>CC76-CD76</f>
        <v>0.0002200421804959738</v>
      </c>
      <c r="CF76" s="4">
        <v>0.0002200421804959738</v>
      </c>
      <c r="CG76" s="5">
        <f>CF76-CE76</f>
        <v>-4.441681956723941e-18</v>
      </c>
      <c r="CH76" s="4">
        <v>0</v>
      </c>
      <c r="CI76" s="4">
        <v>0.05642897133666005</v>
      </c>
      <c r="CJ76" s="4">
        <v>1.785</v>
      </c>
      <c r="CK76" s="4">
        <v>1.792</v>
      </c>
      <c r="CL76" s="6"/>
      <c r="CM76" s="6"/>
      <c r="CN76" s="6"/>
      <c r="CO76" s="9"/>
      <c r="CP76" s="7">
        <f>IFERROR(CE76/F76,0)</f>
        <v>0.00017504753302521444</v>
      </c>
      <c r="CQ76" t="inlineStr">
        <is>
          <t xml:space="preserve">Treasury collateral</t>
        </is>
      </c>
      <c r="CR76" t="inlineStr">
        <is>
          <t xml:space="preserve">treasury</t>
        </is>
      </c>
      <c r="CS76" t="inlineStr">
        <is>
          <t xml:space="preserve">lease</t>
        </is>
      </c>
      <c r="CT76" t="inlineStr">
        <is>
          <t xml:space="preserve">long</t>
        </is>
      </c>
      <c r="CU76"/>
      <c r="CV76" s="4">
        <v>101.87276483712104</v>
      </c>
      <c r="CW76" s="4">
        <v>101.88992970023743</v>
      </c>
      <c r="CX76" s="6"/>
      <c r="CY76" s="4">
        <v>0.0117875815665871</v>
      </c>
      <c r="CZ76" s="5">
        <f>IF(CR76="direct",IFERROR(DF76/CW76,0),0)</f>
        <v>0</v>
      </c>
      <c r="DA76" s="5">
        <f>IF(CR76="direct",CY76-CZ76,IF(CR76="cash",DK76,CY76))</f>
        <v>0.0117875815665871</v>
      </c>
      <c r="DB76" s="6">
        <v>0.9552847805788963</v>
      </c>
      <c r="DC76" s="4">
        <v>1.2008335249313105</v>
      </c>
      <c r="DD76" s="4">
        <v>1.2008335249313105</v>
      </c>
      <c r="DE76" s="5">
        <f>IF(CR76="direct",CY76*(CW76-CV76),DH76)</f>
        <v>0.00020233222406377163</v>
      </c>
      <c r="DF76" s="5">
        <f>IF(CR76="direct",DD76*CX76*C76/365,0)</f>
        <v>0</v>
      </c>
      <c r="DG76" s="5">
        <f>DE76-DF76</f>
        <v>0.00020233222406376876</v>
      </c>
      <c r="DH76" s="4">
        <v>0.00020233222406376876</v>
      </c>
      <c r="DI76" s="5">
        <f>DH76-DG76</f>
        <v>-2.8731357570865868e-18</v>
      </c>
      <c r="DJ76" s="4">
        <v>8.155910842522207e-17</v>
      </c>
      <c r="DK76" s="4">
        <v>1.2010358571553743</v>
      </c>
      <c r="DL76" s="4">
        <v>1.785</v>
      </c>
      <c r="DM76" s="4">
        <v>1.792</v>
      </c>
      <c r="DN76" s="6"/>
      <c r="DO76" s="6"/>
      <c r="DP76" s="6"/>
      <c r="DQ76" s="9">
        <v>35</v>
      </c>
      <c r="DR76" s="7">
        <f>IFERROR(DG76/F76,0)</f>
        <v>0.00016095894248110173</v>
      </c>
      <c r="DS76" t="inlineStr">
        <is>
          <t xml:space="preserve">SI69K</t>
        </is>
      </c>
      <c r="DT76" t="inlineStr">
        <is>
          <t xml:space="preserve">future</t>
        </is>
      </c>
      <c r="DU76" t="inlineStr">
        <is>
          <t xml:space="preserve">lease</t>
        </is>
      </c>
      <c r="DV76" t="inlineStr">
        <is>
          <t xml:space="preserve">long</t>
        </is>
      </c>
      <c r="DW76" t="inlineStr">
        <is>
          <t xml:space="preserve">regular</t>
        </is>
      </c>
      <c r="DX76" s="4">
        <v>1.771</v>
      </c>
      <c r="DY76" s="4">
        <v>1.765</v>
      </c>
      <c r="DZ76" s="6"/>
      <c r="EA76" s="4">
        <v>0.6780539384140658</v>
      </c>
      <c r="EB76" s="5">
        <f>IF(DT76="direct",IFERROR(EH76/DY76,0),0)</f>
        <v>0</v>
      </c>
      <c r="EC76" s="5">
        <f>IF(DT76="direct",EA76-EB76,IF(DT76="cash",EM76,EA76))</f>
        <v>0.6780539384140658</v>
      </c>
      <c r="ED76" s="6">
        <v>0.9552847805788963</v>
      </c>
      <c r="EE76" s="4">
        <v>1.2008335249313105</v>
      </c>
      <c r="EF76" s="4">
        <v>0</v>
      </c>
      <c r="EG76" s="5">
        <f>IF(DT76="direct",EA76*(DY76-DX76),EJ76)</f>
        <v>-0.00406832363048439</v>
      </c>
      <c r="EH76" s="5">
        <f>IF(DT76="direct",EF76*DZ76*C76/365,0)</f>
        <v>0</v>
      </c>
      <c r="EI76" s="5">
        <f>EG76-EH76</f>
        <v>-0.00406832363048439</v>
      </c>
      <c r="EJ76" s="4">
        <v>-0.00406832363048439</v>
      </c>
      <c r="EK76" s="5">
        <f>EJ76-EI76</f>
        <v>0</v>
      </c>
      <c r="EL76" s="4">
        <v>0.00406832363048439</v>
      </c>
      <c r="EM76" s="4">
        <v>0</v>
      </c>
      <c r="EN76" s="4">
        <v>1.785</v>
      </c>
      <c r="EO76" s="4">
        <v>1.792</v>
      </c>
      <c r="EP76" s="6">
        <v>-0.007843137254901933</v>
      </c>
      <c r="EQ76" s="6">
        <v>0.061500000000000006</v>
      </c>
      <c r="ER76" s="6">
        <v>0.14329271708683444</v>
      </c>
      <c r="ES76" s="9">
        <v>35</v>
      </c>
      <c r="ET76" s="7">
        <f>IFERROR(EI76/F76,0)</f>
        <v>-0.0032364250047845124</v>
      </c>
      <c r="EU76" t="inlineStr">
        <is>
          <t xml:space="preserve">Lease cash / margin / financing</t>
        </is>
      </c>
      <c r="EV76" t="inlineStr">
        <is>
          <t xml:space="preserve">cash</t>
        </is>
      </c>
      <c r="EW76" t="inlineStr">
        <is>
          <t xml:space="preserve">lease</t>
        </is>
      </c>
      <c r="EX76" t="inlineStr">
        <is>
          <t xml:space="preserve">cash</t>
        </is>
      </c>
      <c r="EY76"/>
      <c r="EZ76" s="4">
        <v>1</v>
      </c>
      <c r="FA76" s="4">
        <v>1</v>
      </c>
      <c r="FB76" s="6"/>
      <c r="FC76" s="4">
        <v>4.440892098500626e-16</v>
      </c>
      <c r="FD76" s="5">
        <f>IF(EV76="direct",IFERROR(FJ76/FA76,0),0)</f>
        <v>0</v>
      </c>
      <c r="FE76" s="5">
        <f>IF(EV76="direct",FC76-FD76,IF(EV76="cash",FO76,FC76))</f>
        <v>-0.004068323630484027</v>
      </c>
      <c r="FF76" s="6"/>
      <c r="FG76" s="4">
        <v>4.440892098500626e-16</v>
      </c>
      <c r="FH76" s="4">
        <v>4.440892098500626e-16</v>
      </c>
      <c r="FI76" s="5">
        <f>IF(EV76="direct",FC76*(FA76-EZ76),FL76)</f>
        <v>0</v>
      </c>
      <c r="FJ76" s="5">
        <f>IF(EV76="direct",FH76*FB76*C76/365,0)</f>
        <v>0</v>
      </c>
      <c r="FK76" s="5">
        <f>FI76-FJ76</f>
        <v>0</v>
      </c>
      <c r="FL76" s="4">
        <v>0</v>
      </c>
      <c r="FM76" s="5">
        <f>FL76-FK76</f>
        <v>0</v>
      </c>
      <c r="FN76" s="4">
        <v>-0.0040683236304844715</v>
      </c>
      <c r="FO76" s="4">
        <v>-0.004068323630484027</v>
      </c>
      <c r="FP76" s="4">
        <v>1.785</v>
      </c>
      <c r="FQ76" s="4">
        <v>1.792</v>
      </c>
      <c r="FR76" s="6"/>
      <c r="FS76" s="6"/>
      <c r="FT76" s="6"/>
      <c r="FU76" s="9"/>
      <c r="FV76" s="7">
        <f>IFERROR(FK76/F76,0)</f>
        <v>0</v>
      </c>
      <c r="FW76" t="inlineStr">
        <is>
          <t xml:space="preserve">Keep cash / margin / financing</t>
        </is>
      </c>
      <c r="FX76" t="inlineStr">
        <is>
          <t xml:space="preserve">cash</t>
        </is>
      </c>
      <c r="FY76" t="inlineStr">
        <is>
          <t xml:space="preserve">keep</t>
        </is>
      </c>
      <c r="FZ76" t="inlineStr">
        <is>
          <t xml:space="preserve">cash</t>
        </is>
      </c>
      <c r="GA76"/>
      <c r="GB76" s="4">
        <v>1</v>
      </c>
      <c r="GC76" s="4">
        <v>1</v>
      </c>
      <c r="GD76" s="6"/>
      <c r="GE76" s="4">
        <v>0</v>
      </c>
      <c r="GF76" s="5">
        <f>IF(FX76="direct",IFERROR(GL76/GC76,0),0)</f>
        <v>0</v>
      </c>
      <c r="GG76" s="5">
        <f>IF(FX76="direct",GE76-GF76,IF(FX76="cash",GQ76,GE76))</f>
        <v>0</v>
      </c>
      <c r="GH76" s="6"/>
      <c r="GI76" s="4">
        <v>0</v>
      </c>
      <c r="GJ76" s="4">
        <v>0</v>
      </c>
      <c r="GK76" s="5">
        <f>IF(FX76="direct",GE76*(GC76-GB76),GN76)</f>
        <v>0</v>
      </c>
      <c r="GL76" s="5">
        <f>IF(FX76="direct",GJ76*GD76*C76/365,0)</f>
        <v>0</v>
      </c>
      <c r="GM76" s="5">
        <f>GK76-GL76</f>
        <v>0</v>
      </c>
      <c r="GN76" s="4">
        <v>0</v>
      </c>
      <c r="GO76" s="5">
        <f>GN76-GM76</f>
        <v>0</v>
      </c>
      <c r="GP76" s="4">
        <v>0</v>
      </c>
      <c r="GQ76" s="4">
        <v>0</v>
      </c>
      <c r="GR76" s="4">
        <v>1.785</v>
      </c>
      <c r="GS76" s="4">
        <v>1.792</v>
      </c>
      <c r="GT76" s="6"/>
      <c r="GU76" s="6"/>
      <c r="GV76" s="6"/>
      <c r="GW76" s="9"/>
      <c r="GX76" s="7">
        <f>IFERROR(GM76/F76,0)</f>
        <v>0</v>
      </c>
      <c r="GY76"/>
      <c r="GZ76"/>
      <c r="HA76"/>
      <c r="HB76"/>
      <c r="HC76"/>
      <c r="HD76" s="4"/>
      <c r="HE76" s="4"/>
      <c r="HF76" s="6"/>
      <c r="HG76" s="4"/>
      <c r="HH76" s="5">
        <v>0</v>
      </c>
      <c r="HI76" s="5"/>
      <c r="HJ76" s="6"/>
      <c r="HK76" s="4"/>
      <c r="HL76" s="4"/>
      <c r="HM76" s="5">
        <v>0</v>
      </c>
      <c r="HN76" s="5">
        <v>0</v>
      </c>
      <c r="HO76" s="5"/>
      <c r="HP76" s="4"/>
      <c r="HQ76" s="5">
        <v>0</v>
      </c>
      <c r="HR76" s="4"/>
      <c r="HS76" s="4"/>
      <c r="HT76" s="4"/>
      <c r="HU76" s="4"/>
      <c r="HV76" s="6"/>
      <c r="HW76" s="6"/>
      <c r="HX76" s="6"/>
      <c r="HY76" s="9"/>
      <c r="HZ76"/>
      <c r="IA76"/>
      <c r="IB76"/>
      <c r="IC76"/>
      <c r="ID76"/>
      <c r="IE76"/>
      <c r="IF76" s="4"/>
      <c r="IG76" s="4"/>
      <c r="IH76" s="6"/>
      <c r="II76" s="4"/>
      <c r="IJ76" s="5">
        <v>0</v>
      </c>
      <c r="IK76" s="5"/>
      <c r="IL76" s="6"/>
      <c r="IM76" s="4"/>
      <c r="IN76" s="4"/>
      <c r="IO76" s="5">
        <v>0</v>
      </c>
      <c r="IP76" s="5">
        <v>0</v>
      </c>
      <c r="IQ76" s="5"/>
      <c r="IR76" s="4"/>
      <c r="IS76" s="5">
        <v>0</v>
      </c>
      <c r="IT76" s="4"/>
      <c r="IU76" s="4"/>
      <c r="IV76" s="4"/>
      <c r="IW76" s="4"/>
      <c r="IX76" s="6"/>
      <c r="IY76" s="6"/>
      <c r="IZ76" s="6"/>
      <c r="JA76" s="9"/>
      <c r="JB76"/>
      <c r="JC76"/>
      <c r="JD76"/>
      <c r="JE76"/>
      <c r="JF76"/>
      <c r="JG76"/>
      <c r="JH76" s="4"/>
      <c r="JI76" s="4"/>
      <c r="JJ76" s="6"/>
      <c r="JK76" s="4"/>
      <c r="JL76" s="5">
        <v>0</v>
      </c>
      <c r="JM76" s="5"/>
      <c r="JN76" s="6"/>
      <c r="JO76" s="4"/>
      <c r="JP76" s="4"/>
      <c r="JQ76" s="5">
        <v>0</v>
      </c>
      <c r="JR76" s="5">
        <v>0</v>
      </c>
      <c r="JS76" s="5"/>
      <c r="JT76" s="4"/>
      <c r="JU76" s="5">
        <v>0</v>
      </c>
      <c r="JV76" s="4"/>
      <c r="JW76" s="4"/>
      <c r="JX76" s="4"/>
      <c r="JY76" s="4"/>
      <c r="JZ76" s="6"/>
      <c r="KA76" s="6"/>
      <c r="KB76" s="6"/>
      <c r="KC76" s="9"/>
      <c r="KD76"/>
      <c r="KE76"/>
      <c r="KF76"/>
      <c r="KG76"/>
      <c r="KH76"/>
      <c r="KI76"/>
      <c r="KJ76" s="4"/>
      <c r="KK76" s="4"/>
      <c r="KL76" s="6"/>
      <c r="KM76" s="4"/>
      <c r="KN76" s="5">
        <v>0</v>
      </c>
      <c r="KO76" s="5"/>
      <c r="KP76" s="6"/>
      <c r="KQ76" s="4"/>
      <c r="KR76" s="4"/>
      <c r="KS76" s="5">
        <v>0</v>
      </c>
      <c r="KT76" s="5">
        <v>0</v>
      </c>
      <c r="KU76" s="5"/>
      <c r="KV76" s="4"/>
      <c r="KW76" s="5">
        <v>0</v>
      </c>
      <c r="KX76" s="4"/>
      <c r="KY76" s="4"/>
      <c r="KZ76" s="4"/>
      <c r="LA76" s="4"/>
      <c r="LB76" s="6"/>
      <c r="LC76" s="6"/>
      <c r="LD76" s="6"/>
      <c r="LE76" s="9"/>
      <c r="LF76"/>
      <c r="LG76"/>
      <c r="LH76"/>
      <c r="LI76"/>
      <c r="LJ76"/>
      <c r="LK76"/>
      <c r="LL76" s="4"/>
      <c r="LM76" s="4"/>
      <c r="LN76" s="6"/>
      <c r="LO76" s="4"/>
      <c r="LP76" s="5">
        <v>0</v>
      </c>
      <c r="LQ76" s="5"/>
      <c r="LR76" s="6"/>
      <c r="LS76" s="4"/>
      <c r="LT76" s="4"/>
      <c r="LU76" s="5">
        <v>0</v>
      </c>
      <c r="LV76" s="5">
        <v>0</v>
      </c>
      <c r="LW76" s="5"/>
      <c r="LX76" s="4"/>
      <c r="LY76" s="5">
        <v>0</v>
      </c>
      <c r="LZ76" s="4"/>
      <c r="MA76" s="4"/>
      <c r="MB76" s="4"/>
      <c r="MC76" s="4"/>
      <c r="MD76" s="6"/>
      <c r="ME76" s="6"/>
      <c r="MF76" s="6"/>
      <c r="MG76" s="9"/>
      <c r="MH76"/>
    </row>
    <row r="77">
      <c r="A77" s="8">
        <v>25317</v>
      </c>
      <c r="B77" s="8">
        <v>25318</v>
      </c>
      <c r="C77" s="9">
        <f>B77-A77</f>
        <v>1</v>
      </c>
      <c r="D77" s="8">
        <v>25317</v>
      </c>
      <c r="E77" t="inlineStr">
        <is>
          <t xml:space="preserve">positive</t>
        </is>
      </c>
      <c r="F77" s="4">
        <v>1.2533965048615499</v>
      </c>
      <c r="G77" s="6">
        <v>-0.0054985990919321544</v>
      </c>
      <c r="H77" s="7">
        <f>SUM(CP77,DR77,ET77,FV77,GX77,HZ77,JB77,KD77,LF77,MH77)</f>
        <v>-0.005498599091932156</v>
      </c>
      <c r="I77" s="7">
        <f>G77-H77</f>
        <v>1.734723475976807e-18</v>
      </c>
      <c r="J77" s="5">
        <f>F77*(1+H77)</f>
        <v>1.2465045799780872</v>
      </c>
      <c r="K77" s="4">
        <v>1.2465045799780872</v>
      </c>
      <c r="L77" s="5">
        <f>K77-J77</f>
        <v>0</v>
      </c>
      <c r="M77" s="4">
        <v>1.792</v>
      </c>
      <c r="N77" s="4">
        <v>1.782</v>
      </c>
      <c r="O77" s="5">
        <f>M77/$M$3</f>
        <v>0.9152196118488254</v>
      </c>
      <c r="P77" s="5">
        <f>N77/$M$3</f>
        <v>0.9101123595505618</v>
      </c>
      <c r="Q77" s="7">
        <f>IFERROR(N77/M77-1,0)</f>
        <v>-0.005580357142857095</v>
      </c>
      <c r="R77" s="5">
        <f>SUM(IF(BQ77="lease",CB77,0),IF(CS77="lease",DD77,0),IF(DU77="lease",EF77,0),IF(EW77="lease",FH77,0),IF(FY77="lease",GJ77,0),IF(HA77="lease",HL77,0),IF(IC77="lease",IN77,0),IF(JE77="lease",JP77,0),IF(KG77="lease",KR77,0),IF(LI77="lease",LT77,0))</f>
        <v>1.2533965048615503</v>
      </c>
      <c r="S77" s="5">
        <f>SUM(IF(BQ77="lease",CI77,0),IF(CS77="lease",DK77,0),IF(DU77="lease",EM77,0),IF(EW77="lease",FO77,0),IF(FY77="lease",GQ77,0),IF(HA77="lease",HS77,0),IF(IC77="lease",IU77,0),IF(JE77="lease",JW77,0),IF(KG77="lease",KY77,0),IF(LI77="lease",MA77,0))</f>
        <v>1.2465045799780876</v>
      </c>
      <c r="T77" s="5">
        <f>SUM(IF(BQ77="keep",CB77,0),IF(CS77="keep",DD77,0),IF(DU77="keep",EF77,0),IF(EW77="keep",FH77,0),IF(FY77="keep",GJ77,0),IF(HA77="keep",HL77,0),IF(IC77="keep",IN77,0),IF(JE77="keep",JP77,0),IF(KG77="keep",KR77,0),IF(LI77="keep",LT77,0))</f>
        <v>0</v>
      </c>
      <c r="U77" s="5">
        <f>SUM(IF(BQ77="keep",CI77,0),IF(CS77="keep",DK77,0),IF(DU77="keep",EM77,0),IF(EW77="keep",FO77,0),IF(FY77="keep",GQ77,0),IF(HA77="keep",HS77,0),IF(IC77="keep",IU77,0),IF(JE77="keep",JW77,0),IF(KG77="keep",KY77,0),IF(LI77="keep",MA77,0))</f>
        <v>0</v>
      </c>
      <c r="V77" s="5">
        <f>R77/O77</f>
        <v>1.3695035471645733</v>
      </c>
      <c r="W77" s="5">
        <f>S77/P77</f>
        <v>1.3696161434327137</v>
      </c>
      <c r="X77" s="5">
        <f>T77/O77</f>
        <v>0</v>
      </c>
      <c r="Y77" s="5">
        <f>U77/P77</f>
        <v>0</v>
      </c>
      <c r="Z77" s="5">
        <f>V77+X77</f>
        <v>1.3695035471645733</v>
      </c>
      <c r="AA77" s="7">
        <f>IFERROR(W77/V77-1,0)</f>
        <v>0.000082216850312955</v>
      </c>
      <c r="AB77" s="7">
        <f>IFERROR((W77-V77)/Z77,0)</f>
        <v>0.00008221685031296776</v>
      </c>
      <c r="AC77" s="7">
        <f>IFERROR(Y77/X77-1,0)</f>
        <v>0</v>
      </c>
      <c r="AD77" s="7">
        <f>IFERROR((Y77-X77)/Z77,0)</f>
        <v>0</v>
      </c>
      <c r="AE77" s="7">
        <f>AB77+AD77</f>
        <v>0.00008221685031296776</v>
      </c>
      <c r="AF77" s="7">
        <f>(1+Q77)*(1+AE77)-1</f>
        <v>-0.005498599091932066</v>
      </c>
      <c r="AG77" s="7">
        <f>G77-AF77</f>
        <v>-8.847089727481716e-17</v>
      </c>
      <c r="AH77" s="5">
        <f>SUM(IF(BQ77="lease",CE77,0),IF(CS77="lease",DG77,0),IF(DU77="lease",EI77,0),IF(EW77="lease",FK77,0),IF(FY77="lease",GM77,0),IF(HA77="lease",HO77,0),IF(IC77="lease",IQ77,0),IF(JE77="lease",JS77,0),IF(KG77="lease",KU77,0),IF(LI77="lease",LW77,0))</f>
        <v>-0.006891924883462656</v>
      </c>
      <c r="AI77" s="5">
        <f>SUM(IF(BQ77="keep",CE77,0),IF(CS77="keep",DG77,0),IF(DU77="keep",EI77,0),IF(EW77="keep",FK77,0),IF(FY77="keep",GM77,0),IF(HA77="keep",HO77,0),IF(IC77="keep",IQ77,0),IF(JE77="keep",JS77,0),IF(KG77="keep",KU77,0),IF(LI77="keep",LW77,0))</f>
        <v>0</v>
      </c>
      <c r="AJ77" s="5">
        <f>SUM(IF(BQ77="lease",CH77,0),IF(CS77="lease",DJ77,0),IF(DU77="lease",EL77,0),IF(EW77="lease",FN77,0),IF(FY77="lease",GP77,0),IF(HA77="lease",HR77,0),IF(IC77="lease",IT77,0),IF(JE77="lease",JV77,0),IF(KG77="lease",KX77,0),IF(LI77="lease",LZ77,0))</f>
        <v>0</v>
      </c>
      <c r="AK77" s="5">
        <f>SUM(IF(BQ77="keep",CH77,0),IF(CS77="keep",DJ77,0),IF(DU77="keep",EL77,0),IF(EW77="keep",FN77,0),IF(FY77="keep",GP77,0),IF(HA77="keep",HR77,0),IF(IC77="keep",IT77,0),IF(JE77="keep",JV77,0),IF(KG77="keep",KX77,0),IF(LI77="keep",LZ77,0))</f>
        <v>0</v>
      </c>
      <c r="AL77" s="5">
        <f>R77-S76</f>
        <v>-2.220446049250313e-16</v>
      </c>
      <c r="AM77" s="5">
        <f>T77-U76</f>
        <v>0</v>
      </c>
      <c r="AN77" s="5">
        <f>AN76</f>
        <v>1</v>
      </c>
      <c r="AO77" s="5">
        <f>AO76+AH77</f>
        <v>0.2465045799780878</v>
      </c>
      <c r="AP77" s="5">
        <f>AP76+AL77</f>
        <v>-4.440892098500626e-16</v>
      </c>
      <c r="AQ77" s="5">
        <f>AN77+AO77+AP77</f>
        <v>1.2465045799780874</v>
      </c>
      <c r="AR77" s="5">
        <f>S77-AQ77</f>
        <v>2.220446049250313e-16</v>
      </c>
      <c r="AS77" s="5">
        <f>AS76</f>
        <v>0</v>
      </c>
      <c r="AT77" s="5">
        <f>AT76+AI77</f>
        <v>0</v>
      </c>
      <c r="AU77" s="5">
        <f>AU76+AM77</f>
        <v>0</v>
      </c>
      <c r="AV77" s="5">
        <f>AS77+AT77+AU77</f>
        <v>0</v>
      </c>
      <c r="AW77" s="5">
        <f>U77-AV77</f>
        <v>0</v>
      </c>
      <c r="AX77" s="4">
        <v>1.2533965048615503</v>
      </c>
      <c r="AY77" s="4">
        <v>1.2465045799780876</v>
      </c>
      <c r="AZ77" s="5">
        <f>S77-AY77</f>
        <v>0</v>
      </c>
      <c r="BA77" s="4">
        <v>0</v>
      </c>
      <c r="BB77" s="4">
        <v>0</v>
      </c>
      <c r="BC77" s="5">
        <f>U77-BB77</f>
        <v>0</v>
      </c>
      <c r="BD77" s="7">
        <f>SUM(IF(BP77="direct",CC77/F77,0),IF(CR77="direct",DE77/F77,0),IF(DT77="direct",EG77/F77,0),IF(EV77="direct",FI77/F77,0),IF(FX77="direct",GK77/F77,0),IF(GZ77="direct",HM77/F77,0),IF(IB77="direct",IO77/F77,0),IF(JD77="direct",JQ77/F77,0),IF(KF77="direct",KS77/F77,0),IF(LH77="direct",LU77/F77,0))</f>
        <v>0</v>
      </c>
      <c r="BE77" s="7">
        <f>-SUM(IF(BP77="direct",CD77/F77,0),IF(CR77="direct",DF77/F77,0),IF(DT77="direct",EH77/F77,0),IF(EV77="direct",FJ77/F77,0),IF(FX77="direct",GL77/F77,0),IF(GZ77="direct",HN77/F77,0),IF(IB77="direct",IP77/F77,0),IF(JD77="direct",JR77/F77,0),IF(KF77="direct",KT77/F77,0),IF(LH77="direct",LV77/F77,0))</f>
        <v>0</v>
      </c>
      <c r="BF77" s="7">
        <f>BD77+BE77</f>
        <v>0</v>
      </c>
      <c r="BG77" s="7">
        <f>BF77-SUM(IF(BP77="direct",CP77,0),IF(CR77="direct",DR77,0),IF(DT77="direct",ET77,0),IF(EV77="direct",FV77,0),IF(FX77="direct",GX77,0),IF(GZ77="direct",HZ77,0),IF(IB77="direct",JB77,0),IF(JD77="direct",KD77,0),IF(KF77="direct",LF77,0),IF(LH77="direct",MH77,0))</f>
        <v>0</v>
      </c>
      <c r="BH77" s="7">
        <f>SUM(IF(BP77="treasury",CP77,0),IF(CR77="treasury",DR77,0),IF(DT77="treasury",ET77,0),IF(EV77="treasury",FV77,0),IF(FX77="treasury",GX77,0),IF(GZ77="treasury",HZ77,0),IF(IB77="treasury",JB77,0),IF(JD77="treasury",KD77,0),IF(KF77="treasury",LF77,0),IF(LH77="treasury",MH77,0))</f>
        <v>0.00016712328767123287</v>
      </c>
      <c r="BI77" s="7">
        <f>SUM(IF(BP77="future",CP77,0),IF(CR77="future",DR77,0),IF(DT77="future",ET77,0),IF(EV77="future",FV77,0),IF(FX77="future",GX77,0),IF(GZ77="future",HZ77,0),IF(IB77="future",JB77,0),IF(JD77="future",KD77,0),IF(KF77="future",LF77,0),IF(LH77="future",MH77,0))</f>
        <v>-0.005665722379603388</v>
      </c>
      <c r="BJ77" s="7">
        <f>SUM(IF(BP77="cash",CP77,0),IF(CR77="cash",DR77,0),IF(DT77="cash",ET77,0),IF(EV77="cash",FV77,0),IF(FX77="cash",GX77,0),IF(GZ77="cash",HZ77,0),IF(IB77="cash",JB77,0),IF(JD77="cash",KD77,0),IF(KF77="cash",LF77,0),IF(LH77="cash",MH77,0))</f>
        <v>0</v>
      </c>
      <c r="BK77" s="7">
        <f>SUM(BF77,BH77,BI77,BJ77)</f>
        <v>-0.005498599091932155</v>
      </c>
      <c r="BL77" s="7">
        <f>G77-BK77</f>
        <v>8.673617379884035e-19</v>
      </c>
      <c r="BM77" s="5">
        <f>MAX(ABS(CG77),ABS(DI77),ABS(EK77),ABS(FM77),ABS(GO77),ABS(HQ77),ABS(IS77),ABS(JU77),ABS(KW77),ABS(LY77))</f>
        <v>1.1579279202145187e-16</v>
      </c>
      <c r="BN77" s="9">
        <f>COUNTA(BO77,CQ77,DS77,EU77,FW77,GY77,IA77,JC77,KE77,LG77)</f>
        <v>4</v>
      </c>
      <c r="BO77" t="inlineStr">
        <is>
          <t xml:space="preserve">Treasury collateral</t>
        </is>
      </c>
      <c r="BP77" t="inlineStr">
        <is>
          <t xml:space="preserve">treasury</t>
        </is>
      </c>
      <c r="BQ77" t="inlineStr">
        <is>
          <t xml:space="preserve">lease</t>
        </is>
      </c>
      <c r="BR77" t="inlineStr">
        <is>
          <t xml:space="preserve">long</t>
        </is>
      </c>
      <c r="BS77"/>
      <c r="BT77" s="4">
        <v>101.88992970023743</v>
      </c>
      <c r="BU77" s="4">
        <v>101.90695788026952</v>
      </c>
      <c r="BV77" s="6"/>
      <c r="BW77" s="4">
        <v>0.012301475803831369</v>
      </c>
      <c r="BX77" s="5">
        <f>IF(BP77="direct",IFERROR(CD77/BU77,0),0)</f>
        <v>0</v>
      </c>
      <c r="BY77" s="5">
        <f>IF(BP77="direct",BW77-BX77,IF(BP77="cash",CI77,BW77))</f>
        <v>0.012301475803831369</v>
      </c>
      <c r="BZ77" s="6">
        <v>1</v>
      </c>
      <c r="CA77" s="4">
        <v>1.2533965048615499</v>
      </c>
      <c r="CB77" s="4">
        <v>1.2533965048615499</v>
      </c>
      <c r="CC77" s="5">
        <f>IF(BP77="direct",BW77*(BU77-BT77),CF77)</f>
        <v>0.00020947174464797883</v>
      </c>
      <c r="CD77" s="5">
        <f>IF(BP77="direct",CB77*BV77*C77/365,0)</f>
        <v>0</v>
      </c>
      <c r="CE77" s="5">
        <f>CC77-CD77</f>
        <v>0.00020947174464809462</v>
      </c>
      <c r="CF77" s="4">
        <v>0.00020947174464809462</v>
      </c>
      <c r="CG77" s="5">
        <f>CF77-CE77</f>
        <v>1.1579279202145187e-16</v>
      </c>
      <c r="CH77" s="4">
        <v>4.2934406030425976e-17</v>
      </c>
      <c r="CI77" s="4">
        <v>1.253605976606198</v>
      </c>
      <c r="CJ77" s="4">
        <v>1.792</v>
      </c>
      <c r="CK77" s="4">
        <v>1.782</v>
      </c>
      <c r="CL77" s="6"/>
      <c r="CM77" s="6"/>
      <c r="CN77" s="6"/>
      <c r="CO77" s="9">
        <v>34</v>
      </c>
      <c r="CP77" s="7">
        <f>IFERROR(CE77/F77,0)</f>
        <v>0.00016712328767123287</v>
      </c>
      <c r="CQ77" t="inlineStr">
        <is>
          <t xml:space="preserve">SI69K</t>
        </is>
      </c>
      <c r="CR77" t="inlineStr">
        <is>
          <t xml:space="preserve">future</t>
        </is>
      </c>
      <c r="CS77" t="inlineStr">
        <is>
          <t xml:space="preserve">lease</t>
        </is>
      </c>
      <c r="CT77" t="inlineStr">
        <is>
          <t xml:space="preserve">long</t>
        </is>
      </c>
      <c r="CU77" t="inlineStr">
        <is>
          <t xml:space="preserve">regular</t>
        </is>
      </c>
      <c r="CV77" s="4">
        <v>1.765</v>
      </c>
      <c r="CW77" s="4">
        <v>1.755</v>
      </c>
      <c r="CX77" s="6"/>
      <c r="CY77" s="4">
        <v>0.7101396628110764</v>
      </c>
      <c r="CZ77" s="5">
        <f>IF(CR77="direct",IFERROR(DF77/CW77,0),0)</f>
        <v>0</v>
      </c>
      <c r="DA77" s="5">
        <f>IF(CR77="direct",CY77-CZ77,IF(CR77="cash",DK77,CY77))</f>
        <v>0.7101396628110764</v>
      </c>
      <c r="DB77" s="6">
        <v>1</v>
      </c>
      <c r="DC77" s="4">
        <v>1.2533965048615499</v>
      </c>
      <c r="DD77" s="4">
        <v>0</v>
      </c>
      <c r="DE77" s="5">
        <f>IF(CR77="direct",CY77*(CW77-CV77),DH77)</f>
        <v>-0.00710139662811075</v>
      </c>
      <c r="DF77" s="5">
        <f>IF(CR77="direct",DD77*CX77*C77/365,0)</f>
        <v>0</v>
      </c>
      <c r="DG77" s="5">
        <f>DE77-DF77</f>
        <v>-0.00710139662811075</v>
      </c>
      <c r="DH77" s="4">
        <v>-0.00710139662811075</v>
      </c>
      <c r="DI77" s="5">
        <f>DH77-DG77</f>
        <v>0</v>
      </c>
      <c r="DJ77" s="4">
        <v>0.00710139662811075</v>
      </c>
      <c r="DK77" s="4">
        <v>0</v>
      </c>
      <c r="DL77" s="4">
        <v>1.792</v>
      </c>
      <c r="DM77" s="4">
        <v>1.782</v>
      </c>
      <c r="DN77" s="6">
        <v>-0.015066964285714413</v>
      </c>
      <c r="DO77" s="6">
        <v>0.061</v>
      </c>
      <c r="DP77" s="6">
        <v>0.22274829306722826</v>
      </c>
      <c r="DQ77" s="9">
        <v>34</v>
      </c>
      <c r="DR77" s="7">
        <f>IFERROR(DG77/F77,0)</f>
        <v>-0.005665722379603388</v>
      </c>
      <c r="DS77" t="inlineStr">
        <is>
          <t xml:space="preserve">Lease cash / margin / financing</t>
        </is>
      </c>
      <c r="DT77" t="inlineStr">
        <is>
          <t xml:space="preserve">cash</t>
        </is>
      </c>
      <c r="DU77" t="inlineStr">
        <is>
          <t xml:space="preserve">lease</t>
        </is>
      </c>
      <c r="DV77" t="inlineStr">
        <is>
          <t xml:space="preserve">cash</t>
        </is>
      </c>
      <c r="DW77"/>
      <c r="DX77" s="4">
        <v>1</v>
      </c>
      <c r="DY77" s="4">
        <v>1</v>
      </c>
      <c r="DZ77" s="6"/>
      <c r="EA77" s="4">
        <v>4.440892098500626e-16</v>
      </c>
      <c r="EB77" s="5">
        <f>IF(DT77="direct",IFERROR(EH77/DY77,0),0)</f>
        <v>0</v>
      </c>
      <c r="EC77" s="5">
        <f>IF(DT77="direct",EA77-EB77,IF(DT77="cash",EM77,EA77))</f>
        <v>-0.00710139662811035</v>
      </c>
      <c r="ED77" s="6"/>
      <c r="EE77" s="4">
        <v>4.440892098500626e-16</v>
      </c>
      <c r="EF77" s="4">
        <v>4.440892098500626e-16</v>
      </c>
      <c r="EG77" s="5">
        <f>IF(DT77="direct",EA77*(DY77-DX77),EJ77)</f>
        <v>0</v>
      </c>
      <c r="EH77" s="5">
        <f>IF(DT77="direct",EF77*DZ77*C77/365,0)</f>
        <v>0</v>
      </c>
      <c r="EI77" s="5">
        <f>EG77-EH77</f>
        <v>0</v>
      </c>
      <c r="EJ77" s="4">
        <v>0</v>
      </c>
      <c r="EK77" s="5">
        <f>EJ77-EI77</f>
        <v>0</v>
      </c>
      <c r="EL77" s="4">
        <v>-0.007101396628110794</v>
      </c>
      <c r="EM77" s="4">
        <v>-0.00710139662811035</v>
      </c>
      <c r="EN77" s="4">
        <v>1.792</v>
      </c>
      <c r="EO77" s="4">
        <v>1.782</v>
      </c>
      <c r="EP77" s="6"/>
      <c r="EQ77" s="6"/>
      <c r="ER77" s="6"/>
      <c r="ES77" s="9"/>
      <c r="ET77" s="7">
        <f>IFERROR(EI77/F77,0)</f>
        <v>0</v>
      </c>
      <c r="EU77" t="inlineStr">
        <is>
          <t xml:space="preserve">Keep cash / margin / financing</t>
        </is>
      </c>
      <c r="EV77" t="inlineStr">
        <is>
          <t xml:space="preserve">cash</t>
        </is>
      </c>
      <c r="EW77" t="inlineStr">
        <is>
          <t xml:space="preserve">keep</t>
        </is>
      </c>
      <c r="EX77" t="inlineStr">
        <is>
          <t xml:space="preserve">cash</t>
        </is>
      </c>
      <c r="EY77"/>
      <c r="EZ77" s="4">
        <v>1</v>
      </c>
      <c r="FA77" s="4">
        <v>1</v>
      </c>
      <c r="FB77" s="6"/>
      <c r="FC77" s="4">
        <v>0</v>
      </c>
      <c r="FD77" s="5">
        <f>IF(EV77="direct",IFERROR(FJ77/FA77,0),0)</f>
        <v>0</v>
      </c>
      <c r="FE77" s="5">
        <f>IF(EV77="direct",FC77-FD77,IF(EV77="cash",FO77,FC77))</f>
        <v>0</v>
      </c>
      <c r="FF77" s="6"/>
      <c r="FG77" s="4">
        <v>0</v>
      </c>
      <c r="FH77" s="4">
        <v>0</v>
      </c>
      <c r="FI77" s="5">
        <f>IF(EV77="direct",FC77*(FA77-EZ77),FL77)</f>
        <v>0</v>
      </c>
      <c r="FJ77" s="5">
        <f>IF(EV77="direct",FH77*FB77*C77/365,0)</f>
        <v>0</v>
      </c>
      <c r="FK77" s="5">
        <f>FI77-FJ77</f>
        <v>0</v>
      </c>
      <c r="FL77" s="4">
        <v>0</v>
      </c>
      <c r="FM77" s="5">
        <f>FL77-FK77</f>
        <v>0</v>
      </c>
      <c r="FN77" s="4">
        <v>0</v>
      </c>
      <c r="FO77" s="4">
        <v>0</v>
      </c>
      <c r="FP77" s="4">
        <v>1.792</v>
      </c>
      <c r="FQ77" s="4">
        <v>1.782</v>
      </c>
      <c r="FR77" s="6"/>
      <c r="FS77" s="6"/>
      <c r="FT77" s="6"/>
      <c r="FU77" s="9"/>
      <c r="FV77" s="7">
        <f>IFERROR(FK77/F77,0)</f>
        <v>0</v>
      </c>
      <c r="FW77"/>
      <c r="FX77"/>
      <c r="FY77"/>
      <c r="FZ77"/>
      <c r="GA77"/>
      <c r="GB77" s="4"/>
      <c r="GC77" s="4"/>
      <c r="GD77" s="6"/>
      <c r="GE77" s="4"/>
      <c r="GF77" s="5">
        <v>0</v>
      </c>
      <c r="GG77" s="5"/>
      <c r="GH77" s="6"/>
      <c r="GI77" s="4"/>
      <c r="GJ77" s="4"/>
      <c r="GK77" s="5">
        <v>0</v>
      </c>
      <c r="GL77" s="5">
        <v>0</v>
      </c>
      <c r="GM77" s="5"/>
      <c r="GN77" s="4"/>
      <c r="GO77" s="5">
        <v>0</v>
      </c>
      <c r="GP77" s="4"/>
      <c r="GQ77" s="4"/>
      <c r="GR77" s="4"/>
      <c r="GS77" s="4"/>
      <c r="GT77" s="6"/>
      <c r="GU77" s="6"/>
      <c r="GV77" s="6"/>
      <c r="GW77" s="9"/>
      <c r="GX77"/>
      <c r="GY77"/>
      <c r="GZ77"/>
      <c r="HA77"/>
      <c r="HB77"/>
      <c r="HC77"/>
      <c r="HD77" s="4"/>
      <c r="HE77" s="4"/>
      <c r="HF77" s="6"/>
      <c r="HG77" s="4"/>
      <c r="HH77" s="5">
        <v>0</v>
      </c>
      <c r="HI77" s="5"/>
      <c r="HJ77" s="6"/>
      <c r="HK77" s="4"/>
      <c r="HL77" s="4"/>
      <c r="HM77" s="5">
        <v>0</v>
      </c>
      <c r="HN77" s="5">
        <v>0</v>
      </c>
      <c r="HO77" s="5"/>
      <c r="HP77" s="4"/>
      <c r="HQ77" s="5">
        <v>0</v>
      </c>
      <c r="HR77" s="4"/>
      <c r="HS77" s="4"/>
      <c r="HT77" s="4"/>
      <c r="HU77" s="4"/>
      <c r="HV77" s="6"/>
      <c r="HW77" s="6"/>
      <c r="HX77" s="6"/>
      <c r="HY77" s="9"/>
      <c r="HZ77"/>
      <c r="IA77"/>
      <c r="IB77"/>
      <c r="IC77"/>
      <c r="ID77"/>
      <c r="IE77"/>
      <c r="IF77" s="4"/>
      <c r="IG77" s="4"/>
      <c r="IH77" s="6"/>
      <c r="II77" s="4"/>
      <c r="IJ77" s="5">
        <v>0</v>
      </c>
      <c r="IK77" s="5"/>
      <c r="IL77" s="6"/>
      <c r="IM77" s="4"/>
      <c r="IN77" s="4"/>
      <c r="IO77" s="5">
        <v>0</v>
      </c>
      <c r="IP77" s="5">
        <v>0</v>
      </c>
      <c r="IQ77" s="5"/>
      <c r="IR77" s="4"/>
      <c r="IS77" s="5">
        <v>0</v>
      </c>
      <c r="IT77" s="4"/>
      <c r="IU77" s="4"/>
      <c r="IV77" s="4"/>
      <c r="IW77" s="4"/>
      <c r="IX77" s="6"/>
      <c r="IY77" s="6"/>
      <c r="IZ77" s="6"/>
      <c r="JA77" s="9"/>
      <c r="JB77"/>
      <c r="JC77"/>
      <c r="JD77"/>
      <c r="JE77"/>
      <c r="JF77"/>
      <c r="JG77"/>
      <c r="JH77" s="4"/>
      <c r="JI77" s="4"/>
      <c r="JJ77" s="6"/>
      <c r="JK77" s="4"/>
      <c r="JL77" s="5">
        <v>0</v>
      </c>
      <c r="JM77" s="5"/>
      <c r="JN77" s="6"/>
      <c r="JO77" s="4"/>
      <c r="JP77" s="4"/>
      <c r="JQ77" s="5">
        <v>0</v>
      </c>
      <c r="JR77" s="5">
        <v>0</v>
      </c>
      <c r="JS77" s="5"/>
      <c r="JT77" s="4"/>
      <c r="JU77" s="5">
        <v>0</v>
      </c>
      <c r="JV77" s="4"/>
      <c r="JW77" s="4"/>
      <c r="JX77" s="4"/>
      <c r="JY77" s="4"/>
      <c r="JZ77" s="6"/>
      <c r="KA77" s="6"/>
      <c r="KB77" s="6"/>
      <c r="KC77" s="9"/>
      <c r="KD77"/>
      <c r="KE77"/>
      <c r="KF77"/>
      <c r="KG77"/>
      <c r="KH77"/>
      <c r="KI77"/>
      <c r="KJ77" s="4"/>
      <c r="KK77" s="4"/>
      <c r="KL77" s="6"/>
      <c r="KM77" s="4"/>
      <c r="KN77" s="5">
        <v>0</v>
      </c>
      <c r="KO77" s="5"/>
      <c r="KP77" s="6"/>
      <c r="KQ77" s="4"/>
      <c r="KR77" s="4"/>
      <c r="KS77" s="5">
        <v>0</v>
      </c>
      <c r="KT77" s="5">
        <v>0</v>
      </c>
      <c r="KU77" s="5"/>
      <c r="KV77" s="4"/>
      <c r="KW77" s="5">
        <v>0</v>
      </c>
      <c r="KX77" s="4"/>
      <c r="KY77" s="4"/>
      <c r="KZ77" s="4"/>
      <c r="LA77" s="4"/>
      <c r="LB77" s="6"/>
      <c r="LC77" s="6"/>
      <c r="LD77" s="6"/>
      <c r="LE77" s="9"/>
      <c r="LF77"/>
      <c r="LG77"/>
      <c r="LH77"/>
      <c r="LI77"/>
      <c r="LJ77"/>
      <c r="LK77"/>
      <c r="LL77" s="4"/>
      <c r="LM77" s="4"/>
      <c r="LN77" s="6"/>
      <c r="LO77" s="4"/>
      <c r="LP77" s="5">
        <v>0</v>
      </c>
      <c r="LQ77" s="5"/>
      <c r="LR77" s="6"/>
      <c r="LS77" s="4"/>
      <c r="LT77" s="4"/>
      <c r="LU77" s="5">
        <v>0</v>
      </c>
      <c r="LV77" s="5">
        <v>0</v>
      </c>
      <c r="LW77" s="5"/>
      <c r="LX77" s="4"/>
      <c r="LY77" s="5">
        <v>0</v>
      </c>
      <c r="LZ77" s="4"/>
      <c r="MA77" s="4"/>
      <c r="MB77" s="4"/>
      <c r="MC77" s="4"/>
      <c r="MD77" s="6"/>
      <c r="ME77" s="6"/>
      <c r="MF77" s="6"/>
      <c r="MG77" s="9"/>
      <c r="MH77"/>
    </row>
    <row r="78">
      <c r="A78" s="8">
        <v>25318</v>
      </c>
      <c r="B78" s="8">
        <v>25321</v>
      </c>
      <c r="C78" s="9">
        <f>B78-A78</f>
        <v>3</v>
      </c>
      <c r="D78" s="8">
        <v>25318</v>
      </c>
      <c r="E78" t="inlineStr">
        <is>
          <t xml:space="preserve">positive</t>
        </is>
      </c>
      <c r="F78" s="4">
        <v>1.2465045799780872</v>
      </c>
      <c r="G78" s="6">
        <v>0.00790713343480479</v>
      </c>
      <c r="H78" s="7">
        <f>SUM(CP78,DR78,ET78,FV78,GX78,HZ78,JB78,KD78,LF78,MH78)</f>
        <v>0.00790713343480479</v>
      </c>
      <c r="I78" s="7">
        <f>G78-H78</f>
        <v>0</v>
      </c>
      <c r="J78" s="5">
        <f>F78*(1+H78)</f>
        <v>1.2563608580190693</v>
      </c>
      <c r="K78" s="4">
        <v>1.2563608580190693</v>
      </c>
      <c r="L78" s="5">
        <f>K78-J78</f>
        <v>0</v>
      </c>
      <c r="M78" s="4">
        <v>1.782</v>
      </c>
      <c r="N78" s="4">
        <v>1.81</v>
      </c>
      <c r="O78" s="5">
        <f>M78/$M$3</f>
        <v>0.9101123595505618</v>
      </c>
      <c r="P78" s="5">
        <f>N78/$M$3</f>
        <v>0.9244126659856997</v>
      </c>
      <c r="Q78" s="7">
        <f>IFERROR(N78/M78-1,0)</f>
        <v>0.015712682379348974</v>
      </c>
      <c r="R78" s="5">
        <f>SUM(IF(BQ78="lease",CB78,0),IF(CS78="lease",DD78,0),IF(DU78="lease",EF78,0),IF(EW78="lease",FH78,0),IF(FY78="lease",GJ78,0),IF(HA78="lease",HL78,0),IF(IC78="lease",IN78,0),IF(JE78="lease",JP78,0),IF(KG78="lease",KR78,0),IF(LI78="lease",LT78,0))</f>
        <v>1.2465045799780876</v>
      </c>
      <c r="S78" s="5">
        <f>SUM(IF(BQ78="lease",CI78,0),IF(CS78="lease",DK78,0),IF(DU78="lease",EM78,0),IF(EW78="lease",FO78,0),IF(FY78="lease",GQ78,0),IF(HA78="lease",HS78,0),IF(IC78="lease",IU78,0),IF(JE78="lease",JW78,0),IF(KG78="lease",KY78,0),IF(LI78="lease",MA78,0))</f>
        <v>1.2563608580190697</v>
      </c>
      <c r="T78" s="5">
        <f>SUM(IF(BQ78="keep",CB78,0),IF(CS78="keep",DD78,0),IF(DU78="keep",EF78,0),IF(EW78="keep",FH78,0),IF(FY78="keep",GJ78,0),IF(HA78="keep",HL78,0),IF(IC78="keep",IN78,0),IF(JE78="keep",JP78,0),IF(KG78="keep",KR78,0),IF(LI78="keep",LT78,0))</f>
        <v>0</v>
      </c>
      <c r="U78" s="5">
        <f>SUM(IF(BQ78="keep",CI78,0),IF(CS78="keep",DK78,0),IF(DU78="keep",EM78,0),IF(EW78="keep",FO78,0),IF(FY78="keep",GQ78,0),IF(HA78="keep",HS78,0),IF(IC78="keep",IU78,0),IF(JE78="keep",JW78,0),IF(KG78="keep",KY78,0),IF(LI78="keep",MA78,0))</f>
        <v>0</v>
      </c>
      <c r="V78" s="5">
        <f>R78/O78</f>
        <v>1.3696161434327137</v>
      </c>
      <c r="W78" s="5">
        <f>S78/P78</f>
        <v>1.3590909171278114</v>
      </c>
      <c r="X78" s="5">
        <f>T78/O78</f>
        <v>0</v>
      </c>
      <c r="Y78" s="5">
        <f>U78/P78</f>
        <v>0</v>
      </c>
      <c r="Z78" s="5">
        <f>V78+X78</f>
        <v>1.3696161434327137</v>
      </c>
      <c r="AA78" s="7">
        <f>IFERROR(W78/V78-1,0)</f>
        <v>-0.007684800121092739</v>
      </c>
      <c r="AB78" s="7">
        <f>IFERROR((W78-V78)/Z78,0)</f>
        <v>-0.007684800121092725</v>
      </c>
      <c r="AC78" s="7">
        <f>IFERROR(Y78/X78-1,0)</f>
        <v>0</v>
      </c>
      <c r="AD78" s="7">
        <f>IFERROR((Y78-X78)/Z78,0)</f>
        <v>0</v>
      </c>
      <c r="AE78" s="7">
        <f>AB78+AD78</f>
        <v>-0.007684800121092725</v>
      </c>
      <c r="AF78" s="7">
        <f>(1+Q78)*(1+AE78)-1</f>
        <v>0.007907133434804647</v>
      </c>
      <c r="AG78" s="7">
        <f>G78-AF78</f>
        <v>1.4224732503009818e-16</v>
      </c>
      <c r="AH78" s="5">
        <f>SUM(IF(BQ78="lease",CE78,0),IF(CS78="lease",DG78,0),IF(DU78="lease",EI78,0),IF(EW78="lease",FK78,0),IF(FY78="lease",GM78,0),IF(HA78="lease",HO78,0),IF(IC78="lease",IQ78,0),IF(JE78="lease",JS78,0),IF(KG78="lease",KU78,0),IF(LI78="lease",LW78,0))</f>
        <v>0.009856278040982033</v>
      </c>
      <c r="AI78" s="5">
        <f>SUM(IF(BQ78="keep",CE78,0),IF(CS78="keep",DG78,0),IF(DU78="keep",EI78,0),IF(EW78="keep",FK78,0),IF(FY78="keep",GM78,0),IF(HA78="keep",HO78,0),IF(IC78="keep",IQ78,0),IF(JE78="keep",JS78,0),IF(KG78="keep",KU78,0),IF(LI78="keep",LW78,0))</f>
        <v>0</v>
      </c>
      <c r="AJ78" s="5">
        <f>SUM(IF(BQ78="lease",CH78,0),IF(CS78="lease",DJ78,0),IF(DU78="lease",EL78,0),IF(EW78="lease",FN78,0),IF(FY78="lease",GP78,0),IF(HA78="lease",HR78,0),IF(IC78="lease",IT78,0),IF(JE78="lease",JV78,0),IF(KG78="lease",KX78,0),IF(LI78="lease",LZ78,0))</f>
        <v>0</v>
      </c>
      <c r="AK78" s="5">
        <f>SUM(IF(BQ78="keep",CH78,0),IF(CS78="keep",DJ78,0),IF(DU78="keep",EL78,0),IF(EW78="keep",FN78,0),IF(FY78="keep",GP78,0),IF(HA78="keep",HR78,0),IF(IC78="keep",IT78,0),IF(JE78="keep",JV78,0),IF(KG78="keep",KX78,0),IF(LI78="keep",LZ78,0))</f>
        <v>0</v>
      </c>
      <c r="AL78" s="5">
        <f>R78-S77</f>
        <v>0</v>
      </c>
      <c r="AM78" s="5">
        <f>T78-U77</f>
        <v>0</v>
      </c>
      <c r="AN78" s="5">
        <f>AN77</f>
        <v>1</v>
      </c>
      <c r="AO78" s="5">
        <f>AO77+AH78</f>
        <v>0.2563608580190698</v>
      </c>
      <c r="AP78" s="5">
        <f>AP77+AL78</f>
        <v>-4.440892098500626e-16</v>
      </c>
      <c r="AQ78" s="5">
        <f>AN78+AO78+AP78</f>
        <v>1.2563608580190695</v>
      </c>
      <c r="AR78" s="5">
        <f>S78-AQ78</f>
        <v>2.220446049250313e-16</v>
      </c>
      <c r="AS78" s="5">
        <f>AS77</f>
        <v>0</v>
      </c>
      <c r="AT78" s="5">
        <f>AT77+AI78</f>
        <v>0</v>
      </c>
      <c r="AU78" s="5">
        <f>AU77+AM78</f>
        <v>0</v>
      </c>
      <c r="AV78" s="5">
        <f>AS78+AT78+AU78</f>
        <v>0</v>
      </c>
      <c r="AW78" s="5">
        <f>U78-AV78</f>
        <v>0</v>
      </c>
      <c r="AX78" s="4">
        <v>1.2465045799780876</v>
      </c>
      <c r="AY78" s="4">
        <v>1.2563608580190697</v>
      </c>
      <c r="AZ78" s="5">
        <f>S78-AY78</f>
        <v>0</v>
      </c>
      <c r="BA78" s="4">
        <v>0</v>
      </c>
      <c r="BB78" s="4">
        <v>0</v>
      </c>
      <c r="BC78" s="5">
        <f>U78-BB78</f>
        <v>0</v>
      </c>
      <c r="BD78" s="7">
        <f>SUM(IF(BP78="direct",CC78/F78,0),IF(CR78="direct",DE78/F78,0),IF(DT78="direct",EG78/F78,0),IF(EV78="direct",FI78/F78,0),IF(FX78="direct",GK78/F78,0),IF(GZ78="direct",HM78/F78,0),IF(IB78="direct",IO78/F78,0),IF(JD78="direct",JQ78/F78,0),IF(KF78="direct",KS78/F78,0),IF(LH78="direct",LU78/F78,0))</f>
        <v>0</v>
      </c>
      <c r="BE78" s="7">
        <f>-SUM(IF(BP78="direct",CD78/F78,0),IF(CR78="direct",DF78/F78,0),IF(DT78="direct",EH78/F78,0),IF(EV78="direct",FJ78/F78,0),IF(FX78="direct",GL78/F78,0),IF(GZ78="direct",HN78/F78,0),IF(IB78="direct",IP78/F78,0),IF(JD78="direct",JR78/F78,0),IF(KF78="direct",KT78/F78,0),IF(LH78="direct",LV78/F78,0))</f>
        <v>0</v>
      </c>
      <c r="BF78" s="7">
        <f>BD78+BE78</f>
        <v>0</v>
      </c>
      <c r="BG78" s="7">
        <f>BF78-SUM(IF(BP78="direct",CP78,0),IF(CR78="direct",DR78,0),IF(DT78="direct",ET78,0),IF(EV78="direct",FV78,0),IF(FX78="direct",GX78,0),IF(GZ78="direct",HZ78,0),IF(IB78="direct",JB78,0),IF(JD78="direct",KD78,0),IF(KF78="direct",LF78,0),IF(LH78="direct",MH78,0))</f>
        <v>0</v>
      </c>
      <c r="BH78" s="7">
        <f>SUM(IF(BP78="treasury",CP78,0),IF(CR78="treasury",DR78,0),IF(DT78="treasury",ET78,0),IF(EV78="treasury",FV78,0),IF(FX78="treasury",GX78,0),IF(GZ78="treasury",HZ78,0),IF(IB78="treasury",JB78,0),IF(JD78="treasury",KD78,0),IF(KF78="treasury",LF78,0),IF(LH78="treasury",MH78,0))</f>
        <v>0.0004997260273972603</v>
      </c>
      <c r="BI78" s="7">
        <f>SUM(IF(BP78="future",CP78,0),IF(CR78="future",DR78,0),IF(DT78="future",ET78,0),IF(EV78="future",FV78,0),IF(FX78="future",GX78,0),IF(GZ78="future",HZ78,0),IF(IB78="future",JB78,0),IF(JD78="future",KD78,0),IF(KF78="future",LF78,0),IF(LH78="future",MH78,0))</f>
        <v>0.007407407407407529</v>
      </c>
      <c r="BJ78" s="7">
        <f>SUM(IF(BP78="cash",CP78,0),IF(CR78="cash",DR78,0),IF(DT78="cash",ET78,0),IF(EV78="cash",FV78,0),IF(FX78="cash",GX78,0),IF(GZ78="cash",HZ78,0),IF(IB78="cash",JB78,0),IF(JD78="cash",KD78,0),IF(KF78="cash",LF78,0),IF(LH78="cash",MH78,0))</f>
        <v>0</v>
      </c>
      <c r="BK78" s="7">
        <f>SUM(BF78,BH78,BI78,BJ78)</f>
        <v>0.00790713343480479</v>
      </c>
      <c r="BL78" s="7">
        <f>G78-BK78</f>
        <v>0</v>
      </c>
      <c r="BM78" s="5">
        <f>MAX(ABS(CG78),ABS(DI78),ABS(EK78),ABS(FM78),ABS(GO78),ABS(HQ78),ABS(IS78),ABS(JU78),ABS(KW78),ABS(LY78))</f>
        <v>5.5294310796760726e-18</v>
      </c>
      <c r="BN78" s="9">
        <f>COUNTA(BO78,CQ78,DS78,EU78,FW78,GY78,IA78,JC78,KE78,LG78)</f>
        <v>4</v>
      </c>
      <c r="BO78" t="inlineStr">
        <is>
          <t xml:space="preserve">Treasury collateral</t>
        </is>
      </c>
      <c r="BP78" t="inlineStr">
        <is>
          <t xml:space="preserve">treasury</t>
        </is>
      </c>
      <c r="BQ78" t="inlineStr">
        <is>
          <t xml:space="preserve">lease</t>
        </is>
      </c>
      <c r="BR78" t="inlineStr">
        <is>
          <t xml:space="preserve">long</t>
        </is>
      </c>
      <c r="BS78"/>
      <c r="BT78" s="4">
        <v>101.90695788026952</v>
      </c>
      <c r="BU78" s="4">
        <v>101.95788343949516</v>
      </c>
      <c r="BV78" s="6"/>
      <c r="BW78" s="4">
        <v>0.012231790703070592</v>
      </c>
      <c r="BX78" s="5">
        <f>IF(BP78="direct",IFERROR(CD78/BU78,0),0)</f>
        <v>0</v>
      </c>
      <c r="BY78" s="5">
        <f>IF(BP78="direct",BW78-BX78,IF(BP78="cash",CI78,BW78))</f>
        <v>0.012231790703070592</v>
      </c>
      <c r="BZ78" s="6">
        <v>1</v>
      </c>
      <c r="CA78" s="4">
        <v>1.2465045799780872</v>
      </c>
      <c r="CB78" s="4">
        <v>1.2465045799780872</v>
      </c>
      <c r="CC78" s="5">
        <f>IF(BP78="direct",BW78*(BU78-BT78),CF78)</f>
        <v>0.0006229107818849345</v>
      </c>
      <c r="CD78" s="5">
        <f>IF(BP78="direct",CB78*BV78*C78/365,0)</f>
        <v>0</v>
      </c>
      <c r="CE78" s="5">
        <f>CC78-CD78</f>
        <v>0.00062291078188494</v>
      </c>
      <c r="CF78" s="4">
        <v>0.00062291078188494</v>
      </c>
      <c r="CG78" s="5">
        <f>CF78-CE78</f>
        <v>5.5294310796760726e-18</v>
      </c>
      <c r="CH78" s="4">
        <v>-1.7780915628762273e-17</v>
      </c>
      <c r="CI78" s="4">
        <v>1.247127490759972</v>
      </c>
      <c r="CJ78" s="4">
        <v>1.782</v>
      </c>
      <c r="CK78" s="4">
        <v>1.81</v>
      </c>
      <c r="CL78" s="6"/>
      <c r="CM78" s="6"/>
      <c r="CN78" s="6"/>
      <c r="CO78" s="9">
        <v>33</v>
      </c>
      <c r="CP78" s="7">
        <f>IFERROR(CE78/F78,0)</f>
        <v>0.0004997260273972603</v>
      </c>
      <c r="CQ78" t="inlineStr">
        <is>
          <t xml:space="preserve">SI69K</t>
        </is>
      </c>
      <c r="CR78" t="inlineStr">
        <is>
          <t xml:space="preserve">future</t>
        </is>
      </c>
      <c r="CS78" t="inlineStr">
        <is>
          <t xml:space="preserve">lease</t>
        </is>
      </c>
      <c r="CT78" t="inlineStr">
        <is>
          <t xml:space="preserve">long</t>
        </is>
      </c>
      <c r="CU78" t="inlineStr">
        <is>
          <t xml:space="preserve">regular</t>
        </is>
      </c>
      <c r="CV78" s="4">
        <v>1.755</v>
      </c>
      <c r="CW78" s="4">
        <v>1.768</v>
      </c>
      <c r="CX78" s="6"/>
      <c r="CY78" s="4">
        <v>0.7102590199305341</v>
      </c>
      <c r="CZ78" s="5">
        <f>IF(CR78="direct",IFERROR(DF78/CW78,0),0)</f>
        <v>0</v>
      </c>
      <c r="DA78" s="5">
        <f>IF(CR78="direct",CY78-CZ78,IF(CR78="cash",DK78,CY78))</f>
        <v>0.7102590199305341</v>
      </c>
      <c r="DB78" s="6">
        <v>1</v>
      </c>
      <c r="DC78" s="4">
        <v>1.2465045799780872</v>
      </c>
      <c r="DD78" s="4">
        <v>0</v>
      </c>
      <c r="DE78" s="5">
        <f>IF(CR78="direct",CY78*(CW78-CV78),DH78)</f>
        <v>0.009233367259097094</v>
      </c>
      <c r="DF78" s="5">
        <f>IF(CR78="direct",DD78*CX78*C78/365,0)</f>
        <v>0</v>
      </c>
      <c r="DG78" s="5">
        <f>DE78-DF78</f>
        <v>0.009233367259097094</v>
      </c>
      <c r="DH78" s="4">
        <v>0.009233367259097094</v>
      </c>
      <c r="DI78" s="5">
        <f>DH78-DG78</f>
        <v>0</v>
      </c>
      <c r="DJ78" s="4">
        <v>-0.009233367259097094</v>
      </c>
      <c r="DK78" s="4">
        <v>0</v>
      </c>
      <c r="DL78" s="4">
        <v>1.782</v>
      </c>
      <c r="DM78" s="4">
        <v>1.81</v>
      </c>
      <c r="DN78" s="6">
        <v>-0.015151515151515249</v>
      </c>
      <c r="DO78" s="6">
        <v>0.0608</v>
      </c>
      <c r="DP78" s="6">
        <v>0.2283849403122141</v>
      </c>
      <c r="DQ78" s="9">
        <v>33</v>
      </c>
      <c r="DR78" s="7">
        <f>IFERROR(DG78/F78,0)</f>
        <v>0.007407407407407529</v>
      </c>
      <c r="DS78" t="inlineStr">
        <is>
          <t xml:space="preserve">Lease cash / margin / financing</t>
        </is>
      </c>
      <c r="DT78" t="inlineStr">
        <is>
          <t xml:space="preserve">cash</t>
        </is>
      </c>
      <c r="DU78" t="inlineStr">
        <is>
          <t xml:space="preserve">lease</t>
        </is>
      </c>
      <c r="DV78" t="inlineStr">
        <is>
          <t xml:space="preserve">cash</t>
        </is>
      </c>
      <c r="DW78"/>
      <c r="DX78" s="4">
        <v>1</v>
      </c>
      <c r="DY78" s="4">
        <v>1</v>
      </c>
      <c r="DZ78" s="6"/>
      <c r="EA78" s="4">
        <v>4.440892098500626e-16</v>
      </c>
      <c r="EB78" s="5">
        <f>IF(DT78="direct",IFERROR(EH78/DY78,0),0)</f>
        <v>0</v>
      </c>
      <c r="EC78" s="5">
        <f>IF(DT78="direct",EA78-EB78,IF(DT78="cash",EM78,EA78))</f>
        <v>0.009233367259097555</v>
      </c>
      <c r="ED78" s="6"/>
      <c r="EE78" s="4">
        <v>4.440892098500626e-16</v>
      </c>
      <c r="EF78" s="4">
        <v>4.440892098500626e-16</v>
      </c>
      <c r="EG78" s="5">
        <f>IF(DT78="direct",EA78*(DY78-DX78),EJ78)</f>
        <v>0</v>
      </c>
      <c r="EH78" s="5">
        <f>IF(DT78="direct",EF78*DZ78*C78/365,0)</f>
        <v>0</v>
      </c>
      <c r="EI78" s="5">
        <f>EG78-EH78</f>
        <v>0</v>
      </c>
      <c r="EJ78" s="4">
        <v>0</v>
      </c>
      <c r="EK78" s="5">
        <f>EJ78-EI78</f>
        <v>0</v>
      </c>
      <c r="EL78" s="4">
        <v>0.009233367259097111</v>
      </c>
      <c r="EM78" s="4">
        <v>0.009233367259097555</v>
      </c>
      <c r="EN78" s="4">
        <v>1.782</v>
      </c>
      <c r="EO78" s="4">
        <v>1.81</v>
      </c>
      <c r="EP78" s="6"/>
      <c r="EQ78" s="6"/>
      <c r="ER78" s="6"/>
      <c r="ES78" s="9"/>
      <c r="ET78" s="7">
        <f>IFERROR(EI78/F78,0)</f>
        <v>0</v>
      </c>
      <c r="EU78" t="inlineStr">
        <is>
          <t xml:space="preserve">Keep cash / margin / financing</t>
        </is>
      </c>
      <c r="EV78" t="inlineStr">
        <is>
          <t xml:space="preserve">cash</t>
        </is>
      </c>
      <c r="EW78" t="inlineStr">
        <is>
          <t xml:space="preserve">keep</t>
        </is>
      </c>
      <c r="EX78" t="inlineStr">
        <is>
          <t xml:space="preserve">cash</t>
        </is>
      </c>
      <c r="EY78"/>
      <c r="EZ78" s="4">
        <v>1</v>
      </c>
      <c r="FA78" s="4">
        <v>1</v>
      </c>
      <c r="FB78" s="6"/>
      <c r="FC78" s="4">
        <v>0</v>
      </c>
      <c r="FD78" s="5">
        <f>IF(EV78="direct",IFERROR(FJ78/FA78,0),0)</f>
        <v>0</v>
      </c>
      <c r="FE78" s="5">
        <f>IF(EV78="direct",FC78-FD78,IF(EV78="cash",FO78,FC78))</f>
        <v>0</v>
      </c>
      <c r="FF78" s="6"/>
      <c r="FG78" s="4">
        <v>0</v>
      </c>
      <c r="FH78" s="4">
        <v>0</v>
      </c>
      <c r="FI78" s="5">
        <f>IF(EV78="direct",FC78*(FA78-EZ78),FL78)</f>
        <v>0</v>
      </c>
      <c r="FJ78" s="5">
        <f>IF(EV78="direct",FH78*FB78*C78/365,0)</f>
        <v>0</v>
      </c>
      <c r="FK78" s="5">
        <f>FI78-FJ78</f>
        <v>0</v>
      </c>
      <c r="FL78" s="4">
        <v>0</v>
      </c>
      <c r="FM78" s="5">
        <f>FL78-FK78</f>
        <v>0</v>
      </c>
      <c r="FN78" s="4">
        <v>0</v>
      </c>
      <c r="FO78" s="4">
        <v>0</v>
      </c>
      <c r="FP78" s="4">
        <v>1.782</v>
      </c>
      <c r="FQ78" s="4">
        <v>1.81</v>
      </c>
      <c r="FR78" s="6"/>
      <c r="FS78" s="6"/>
      <c r="FT78" s="6"/>
      <c r="FU78" s="9"/>
      <c r="FV78" s="7">
        <f>IFERROR(FK78/F78,0)</f>
        <v>0</v>
      </c>
      <c r="FW78"/>
      <c r="FX78"/>
      <c r="FY78"/>
      <c r="FZ78"/>
      <c r="GA78"/>
      <c r="GB78" s="4"/>
      <c r="GC78" s="4"/>
      <c r="GD78" s="6"/>
      <c r="GE78" s="4"/>
      <c r="GF78" s="5">
        <v>0</v>
      </c>
      <c r="GG78" s="5"/>
      <c r="GH78" s="6"/>
      <c r="GI78" s="4"/>
      <c r="GJ78" s="4"/>
      <c r="GK78" s="5">
        <v>0</v>
      </c>
      <c r="GL78" s="5">
        <v>0</v>
      </c>
      <c r="GM78" s="5"/>
      <c r="GN78" s="4"/>
      <c r="GO78" s="5">
        <v>0</v>
      </c>
      <c r="GP78" s="4"/>
      <c r="GQ78" s="4"/>
      <c r="GR78" s="4"/>
      <c r="GS78" s="4"/>
      <c r="GT78" s="6"/>
      <c r="GU78" s="6"/>
      <c r="GV78" s="6"/>
      <c r="GW78" s="9"/>
      <c r="GX78"/>
      <c r="GY78"/>
      <c r="GZ78"/>
      <c r="HA78"/>
      <c r="HB78"/>
      <c r="HC78"/>
      <c r="HD78" s="4"/>
      <c r="HE78" s="4"/>
      <c r="HF78" s="6"/>
      <c r="HG78" s="4"/>
      <c r="HH78" s="5">
        <v>0</v>
      </c>
      <c r="HI78" s="5"/>
      <c r="HJ78" s="6"/>
      <c r="HK78" s="4"/>
      <c r="HL78" s="4"/>
      <c r="HM78" s="5">
        <v>0</v>
      </c>
      <c r="HN78" s="5">
        <v>0</v>
      </c>
      <c r="HO78" s="5"/>
      <c r="HP78" s="4"/>
      <c r="HQ78" s="5">
        <v>0</v>
      </c>
      <c r="HR78" s="4"/>
      <c r="HS78" s="4"/>
      <c r="HT78" s="4"/>
      <c r="HU78" s="4"/>
      <c r="HV78" s="6"/>
      <c r="HW78" s="6"/>
      <c r="HX78" s="6"/>
      <c r="HY78" s="9"/>
      <c r="HZ78"/>
      <c r="IA78"/>
      <c r="IB78"/>
      <c r="IC78"/>
      <c r="ID78"/>
      <c r="IE78"/>
      <c r="IF78" s="4"/>
      <c r="IG78" s="4"/>
      <c r="IH78" s="6"/>
      <c r="II78" s="4"/>
      <c r="IJ78" s="5">
        <v>0</v>
      </c>
      <c r="IK78" s="5"/>
      <c r="IL78" s="6"/>
      <c r="IM78" s="4"/>
      <c r="IN78" s="4"/>
      <c r="IO78" s="5">
        <v>0</v>
      </c>
      <c r="IP78" s="5">
        <v>0</v>
      </c>
      <c r="IQ78" s="5"/>
      <c r="IR78" s="4"/>
      <c r="IS78" s="5">
        <v>0</v>
      </c>
      <c r="IT78" s="4"/>
      <c r="IU78" s="4"/>
      <c r="IV78" s="4"/>
      <c r="IW78" s="4"/>
      <c r="IX78" s="6"/>
      <c r="IY78" s="6"/>
      <c r="IZ78" s="6"/>
      <c r="JA78" s="9"/>
      <c r="JB78"/>
      <c r="JC78"/>
      <c r="JD78"/>
      <c r="JE78"/>
      <c r="JF78"/>
      <c r="JG78"/>
      <c r="JH78" s="4"/>
      <c r="JI78" s="4"/>
      <c r="JJ78" s="6"/>
      <c r="JK78" s="4"/>
      <c r="JL78" s="5">
        <v>0</v>
      </c>
      <c r="JM78" s="5"/>
      <c r="JN78" s="6"/>
      <c r="JO78" s="4"/>
      <c r="JP78" s="4"/>
      <c r="JQ78" s="5">
        <v>0</v>
      </c>
      <c r="JR78" s="5">
        <v>0</v>
      </c>
      <c r="JS78" s="5"/>
      <c r="JT78" s="4"/>
      <c r="JU78" s="5">
        <v>0</v>
      </c>
      <c r="JV78" s="4"/>
      <c r="JW78" s="4"/>
      <c r="JX78" s="4"/>
      <c r="JY78" s="4"/>
      <c r="JZ78" s="6"/>
      <c r="KA78" s="6"/>
      <c r="KB78" s="6"/>
      <c r="KC78" s="9"/>
      <c r="KD78"/>
      <c r="KE78"/>
      <c r="KF78"/>
      <c r="KG78"/>
      <c r="KH78"/>
      <c r="KI78"/>
      <c r="KJ78" s="4"/>
      <c r="KK78" s="4"/>
      <c r="KL78" s="6"/>
      <c r="KM78" s="4"/>
      <c r="KN78" s="5">
        <v>0</v>
      </c>
      <c r="KO78" s="5"/>
      <c r="KP78" s="6"/>
      <c r="KQ78" s="4"/>
      <c r="KR78" s="4"/>
      <c r="KS78" s="5">
        <v>0</v>
      </c>
      <c r="KT78" s="5">
        <v>0</v>
      </c>
      <c r="KU78" s="5"/>
      <c r="KV78" s="4"/>
      <c r="KW78" s="5">
        <v>0</v>
      </c>
      <c r="KX78" s="4"/>
      <c r="KY78" s="4"/>
      <c r="KZ78" s="4"/>
      <c r="LA78" s="4"/>
      <c r="LB78" s="6"/>
      <c r="LC78" s="6"/>
      <c r="LD78" s="6"/>
      <c r="LE78" s="9"/>
      <c r="LF78"/>
      <c r="LG78"/>
      <c r="LH78"/>
      <c r="LI78"/>
      <c r="LJ78"/>
      <c r="LK78"/>
      <c r="LL78" s="4"/>
      <c r="LM78" s="4"/>
      <c r="LN78" s="6"/>
      <c r="LO78" s="4"/>
      <c r="LP78" s="5">
        <v>0</v>
      </c>
      <c r="LQ78" s="5"/>
      <c r="LR78" s="6"/>
      <c r="LS78" s="4"/>
      <c r="LT78" s="4"/>
      <c r="LU78" s="5">
        <v>0</v>
      </c>
      <c r="LV78" s="5">
        <v>0</v>
      </c>
      <c r="LW78" s="5"/>
      <c r="LX78" s="4"/>
      <c r="LY78" s="5">
        <v>0</v>
      </c>
      <c r="LZ78" s="4"/>
      <c r="MA78" s="4"/>
      <c r="MB78" s="4"/>
      <c r="MC78" s="4"/>
      <c r="MD78" s="6"/>
      <c r="ME78" s="6"/>
      <c r="MF78" s="6"/>
      <c r="MG78" s="9"/>
      <c r="MH78"/>
    </row>
    <row r="79">
      <c r="A79" s="8">
        <v>25321</v>
      </c>
      <c r="B79" s="8">
        <v>25322</v>
      </c>
      <c r="C79" s="9">
        <f>B79-A79</f>
        <v>1</v>
      </c>
      <c r="D79" s="8">
        <v>25321</v>
      </c>
      <c r="E79" t="inlineStr">
        <is>
          <t xml:space="preserve">positive</t>
        </is>
      </c>
      <c r="F79" s="4">
        <v>1.2563608580190693</v>
      </c>
      <c r="G79" s="6">
        <v>-0.01567272051075441</v>
      </c>
      <c r="H79" s="7">
        <f>SUM(CP79,DR79,ET79,FV79,GX79,HZ79,JB79,KD79,LF79,MH79)</f>
        <v>-0.01567272051075441</v>
      </c>
      <c r="I79" s="7">
        <f>G79-H79</f>
        <v>0</v>
      </c>
      <c r="J79" s="5">
        <f>F79*(1+H79)</f>
        <v>1.2366702654306847</v>
      </c>
      <c r="K79" s="4">
        <v>1.2366702654306847</v>
      </c>
      <c r="L79" s="5">
        <f>K79-J79</f>
        <v>0</v>
      </c>
      <c r="M79" s="4">
        <v>1.81</v>
      </c>
      <c r="N79" s="4">
        <v>1.794</v>
      </c>
      <c r="O79" s="5">
        <f>M79/$M$3</f>
        <v>0.9244126659856997</v>
      </c>
      <c r="P79" s="5">
        <f>N79/$M$3</f>
        <v>0.9162410623084781</v>
      </c>
      <c r="Q79" s="7">
        <f>IFERROR(N79/M79-1,0)</f>
        <v>-0.008839779005524906</v>
      </c>
      <c r="R79" s="5">
        <f>SUM(IF(BQ79="lease",CB79,0),IF(CS79="lease",DD79,0),IF(DU79="lease",EF79,0),IF(EW79="lease",FH79,0),IF(FY79="lease",GJ79,0),IF(HA79="lease",HL79,0),IF(IC79="lease",IN79,0),IF(JE79="lease",JP79,0),IF(KG79="lease",KR79,0),IF(LI79="lease",LT79,0))</f>
        <v>1.2563608580190697</v>
      </c>
      <c r="S79" s="5">
        <f>SUM(IF(BQ79="lease",CI79,0),IF(CS79="lease",DK79,0),IF(DU79="lease",EM79,0),IF(EW79="lease",FO79,0),IF(FY79="lease",GQ79,0),IF(HA79="lease",HS79,0),IF(IC79="lease",IU79,0),IF(JE79="lease",JW79,0),IF(KG79="lease",KY79,0),IF(LI79="lease",MA79,0))</f>
        <v>1.2366702654306851</v>
      </c>
      <c r="T79" s="5">
        <f>SUM(IF(BQ79="keep",CB79,0),IF(CS79="keep",DD79,0),IF(DU79="keep",EF79,0),IF(EW79="keep",FH79,0),IF(FY79="keep",GJ79,0),IF(HA79="keep",HL79,0),IF(IC79="keep",IN79,0),IF(JE79="keep",JP79,0),IF(KG79="keep",KR79,0),IF(LI79="keep",LT79,0))</f>
        <v>0</v>
      </c>
      <c r="U79" s="5">
        <f>SUM(IF(BQ79="keep",CI79,0),IF(CS79="keep",DK79,0),IF(DU79="keep",EM79,0),IF(EW79="keep",FO79,0),IF(FY79="keep",GQ79,0),IF(HA79="keep",HS79,0),IF(IC79="keep",IU79,0),IF(JE79="keep",JW79,0),IF(KG79="keep",KY79,0),IF(LI79="keep",MA79,0))</f>
        <v>0</v>
      </c>
      <c r="V79" s="5">
        <f>R79/O79</f>
        <v>1.3590909171278114</v>
      </c>
      <c r="W79" s="5">
        <f>S79/P79</f>
        <v>1.3497215048569016</v>
      </c>
      <c r="X79" s="5">
        <f>T79/O79</f>
        <v>0</v>
      </c>
      <c r="Y79" s="5">
        <f>U79/P79</f>
        <v>0</v>
      </c>
      <c r="Z79" s="5">
        <f>V79+X79</f>
        <v>1.3590909171278114</v>
      </c>
      <c r="AA79" s="7">
        <f>IFERROR(W79/V79-1,0)</f>
        <v>-0.006893881897695464</v>
      </c>
      <c r="AB79" s="7">
        <f>IFERROR((W79-V79)/Z79,0)</f>
        <v>-0.006893881897695516</v>
      </c>
      <c r="AC79" s="7">
        <f>IFERROR(Y79/X79-1,0)</f>
        <v>0</v>
      </c>
      <c r="AD79" s="7">
        <f>IFERROR((Y79-X79)/Z79,0)</f>
        <v>0</v>
      </c>
      <c r="AE79" s="7">
        <f>AB79+AD79</f>
        <v>-0.006893881897695516</v>
      </c>
      <c r="AF79" s="7">
        <f>(1+Q79)*(1+AE79)-1</f>
        <v>-0.015672720510754523</v>
      </c>
      <c r="AG79" s="7">
        <f>G79-AF79</f>
        <v>1.1449174941446927e-16</v>
      </c>
      <c r="AH79" s="5">
        <f>SUM(IF(BQ79="lease",CE79,0),IF(CS79="lease",DG79,0),IF(DU79="lease",EI79,0),IF(EW79="lease",FK79,0),IF(FY79="lease",GM79,0),IF(HA79="lease",HO79,0),IF(IC79="lease",IQ79,0),IF(JE79="lease",JS79,0),IF(KG79="lease",KU79,0),IF(LI79="lease",LW79,0))</f>
        <v>-0.019690592588384476</v>
      </c>
      <c r="AI79" s="5">
        <f>SUM(IF(BQ79="keep",CE79,0),IF(CS79="keep",DG79,0),IF(DU79="keep",EI79,0),IF(EW79="keep",FK79,0),IF(FY79="keep",GM79,0),IF(HA79="keep",HO79,0),IF(IC79="keep",IQ79,0),IF(JE79="keep",JS79,0),IF(KG79="keep",KU79,0),IF(LI79="keep",LW79,0))</f>
        <v>0</v>
      </c>
      <c r="AJ79" s="5">
        <f>SUM(IF(BQ79="lease",CH79,0),IF(CS79="lease",DJ79,0),IF(DU79="lease",EL79,0),IF(EW79="lease",FN79,0),IF(FY79="lease",GP79,0),IF(HA79="lease",HR79,0),IF(IC79="lease",IT79,0),IF(JE79="lease",JV79,0),IF(KG79="lease",KX79,0),IF(LI79="lease",LZ79,0))</f>
        <v>0</v>
      </c>
      <c r="AK79" s="5">
        <f>SUM(IF(BQ79="keep",CH79,0),IF(CS79="keep",DJ79,0),IF(DU79="keep",EL79,0),IF(EW79="keep",FN79,0),IF(FY79="keep",GP79,0),IF(HA79="keep",HR79,0),IF(IC79="keep",IT79,0),IF(JE79="keep",JV79,0),IF(KG79="keep",KX79,0),IF(LI79="keep",LZ79,0))</f>
        <v>0</v>
      </c>
      <c r="AL79" s="5">
        <f>R79-S78</f>
        <v>0</v>
      </c>
      <c r="AM79" s="5">
        <f>T79-U78</f>
        <v>0</v>
      </c>
      <c r="AN79" s="5">
        <f>AN78</f>
        <v>1</v>
      </c>
      <c r="AO79" s="5">
        <f>AO78+AH79</f>
        <v>0.23667026543068534</v>
      </c>
      <c r="AP79" s="5">
        <f>AP78+AL79</f>
        <v>-4.440892098500626e-16</v>
      </c>
      <c r="AQ79" s="5">
        <f>AN79+AO79+AP79</f>
        <v>1.236670265430685</v>
      </c>
      <c r="AR79" s="5">
        <f>S79-AQ79</f>
        <v>2.220446049250313e-16</v>
      </c>
      <c r="AS79" s="5">
        <f>AS78</f>
        <v>0</v>
      </c>
      <c r="AT79" s="5">
        <f>AT78+AI79</f>
        <v>0</v>
      </c>
      <c r="AU79" s="5">
        <f>AU78+AM79</f>
        <v>0</v>
      </c>
      <c r="AV79" s="5">
        <f>AS79+AT79+AU79</f>
        <v>0</v>
      </c>
      <c r="AW79" s="5">
        <f>U79-AV79</f>
        <v>0</v>
      </c>
      <c r="AX79" s="4">
        <v>1.2563608580190697</v>
      </c>
      <c r="AY79" s="4">
        <v>1.2366702654306851</v>
      </c>
      <c r="AZ79" s="5">
        <f>S79-AY79</f>
        <v>0</v>
      </c>
      <c r="BA79" s="4">
        <v>0</v>
      </c>
      <c r="BB79" s="4">
        <v>0</v>
      </c>
      <c r="BC79" s="5">
        <f>U79-BB79</f>
        <v>0</v>
      </c>
      <c r="BD79" s="7">
        <f>SUM(IF(BP79="direct",CC79/F79,0),IF(CR79="direct",DE79/F79,0),IF(DT79="direct",EG79/F79,0),IF(EV79="direct",FI79/F79,0),IF(FX79="direct",GK79/F79,0),IF(GZ79="direct",HM79/F79,0),IF(IB79="direct",IO79/F79,0),IF(JD79="direct",JQ79/F79,0),IF(KF79="direct",KS79/F79,0),IF(LH79="direct",LU79/F79,0))</f>
        <v>0</v>
      </c>
      <c r="BE79" s="7">
        <f>-SUM(IF(BP79="direct",CD79/F79,0),IF(CR79="direct",DF79/F79,0),IF(DT79="direct",EH79/F79,0),IF(EV79="direct",FJ79/F79,0),IF(FX79="direct",GL79/F79,0),IF(GZ79="direct",HN79/F79,0),IF(IB79="direct",IP79/F79,0),IF(JD79="direct",JR79/F79,0),IF(KF79="direct",KT79/F79,0),IF(LH79="direct",LV79/F79,0))</f>
        <v>0</v>
      </c>
      <c r="BF79" s="7">
        <f>BD79+BE79</f>
        <v>0</v>
      </c>
      <c r="BG79" s="7">
        <f>BF79-SUM(IF(BP79="direct",CP79,0),IF(CR79="direct",DR79,0),IF(DT79="direct",ET79,0),IF(EV79="direct",FV79,0),IF(FX79="direct",GX79,0),IF(GZ79="direct",HZ79,0),IF(IB79="direct",JB79,0),IF(JD79="direct",KD79,0),IF(KF79="direct",LF79,0),IF(LH79="direct",MH79,0))</f>
        <v>0</v>
      </c>
      <c r="BH79" s="7">
        <f>SUM(IF(BP79="treasury",CP79,0),IF(CR79="treasury",DR79,0),IF(DT79="treasury",ET79,0),IF(EV79="treasury",FV79,0),IF(FX79="treasury",GX79,0),IF(GZ79="treasury",HZ79,0),IF(IB79="treasury",JB79,0),IF(JD79="treasury",KD79,0),IF(KF79="treasury",LF79,0),IF(LH79="treasury",MH79,0))</f>
        <v>0.00016438356164383562</v>
      </c>
      <c r="BI79" s="7">
        <f>SUM(IF(BP79="future",CP79,0),IF(CR79="future",DR79,0),IF(DT79="future",ET79,0),IF(EV79="future",FV79,0),IF(FX79="future",GX79,0),IF(GZ79="future",HZ79,0),IF(IB79="future",JB79,0),IF(JD79="future",KD79,0),IF(KF79="future",LF79,0),IF(LH79="future",MH79,0))</f>
        <v>-0.015837104072398245</v>
      </c>
      <c r="BJ79" s="7">
        <f>SUM(IF(BP79="cash",CP79,0),IF(CR79="cash",DR79,0),IF(DT79="cash",ET79,0),IF(EV79="cash",FV79,0),IF(FX79="cash",GX79,0),IF(GZ79="cash",HZ79,0),IF(IB79="cash",JB79,0),IF(JD79="cash",KD79,0),IF(KF79="cash",LF79,0),IF(LH79="cash",MH79,0))</f>
        <v>0</v>
      </c>
      <c r="BK79" s="7">
        <f>SUM(BF79,BH79,BI79,BJ79)</f>
        <v>-0.01567272051075441</v>
      </c>
      <c r="BL79" s="7">
        <f>G79-BK79</f>
        <v>0</v>
      </c>
      <c r="BM79" s="5">
        <f>MAX(ABS(CG79),ABS(DI79),ABS(EK79),ABS(FM79),ABS(GO79),ABS(HQ79),ABS(IS79),ABS(JU79),ABS(KW79),ABS(LY79))</f>
        <v>8.885036803518709e-17</v>
      </c>
      <c r="BN79" s="9">
        <f>COUNTA(BO79,CQ79,DS79,EU79,FW79,GY79,IA79,JC79,KE79,LG79)</f>
        <v>4</v>
      </c>
      <c r="BO79" t="inlineStr">
        <is>
          <t xml:space="preserve">Treasury collateral</t>
        </is>
      </c>
      <c r="BP79" t="inlineStr">
        <is>
          <t xml:space="preserve">treasury</t>
        </is>
      </c>
      <c r="BQ79" t="inlineStr">
        <is>
          <t xml:space="preserve">lease</t>
        </is>
      </c>
      <c r="BR79" t="inlineStr">
        <is>
          <t xml:space="preserve">long</t>
        </is>
      </c>
      <c r="BS79"/>
      <c r="BT79" s="4">
        <v>101.95788343949516</v>
      </c>
      <c r="BU79" s="4">
        <v>101.9746436395126</v>
      </c>
      <c r="BV79" s="6"/>
      <c r="BW79" s="4">
        <v>0.012322351304640716</v>
      </c>
      <c r="BX79" s="5">
        <f>IF(BP79="direct",IFERROR(CD79/BU79,0),0)</f>
        <v>0</v>
      </c>
      <c r="BY79" s="5">
        <f>IF(BP79="direct",BW79-BX79,IF(BP79="cash",CI79,BW79))</f>
        <v>0.012322351304640716</v>
      </c>
      <c r="BZ79" s="6">
        <v>1</v>
      </c>
      <c r="CA79" s="4">
        <v>1.2563608580190693</v>
      </c>
      <c r="CB79" s="4">
        <v>1.2563608580190693</v>
      </c>
      <c r="CC79" s="5">
        <f>IF(BP79="direct",BW79*(BU79-BT79),CF79)</f>
        <v>0.00020652507255099103</v>
      </c>
      <c r="CD79" s="5">
        <f>IF(BP79="direct",CB79*BV79*C79/365,0)</f>
        <v>0</v>
      </c>
      <c r="CE79" s="5">
        <f>CC79-CD79</f>
        <v>0.00020652507255107988</v>
      </c>
      <c r="CF79" s="4">
        <v>0.00020652507255107988</v>
      </c>
      <c r="CG79" s="5">
        <f>CF79-CE79</f>
        <v>8.885036803518709e-17</v>
      </c>
      <c r="CH79" s="4">
        <v>-1.5720931501039814e-16</v>
      </c>
      <c r="CI79" s="4">
        <v>1.2565673830916202</v>
      </c>
      <c r="CJ79" s="4">
        <v>1.81</v>
      </c>
      <c r="CK79" s="4">
        <v>1.794</v>
      </c>
      <c r="CL79" s="6"/>
      <c r="CM79" s="6"/>
      <c r="CN79" s="6"/>
      <c r="CO79" s="9">
        <v>30</v>
      </c>
      <c r="CP79" s="7">
        <f>IFERROR(CE79/F79,0)</f>
        <v>0.00016438356164383562</v>
      </c>
      <c r="CQ79" t="inlineStr">
        <is>
          <t xml:space="preserve">SI69K</t>
        </is>
      </c>
      <c r="CR79" t="inlineStr">
        <is>
          <t xml:space="preserve">future</t>
        </is>
      </c>
      <c r="CS79" t="inlineStr">
        <is>
          <t xml:space="preserve">lease</t>
        </is>
      </c>
      <c r="CT79" t="inlineStr">
        <is>
          <t xml:space="preserve">long</t>
        </is>
      </c>
      <c r="CU79" t="inlineStr">
        <is>
          <t xml:space="preserve">regular</t>
        </is>
      </c>
      <c r="CV79" s="4">
        <v>1.768</v>
      </c>
      <c r="CW79" s="4">
        <v>1.74</v>
      </c>
      <c r="CX79" s="6"/>
      <c r="CY79" s="4">
        <v>0.7106113450334102</v>
      </c>
      <c r="CZ79" s="5">
        <f>IF(CR79="direct",IFERROR(DF79/CW79,0),0)</f>
        <v>0</v>
      </c>
      <c r="DA79" s="5">
        <f>IF(CR79="direct",CY79-CZ79,IF(CR79="cash",DK79,CY79))</f>
        <v>0.7106113450334102</v>
      </c>
      <c r="DB79" s="6">
        <v>1</v>
      </c>
      <c r="DC79" s="4">
        <v>1.2563608580190693</v>
      </c>
      <c r="DD79" s="4">
        <v>0</v>
      </c>
      <c r="DE79" s="5">
        <f>IF(CR79="direct",CY79*(CW79-CV79),DH79)</f>
        <v>-0.019897117660935555</v>
      </c>
      <c r="DF79" s="5">
        <f>IF(CR79="direct",DD79*CX79*C79/365,0)</f>
        <v>0</v>
      </c>
      <c r="DG79" s="5">
        <f>DE79-DF79</f>
        <v>-0.019897117660935555</v>
      </c>
      <c r="DH79" s="4">
        <v>-0.019897117660935555</v>
      </c>
      <c r="DI79" s="5">
        <f>DH79-DG79</f>
        <v>0</v>
      </c>
      <c r="DJ79" s="4">
        <v>0.019897117660935555</v>
      </c>
      <c r="DK79" s="4">
        <v>0</v>
      </c>
      <c r="DL79" s="4">
        <v>1.81</v>
      </c>
      <c r="DM79" s="4">
        <v>1.794</v>
      </c>
      <c r="DN79" s="6">
        <v>-0.023204419889502836</v>
      </c>
      <c r="DO79" s="6">
        <v>0.06</v>
      </c>
      <c r="DP79" s="6">
        <v>0.3423204419889512</v>
      </c>
      <c r="DQ79" s="9">
        <v>30</v>
      </c>
      <c r="DR79" s="7">
        <f>IFERROR(DG79/F79,0)</f>
        <v>-0.015837104072398245</v>
      </c>
      <c r="DS79" t="inlineStr">
        <is>
          <t xml:space="preserve">Lease cash / margin / financing</t>
        </is>
      </c>
      <c r="DT79" t="inlineStr">
        <is>
          <t xml:space="preserve">cash</t>
        </is>
      </c>
      <c r="DU79" t="inlineStr">
        <is>
          <t xml:space="preserve">lease</t>
        </is>
      </c>
      <c r="DV79" t="inlineStr">
        <is>
          <t xml:space="preserve">cash</t>
        </is>
      </c>
      <c r="DW79"/>
      <c r="DX79" s="4">
        <v>1</v>
      </c>
      <c r="DY79" s="4">
        <v>1</v>
      </c>
      <c r="DZ79" s="6"/>
      <c r="EA79" s="4">
        <v>4.440892098500626e-16</v>
      </c>
      <c r="EB79" s="5">
        <f>IF(DT79="direct",IFERROR(EH79/DY79,0),0)</f>
        <v>0</v>
      </c>
      <c r="EC79" s="5">
        <f>IF(DT79="direct",EA79-EB79,IF(DT79="cash",EM79,EA79))</f>
        <v>-0.019897117660934955</v>
      </c>
      <c r="ED79" s="6"/>
      <c r="EE79" s="4">
        <v>4.440892098500626e-16</v>
      </c>
      <c r="EF79" s="4">
        <v>4.440892098500626e-16</v>
      </c>
      <c r="EG79" s="5">
        <f>IF(DT79="direct",EA79*(DY79-DX79),EJ79)</f>
        <v>0</v>
      </c>
      <c r="EH79" s="5">
        <f>IF(DT79="direct",EF79*DZ79*C79/365,0)</f>
        <v>0</v>
      </c>
      <c r="EI79" s="5">
        <f>EG79-EH79</f>
        <v>0</v>
      </c>
      <c r="EJ79" s="4">
        <v>0</v>
      </c>
      <c r="EK79" s="5">
        <f>EJ79-EI79</f>
        <v>0</v>
      </c>
      <c r="EL79" s="4">
        <v>-0.0198971176609354</v>
      </c>
      <c r="EM79" s="4">
        <v>-0.019897117660934955</v>
      </c>
      <c r="EN79" s="4">
        <v>1.81</v>
      </c>
      <c r="EO79" s="4">
        <v>1.794</v>
      </c>
      <c r="EP79" s="6"/>
      <c r="EQ79" s="6"/>
      <c r="ER79" s="6"/>
      <c r="ES79" s="9"/>
      <c r="ET79" s="7">
        <f>IFERROR(EI79/F79,0)</f>
        <v>0</v>
      </c>
      <c r="EU79" t="inlineStr">
        <is>
          <t xml:space="preserve">Keep cash / margin / financing</t>
        </is>
      </c>
      <c r="EV79" t="inlineStr">
        <is>
          <t xml:space="preserve">cash</t>
        </is>
      </c>
      <c r="EW79" t="inlineStr">
        <is>
          <t xml:space="preserve">keep</t>
        </is>
      </c>
      <c r="EX79" t="inlineStr">
        <is>
          <t xml:space="preserve">cash</t>
        </is>
      </c>
      <c r="EY79"/>
      <c r="EZ79" s="4">
        <v>1</v>
      </c>
      <c r="FA79" s="4">
        <v>1</v>
      </c>
      <c r="FB79" s="6"/>
      <c r="FC79" s="4">
        <v>0</v>
      </c>
      <c r="FD79" s="5">
        <f>IF(EV79="direct",IFERROR(FJ79/FA79,0),0)</f>
        <v>0</v>
      </c>
      <c r="FE79" s="5">
        <f>IF(EV79="direct",FC79-FD79,IF(EV79="cash",FO79,FC79))</f>
        <v>0</v>
      </c>
      <c r="FF79" s="6"/>
      <c r="FG79" s="4">
        <v>0</v>
      </c>
      <c r="FH79" s="4">
        <v>0</v>
      </c>
      <c r="FI79" s="5">
        <f>IF(EV79="direct",FC79*(FA79-EZ79),FL79)</f>
        <v>0</v>
      </c>
      <c r="FJ79" s="5">
        <f>IF(EV79="direct",FH79*FB79*C79/365,0)</f>
        <v>0</v>
      </c>
      <c r="FK79" s="5">
        <f>FI79-FJ79</f>
        <v>0</v>
      </c>
      <c r="FL79" s="4">
        <v>0</v>
      </c>
      <c r="FM79" s="5">
        <f>FL79-FK79</f>
        <v>0</v>
      </c>
      <c r="FN79" s="4">
        <v>0</v>
      </c>
      <c r="FO79" s="4">
        <v>0</v>
      </c>
      <c r="FP79" s="4">
        <v>1.81</v>
      </c>
      <c r="FQ79" s="4">
        <v>1.794</v>
      </c>
      <c r="FR79" s="6"/>
      <c r="FS79" s="6"/>
      <c r="FT79" s="6"/>
      <c r="FU79" s="9"/>
      <c r="FV79" s="7">
        <f>IFERROR(FK79/F79,0)</f>
        <v>0</v>
      </c>
      <c r="FW79"/>
      <c r="FX79"/>
      <c r="FY79"/>
      <c r="FZ79"/>
      <c r="GA79"/>
      <c r="GB79" s="4"/>
      <c r="GC79" s="4"/>
      <c r="GD79" s="6"/>
      <c r="GE79" s="4"/>
      <c r="GF79" s="5">
        <v>0</v>
      </c>
      <c r="GG79" s="5"/>
      <c r="GH79" s="6"/>
      <c r="GI79" s="4"/>
      <c r="GJ79" s="4"/>
      <c r="GK79" s="5">
        <v>0</v>
      </c>
      <c r="GL79" s="5">
        <v>0</v>
      </c>
      <c r="GM79" s="5"/>
      <c r="GN79" s="4"/>
      <c r="GO79" s="5">
        <v>0</v>
      </c>
      <c r="GP79" s="4"/>
      <c r="GQ79" s="4"/>
      <c r="GR79" s="4"/>
      <c r="GS79" s="4"/>
      <c r="GT79" s="6"/>
      <c r="GU79" s="6"/>
      <c r="GV79" s="6"/>
      <c r="GW79" s="9"/>
      <c r="GX79"/>
      <c r="GY79"/>
      <c r="GZ79"/>
      <c r="HA79"/>
      <c r="HB79"/>
      <c r="HC79"/>
      <c r="HD79" s="4"/>
      <c r="HE79" s="4"/>
      <c r="HF79" s="6"/>
      <c r="HG79" s="4"/>
      <c r="HH79" s="5">
        <v>0</v>
      </c>
      <c r="HI79" s="5"/>
      <c r="HJ79" s="6"/>
      <c r="HK79" s="4"/>
      <c r="HL79" s="4"/>
      <c r="HM79" s="5">
        <v>0</v>
      </c>
      <c r="HN79" s="5">
        <v>0</v>
      </c>
      <c r="HO79" s="5"/>
      <c r="HP79" s="4"/>
      <c r="HQ79" s="5">
        <v>0</v>
      </c>
      <c r="HR79" s="4"/>
      <c r="HS79" s="4"/>
      <c r="HT79" s="4"/>
      <c r="HU79" s="4"/>
      <c r="HV79" s="6"/>
      <c r="HW79" s="6"/>
      <c r="HX79" s="6"/>
      <c r="HY79" s="9"/>
      <c r="HZ79"/>
      <c r="IA79"/>
      <c r="IB79"/>
      <c r="IC79"/>
      <c r="ID79"/>
      <c r="IE79"/>
      <c r="IF79" s="4"/>
      <c r="IG79" s="4"/>
      <c r="IH79" s="6"/>
      <c r="II79" s="4"/>
      <c r="IJ79" s="5">
        <v>0</v>
      </c>
      <c r="IK79" s="5"/>
      <c r="IL79" s="6"/>
      <c r="IM79" s="4"/>
      <c r="IN79" s="4"/>
      <c r="IO79" s="5">
        <v>0</v>
      </c>
      <c r="IP79" s="5">
        <v>0</v>
      </c>
      <c r="IQ79" s="5"/>
      <c r="IR79" s="4"/>
      <c r="IS79" s="5">
        <v>0</v>
      </c>
      <c r="IT79" s="4"/>
      <c r="IU79" s="4"/>
      <c r="IV79" s="4"/>
      <c r="IW79" s="4"/>
      <c r="IX79" s="6"/>
      <c r="IY79" s="6"/>
      <c r="IZ79" s="6"/>
      <c r="JA79" s="9"/>
      <c r="JB79"/>
      <c r="JC79"/>
      <c r="JD79"/>
      <c r="JE79"/>
      <c r="JF79"/>
      <c r="JG79"/>
      <c r="JH79" s="4"/>
      <c r="JI79" s="4"/>
      <c r="JJ79" s="6"/>
      <c r="JK79" s="4"/>
      <c r="JL79" s="5">
        <v>0</v>
      </c>
      <c r="JM79" s="5"/>
      <c r="JN79" s="6"/>
      <c r="JO79" s="4"/>
      <c r="JP79" s="4"/>
      <c r="JQ79" s="5">
        <v>0</v>
      </c>
      <c r="JR79" s="5">
        <v>0</v>
      </c>
      <c r="JS79" s="5"/>
      <c r="JT79" s="4"/>
      <c r="JU79" s="5">
        <v>0</v>
      </c>
      <c r="JV79" s="4"/>
      <c r="JW79" s="4"/>
      <c r="JX79" s="4"/>
      <c r="JY79" s="4"/>
      <c r="JZ79" s="6"/>
      <c r="KA79" s="6"/>
      <c r="KB79" s="6"/>
      <c r="KC79" s="9"/>
      <c r="KD79"/>
      <c r="KE79"/>
      <c r="KF79"/>
      <c r="KG79"/>
      <c r="KH79"/>
      <c r="KI79"/>
      <c r="KJ79" s="4"/>
      <c r="KK79" s="4"/>
      <c r="KL79" s="6"/>
      <c r="KM79" s="4"/>
      <c r="KN79" s="5">
        <v>0</v>
      </c>
      <c r="KO79" s="5"/>
      <c r="KP79" s="6"/>
      <c r="KQ79" s="4"/>
      <c r="KR79" s="4"/>
      <c r="KS79" s="5">
        <v>0</v>
      </c>
      <c r="KT79" s="5">
        <v>0</v>
      </c>
      <c r="KU79" s="5"/>
      <c r="KV79" s="4"/>
      <c r="KW79" s="5">
        <v>0</v>
      </c>
      <c r="KX79" s="4"/>
      <c r="KY79" s="4"/>
      <c r="KZ79" s="4"/>
      <c r="LA79" s="4"/>
      <c r="LB79" s="6"/>
      <c r="LC79" s="6"/>
      <c r="LD79" s="6"/>
      <c r="LE79" s="9"/>
      <c r="LF79"/>
      <c r="LG79"/>
      <c r="LH79"/>
      <c r="LI79"/>
      <c r="LJ79"/>
      <c r="LK79"/>
      <c r="LL79" s="4"/>
      <c r="LM79" s="4"/>
      <c r="LN79" s="6"/>
      <c r="LO79" s="4"/>
      <c r="LP79" s="5">
        <v>0</v>
      </c>
      <c r="LQ79" s="5"/>
      <c r="LR79" s="6"/>
      <c r="LS79" s="4"/>
      <c r="LT79" s="4"/>
      <c r="LU79" s="5">
        <v>0</v>
      </c>
      <c r="LV79" s="5">
        <v>0</v>
      </c>
      <c r="LW79" s="5"/>
      <c r="LX79" s="4"/>
      <c r="LY79" s="5">
        <v>0</v>
      </c>
      <c r="LZ79" s="4"/>
      <c r="MA79" s="4"/>
      <c r="MB79" s="4"/>
      <c r="MC79" s="4"/>
      <c r="MD79" s="6"/>
      <c r="ME79" s="6"/>
      <c r="MF79" s="6"/>
      <c r="MG79" s="9"/>
      <c r="MH79"/>
    </row>
    <row r="80">
      <c r="A80" s="8">
        <v>25322</v>
      </c>
      <c r="B80" s="8">
        <v>25323</v>
      </c>
      <c r="C80" s="9">
        <f>B80-A80</f>
        <v>1</v>
      </c>
      <c r="D80" s="8">
        <v>25322</v>
      </c>
      <c r="E80" t="inlineStr">
        <is>
          <t xml:space="preserve">positive</t>
        </is>
      </c>
      <c r="F80" s="4">
        <v>1.2366702654306847</v>
      </c>
      <c r="G80" s="6">
        <v>0.0007369044245000614</v>
      </c>
      <c r="H80" s="7">
        <f>SUM(CP80,DR80,ET80,FV80,GX80,HZ80,JB80,KD80,LF80,MH80)</f>
        <v>0.0007369044245000614</v>
      </c>
      <c r="I80" s="7">
        <f>G80-H80</f>
        <v>0</v>
      </c>
      <c r="J80" s="5">
        <f>F80*(1+H80)</f>
        <v>1.237581573220928</v>
      </c>
      <c r="K80" s="4">
        <v>1.237581573220928</v>
      </c>
      <c r="L80" s="5">
        <f>K80-J80</f>
        <v>0</v>
      </c>
      <c r="M80" s="4">
        <v>1.794</v>
      </c>
      <c r="N80" s="4">
        <v>1.776</v>
      </c>
      <c r="O80" s="5">
        <f>M80/$M$3</f>
        <v>0.9162410623084781</v>
      </c>
      <c r="P80" s="5">
        <f>N80/$M$3</f>
        <v>0.9070480081716037</v>
      </c>
      <c r="Q80" s="7">
        <f>IFERROR(N80/M80-1,0)</f>
        <v>-0.010033444816053505</v>
      </c>
      <c r="R80" s="5">
        <f>SUM(IF(BQ80="lease",CB80,0),IF(CS80="lease",DD80,0),IF(DU80="lease",EF80,0),IF(EW80="lease",FH80,0),IF(FY80="lease",GJ80,0),IF(HA80="lease",HL80,0),IF(IC80="lease",IN80,0),IF(JE80="lease",JP80,0),IF(KG80="lease",KR80,0),IF(LI80="lease",LT80,0))</f>
        <v>1.2366702654306851</v>
      </c>
      <c r="S80" s="5">
        <f>SUM(IF(BQ80="lease",CI80,0),IF(CS80="lease",DK80,0),IF(DU80="lease",EM80,0),IF(EW80="lease",FO80,0),IF(FY80="lease",GQ80,0),IF(HA80="lease",HS80,0),IF(IC80="lease",IU80,0),IF(JE80="lease",JW80,0),IF(KG80="lease",KY80,0),IF(LI80="lease",MA80,0))</f>
        <v>1.2375815732209288</v>
      </c>
      <c r="T80" s="5">
        <f>SUM(IF(BQ80="keep",CB80,0),IF(CS80="keep",DD80,0),IF(DU80="keep",EF80,0),IF(EW80="keep",FH80,0),IF(FY80="keep",GJ80,0),IF(HA80="keep",HL80,0),IF(IC80="keep",IN80,0),IF(JE80="keep",JP80,0),IF(KG80="keep",KR80,0),IF(LI80="keep",LT80,0))</f>
        <v>0</v>
      </c>
      <c r="U80" s="5">
        <f>SUM(IF(BQ80="keep",CI80,0),IF(CS80="keep",DK80,0),IF(DU80="keep",EM80,0),IF(EW80="keep",FO80,0),IF(FY80="keep",GQ80,0),IF(HA80="keep",HS80,0),IF(IC80="keep",IU80,0),IF(JE80="keep",JW80,0),IF(KG80="keep",KY80,0),IF(LI80="keep",MA80,0))</f>
        <v>0</v>
      </c>
      <c r="V80" s="5">
        <f>R80/O80</f>
        <v>1.3497215048569016</v>
      </c>
      <c r="W80" s="5">
        <f>S80/P80</f>
        <v>1.3644058110172177</v>
      </c>
      <c r="X80" s="5">
        <f>T80/O80</f>
        <v>0</v>
      </c>
      <c r="Y80" s="5">
        <f>U80/P80</f>
        <v>0</v>
      </c>
      <c r="Z80" s="5">
        <f>V80+X80</f>
        <v>1.3497215048569016</v>
      </c>
      <c r="AA80" s="7">
        <f>IFERROR(W80/V80-1,0)</f>
        <v>0.010879508185559272</v>
      </c>
      <c r="AB80" s="7">
        <f>IFERROR((W80-V80)/Z80,0)</f>
        <v>0.010879508185559338</v>
      </c>
      <c r="AC80" s="7">
        <f>IFERROR(Y80/X80-1,0)</f>
        <v>0</v>
      </c>
      <c r="AD80" s="7">
        <f>IFERROR((Y80-X80)/Z80,0)</f>
        <v>0</v>
      </c>
      <c r="AE80" s="7">
        <f>AB80+AD80</f>
        <v>0.010879508185559338</v>
      </c>
      <c r="AF80" s="7">
        <f>(1+Q80)*(1+AE80)-1</f>
        <v>0.000736904424500251</v>
      </c>
      <c r="AG80" s="7">
        <f>G80-AF80</f>
        <v>-1.8951853975046618e-16</v>
      </c>
      <c r="AH80" s="5">
        <f>SUM(IF(BQ80="lease",CE80,0),IF(CS80="lease",DG80,0),IF(DU80="lease",EI80,0),IF(EW80="lease",FK80,0),IF(FY80="lease",GM80,0),IF(HA80="lease",HO80,0),IF(IC80="lease",IQ80,0),IF(JE80="lease",JS80,0),IF(KG80="lease",KU80,0),IF(LI80="lease",LW80,0))</f>
        <v>0.0009113077902435369</v>
      </c>
      <c r="AI80" s="5">
        <f>SUM(IF(BQ80="keep",CE80,0),IF(CS80="keep",DG80,0),IF(DU80="keep",EI80,0),IF(EW80="keep",FK80,0),IF(FY80="keep",GM80,0),IF(HA80="keep",HO80,0),IF(IC80="keep",IQ80,0),IF(JE80="keep",JS80,0),IF(KG80="keep",KU80,0),IF(LI80="keep",LW80,0))</f>
        <v>0</v>
      </c>
      <c r="AJ80" s="5">
        <f>SUM(IF(BQ80="lease",CH80,0),IF(CS80="lease",DJ80,0),IF(DU80="lease",EL80,0),IF(EW80="lease",FN80,0),IF(FY80="lease",GP80,0),IF(HA80="lease",HR80,0),IF(IC80="lease",IT80,0),IF(JE80="lease",JV80,0),IF(KG80="lease",KX80,0),IF(LI80="lease",LZ80,0))</f>
        <v>0</v>
      </c>
      <c r="AK80" s="5">
        <f>SUM(IF(BQ80="keep",CH80,0),IF(CS80="keep",DJ80,0),IF(DU80="keep",EL80,0),IF(EW80="keep",FN80,0),IF(FY80="keep",GP80,0),IF(HA80="keep",HR80,0),IF(IC80="keep",IT80,0),IF(JE80="keep",JV80,0),IF(KG80="keep",KX80,0),IF(LI80="keep",LZ80,0))</f>
        <v>0</v>
      </c>
      <c r="AL80" s="5">
        <f>R80-S79</f>
        <v>0</v>
      </c>
      <c r="AM80" s="5">
        <f>T80-U79</f>
        <v>0</v>
      </c>
      <c r="AN80" s="5">
        <f>AN79</f>
        <v>1</v>
      </c>
      <c r="AO80" s="5">
        <f>AO79+AH80</f>
        <v>0.23758157322092888</v>
      </c>
      <c r="AP80" s="5">
        <f>AP79+AL80</f>
        <v>-4.440892098500626e-16</v>
      </c>
      <c r="AQ80" s="5">
        <f>AN80+AO80+AP80</f>
        <v>1.2375815732209285</v>
      </c>
      <c r="AR80" s="5">
        <f>S80-AQ80</f>
        <v>2.220446049250313e-16</v>
      </c>
      <c r="AS80" s="5">
        <f>AS79</f>
        <v>0</v>
      </c>
      <c r="AT80" s="5">
        <f>AT79+AI80</f>
        <v>0</v>
      </c>
      <c r="AU80" s="5">
        <f>AU79+AM80</f>
        <v>0</v>
      </c>
      <c r="AV80" s="5">
        <f>AS80+AT80+AU80</f>
        <v>0</v>
      </c>
      <c r="AW80" s="5">
        <f>U80-AV80</f>
        <v>0</v>
      </c>
      <c r="AX80" s="4">
        <v>1.2366702654306851</v>
      </c>
      <c r="AY80" s="4">
        <v>1.2375815732209288</v>
      </c>
      <c r="AZ80" s="5">
        <f>S80-AY80</f>
        <v>0</v>
      </c>
      <c r="BA80" s="4">
        <v>0</v>
      </c>
      <c r="BB80" s="4">
        <v>0</v>
      </c>
      <c r="BC80" s="5">
        <f>U80-BB80</f>
        <v>0</v>
      </c>
      <c r="BD80" s="7">
        <f>SUM(IF(BP80="direct",CC80/F80,0),IF(CR80="direct",DE80/F80,0),IF(DT80="direct",EG80/F80,0),IF(EV80="direct",FI80/F80,0),IF(FX80="direct",GK80/F80,0),IF(GZ80="direct",HM80/F80,0),IF(IB80="direct",IO80/F80,0),IF(JD80="direct",JQ80/F80,0),IF(KF80="direct",KS80/F80,0),IF(LH80="direct",LU80/F80,0))</f>
        <v>0</v>
      </c>
      <c r="BE80" s="7">
        <f>-SUM(IF(BP80="direct",CD80/F80,0),IF(CR80="direct",DF80/F80,0),IF(DT80="direct",EH80/F80,0),IF(EV80="direct",FJ80/F80,0),IF(FX80="direct",GL80/F80,0),IF(GZ80="direct",HN80/F80,0),IF(IB80="direct",IP80/F80,0),IF(JD80="direct",JR80/F80,0),IF(KF80="direct",KT80/F80,0),IF(LH80="direct",LV80/F80,0))</f>
        <v>0</v>
      </c>
      <c r="BF80" s="7">
        <f>BD80+BE80</f>
        <v>0</v>
      </c>
      <c r="BG80" s="7">
        <f>BF80-SUM(IF(BP80="direct",CP80,0),IF(CR80="direct",DR80,0),IF(DT80="direct",ET80,0),IF(EV80="direct",FV80,0),IF(FX80="direct",GX80,0),IF(GZ80="direct",HZ80,0),IF(IB80="direct",JB80,0),IF(JD80="direct",KD80,0),IF(KF80="direct",LF80,0),IF(LH80="direct",MH80,0))</f>
        <v>0</v>
      </c>
      <c r="BH80" s="7">
        <f>SUM(IF(BP80="treasury",CP80,0),IF(CR80="treasury",DR80,0),IF(DT80="treasury",ET80,0),IF(EV80="treasury",FV80,0),IF(FX80="treasury",GX80,0),IF(GZ80="treasury",HZ80,0),IF(IB80="treasury",JB80,0),IF(JD80="treasury",KD80,0),IF(KF80="treasury",LF80,0),IF(LH80="treasury",MH80,0))</f>
        <v>0.00016219178082191782</v>
      </c>
      <c r="BI80" s="7">
        <f>SUM(IF(BP80="future",CP80,0),IF(CR80="future",DR80,0),IF(DT80="future",ET80,0),IF(EV80="future",FV80,0),IF(FX80="future",GX80,0),IF(GZ80="future",HZ80,0),IF(IB80="future",JB80,0),IF(JD80="future",KD80,0),IF(KF80="future",LF80,0),IF(LH80="future",MH80,0))</f>
        <v>0.0005747126436781436</v>
      </c>
      <c r="BJ80" s="7">
        <f>SUM(IF(BP80="cash",CP80,0),IF(CR80="cash",DR80,0),IF(DT80="cash",ET80,0),IF(EV80="cash",FV80,0),IF(FX80="cash",GX80,0),IF(GZ80="cash",HZ80,0),IF(IB80="cash",JB80,0),IF(JD80="cash",KD80,0),IF(KF80="cash",LF80,0),IF(LH80="cash",MH80,0))</f>
        <v>0</v>
      </c>
      <c r="BK80" s="7">
        <f>SUM(BF80,BH80,BI80,BJ80)</f>
        <v>0.0007369044245000614</v>
      </c>
      <c r="BL80" s="7">
        <f>G80-BK80</f>
        <v>0</v>
      </c>
      <c r="BM80" s="5">
        <f>MAX(ABS(CG80),ABS(DI80),ABS(EK80),ABS(FM80),ABS(GO80),ABS(HQ80),ABS(IS80),ABS(JU80),ABS(KW80),ABS(LY80))</f>
        <v>1.241682538039024e-16</v>
      </c>
      <c r="BN80" s="9">
        <f>COUNTA(BO80,CQ80,DS80,EU80,FW80,GY80,IA80,JC80,KE80,LG80)</f>
        <v>4</v>
      </c>
      <c r="BO80" t="inlineStr">
        <is>
          <t xml:space="preserve">Treasury collateral</t>
        </is>
      </c>
      <c r="BP80" t="inlineStr">
        <is>
          <t xml:space="preserve">treasury</t>
        </is>
      </c>
      <c r="BQ80" t="inlineStr">
        <is>
          <t xml:space="preserve">lease</t>
        </is>
      </c>
      <c r="BR80" t="inlineStr">
        <is>
          <t xml:space="preserve">long</t>
        </is>
      </c>
      <c r="BS80"/>
      <c r="BT80" s="4">
        <v>101.9746436395126</v>
      </c>
      <c r="BU80" s="4">
        <v>101.99118308856319</v>
      </c>
      <c r="BV80" s="6"/>
      <c r="BW80" s="4">
        <v>0.012127233018851229</v>
      </c>
      <c r="BX80" s="5">
        <f>IF(BP80="direct",IFERROR(CD80/BU80,0),0)</f>
        <v>0</v>
      </c>
      <c r="BY80" s="5">
        <f>IF(BP80="direct",BW80-BX80,IF(BP80="cash",CI80,BW80))</f>
        <v>0.012127233018851229</v>
      </c>
      <c r="BZ80" s="6">
        <v>1</v>
      </c>
      <c r="CA80" s="4">
        <v>1.2366702654306847</v>
      </c>
      <c r="CB80" s="4">
        <v>1.2366702654306847</v>
      </c>
      <c r="CC80" s="5">
        <f>IF(BP80="direct",BW80*(BU80-BT80),CF80)</f>
        <v>0.0002005777526398407</v>
      </c>
      <c r="CD80" s="5">
        <f>IF(BP80="direct",CB80*BV80*C80/365,0)</f>
        <v>0</v>
      </c>
      <c r="CE80" s="5">
        <f>CC80-CD80</f>
        <v>0.00020057775263971654</v>
      </c>
      <c r="CF80" s="4">
        <v>0.00020057775263971654</v>
      </c>
      <c r="CG80" s="5">
        <f>CF80-CE80</f>
        <v>-1.241682538039024e-16</v>
      </c>
      <c r="CH80" s="4">
        <v>2.133980925994594e-16</v>
      </c>
      <c r="CI80" s="4">
        <v>1.2368708431833246</v>
      </c>
      <c r="CJ80" s="4">
        <v>1.794</v>
      </c>
      <c r="CK80" s="4">
        <v>1.776</v>
      </c>
      <c r="CL80" s="6"/>
      <c r="CM80" s="6"/>
      <c r="CN80" s="6"/>
      <c r="CO80" s="9">
        <v>29</v>
      </c>
      <c r="CP80" s="7">
        <f>IFERROR(CE80/F80,0)</f>
        <v>0.00016219178082191782</v>
      </c>
      <c r="CQ80" t="inlineStr">
        <is>
          <t xml:space="preserve">SI69K</t>
        </is>
      </c>
      <c r="CR80" t="inlineStr">
        <is>
          <t xml:space="preserve">future</t>
        </is>
      </c>
      <c r="CS80" t="inlineStr">
        <is>
          <t xml:space="preserve">lease</t>
        </is>
      </c>
      <c r="CT80" t="inlineStr">
        <is>
          <t xml:space="preserve">long</t>
        </is>
      </c>
      <c r="CU80" t="inlineStr">
        <is>
          <t xml:space="preserve">regular</t>
        </is>
      </c>
      <c r="CV80" s="4">
        <v>1.74</v>
      </c>
      <c r="CW80" s="4">
        <v>1.7409999999999999</v>
      </c>
      <c r="CX80" s="6"/>
      <c r="CY80" s="4">
        <v>0.7107300376038418</v>
      </c>
      <c r="CZ80" s="5">
        <f>IF(CR80="direct",IFERROR(DF80/CW80,0),0)</f>
        <v>0</v>
      </c>
      <c r="DA80" s="5">
        <f>IF(CR80="direct",CY80-CZ80,IF(CR80="cash",DK80,CY80))</f>
        <v>0.7107300376038418</v>
      </c>
      <c r="DB80" s="6">
        <v>1</v>
      </c>
      <c r="DC80" s="4">
        <v>1.2366702654306847</v>
      </c>
      <c r="DD80" s="4">
        <v>0</v>
      </c>
      <c r="DE80" s="5">
        <f>IF(CR80="direct",CY80*(CW80-CV80),DH80)</f>
        <v>0.0007107300376038204</v>
      </c>
      <c r="DF80" s="5">
        <f>IF(CR80="direct",DD80*CX80*C80/365,0)</f>
        <v>0</v>
      </c>
      <c r="DG80" s="5">
        <f>DE80-DF80</f>
        <v>0.0007107300376038204</v>
      </c>
      <c r="DH80" s="4">
        <v>0.0007107300376038204</v>
      </c>
      <c r="DI80" s="5">
        <f>DH80-DG80</f>
        <v>0</v>
      </c>
      <c r="DJ80" s="4">
        <v>-0.0007107300376038204</v>
      </c>
      <c r="DK80" s="4">
        <v>0</v>
      </c>
      <c r="DL80" s="4">
        <v>1.794</v>
      </c>
      <c r="DM80" s="4">
        <v>1.776</v>
      </c>
      <c r="DN80" s="6">
        <v>-0.030100334448160515</v>
      </c>
      <c r="DO80" s="6">
        <v>0.0592</v>
      </c>
      <c r="DP80" s="6">
        <v>0.43804903701995124</v>
      </c>
      <c r="DQ80" s="9">
        <v>29</v>
      </c>
      <c r="DR80" s="7">
        <f>IFERROR(DG80/F80,0)</f>
        <v>0.0005747126436781436</v>
      </c>
      <c r="DS80" t="inlineStr">
        <is>
          <t xml:space="preserve">Lease cash / margin / financing</t>
        </is>
      </c>
      <c r="DT80" t="inlineStr">
        <is>
          <t xml:space="preserve">cash</t>
        </is>
      </c>
      <c r="DU80" t="inlineStr">
        <is>
          <t xml:space="preserve">lease</t>
        </is>
      </c>
      <c r="DV80" t="inlineStr">
        <is>
          <t xml:space="preserve">cash</t>
        </is>
      </c>
      <c r="DW80"/>
      <c r="DX80" s="4">
        <v>1</v>
      </c>
      <c r="DY80" s="4">
        <v>1</v>
      </c>
      <c r="DZ80" s="6"/>
      <c r="EA80" s="4">
        <v>4.440892098500626e-16</v>
      </c>
      <c r="EB80" s="5">
        <f>IF(DT80="direct",IFERROR(EH80/DY80,0),0)</f>
        <v>0</v>
      </c>
      <c r="EC80" s="5">
        <f>IF(DT80="direct",EA80-EB80,IF(DT80="cash",EM80,EA80))</f>
        <v>0.0007107300376040511</v>
      </c>
      <c r="ED80" s="6"/>
      <c r="EE80" s="4">
        <v>4.440892098500626e-16</v>
      </c>
      <c r="EF80" s="4">
        <v>4.440892098500626e-16</v>
      </c>
      <c r="EG80" s="5">
        <f>IF(DT80="direct",EA80*(DY80-DX80),EJ80)</f>
        <v>0</v>
      </c>
      <c r="EH80" s="5">
        <f>IF(DT80="direct",EF80*DZ80*C80/365,0)</f>
        <v>0</v>
      </c>
      <c r="EI80" s="5">
        <f>EG80-EH80</f>
        <v>0</v>
      </c>
      <c r="EJ80" s="4">
        <v>0</v>
      </c>
      <c r="EK80" s="5">
        <f>EJ80-EI80</f>
        <v>0</v>
      </c>
      <c r="EL80" s="4">
        <v>0.000710730037603607</v>
      </c>
      <c r="EM80" s="4">
        <v>0.0007107300376040511</v>
      </c>
      <c r="EN80" s="4">
        <v>1.794</v>
      </c>
      <c r="EO80" s="4">
        <v>1.776</v>
      </c>
      <c r="EP80" s="6"/>
      <c r="EQ80" s="6"/>
      <c r="ER80" s="6"/>
      <c r="ES80" s="9"/>
      <c r="ET80" s="7">
        <f>IFERROR(EI80/F80,0)</f>
        <v>0</v>
      </c>
      <c r="EU80" t="inlineStr">
        <is>
          <t xml:space="preserve">Keep cash / margin / financing</t>
        </is>
      </c>
      <c r="EV80" t="inlineStr">
        <is>
          <t xml:space="preserve">cash</t>
        </is>
      </c>
      <c r="EW80" t="inlineStr">
        <is>
          <t xml:space="preserve">keep</t>
        </is>
      </c>
      <c r="EX80" t="inlineStr">
        <is>
          <t xml:space="preserve">cash</t>
        </is>
      </c>
      <c r="EY80"/>
      <c r="EZ80" s="4">
        <v>1</v>
      </c>
      <c r="FA80" s="4">
        <v>1</v>
      </c>
      <c r="FB80" s="6"/>
      <c r="FC80" s="4">
        <v>0</v>
      </c>
      <c r="FD80" s="5">
        <f>IF(EV80="direct",IFERROR(FJ80/FA80,0),0)</f>
        <v>0</v>
      </c>
      <c r="FE80" s="5">
        <f>IF(EV80="direct",FC80-FD80,IF(EV80="cash",FO80,FC80))</f>
        <v>0</v>
      </c>
      <c r="FF80" s="6"/>
      <c r="FG80" s="4">
        <v>0</v>
      </c>
      <c r="FH80" s="4">
        <v>0</v>
      </c>
      <c r="FI80" s="5">
        <f>IF(EV80="direct",FC80*(FA80-EZ80),FL80)</f>
        <v>0</v>
      </c>
      <c r="FJ80" s="5">
        <f>IF(EV80="direct",FH80*FB80*C80/365,0)</f>
        <v>0</v>
      </c>
      <c r="FK80" s="5">
        <f>FI80-FJ80</f>
        <v>0</v>
      </c>
      <c r="FL80" s="4">
        <v>0</v>
      </c>
      <c r="FM80" s="5">
        <f>FL80-FK80</f>
        <v>0</v>
      </c>
      <c r="FN80" s="4">
        <v>0</v>
      </c>
      <c r="FO80" s="4">
        <v>0</v>
      </c>
      <c r="FP80" s="4">
        <v>1.794</v>
      </c>
      <c r="FQ80" s="4">
        <v>1.776</v>
      </c>
      <c r="FR80" s="6"/>
      <c r="FS80" s="6"/>
      <c r="FT80" s="6"/>
      <c r="FU80" s="9"/>
      <c r="FV80" s="7">
        <f>IFERROR(FK80/F80,0)</f>
        <v>0</v>
      </c>
      <c r="FW80"/>
      <c r="FX80"/>
      <c r="FY80"/>
      <c r="FZ80"/>
      <c r="GA80"/>
      <c r="GB80" s="4"/>
      <c r="GC80" s="4"/>
      <c r="GD80" s="6"/>
      <c r="GE80" s="4"/>
      <c r="GF80" s="5">
        <v>0</v>
      </c>
      <c r="GG80" s="5"/>
      <c r="GH80" s="6"/>
      <c r="GI80" s="4"/>
      <c r="GJ80" s="4"/>
      <c r="GK80" s="5">
        <v>0</v>
      </c>
      <c r="GL80" s="5">
        <v>0</v>
      </c>
      <c r="GM80" s="5"/>
      <c r="GN80" s="4"/>
      <c r="GO80" s="5">
        <v>0</v>
      </c>
      <c r="GP80" s="4"/>
      <c r="GQ80" s="4"/>
      <c r="GR80" s="4"/>
      <c r="GS80" s="4"/>
      <c r="GT80" s="6"/>
      <c r="GU80" s="6"/>
      <c r="GV80" s="6"/>
      <c r="GW80" s="9"/>
      <c r="GX80"/>
      <c r="GY80"/>
      <c r="GZ80"/>
      <c r="HA80"/>
      <c r="HB80"/>
      <c r="HC80"/>
      <c r="HD80" s="4"/>
      <c r="HE80" s="4"/>
      <c r="HF80" s="6"/>
      <c r="HG80" s="4"/>
      <c r="HH80" s="5">
        <v>0</v>
      </c>
      <c r="HI80" s="5"/>
      <c r="HJ80" s="6"/>
      <c r="HK80" s="4"/>
      <c r="HL80" s="4"/>
      <c r="HM80" s="5">
        <v>0</v>
      </c>
      <c r="HN80" s="5">
        <v>0</v>
      </c>
      <c r="HO80" s="5"/>
      <c r="HP80" s="4"/>
      <c r="HQ80" s="5">
        <v>0</v>
      </c>
      <c r="HR80" s="4"/>
      <c r="HS80" s="4"/>
      <c r="HT80" s="4"/>
      <c r="HU80" s="4"/>
      <c r="HV80" s="6"/>
      <c r="HW80" s="6"/>
      <c r="HX80" s="6"/>
      <c r="HY80" s="9"/>
      <c r="HZ80"/>
      <c r="IA80"/>
      <c r="IB80"/>
      <c r="IC80"/>
      <c r="ID80"/>
      <c r="IE80"/>
      <c r="IF80" s="4"/>
      <c r="IG80" s="4"/>
      <c r="IH80" s="6"/>
      <c r="II80" s="4"/>
      <c r="IJ80" s="5">
        <v>0</v>
      </c>
      <c r="IK80" s="5"/>
      <c r="IL80" s="6"/>
      <c r="IM80" s="4"/>
      <c r="IN80" s="4"/>
      <c r="IO80" s="5">
        <v>0</v>
      </c>
      <c r="IP80" s="5">
        <v>0</v>
      </c>
      <c r="IQ80" s="5"/>
      <c r="IR80" s="4"/>
      <c r="IS80" s="5">
        <v>0</v>
      </c>
      <c r="IT80" s="4"/>
      <c r="IU80" s="4"/>
      <c r="IV80" s="4"/>
      <c r="IW80" s="4"/>
      <c r="IX80" s="6"/>
      <c r="IY80" s="6"/>
      <c r="IZ80" s="6"/>
      <c r="JA80" s="9"/>
      <c r="JB80"/>
      <c r="JC80"/>
      <c r="JD80"/>
      <c r="JE80"/>
      <c r="JF80"/>
      <c r="JG80"/>
      <c r="JH80" s="4"/>
      <c r="JI80" s="4"/>
      <c r="JJ80" s="6"/>
      <c r="JK80" s="4"/>
      <c r="JL80" s="5">
        <v>0</v>
      </c>
      <c r="JM80" s="5"/>
      <c r="JN80" s="6"/>
      <c r="JO80" s="4"/>
      <c r="JP80" s="4"/>
      <c r="JQ80" s="5">
        <v>0</v>
      </c>
      <c r="JR80" s="5">
        <v>0</v>
      </c>
      <c r="JS80" s="5"/>
      <c r="JT80" s="4"/>
      <c r="JU80" s="5">
        <v>0</v>
      </c>
      <c r="JV80" s="4"/>
      <c r="JW80" s="4"/>
      <c r="JX80" s="4"/>
      <c r="JY80" s="4"/>
      <c r="JZ80" s="6"/>
      <c r="KA80" s="6"/>
      <c r="KB80" s="6"/>
      <c r="KC80" s="9"/>
      <c r="KD80"/>
      <c r="KE80"/>
      <c r="KF80"/>
      <c r="KG80"/>
      <c r="KH80"/>
      <c r="KI80"/>
      <c r="KJ80" s="4"/>
      <c r="KK80" s="4"/>
      <c r="KL80" s="6"/>
      <c r="KM80" s="4"/>
      <c r="KN80" s="5">
        <v>0</v>
      </c>
      <c r="KO80" s="5"/>
      <c r="KP80" s="6"/>
      <c r="KQ80" s="4"/>
      <c r="KR80" s="4"/>
      <c r="KS80" s="5">
        <v>0</v>
      </c>
      <c r="KT80" s="5">
        <v>0</v>
      </c>
      <c r="KU80" s="5"/>
      <c r="KV80" s="4"/>
      <c r="KW80" s="5">
        <v>0</v>
      </c>
      <c r="KX80" s="4"/>
      <c r="KY80" s="4"/>
      <c r="KZ80" s="4"/>
      <c r="LA80" s="4"/>
      <c r="LB80" s="6"/>
      <c r="LC80" s="6"/>
      <c r="LD80" s="6"/>
      <c r="LE80" s="9"/>
      <c r="LF80"/>
      <c r="LG80"/>
      <c r="LH80"/>
      <c r="LI80"/>
      <c r="LJ80"/>
      <c r="LK80"/>
      <c r="LL80" s="4"/>
      <c r="LM80" s="4"/>
      <c r="LN80" s="6"/>
      <c r="LO80" s="4"/>
      <c r="LP80" s="5">
        <v>0</v>
      </c>
      <c r="LQ80" s="5"/>
      <c r="LR80" s="6"/>
      <c r="LS80" s="4"/>
      <c r="LT80" s="4"/>
      <c r="LU80" s="5">
        <v>0</v>
      </c>
      <c r="LV80" s="5">
        <v>0</v>
      </c>
      <c r="LW80" s="5"/>
      <c r="LX80" s="4"/>
      <c r="LY80" s="5">
        <v>0</v>
      </c>
      <c r="LZ80" s="4"/>
      <c r="MA80" s="4"/>
      <c r="MB80" s="4"/>
      <c r="MC80" s="4"/>
      <c r="MD80" s="6"/>
      <c r="ME80" s="6"/>
      <c r="MF80" s="6"/>
      <c r="MG80" s="9"/>
      <c r="MH80"/>
    </row>
    <row r="81">
      <c r="A81" s="8">
        <v>25323</v>
      </c>
      <c r="B81" s="8">
        <v>25324</v>
      </c>
      <c r="C81" s="9">
        <f>B81-A81</f>
        <v>1</v>
      </c>
      <c r="D81" s="8">
        <v>25323</v>
      </c>
      <c r="E81" t="inlineStr">
        <is>
          <t xml:space="preserve">positive</t>
        </is>
      </c>
      <c r="F81" s="4">
        <v>1.237581573220928</v>
      </c>
      <c r="G81" s="6">
        <v>0.005904647305516454</v>
      </c>
      <c r="H81" s="7">
        <f>SUM(CP81,DR81,ET81,FV81,GX81,HZ81,JB81,KD81,LF81,MH81)</f>
        <v>0.005904647305516454</v>
      </c>
      <c r="I81" s="7">
        <f>G81-H81</f>
        <v>0</v>
      </c>
      <c r="J81" s="5">
        <f>F81*(1+H81)</f>
        <v>1.2448890559226038</v>
      </c>
      <c r="K81" s="4">
        <v>1.2448890559226038</v>
      </c>
      <c r="L81" s="5">
        <f>K81-J81</f>
        <v>0</v>
      </c>
      <c r="M81" s="4">
        <v>1.776</v>
      </c>
      <c r="N81" s="4">
        <v>1.778</v>
      </c>
      <c r="O81" s="5">
        <f>M81/$M$3</f>
        <v>0.9070480081716037</v>
      </c>
      <c r="P81" s="5">
        <f>N81/$M$3</f>
        <v>0.9080694586312564</v>
      </c>
      <c r="Q81" s="7">
        <f>IFERROR(N81/M81-1,0)</f>
        <v>0.0011261261261261701</v>
      </c>
      <c r="R81" s="5">
        <f>SUM(IF(BQ81="lease",CB81,0),IF(CS81="lease",DD81,0),IF(DU81="lease",EF81,0),IF(EW81="lease",FH81,0),IF(FY81="lease",GJ81,0),IF(HA81="lease",HL81,0),IF(IC81="lease",IN81,0),IF(JE81="lease",JP81,0),IF(KG81="lease",KR81,0),IF(LI81="lease",LT81,0))</f>
        <v>1.2375815732209288</v>
      </c>
      <c r="S81" s="5">
        <f>SUM(IF(BQ81="lease",CI81,0),IF(CS81="lease",DK81,0),IF(DU81="lease",EM81,0),IF(EW81="lease",FO81,0),IF(FY81="lease",GQ81,0),IF(HA81="lease",HS81,0),IF(IC81="lease",IU81,0),IF(JE81="lease",JW81,0),IF(KG81="lease",KY81,0),IF(LI81="lease",MA81,0))</f>
        <v>1.2448890559226045</v>
      </c>
      <c r="T81" s="5">
        <f>SUM(IF(BQ81="keep",CB81,0),IF(CS81="keep",DD81,0),IF(DU81="keep",EF81,0),IF(EW81="keep",FH81,0),IF(FY81="keep",GJ81,0),IF(HA81="keep",HL81,0),IF(IC81="keep",IN81,0),IF(JE81="keep",JP81,0),IF(KG81="keep",KR81,0),IF(LI81="keep",LT81,0))</f>
        <v>0</v>
      </c>
      <c r="U81" s="5">
        <f>SUM(IF(BQ81="keep",CI81,0),IF(CS81="keep",DK81,0),IF(DU81="keep",EM81,0),IF(EW81="keep",FO81,0),IF(FY81="keep",GQ81,0),IF(HA81="keep",HS81,0),IF(IC81="keep",IU81,0),IF(JE81="keep",JW81,0),IF(KG81="keep",KY81,0),IF(LI81="keep",MA81,0))</f>
        <v>0</v>
      </c>
      <c r="V81" s="5">
        <f>R81/O81</f>
        <v>1.3644058110172177</v>
      </c>
      <c r="W81" s="5">
        <f>S81/P81</f>
        <v>1.3709183191768612</v>
      </c>
      <c r="X81" s="5">
        <f>T81/O81</f>
        <v>0</v>
      </c>
      <c r="Y81" s="5">
        <f>U81/P81</f>
        <v>0</v>
      </c>
      <c r="Z81" s="5">
        <f>V81+X81</f>
        <v>1.3644058110172177</v>
      </c>
      <c r="AA81" s="7">
        <f>IFERROR(W81/V81-1,0)</f>
        <v>0.004773146014958929</v>
      </c>
      <c r="AB81" s="7">
        <f>IFERROR((W81-V81)/Z81,0)</f>
        <v>0.004773146014958863</v>
      </c>
      <c r="AC81" s="7">
        <f>IFERROR(Y81/X81-1,0)</f>
        <v>0</v>
      </c>
      <c r="AD81" s="7">
        <f>IFERROR((Y81-X81)/Z81,0)</f>
        <v>0</v>
      </c>
      <c r="AE81" s="7">
        <f>AB81+AD81</f>
        <v>0.004773146014958863</v>
      </c>
      <c r="AF81" s="7">
        <f>(1+Q81)*(1+AE81)-1</f>
        <v>0.005904647305516431</v>
      </c>
      <c r="AG81" s="7">
        <f>G81-AF81</f>
        <v>2.3418766925686896e-17</v>
      </c>
      <c r="AH81" s="5">
        <f>SUM(IF(BQ81="lease",CE81,0),IF(CS81="lease",DG81,0),IF(DU81="lease",EI81,0),IF(EW81="lease",FK81,0),IF(FY81="lease",GM81,0),IF(HA81="lease",HO81,0),IF(IC81="lease",IQ81,0),IF(JE81="lease",JS81,0),IF(KG81="lease",KU81,0),IF(LI81="lease",LW81,0))</f>
        <v>0.0073074827016757675</v>
      </c>
      <c r="AI81" s="5">
        <f>SUM(IF(BQ81="keep",CE81,0),IF(CS81="keep",DG81,0),IF(DU81="keep",EI81,0),IF(EW81="keep",FK81,0),IF(FY81="keep",GM81,0),IF(HA81="keep",HO81,0),IF(IC81="keep",IQ81,0),IF(JE81="keep",JS81,0),IF(KG81="keep",KU81,0),IF(LI81="keep",LW81,0))</f>
        <v>0</v>
      </c>
      <c r="AJ81" s="5">
        <f>SUM(IF(BQ81="lease",CH81,0),IF(CS81="lease",DJ81,0),IF(DU81="lease",EL81,0),IF(EW81="lease",FN81,0),IF(FY81="lease",GP81,0),IF(HA81="lease",HR81,0),IF(IC81="lease",IT81,0),IF(JE81="lease",JV81,0),IF(KG81="lease",KX81,0),IF(LI81="lease",LZ81,0))</f>
        <v>0</v>
      </c>
      <c r="AK81" s="5">
        <f>SUM(IF(BQ81="keep",CH81,0),IF(CS81="keep",DJ81,0),IF(DU81="keep",EL81,0),IF(EW81="keep",FN81,0),IF(FY81="keep",GP81,0),IF(HA81="keep",HR81,0),IF(IC81="keep",IT81,0),IF(JE81="keep",JV81,0),IF(KG81="keep",KX81,0),IF(LI81="keep",LZ81,0))</f>
        <v>0</v>
      </c>
      <c r="AL81" s="5">
        <f>R81-S80</f>
        <v>0</v>
      </c>
      <c r="AM81" s="5">
        <f>T81-U80</f>
        <v>0</v>
      </c>
      <c r="AN81" s="5">
        <f>AN80</f>
        <v>1</v>
      </c>
      <c r="AO81" s="5">
        <f>AO80+AH81</f>
        <v>0.24488905592260465</v>
      </c>
      <c r="AP81" s="5">
        <f>AP80+AL81</f>
        <v>-4.440892098500626e-16</v>
      </c>
      <c r="AQ81" s="5">
        <f>AN81+AO81+AP81</f>
        <v>1.2448890559226042</v>
      </c>
      <c r="AR81" s="5">
        <f>S81-AQ81</f>
        <v>2.220446049250313e-16</v>
      </c>
      <c r="AS81" s="5">
        <f>AS80</f>
        <v>0</v>
      </c>
      <c r="AT81" s="5">
        <f>AT80+AI81</f>
        <v>0</v>
      </c>
      <c r="AU81" s="5">
        <f>AU80+AM81</f>
        <v>0</v>
      </c>
      <c r="AV81" s="5">
        <f>AS81+AT81+AU81</f>
        <v>0</v>
      </c>
      <c r="AW81" s="5">
        <f>U81-AV81</f>
        <v>0</v>
      </c>
      <c r="AX81" s="4">
        <v>1.2375815732209288</v>
      </c>
      <c r="AY81" s="4">
        <v>1.2448890559226045</v>
      </c>
      <c r="AZ81" s="5">
        <f>S81-AY81</f>
        <v>0</v>
      </c>
      <c r="BA81" s="4">
        <v>0</v>
      </c>
      <c r="BB81" s="4">
        <v>0</v>
      </c>
      <c r="BC81" s="5">
        <f>U81-BB81</f>
        <v>0</v>
      </c>
      <c r="BD81" s="7">
        <f>SUM(IF(BP81="direct",CC81/F81,0),IF(CR81="direct",DE81/F81,0),IF(DT81="direct",EG81/F81,0),IF(EV81="direct",FI81/F81,0),IF(FX81="direct",GK81/F81,0),IF(GZ81="direct",HM81/F81,0),IF(IB81="direct",IO81/F81,0),IF(JD81="direct",JQ81/F81,0),IF(KF81="direct",KS81/F81,0),IF(LH81="direct",LU81/F81,0))</f>
        <v>0</v>
      </c>
      <c r="BE81" s="7">
        <f>-SUM(IF(BP81="direct",CD81/F81,0),IF(CR81="direct",DF81/F81,0),IF(DT81="direct",EH81/F81,0),IF(EV81="direct",FJ81/F81,0),IF(FX81="direct",GL81/F81,0),IF(GZ81="direct",HN81/F81,0),IF(IB81="direct",IP81/F81,0),IF(JD81="direct",JR81/F81,0),IF(KF81="direct",KT81/F81,0),IF(LH81="direct",LV81/F81,0))</f>
        <v>0</v>
      </c>
      <c r="BF81" s="7">
        <f>BD81+BE81</f>
        <v>0</v>
      </c>
      <c r="BG81" s="7">
        <f>BF81-SUM(IF(BP81="direct",CP81,0),IF(CR81="direct",DR81,0),IF(DT81="direct",ET81,0),IF(EV81="direct",FV81,0),IF(FX81="direct",GX81,0),IF(GZ81="direct",HZ81,0),IF(IB81="direct",JB81,0),IF(JD81="direct",KD81,0),IF(KF81="direct",LF81,0),IF(LH81="direct",MH81,0))</f>
        <v>0</v>
      </c>
      <c r="BH81" s="7">
        <f>SUM(IF(BP81="treasury",CP81,0),IF(CR81="treasury",DR81,0),IF(DT81="treasury",ET81,0),IF(EV81="treasury",FV81,0),IF(FX81="treasury",GX81,0),IF(GZ81="treasury",HZ81,0),IF(IB81="treasury",JB81,0),IF(JD81="treasury",KD81,0),IF(KF81="treasury",LF81,0),IF(LH81="treasury",MH81,0))</f>
        <v>0.0001608219178082192</v>
      </c>
      <c r="BI81" s="7">
        <f>SUM(IF(BP81="future",CP81,0),IF(CR81="future",DR81,0),IF(DT81="future",ET81,0),IF(EV81="future",FV81,0),IF(FX81="future",GX81,0),IF(GZ81="future",HZ81,0),IF(IB81="future",JB81,0),IF(JD81="future",KD81,0),IF(KF81="future",LF81,0),IF(LH81="future",MH81,0))</f>
        <v>0.005743825387708235</v>
      </c>
      <c r="BJ81" s="7">
        <f>SUM(IF(BP81="cash",CP81,0),IF(CR81="cash",DR81,0),IF(DT81="cash",ET81,0),IF(EV81="cash",FV81,0),IF(FX81="cash",GX81,0),IF(GZ81="cash",HZ81,0),IF(IB81="cash",JB81,0),IF(JD81="cash",KD81,0),IF(KF81="cash",LF81,0),IF(LH81="cash",MH81,0))</f>
        <v>0</v>
      </c>
      <c r="BK81" s="7">
        <f>SUM(BF81,BH81,BI81,BJ81)</f>
        <v>0.005904647305516454</v>
      </c>
      <c r="BL81" s="7">
        <f>G81-BK81</f>
        <v>0</v>
      </c>
      <c r="BM81" s="5">
        <f>MAX(ABS(CG81),ABS(DI81),ABS(EK81),ABS(FM81),ABS(GO81),ABS(HQ81),ABS(IS81),ABS(JU81),ABS(KW81),ABS(LY81))</f>
        <v>6.678685382510707e-17</v>
      </c>
      <c r="BN81" s="9">
        <f>COUNTA(BO81,CQ81,DS81,EU81,FW81,GY81,IA81,JC81,KE81,LG81)</f>
        <v>4</v>
      </c>
      <c r="BO81" t="inlineStr">
        <is>
          <t xml:space="preserve">Treasury collateral</t>
        </is>
      </c>
      <c r="BP81" t="inlineStr">
        <is>
          <t xml:space="preserve">treasury</t>
        </is>
      </c>
      <c r="BQ81" t="inlineStr">
        <is>
          <t xml:space="preserve">lease</t>
        </is>
      </c>
      <c r="BR81" t="inlineStr">
        <is>
          <t xml:space="preserve">long</t>
        </is>
      </c>
      <c r="BS81"/>
      <c r="BT81" s="4">
        <v>101.99118308856319</v>
      </c>
      <c r="BU81" s="4">
        <v>102.00758550622702</v>
      </c>
      <c r="BV81" s="6"/>
      <c r="BW81" s="4">
        <v>0.012134201562759444</v>
      </c>
      <c r="BX81" s="5">
        <f>IF(BP81="direct",IFERROR(CD81/BU81,0),0)</f>
        <v>0</v>
      </c>
      <c r="BY81" s="5">
        <f>IF(BP81="direct",BW81-BX81,IF(BP81="cash",CI81,BW81))</f>
        <v>0.012134201562759444</v>
      </c>
      <c r="BZ81" s="6">
        <v>1</v>
      </c>
      <c r="CA81" s="4">
        <v>1.237581573220928</v>
      </c>
      <c r="CB81" s="4">
        <v>1.237581573220928</v>
      </c>
      <c r="CC81" s="5">
        <f>IF(BP81="direct",BW81*(BU81-BT81),CF81)</f>
        <v>0.0001990302420494359</v>
      </c>
      <c r="CD81" s="5">
        <f>IF(BP81="direct",CB81*BV81*C81/365,0)</f>
        <v>0</v>
      </c>
      <c r="CE81" s="5">
        <f>CC81-CD81</f>
        <v>0.0001990302420495027</v>
      </c>
      <c r="CF81" s="4">
        <v>0.0001990302420495027</v>
      </c>
      <c r="CG81" s="5">
        <f>CF81-CE81</f>
        <v>6.678685382510707e-17</v>
      </c>
      <c r="CH81" s="4">
        <v>-1.3322134194415636e-16</v>
      </c>
      <c r="CI81" s="4">
        <v>1.2377806034629775</v>
      </c>
      <c r="CJ81" s="4">
        <v>1.776</v>
      </c>
      <c r="CK81" s="4">
        <v>1.778</v>
      </c>
      <c r="CL81" s="6"/>
      <c r="CM81" s="6"/>
      <c r="CN81" s="6"/>
      <c r="CO81" s="9">
        <v>28</v>
      </c>
      <c r="CP81" s="7">
        <f>IFERROR(CE81/F81,0)</f>
        <v>0.0001608219178082192</v>
      </c>
      <c r="CQ81" t="inlineStr">
        <is>
          <t xml:space="preserve">SI69K</t>
        </is>
      </c>
      <c r="CR81" t="inlineStr">
        <is>
          <t xml:space="preserve">future</t>
        </is>
      </c>
      <c r="CS81" t="inlineStr">
        <is>
          <t xml:space="preserve">lease</t>
        </is>
      </c>
      <c r="CT81" t="inlineStr">
        <is>
          <t xml:space="preserve">long</t>
        </is>
      </c>
      <c r="CU81" t="inlineStr">
        <is>
          <t xml:space="preserve">regular</t>
        </is>
      </c>
      <c r="CV81" s="4">
        <v>1.7409999999999999</v>
      </c>
      <c r="CW81" s="4">
        <v>1.751</v>
      </c>
      <c r="CX81" s="6"/>
      <c r="CY81" s="4">
        <v>0.7108452459626239</v>
      </c>
      <c r="CZ81" s="5">
        <f>IF(CR81="direct",IFERROR(DF81/CW81,0),0)</f>
        <v>0</v>
      </c>
      <c r="DA81" s="5">
        <f>IF(CR81="direct",CY81-CZ81,IF(CR81="cash",DK81,CY81))</f>
        <v>0.7108452459626239</v>
      </c>
      <c r="DB81" s="6">
        <v>1</v>
      </c>
      <c r="DC81" s="4">
        <v>1.237581573220928</v>
      </c>
      <c r="DD81" s="4">
        <v>0</v>
      </c>
      <c r="DE81" s="5">
        <f>IF(CR81="direct",CY81*(CW81-CV81),DH81)</f>
        <v>0.0071084524596262645</v>
      </c>
      <c r="DF81" s="5">
        <f>IF(CR81="direct",DD81*CX81*C81/365,0)</f>
        <v>0</v>
      </c>
      <c r="DG81" s="5">
        <f>DE81-DF81</f>
        <v>0.0071084524596262645</v>
      </c>
      <c r="DH81" s="4">
        <v>0.0071084524596262645</v>
      </c>
      <c r="DI81" s="5">
        <f>DH81-DG81</f>
        <v>0</v>
      </c>
      <c r="DJ81" s="4">
        <v>-0.0071084524596262645</v>
      </c>
      <c r="DK81" s="4">
        <v>0</v>
      </c>
      <c r="DL81" s="4">
        <v>1.776</v>
      </c>
      <c r="DM81" s="4">
        <v>1.778</v>
      </c>
      <c r="DN81" s="6">
        <v>-0.01970720720720731</v>
      </c>
      <c r="DO81" s="6">
        <v>0.0587</v>
      </c>
      <c r="DP81" s="6">
        <v>0.31559752252252393</v>
      </c>
      <c r="DQ81" s="9">
        <v>28</v>
      </c>
      <c r="DR81" s="7">
        <f>IFERROR(DG81/F81,0)</f>
        <v>0.005743825387708235</v>
      </c>
      <c r="DS81" t="inlineStr">
        <is>
          <t xml:space="preserve">Lease cash / margin / financing</t>
        </is>
      </c>
      <c r="DT81" t="inlineStr">
        <is>
          <t xml:space="preserve">cash</t>
        </is>
      </c>
      <c r="DU81" t="inlineStr">
        <is>
          <t xml:space="preserve">lease</t>
        </is>
      </c>
      <c r="DV81" t="inlineStr">
        <is>
          <t xml:space="preserve">cash</t>
        </is>
      </c>
      <c r="DW81"/>
      <c r="DX81" s="4">
        <v>1</v>
      </c>
      <c r="DY81" s="4">
        <v>1</v>
      </c>
      <c r="DZ81" s="6"/>
      <c r="EA81" s="4">
        <v>6.661338147750939e-16</v>
      </c>
      <c r="EB81" s="5">
        <f>IF(DT81="direct",IFERROR(EH81/DY81,0),0)</f>
        <v>0</v>
      </c>
      <c r="EC81" s="5">
        <f>IF(DT81="direct",EA81-EB81,IF(DT81="cash",EM81,EA81))</f>
        <v>0.007108452459627064</v>
      </c>
      <c r="ED81" s="6"/>
      <c r="EE81" s="4">
        <v>6.661338147750939e-16</v>
      </c>
      <c r="EF81" s="4">
        <v>6.661338147750939e-16</v>
      </c>
      <c r="EG81" s="5">
        <f>IF(DT81="direct",EA81*(DY81-DX81),EJ81)</f>
        <v>0</v>
      </c>
      <c r="EH81" s="5">
        <f>IF(DT81="direct",EF81*DZ81*C81/365,0)</f>
        <v>0</v>
      </c>
      <c r="EI81" s="5">
        <f>EG81-EH81</f>
        <v>0</v>
      </c>
      <c r="EJ81" s="4">
        <v>0</v>
      </c>
      <c r="EK81" s="5">
        <f>EJ81-EI81</f>
        <v>0</v>
      </c>
      <c r="EL81" s="4">
        <v>0.007108452459626398</v>
      </c>
      <c r="EM81" s="4">
        <v>0.007108452459627064</v>
      </c>
      <c r="EN81" s="4">
        <v>1.776</v>
      </c>
      <c r="EO81" s="4">
        <v>1.778</v>
      </c>
      <c r="EP81" s="6"/>
      <c r="EQ81" s="6"/>
      <c r="ER81" s="6"/>
      <c r="ES81" s="9"/>
      <c r="ET81" s="7">
        <f>IFERROR(EI81/F81,0)</f>
        <v>0</v>
      </c>
      <c r="EU81" t="inlineStr">
        <is>
          <t xml:space="preserve">Keep cash / margin / financing</t>
        </is>
      </c>
      <c r="EV81" t="inlineStr">
        <is>
          <t xml:space="preserve">cash</t>
        </is>
      </c>
      <c r="EW81" t="inlineStr">
        <is>
          <t xml:space="preserve">keep</t>
        </is>
      </c>
      <c r="EX81" t="inlineStr">
        <is>
          <t xml:space="preserve">cash</t>
        </is>
      </c>
      <c r="EY81"/>
      <c r="EZ81" s="4">
        <v>1</v>
      </c>
      <c r="FA81" s="4">
        <v>1</v>
      </c>
      <c r="FB81" s="6"/>
      <c r="FC81" s="4">
        <v>0</v>
      </c>
      <c r="FD81" s="5">
        <f>IF(EV81="direct",IFERROR(FJ81/FA81,0),0)</f>
        <v>0</v>
      </c>
      <c r="FE81" s="5">
        <f>IF(EV81="direct",FC81-FD81,IF(EV81="cash",FO81,FC81))</f>
        <v>0</v>
      </c>
      <c r="FF81" s="6"/>
      <c r="FG81" s="4">
        <v>0</v>
      </c>
      <c r="FH81" s="4">
        <v>0</v>
      </c>
      <c r="FI81" s="5">
        <f>IF(EV81="direct",FC81*(FA81-EZ81),FL81)</f>
        <v>0</v>
      </c>
      <c r="FJ81" s="5">
        <f>IF(EV81="direct",FH81*FB81*C81/365,0)</f>
        <v>0</v>
      </c>
      <c r="FK81" s="5">
        <f>FI81-FJ81</f>
        <v>0</v>
      </c>
      <c r="FL81" s="4">
        <v>0</v>
      </c>
      <c r="FM81" s="5">
        <f>FL81-FK81</f>
        <v>0</v>
      </c>
      <c r="FN81" s="4">
        <v>0</v>
      </c>
      <c r="FO81" s="4">
        <v>0</v>
      </c>
      <c r="FP81" s="4">
        <v>1.776</v>
      </c>
      <c r="FQ81" s="4">
        <v>1.778</v>
      </c>
      <c r="FR81" s="6"/>
      <c r="FS81" s="6"/>
      <c r="FT81" s="6"/>
      <c r="FU81" s="9"/>
      <c r="FV81" s="7">
        <f>IFERROR(FK81/F81,0)</f>
        <v>0</v>
      </c>
      <c r="FW81"/>
      <c r="FX81"/>
      <c r="FY81"/>
      <c r="FZ81"/>
      <c r="GA81"/>
      <c r="GB81" s="4"/>
      <c r="GC81" s="4"/>
      <c r="GD81" s="6"/>
      <c r="GE81" s="4"/>
      <c r="GF81" s="5">
        <v>0</v>
      </c>
      <c r="GG81" s="5"/>
      <c r="GH81" s="6"/>
      <c r="GI81" s="4"/>
      <c r="GJ81" s="4"/>
      <c r="GK81" s="5">
        <v>0</v>
      </c>
      <c r="GL81" s="5">
        <v>0</v>
      </c>
      <c r="GM81" s="5"/>
      <c r="GN81" s="4"/>
      <c r="GO81" s="5">
        <v>0</v>
      </c>
      <c r="GP81" s="4"/>
      <c r="GQ81" s="4"/>
      <c r="GR81" s="4"/>
      <c r="GS81" s="4"/>
      <c r="GT81" s="6"/>
      <c r="GU81" s="6"/>
      <c r="GV81" s="6"/>
      <c r="GW81" s="9"/>
      <c r="GX81"/>
      <c r="GY81"/>
      <c r="GZ81"/>
      <c r="HA81"/>
      <c r="HB81"/>
      <c r="HC81"/>
      <c r="HD81" s="4"/>
      <c r="HE81" s="4"/>
      <c r="HF81" s="6"/>
      <c r="HG81" s="4"/>
      <c r="HH81" s="5">
        <v>0</v>
      </c>
      <c r="HI81" s="5"/>
      <c r="HJ81" s="6"/>
      <c r="HK81" s="4"/>
      <c r="HL81" s="4"/>
      <c r="HM81" s="5">
        <v>0</v>
      </c>
      <c r="HN81" s="5">
        <v>0</v>
      </c>
      <c r="HO81" s="5"/>
      <c r="HP81" s="4"/>
      <c r="HQ81" s="5">
        <v>0</v>
      </c>
      <c r="HR81" s="4"/>
      <c r="HS81" s="4"/>
      <c r="HT81" s="4"/>
      <c r="HU81" s="4"/>
      <c r="HV81" s="6"/>
      <c r="HW81" s="6"/>
      <c r="HX81" s="6"/>
      <c r="HY81" s="9"/>
      <c r="HZ81"/>
      <c r="IA81"/>
      <c r="IB81"/>
      <c r="IC81"/>
      <c r="ID81"/>
      <c r="IE81"/>
      <c r="IF81" s="4"/>
      <c r="IG81" s="4"/>
      <c r="IH81" s="6"/>
      <c r="II81" s="4"/>
      <c r="IJ81" s="5">
        <v>0</v>
      </c>
      <c r="IK81" s="5"/>
      <c r="IL81" s="6"/>
      <c r="IM81" s="4"/>
      <c r="IN81" s="4"/>
      <c r="IO81" s="5">
        <v>0</v>
      </c>
      <c r="IP81" s="5">
        <v>0</v>
      </c>
      <c r="IQ81" s="5"/>
      <c r="IR81" s="4"/>
      <c r="IS81" s="5">
        <v>0</v>
      </c>
      <c r="IT81" s="4"/>
      <c r="IU81" s="4"/>
      <c r="IV81" s="4"/>
      <c r="IW81" s="4"/>
      <c r="IX81" s="6"/>
      <c r="IY81" s="6"/>
      <c r="IZ81" s="6"/>
      <c r="JA81" s="9"/>
      <c r="JB81"/>
      <c r="JC81"/>
      <c r="JD81"/>
      <c r="JE81"/>
      <c r="JF81"/>
      <c r="JG81"/>
      <c r="JH81" s="4"/>
      <c r="JI81" s="4"/>
      <c r="JJ81" s="6"/>
      <c r="JK81" s="4"/>
      <c r="JL81" s="5">
        <v>0</v>
      </c>
      <c r="JM81" s="5"/>
      <c r="JN81" s="6"/>
      <c r="JO81" s="4"/>
      <c r="JP81" s="4"/>
      <c r="JQ81" s="5">
        <v>0</v>
      </c>
      <c r="JR81" s="5">
        <v>0</v>
      </c>
      <c r="JS81" s="5"/>
      <c r="JT81" s="4"/>
      <c r="JU81" s="5">
        <v>0</v>
      </c>
      <c r="JV81" s="4"/>
      <c r="JW81" s="4"/>
      <c r="JX81" s="4"/>
      <c r="JY81" s="4"/>
      <c r="JZ81" s="6"/>
      <c r="KA81" s="6"/>
      <c r="KB81" s="6"/>
      <c r="KC81" s="9"/>
      <c r="KD81"/>
      <c r="KE81"/>
      <c r="KF81"/>
      <c r="KG81"/>
      <c r="KH81"/>
      <c r="KI81"/>
      <c r="KJ81" s="4"/>
      <c r="KK81" s="4"/>
      <c r="KL81" s="6"/>
      <c r="KM81" s="4"/>
      <c r="KN81" s="5">
        <v>0</v>
      </c>
      <c r="KO81" s="5"/>
      <c r="KP81" s="6"/>
      <c r="KQ81" s="4"/>
      <c r="KR81" s="4"/>
      <c r="KS81" s="5">
        <v>0</v>
      </c>
      <c r="KT81" s="5">
        <v>0</v>
      </c>
      <c r="KU81" s="5"/>
      <c r="KV81" s="4"/>
      <c r="KW81" s="5">
        <v>0</v>
      </c>
      <c r="KX81" s="4"/>
      <c r="KY81" s="4"/>
      <c r="KZ81" s="4"/>
      <c r="LA81" s="4"/>
      <c r="LB81" s="6"/>
      <c r="LC81" s="6"/>
      <c r="LD81" s="6"/>
      <c r="LE81" s="9"/>
      <c r="LF81"/>
      <c r="LG81"/>
      <c r="LH81"/>
      <c r="LI81"/>
      <c r="LJ81"/>
      <c r="LK81"/>
      <c r="LL81" s="4"/>
      <c r="LM81" s="4"/>
      <c r="LN81" s="6"/>
      <c r="LO81" s="4"/>
      <c r="LP81" s="5">
        <v>0</v>
      </c>
      <c r="LQ81" s="5"/>
      <c r="LR81" s="6"/>
      <c r="LS81" s="4"/>
      <c r="LT81" s="4"/>
      <c r="LU81" s="5">
        <v>0</v>
      </c>
      <c r="LV81" s="5">
        <v>0</v>
      </c>
      <c r="LW81" s="5"/>
      <c r="LX81" s="4"/>
      <c r="LY81" s="5">
        <v>0</v>
      </c>
      <c r="LZ81" s="4"/>
      <c r="MA81" s="4"/>
      <c r="MB81" s="4"/>
      <c r="MC81" s="4"/>
      <c r="MD81" s="6"/>
      <c r="ME81" s="6"/>
      <c r="MF81" s="6"/>
      <c r="MG81" s="9"/>
      <c r="MH81"/>
    </row>
    <row r="82">
      <c r="A82" s="8">
        <v>25324</v>
      </c>
      <c r="B82" s="8">
        <v>25325</v>
      </c>
      <c r="C82" s="9">
        <f>B82-A82</f>
        <v>1</v>
      </c>
      <c r="D82" s="8">
        <v>25324</v>
      </c>
      <c r="E82" t="inlineStr">
        <is>
          <t xml:space="preserve">positive</t>
        </is>
      </c>
      <c r="F82" s="4">
        <v>1.2448890559226038</v>
      </c>
      <c r="G82" s="6">
        <v>-0.003264421582970101</v>
      </c>
      <c r="H82" s="7">
        <f>SUM(CP82,DR82,ET82,FV82,GX82,HZ82,JB82,KD82,LF82,MH82)</f>
        <v>-0.003264421582970101</v>
      </c>
      <c r="I82" s="7">
        <f>G82-H82</f>
        <v>0</v>
      </c>
      <c r="J82" s="5">
        <f>F82*(1+H82)</f>
        <v>1.2408252132200468</v>
      </c>
      <c r="K82" s="4">
        <v>1.2408252132200468</v>
      </c>
      <c r="L82" s="5">
        <f>K82-J82</f>
        <v>0</v>
      </c>
      <c r="M82" s="4">
        <v>1.778</v>
      </c>
      <c r="N82" s="4">
        <v>1.777</v>
      </c>
      <c r="O82" s="5">
        <f>M82/$M$3</f>
        <v>0.9080694586312564</v>
      </c>
      <c r="P82" s="5">
        <f>N82/$M$3</f>
        <v>0.90755873340143</v>
      </c>
      <c r="Q82" s="7">
        <f>IFERROR(N82/M82-1,0)</f>
        <v>-0.0005624296962880582</v>
      </c>
      <c r="R82" s="5">
        <f>SUM(IF(BQ82="lease",CB82,0),IF(CS82="lease",DD82,0),IF(DU82="lease",EF82,0),IF(EW82="lease",FH82,0),IF(FY82="lease",GJ82,0),IF(HA82="lease",HL82,0),IF(IC82="lease",IN82,0),IF(JE82="lease",JP82,0),IF(KG82="lease",KR82,0),IF(LI82="lease",LT82,0))</f>
        <v>1.2448890559226045</v>
      </c>
      <c r="S82" s="5">
        <f>SUM(IF(BQ82="lease",CI82,0),IF(CS82="lease",DK82,0),IF(DU82="lease",EM82,0),IF(EW82="lease",FO82,0),IF(FY82="lease",GQ82,0),IF(HA82="lease",HS82,0),IF(IC82="lease",IU82,0),IF(JE82="lease",JW82,0),IF(KG82="lease",KY82,0),IF(LI82="lease",MA82,0))</f>
        <v>1.2408252132200475</v>
      </c>
      <c r="T82" s="5">
        <f>SUM(IF(BQ82="keep",CB82,0),IF(CS82="keep",DD82,0),IF(DU82="keep",EF82,0),IF(EW82="keep",FH82,0),IF(FY82="keep",GJ82,0),IF(HA82="keep",HL82,0),IF(IC82="keep",IN82,0),IF(JE82="keep",JP82,0),IF(KG82="keep",KR82,0),IF(LI82="keep",LT82,0))</f>
        <v>0</v>
      </c>
      <c r="U82" s="5">
        <f>SUM(IF(BQ82="keep",CI82,0),IF(CS82="keep",DK82,0),IF(DU82="keep",EM82,0),IF(EW82="keep",FO82,0),IF(FY82="keep",GQ82,0),IF(HA82="keep",HS82,0),IF(IC82="keep",IU82,0),IF(JE82="keep",JW82,0),IF(KG82="keep",KY82,0),IF(LI82="keep",MA82,0))</f>
        <v>0</v>
      </c>
      <c r="V82" s="5">
        <f>R82/O82</f>
        <v>1.3709183191768612</v>
      </c>
      <c r="W82" s="5">
        <f>S82/P82</f>
        <v>1.3672120244709358</v>
      </c>
      <c r="X82" s="5">
        <f>T82/O82</f>
        <v>0</v>
      </c>
      <c r="Y82" s="5">
        <f>U82/P82</f>
        <v>0</v>
      </c>
      <c r="Z82" s="5">
        <f>V82+X82</f>
        <v>1.3709183191768612</v>
      </c>
      <c r="AA82" s="7">
        <f>IFERROR(W82/V82-1,0)</f>
        <v>-0.002703512422352672</v>
      </c>
      <c r="AB82" s="7">
        <f>IFERROR((W82-V82)/Z82,0)</f>
        <v>-0.002703512422352627</v>
      </c>
      <c r="AC82" s="7">
        <f>IFERROR(Y82/X82-1,0)</f>
        <v>0</v>
      </c>
      <c r="AD82" s="7">
        <f>IFERROR((Y82-X82)/Z82,0)</f>
        <v>0</v>
      </c>
      <c r="AE82" s="7">
        <f>AB82+AD82</f>
        <v>-0.002703512422352627</v>
      </c>
      <c r="AF82" s="7">
        <f>(1+Q82)*(1+AE82)-1</f>
        <v>-0.003264421582970134</v>
      </c>
      <c r="AG82" s="7">
        <f>G82-AF82</f>
        <v>3.2959746043559335e-17</v>
      </c>
      <c r="AH82" s="5">
        <f>SUM(IF(BQ82="lease",CE82,0),IF(CS82="lease",DG82,0),IF(DU82="lease",EI82,0),IF(EW82="lease",FK82,0),IF(FY82="lease",GM82,0),IF(HA82="lease",HO82,0),IF(IC82="lease",IQ82,0),IF(JE82="lease",JS82,0),IF(KG82="lease",KU82,0),IF(LI82="lease",LW82,0))</f>
        <v>-0.004063842702557021</v>
      </c>
      <c r="AI82" s="5">
        <f>SUM(IF(BQ82="keep",CE82,0),IF(CS82="keep",DG82,0),IF(DU82="keep",EI82,0),IF(EW82="keep",FK82,0),IF(FY82="keep",GM82,0),IF(HA82="keep",HO82,0),IF(IC82="keep",IQ82,0),IF(JE82="keep",JS82,0),IF(KG82="keep",KU82,0),IF(LI82="keep",LW82,0))</f>
        <v>0</v>
      </c>
      <c r="AJ82" s="5">
        <f>SUM(IF(BQ82="lease",CH82,0),IF(CS82="lease",DJ82,0),IF(DU82="lease",EL82,0),IF(EW82="lease",FN82,0),IF(FY82="lease",GP82,0),IF(HA82="lease",HR82,0),IF(IC82="lease",IT82,0),IF(JE82="lease",JV82,0),IF(KG82="lease",KX82,0),IF(LI82="lease",LZ82,0))</f>
        <v>0</v>
      </c>
      <c r="AK82" s="5">
        <f>SUM(IF(BQ82="keep",CH82,0),IF(CS82="keep",DJ82,0),IF(DU82="keep",EL82,0),IF(EW82="keep",FN82,0),IF(FY82="keep",GP82,0),IF(HA82="keep",HR82,0),IF(IC82="keep",IT82,0),IF(JE82="keep",JV82,0),IF(KG82="keep",KX82,0),IF(LI82="keep",LZ82,0))</f>
        <v>0</v>
      </c>
      <c r="AL82" s="5">
        <f>R82-S81</f>
        <v>0</v>
      </c>
      <c r="AM82" s="5">
        <f>T82-U81</f>
        <v>0</v>
      </c>
      <c r="AN82" s="5">
        <f>AN81</f>
        <v>1</v>
      </c>
      <c r="AO82" s="5">
        <f>AO81+AH82</f>
        <v>0.24082521322004763</v>
      </c>
      <c r="AP82" s="5">
        <f>AP81+AL82</f>
        <v>-4.440892098500626e-16</v>
      </c>
      <c r="AQ82" s="5">
        <f>AN82+AO82+AP82</f>
        <v>1.2408252132200472</v>
      </c>
      <c r="AR82" s="5">
        <f>S82-AQ82</f>
        <v>2.220446049250313e-16</v>
      </c>
      <c r="AS82" s="5">
        <f>AS81</f>
        <v>0</v>
      </c>
      <c r="AT82" s="5">
        <f>AT81+AI82</f>
        <v>0</v>
      </c>
      <c r="AU82" s="5">
        <f>AU81+AM82</f>
        <v>0</v>
      </c>
      <c r="AV82" s="5">
        <f>AS82+AT82+AU82</f>
        <v>0</v>
      </c>
      <c r="AW82" s="5">
        <f>U82-AV82</f>
        <v>0</v>
      </c>
      <c r="AX82" s="4">
        <v>1.2448890559226045</v>
      </c>
      <c r="AY82" s="4">
        <v>1.2408252132200475</v>
      </c>
      <c r="AZ82" s="5">
        <f>S82-AY82</f>
        <v>0</v>
      </c>
      <c r="BA82" s="4">
        <v>0</v>
      </c>
      <c r="BB82" s="4">
        <v>0</v>
      </c>
      <c r="BC82" s="5">
        <f>U82-BB82</f>
        <v>0</v>
      </c>
      <c r="BD82" s="7">
        <f>SUM(IF(BP82="direct",CC82/F82,0),IF(CR82="direct",DE82/F82,0),IF(DT82="direct",EG82/F82,0),IF(EV82="direct",FI82/F82,0),IF(FX82="direct",GK82/F82,0),IF(GZ82="direct",HM82/F82,0),IF(IB82="direct",IO82/F82,0),IF(JD82="direct",JQ82/F82,0),IF(KF82="direct",KS82/F82,0),IF(LH82="direct",LU82/F82,0))</f>
        <v>0</v>
      </c>
      <c r="BE82" s="7">
        <f>-SUM(IF(BP82="direct",CD82/F82,0),IF(CR82="direct",DF82/F82,0),IF(DT82="direct",EH82/F82,0),IF(EV82="direct",FJ82/F82,0),IF(FX82="direct",GL82/F82,0),IF(GZ82="direct",HN82/F82,0),IF(IB82="direct",IP82/F82,0),IF(JD82="direct",JR82/F82,0),IF(KF82="direct",KT82/F82,0),IF(LH82="direct",LV82/F82,0))</f>
        <v>0</v>
      </c>
      <c r="BF82" s="7">
        <f>BD82+BE82</f>
        <v>0</v>
      </c>
      <c r="BG82" s="7">
        <f>BF82-SUM(IF(BP82="direct",CP82,0),IF(CR82="direct",DR82,0),IF(DT82="direct",ET82,0),IF(EV82="direct",FV82,0),IF(FX82="direct",GX82,0),IF(GZ82="direct",HZ82,0),IF(IB82="direct",JB82,0),IF(JD82="direct",KD82,0),IF(KF82="direct",LF82,0),IF(LH82="direct",MH82,0))</f>
        <v>0</v>
      </c>
      <c r="BH82" s="7">
        <f>SUM(IF(BP82="treasury",CP82,0),IF(CR82="treasury",DR82,0),IF(DT82="treasury",ET82,0),IF(EV82="treasury",FV82,0),IF(FX82="treasury",GX82,0),IF(GZ82="treasury",HZ82,0),IF(IB82="treasury",JB82,0),IF(JD82="treasury",KD82,0),IF(KF82="treasury",LF82,0),IF(LH82="treasury",MH82,0))</f>
        <v>0.00016219178082191782</v>
      </c>
      <c r="BI82" s="7">
        <f>SUM(IF(BP82="future",CP82,0),IF(CR82="future",DR82,0),IF(DT82="future",ET82,0),IF(EV82="future",FV82,0),IF(FX82="future",GX82,0),IF(GZ82="future",HZ82,0),IF(IB82="future",JB82,0),IF(JD82="future",KD82,0),IF(KF82="future",LF82,0),IF(LH82="future",MH82,0))</f>
        <v>-0.003426613363792019</v>
      </c>
      <c r="BJ82" s="7">
        <f>SUM(IF(BP82="cash",CP82,0),IF(CR82="cash",DR82,0),IF(DT82="cash",ET82,0),IF(EV82="cash",FV82,0),IF(FX82="cash",GX82,0),IF(GZ82="cash",HZ82,0),IF(IB82="cash",JB82,0),IF(JD82="cash",KD82,0),IF(KF82="cash",LF82,0),IF(LH82="cash",MH82,0))</f>
        <v>0</v>
      </c>
      <c r="BK82" s="7">
        <f>SUM(BF82,BH82,BI82,BJ82)</f>
        <v>-0.003264421582970101</v>
      </c>
      <c r="BL82" s="7">
        <f>G82-BK82</f>
        <v>0</v>
      </c>
      <c r="BM82" s="5">
        <f>MAX(ABS(CG82),ABS(DI82),ABS(EK82),ABS(FM82),ABS(GO82),ABS(HQ82),ABS(IS82),ABS(JU82),ABS(KW82),ABS(LY82))</f>
        <v>6.52960758379395e-17</v>
      </c>
      <c r="BN82" s="9">
        <f>COUNTA(BO82,CQ82,DS82,EU82,FW82,GY82,IA82,JC82,KE82,LG82)</f>
        <v>4</v>
      </c>
      <c r="BO82" t="inlineStr">
        <is>
          <t xml:space="preserve">Treasury collateral</t>
        </is>
      </c>
      <c r="BP82" t="inlineStr">
        <is>
          <t xml:space="preserve">treasury</t>
        </is>
      </c>
      <c r="BQ82" t="inlineStr">
        <is>
          <t xml:space="preserve">lease</t>
        </is>
      </c>
      <c r="BR82" t="inlineStr">
        <is>
          <t xml:space="preserve">long</t>
        </is>
      </c>
      <c r="BS82"/>
      <c r="BT82" s="4">
        <v>102.00758550622702</v>
      </c>
      <c r="BU82" s="4">
        <v>102.02413029817761</v>
      </c>
      <c r="BV82" s="6"/>
      <c r="BW82" s="4">
        <v>0.012203887090794929</v>
      </c>
      <c r="BX82" s="5">
        <f>IF(BP82="direct",IFERROR(CD82/BU82,0),0)</f>
        <v>0</v>
      </c>
      <c r="BY82" s="5">
        <f>IF(BP82="direct",BW82-BX82,IF(BP82="cash",CI82,BW82))</f>
        <v>0.012203887090794929</v>
      </c>
      <c r="BZ82" s="6">
        <v>1</v>
      </c>
      <c r="CA82" s="4">
        <v>1.2448890559226038</v>
      </c>
      <c r="CB82" s="4">
        <v>1.2448890559226038</v>
      </c>
      <c r="CC82" s="5">
        <f>IF(BP82="direct",BW82*(BU82-BT82),CF82)</f>
        <v>0.00020191077290573786</v>
      </c>
      <c r="CD82" s="5">
        <f>IF(BP82="direct",CB82*BV82*C82/365,0)</f>
        <v>0</v>
      </c>
      <c r="CE82" s="5">
        <f>CC82-CD82</f>
        <v>0.00020191077290580316</v>
      </c>
      <c r="CF82" s="4">
        <v>0.00020191077290580316</v>
      </c>
      <c r="CG82" s="5">
        <f>CF82-CE82</f>
        <v>6.52960758379395e-17</v>
      </c>
      <c r="CH82" s="4">
        <v>-1.4742439040371647e-16</v>
      </c>
      <c r="CI82" s="4">
        <v>1.2450909666955094</v>
      </c>
      <c r="CJ82" s="4">
        <v>1.778</v>
      </c>
      <c r="CK82" s="4">
        <v>1.777</v>
      </c>
      <c r="CL82" s="6"/>
      <c r="CM82" s="6"/>
      <c r="CN82" s="6"/>
      <c r="CO82" s="9">
        <v>27</v>
      </c>
      <c r="CP82" s="7">
        <f>IFERROR(CE82/F82,0)</f>
        <v>0.00016219178082191782</v>
      </c>
      <c r="CQ82" t="inlineStr">
        <is>
          <t xml:space="preserve">SI69K</t>
        </is>
      </c>
      <c r="CR82" t="inlineStr">
        <is>
          <t xml:space="preserve">future</t>
        </is>
      </c>
      <c r="CS82" t="inlineStr">
        <is>
          <t xml:space="preserve">lease</t>
        </is>
      </c>
      <c r="CT82" t="inlineStr">
        <is>
          <t xml:space="preserve">long</t>
        </is>
      </c>
      <c r="CU82" t="inlineStr">
        <is>
          <t xml:space="preserve">regular</t>
        </is>
      </c>
      <c r="CV82" s="4">
        <v>1.751</v>
      </c>
      <c r="CW82" s="4">
        <v>1.745</v>
      </c>
      <c r="CX82" s="6"/>
      <c r="CY82" s="4">
        <v>0.7109589125771582</v>
      </c>
      <c r="CZ82" s="5">
        <f>IF(CR82="direct",IFERROR(DF82/CW82,0),0)</f>
        <v>0</v>
      </c>
      <c r="DA82" s="5">
        <f>IF(CR82="direct",CY82-CZ82,IF(CR82="cash",DK82,CY82))</f>
        <v>0.7109589125771582</v>
      </c>
      <c r="DB82" s="6">
        <v>1</v>
      </c>
      <c r="DC82" s="4">
        <v>1.2448890559226038</v>
      </c>
      <c r="DD82" s="4">
        <v>0</v>
      </c>
      <c r="DE82" s="5">
        <f>IF(CR82="direct",CY82*(CW82-CV82),DH82)</f>
        <v>-0.004265753475462824</v>
      </c>
      <c r="DF82" s="5">
        <f>IF(CR82="direct",DD82*CX82*C82/365,0)</f>
        <v>0</v>
      </c>
      <c r="DG82" s="5">
        <f>DE82-DF82</f>
        <v>-0.004265753475462824</v>
      </c>
      <c r="DH82" s="4">
        <v>-0.004265753475462824</v>
      </c>
      <c r="DI82" s="5">
        <f>DH82-DG82</f>
        <v>0</v>
      </c>
      <c r="DJ82" s="4">
        <v>0.004265753475462824</v>
      </c>
      <c r="DK82" s="4">
        <v>0</v>
      </c>
      <c r="DL82" s="4">
        <v>1.778</v>
      </c>
      <c r="DM82" s="4">
        <v>1.777</v>
      </c>
      <c r="DN82" s="6">
        <v>-0.015185601799775128</v>
      </c>
      <c r="DO82" s="6">
        <v>0.0592</v>
      </c>
      <c r="DP82" s="6">
        <v>0.2644868391451082</v>
      </c>
      <c r="DQ82" s="9">
        <v>27</v>
      </c>
      <c r="DR82" s="7">
        <f>IFERROR(DG82/F82,0)</f>
        <v>-0.003426613363792019</v>
      </c>
      <c r="DS82" t="inlineStr">
        <is>
          <t xml:space="preserve">Lease cash / margin / financing</t>
        </is>
      </c>
      <c r="DT82" t="inlineStr">
        <is>
          <t xml:space="preserve">cash</t>
        </is>
      </c>
      <c r="DU82" t="inlineStr">
        <is>
          <t xml:space="preserve">lease</t>
        </is>
      </c>
      <c r="DV82" t="inlineStr">
        <is>
          <t xml:space="preserve">cash</t>
        </is>
      </c>
      <c r="DW82"/>
      <c r="DX82" s="4">
        <v>1</v>
      </c>
      <c r="DY82" s="4">
        <v>1</v>
      </c>
      <c r="DZ82" s="6"/>
      <c r="EA82" s="4">
        <v>6.661338147750939e-16</v>
      </c>
      <c r="EB82" s="5">
        <f>IF(DT82="direct",IFERROR(EH82/DY82,0),0)</f>
        <v>0</v>
      </c>
      <c r="EC82" s="5">
        <f>IF(DT82="direct",EA82-EB82,IF(DT82="cash",EM82,EA82))</f>
        <v>-0.004265753475462011</v>
      </c>
      <c r="ED82" s="6"/>
      <c r="EE82" s="4">
        <v>6.661338147750939e-16</v>
      </c>
      <c r="EF82" s="4">
        <v>6.661338147750939e-16</v>
      </c>
      <c r="EG82" s="5">
        <f>IF(DT82="direct",EA82*(DY82-DX82),EJ82)</f>
        <v>0</v>
      </c>
      <c r="EH82" s="5">
        <f>IF(DT82="direct",EF82*DZ82*C82/365,0)</f>
        <v>0</v>
      </c>
      <c r="EI82" s="5">
        <f>EG82-EH82</f>
        <v>0</v>
      </c>
      <c r="EJ82" s="4">
        <v>0</v>
      </c>
      <c r="EK82" s="5">
        <f>EJ82-EI82</f>
        <v>0</v>
      </c>
      <c r="EL82" s="4">
        <v>-0.004265753475462677</v>
      </c>
      <c r="EM82" s="4">
        <v>-0.004265753475462011</v>
      </c>
      <c r="EN82" s="4">
        <v>1.778</v>
      </c>
      <c r="EO82" s="4">
        <v>1.777</v>
      </c>
      <c r="EP82" s="6"/>
      <c r="EQ82" s="6"/>
      <c r="ER82" s="6"/>
      <c r="ES82" s="9"/>
      <c r="ET82" s="7">
        <f>IFERROR(EI82/F82,0)</f>
        <v>0</v>
      </c>
      <c r="EU82" t="inlineStr">
        <is>
          <t xml:space="preserve">Keep cash / margin / financing</t>
        </is>
      </c>
      <c r="EV82" t="inlineStr">
        <is>
          <t xml:space="preserve">cash</t>
        </is>
      </c>
      <c r="EW82" t="inlineStr">
        <is>
          <t xml:space="preserve">keep</t>
        </is>
      </c>
      <c r="EX82" t="inlineStr">
        <is>
          <t xml:space="preserve">cash</t>
        </is>
      </c>
      <c r="EY82"/>
      <c r="EZ82" s="4">
        <v>1</v>
      </c>
      <c r="FA82" s="4">
        <v>1</v>
      </c>
      <c r="FB82" s="6"/>
      <c r="FC82" s="4">
        <v>0</v>
      </c>
      <c r="FD82" s="5">
        <f>IF(EV82="direct",IFERROR(FJ82/FA82,0),0)</f>
        <v>0</v>
      </c>
      <c r="FE82" s="5">
        <f>IF(EV82="direct",FC82-FD82,IF(EV82="cash",FO82,FC82))</f>
        <v>0</v>
      </c>
      <c r="FF82" s="6"/>
      <c r="FG82" s="4">
        <v>0</v>
      </c>
      <c r="FH82" s="4">
        <v>0</v>
      </c>
      <c r="FI82" s="5">
        <f>IF(EV82="direct",FC82*(FA82-EZ82),FL82)</f>
        <v>0</v>
      </c>
      <c r="FJ82" s="5">
        <f>IF(EV82="direct",FH82*FB82*C82/365,0)</f>
        <v>0</v>
      </c>
      <c r="FK82" s="5">
        <f>FI82-FJ82</f>
        <v>0</v>
      </c>
      <c r="FL82" s="4">
        <v>0</v>
      </c>
      <c r="FM82" s="5">
        <f>FL82-FK82</f>
        <v>0</v>
      </c>
      <c r="FN82" s="4">
        <v>0</v>
      </c>
      <c r="FO82" s="4">
        <v>0</v>
      </c>
      <c r="FP82" s="4">
        <v>1.778</v>
      </c>
      <c r="FQ82" s="4">
        <v>1.777</v>
      </c>
      <c r="FR82" s="6"/>
      <c r="FS82" s="6"/>
      <c r="FT82" s="6"/>
      <c r="FU82" s="9"/>
      <c r="FV82" s="7">
        <f>IFERROR(FK82/F82,0)</f>
        <v>0</v>
      </c>
      <c r="FW82"/>
      <c r="FX82"/>
      <c r="FY82"/>
      <c r="FZ82"/>
      <c r="GA82"/>
      <c r="GB82" s="4"/>
      <c r="GC82" s="4"/>
      <c r="GD82" s="6"/>
      <c r="GE82" s="4"/>
      <c r="GF82" s="5">
        <v>0</v>
      </c>
      <c r="GG82" s="5"/>
      <c r="GH82" s="6"/>
      <c r="GI82" s="4"/>
      <c r="GJ82" s="4"/>
      <c r="GK82" s="5">
        <v>0</v>
      </c>
      <c r="GL82" s="5">
        <v>0</v>
      </c>
      <c r="GM82" s="5"/>
      <c r="GN82" s="4"/>
      <c r="GO82" s="5">
        <v>0</v>
      </c>
      <c r="GP82" s="4"/>
      <c r="GQ82" s="4"/>
      <c r="GR82" s="4"/>
      <c r="GS82" s="4"/>
      <c r="GT82" s="6"/>
      <c r="GU82" s="6"/>
      <c r="GV82" s="6"/>
      <c r="GW82" s="9"/>
      <c r="GX82"/>
      <c r="GY82"/>
      <c r="GZ82"/>
      <c r="HA82"/>
      <c r="HB82"/>
      <c r="HC82"/>
      <c r="HD82" s="4"/>
      <c r="HE82" s="4"/>
      <c r="HF82" s="6"/>
      <c r="HG82" s="4"/>
      <c r="HH82" s="5">
        <v>0</v>
      </c>
      <c r="HI82" s="5"/>
      <c r="HJ82" s="6"/>
      <c r="HK82" s="4"/>
      <c r="HL82" s="4"/>
      <c r="HM82" s="5">
        <v>0</v>
      </c>
      <c r="HN82" s="5">
        <v>0</v>
      </c>
      <c r="HO82" s="5"/>
      <c r="HP82" s="4"/>
      <c r="HQ82" s="5">
        <v>0</v>
      </c>
      <c r="HR82" s="4"/>
      <c r="HS82" s="4"/>
      <c r="HT82" s="4"/>
      <c r="HU82" s="4"/>
      <c r="HV82" s="6"/>
      <c r="HW82" s="6"/>
      <c r="HX82" s="6"/>
      <c r="HY82" s="9"/>
      <c r="HZ82"/>
      <c r="IA82"/>
      <c r="IB82"/>
      <c r="IC82"/>
      <c r="ID82"/>
      <c r="IE82"/>
      <c r="IF82" s="4"/>
      <c r="IG82" s="4"/>
      <c r="IH82" s="6"/>
      <c r="II82" s="4"/>
      <c r="IJ82" s="5">
        <v>0</v>
      </c>
      <c r="IK82" s="5"/>
      <c r="IL82" s="6"/>
      <c r="IM82" s="4"/>
      <c r="IN82" s="4"/>
      <c r="IO82" s="5">
        <v>0</v>
      </c>
      <c r="IP82" s="5">
        <v>0</v>
      </c>
      <c r="IQ82" s="5"/>
      <c r="IR82" s="4"/>
      <c r="IS82" s="5">
        <v>0</v>
      </c>
      <c r="IT82" s="4"/>
      <c r="IU82" s="4"/>
      <c r="IV82" s="4"/>
      <c r="IW82" s="4"/>
      <c r="IX82" s="6"/>
      <c r="IY82" s="6"/>
      <c r="IZ82" s="6"/>
      <c r="JA82" s="9"/>
      <c r="JB82"/>
      <c r="JC82"/>
      <c r="JD82"/>
      <c r="JE82"/>
      <c r="JF82"/>
      <c r="JG82"/>
      <c r="JH82" s="4"/>
      <c r="JI82" s="4"/>
      <c r="JJ82" s="6"/>
      <c r="JK82" s="4"/>
      <c r="JL82" s="5">
        <v>0</v>
      </c>
      <c r="JM82" s="5"/>
      <c r="JN82" s="6"/>
      <c r="JO82" s="4"/>
      <c r="JP82" s="4"/>
      <c r="JQ82" s="5">
        <v>0</v>
      </c>
      <c r="JR82" s="5">
        <v>0</v>
      </c>
      <c r="JS82" s="5"/>
      <c r="JT82" s="4"/>
      <c r="JU82" s="5">
        <v>0</v>
      </c>
      <c r="JV82" s="4"/>
      <c r="JW82" s="4"/>
      <c r="JX82" s="4"/>
      <c r="JY82" s="4"/>
      <c r="JZ82" s="6"/>
      <c r="KA82" s="6"/>
      <c r="KB82" s="6"/>
      <c r="KC82" s="9"/>
      <c r="KD82"/>
      <c r="KE82"/>
      <c r="KF82"/>
      <c r="KG82"/>
      <c r="KH82"/>
      <c r="KI82"/>
      <c r="KJ82" s="4"/>
      <c r="KK82" s="4"/>
      <c r="KL82" s="6"/>
      <c r="KM82" s="4"/>
      <c r="KN82" s="5">
        <v>0</v>
      </c>
      <c r="KO82" s="5"/>
      <c r="KP82" s="6"/>
      <c r="KQ82" s="4"/>
      <c r="KR82" s="4"/>
      <c r="KS82" s="5">
        <v>0</v>
      </c>
      <c r="KT82" s="5">
        <v>0</v>
      </c>
      <c r="KU82" s="5"/>
      <c r="KV82" s="4"/>
      <c r="KW82" s="5">
        <v>0</v>
      </c>
      <c r="KX82" s="4"/>
      <c r="KY82" s="4"/>
      <c r="KZ82" s="4"/>
      <c r="LA82" s="4"/>
      <c r="LB82" s="6"/>
      <c r="LC82" s="6"/>
      <c r="LD82" s="6"/>
      <c r="LE82" s="9"/>
      <c r="LF82"/>
      <c r="LG82"/>
      <c r="LH82"/>
      <c r="LI82"/>
      <c r="LJ82"/>
      <c r="LK82"/>
      <c r="LL82" s="4"/>
      <c r="LM82" s="4"/>
      <c r="LN82" s="6"/>
      <c r="LO82" s="4"/>
      <c r="LP82" s="5">
        <v>0</v>
      </c>
      <c r="LQ82" s="5"/>
      <c r="LR82" s="6"/>
      <c r="LS82" s="4"/>
      <c r="LT82" s="4"/>
      <c r="LU82" s="5">
        <v>0</v>
      </c>
      <c r="LV82" s="5">
        <v>0</v>
      </c>
      <c r="LW82" s="5"/>
      <c r="LX82" s="4"/>
      <c r="LY82" s="5">
        <v>0</v>
      </c>
      <c r="LZ82" s="4"/>
      <c r="MA82" s="4"/>
      <c r="MB82" s="4"/>
      <c r="MC82" s="4"/>
      <c r="MD82" s="6"/>
      <c r="ME82" s="6"/>
      <c r="MF82" s="6"/>
      <c r="MG82" s="9"/>
      <c r="MH82"/>
    </row>
    <row r="83">
      <c r="A83" s="8">
        <v>25325</v>
      </c>
      <c r="B83" s="8">
        <v>25328</v>
      </c>
      <c r="C83" s="9">
        <f>B83-A83</f>
        <v>3</v>
      </c>
      <c r="D83" s="8">
        <v>25325</v>
      </c>
      <c r="E83" t="inlineStr">
        <is>
          <t xml:space="preserve">positive</t>
        </is>
      </c>
      <c r="F83" s="4">
        <v>1.2408252132200468</v>
      </c>
      <c r="G83" s="6">
        <v>-0.013836784550771366</v>
      </c>
      <c r="H83" s="7">
        <f>SUM(CP83,DR83,ET83,FV83,GX83,HZ83,JB83,KD83,LF83,MH83)</f>
        <v>-0.013836784550771367</v>
      </c>
      <c r="I83" s="7">
        <f>G83-H83</f>
        <v>1.734723475976807e-18</v>
      </c>
      <c r="J83" s="5">
        <f>F83*(1+H83)</f>
        <v>1.223656182079556</v>
      </c>
      <c r="K83" s="4">
        <v>1.223656182079556</v>
      </c>
      <c r="L83" s="5">
        <f>K83-J83</f>
        <v>0</v>
      </c>
      <c r="M83" s="4">
        <v>1.777</v>
      </c>
      <c r="N83" s="4">
        <v>1.769</v>
      </c>
      <c r="O83" s="5">
        <f>M83/$M$3</f>
        <v>0.90755873340143</v>
      </c>
      <c r="P83" s="5">
        <f>N83/$M$3</f>
        <v>0.9034729315628192</v>
      </c>
      <c r="Q83" s="7">
        <f>IFERROR(N83/M83-1,0)</f>
        <v>-0.0045019696117051256</v>
      </c>
      <c r="R83" s="5">
        <f>SUM(IF(BQ83="lease",CB83,0),IF(CS83="lease",DD83,0),IF(DU83="lease",EF83,0),IF(EW83="lease",FH83,0),IF(FY83="lease",GJ83,0),IF(HA83="lease",HL83,0),IF(IC83="lease",IN83,0),IF(JE83="lease",JP83,0),IF(KG83="lease",KR83,0),IF(LI83="lease",LT83,0))</f>
        <v>1.2408252132200475</v>
      </c>
      <c r="S83" s="5">
        <f>SUM(IF(BQ83="lease",CI83,0),IF(CS83="lease",DK83,0),IF(DU83="lease",EM83,0),IF(EW83="lease",FO83,0),IF(FY83="lease",GQ83,0),IF(HA83="lease",HS83,0),IF(IC83="lease",IU83,0),IF(JE83="lease",JW83,0),IF(KG83="lease",KY83,0),IF(LI83="lease",MA83,0))</f>
        <v>1.2236561820795568</v>
      </c>
      <c r="T83" s="5">
        <f>SUM(IF(BQ83="keep",CB83,0),IF(CS83="keep",DD83,0),IF(DU83="keep",EF83,0),IF(EW83="keep",FH83,0),IF(FY83="keep",GJ83,0),IF(HA83="keep",HL83,0),IF(IC83="keep",IN83,0),IF(JE83="keep",JP83,0),IF(KG83="keep",KR83,0),IF(LI83="keep",LT83,0))</f>
        <v>0</v>
      </c>
      <c r="U83" s="5">
        <f>SUM(IF(BQ83="keep",CI83,0),IF(CS83="keep",DK83,0),IF(DU83="keep",EM83,0),IF(EW83="keep",FO83,0),IF(FY83="keep",GQ83,0),IF(HA83="keep",HS83,0),IF(IC83="keep",IU83,0),IF(JE83="keep",JW83,0),IF(KG83="keep",KY83,0),IF(LI83="keep",MA83,0))</f>
        <v>0</v>
      </c>
      <c r="V83" s="5">
        <f>R83/O83</f>
        <v>1.3672120244709358</v>
      </c>
      <c r="W83" s="5">
        <f>S83/P83</f>
        <v>1.354391636241816</v>
      </c>
      <c r="X83" s="5">
        <f>T83/O83</f>
        <v>0</v>
      </c>
      <c r="Y83" s="5">
        <f>U83/P83</f>
        <v>0</v>
      </c>
      <c r="Z83" s="5">
        <f>V83+X83</f>
        <v>1.3672120244709358</v>
      </c>
      <c r="AA83" s="7">
        <f>IFERROR(W83/V83-1,0)</f>
        <v>-0.009377030043369317</v>
      </c>
      <c r="AB83" s="7">
        <f>IFERROR((W83-V83)/Z83,0)</f>
        <v>-0.00937703004336935</v>
      </c>
      <c r="AC83" s="7">
        <f>IFERROR(Y83/X83-1,0)</f>
        <v>0</v>
      </c>
      <c r="AD83" s="7">
        <f>IFERROR((Y83-X83)/Z83,0)</f>
        <v>0</v>
      </c>
      <c r="AE83" s="7">
        <f>AB83+AD83</f>
        <v>-0.00937703004336935</v>
      </c>
      <c r="AF83" s="7">
        <f>(1+Q83)*(1+AE83)-1</f>
        <v>-0.013836784550771197</v>
      </c>
      <c r="AG83" s="7">
        <f>G83-AF83</f>
        <v>-1.682681771697503e-16</v>
      </c>
      <c r="AH83" s="5">
        <f>SUM(IF(BQ83="lease",CE83,0),IF(CS83="lease",DG83,0),IF(DU83="lease",EI83,0),IF(EW83="lease",FK83,0),IF(FY83="lease",GM83,0),IF(HA83="lease",HO83,0),IF(IC83="lease",IQ83,0),IF(JE83="lease",JS83,0),IF(KG83="lease",KU83,0),IF(LI83="lease",LW83,0))</f>
        <v>-0.01716903114049073</v>
      </c>
      <c r="AI83" s="5">
        <f>SUM(IF(BQ83="keep",CE83,0),IF(CS83="keep",DG83,0),IF(DU83="keep",EI83,0),IF(EW83="keep",FK83,0),IF(FY83="keep",GM83,0),IF(HA83="keep",HO83,0),IF(IC83="keep",IQ83,0),IF(JE83="keep",JS83,0),IF(KG83="keep",KU83,0),IF(LI83="keep",LW83,0))</f>
        <v>0</v>
      </c>
      <c r="AJ83" s="5">
        <f>SUM(IF(BQ83="lease",CH83,0),IF(CS83="lease",DJ83,0),IF(DU83="lease",EL83,0),IF(EW83="lease",FN83,0),IF(FY83="lease",GP83,0),IF(HA83="lease",HR83,0),IF(IC83="lease",IT83,0),IF(JE83="lease",JV83,0),IF(KG83="lease",KX83,0),IF(LI83="lease",LZ83,0))</f>
        <v>0</v>
      </c>
      <c r="AK83" s="5">
        <f>SUM(IF(BQ83="keep",CH83,0),IF(CS83="keep",DJ83,0),IF(DU83="keep",EL83,0),IF(EW83="keep",FN83,0),IF(FY83="keep",GP83,0),IF(HA83="keep",HR83,0),IF(IC83="keep",IT83,0),IF(JE83="keep",JV83,0),IF(KG83="keep",KX83,0),IF(LI83="keep",LZ83,0))</f>
        <v>0</v>
      </c>
      <c r="AL83" s="5">
        <f>R83-S82</f>
        <v>0</v>
      </c>
      <c r="AM83" s="5">
        <f>T83-U82</f>
        <v>0</v>
      </c>
      <c r="AN83" s="5">
        <f>AN82</f>
        <v>1</v>
      </c>
      <c r="AO83" s="5">
        <f>AO82+AH83</f>
        <v>0.2236561820795569</v>
      </c>
      <c r="AP83" s="5">
        <f>AP82+AL83</f>
        <v>-4.440892098500626e-16</v>
      </c>
      <c r="AQ83" s="5">
        <f>AN83+AO83+AP83</f>
        <v>1.2236561820795564</v>
      </c>
      <c r="AR83" s="5">
        <f>S83-AQ83</f>
        <v>4.440892098500626e-16</v>
      </c>
      <c r="AS83" s="5">
        <f>AS82</f>
        <v>0</v>
      </c>
      <c r="AT83" s="5">
        <f>AT82+AI83</f>
        <v>0</v>
      </c>
      <c r="AU83" s="5">
        <f>AU82+AM83</f>
        <v>0</v>
      </c>
      <c r="AV83" s="5">
        <f>AS83+AT83+AU83</f>
        <v>0</v>
      </c>
      <c r="AW83" s="5">
        <f>U83-AV83</f>
        <v>0</v>
      </c>
      <c r="AX83" s="4">
        <v>1.2408252132200475</v>
      </c>
      <c r="AY83" s="4">
        <v>1.2236561820795568</v>
      </c>
      <c r="AZ83" s="5">
        <f>S83-AY83</f>
        <v>0</v>
      </c>
      <c r="BA83" s="4">
        <v>0</v>
      </c>
      <c r="BB83" s="4">
        <v>0</v>
      </c>
      <c r="BC83" s="5">
        <f>U83-BB83</f>
        <v>0</v>
      </c>
      <c r="BD83" s="7">
        <f>SUM(IF(BP83="direct",CC83/F83,0),IF(CR83="direct",DE83/F83,0),IF(DT83="direct",EG83/F83,0),IF(EV83="direct",FI83/F83,0),IF(FX83="direct",GK83/F83,0),IF(GZ83="direct",HM83/F83,0),IF(IB83="direct",IO83/F83,0),IF(JD83="direct",JQ83/F83,0),IF(KF83="direct",KS83/F83,0),IF(LH83="direct",LU83/F83,0))</f>
        <v>0</v>
      </c>
      <c r="BE83" s="7">
        <f>-SUM(IF(BP83="direct",CD83/F83,0),IF(CR83="direct",DF83/F83,0),IF(DT83="direct",EH83/F83,0),IF(EV83="direct",FJ83/F83,0),IF(FX83="direct",GL83/F83,0),IF(GZ83="direct",HN83/F83,0),IF(IB83="direct",IP83/F83,0),IF(JD83="direct",JR83/F83,0),IF(KF83="direct",KT83/F83,0),IF(LH83="direct",LV83/F83,0))</f>
        <v>0</v>
      </c>
      <c r="BF83" s="7">
        <f>BD83+BE83</f>
        <v>0</v>
      </c>
      <c r="BG83" s="7">
        <f>BF83-SUM(IF(BP83="direct",CP83,0),IF(CR83="direct",DR83,0),IF(DT83="direct",ET83,0),IF(EV83="direct",FV83,0),IF(FX83="direct",GX83,0),IF(GZ83="direct",HZ83,0),IF(IB83="direct",JB83,0),IF(JD83="direct",KD83,0),IF(KF83="direct",LF83,0),IF(LH83="direct",MH83,0))</f>
        <v>0</v>
      </c>
      <c r="BH83" s="7">
        <f>SUM(IF(BP83="treasury",CP83,0),IF(CR83="treasury",DR83,0),IF(DT83="treasury",ET83,0),IF(EV83="treasury",FV83,0),IF(FX83="treasury",GX83,0),IF(GZ83="treasury",HZ83,0),IF(IB83="treasury",JB83,0),IF(JD83="treasury",KD83,0),IF(KF83="treasury",LF83,0),IF(LH83="treasury",MH83,0))</f>
        <v>0.0004898630136986302</v>
      </c>
      <c r="BI83" s="7">
        <f>SUM(IF(BP83="future",CP83,0),IF(CR83="future",DR83,0),IF(DT83="future",ET83,0),IF(EV83="future",FV83,0),IF(FX83="future",GX83,0),IF(GZ83="future",HZ83,0),IF(IB83="future",JB83,0),IF(JD83="future",KD83,0),IF(KF83="future",LF83,0),IF(LH83="future",MH83,0))</f>
        <v>-0.014326647564469996</v>
      </c>
      <c r="BJ83" s="7">
        <f>SUM(IF(BP83="cash",CP83,0),IF(CR83="cash",DR83,0),IF(DT83="cash",ET83,0),IF(EV83="cash",FV83,0),IF(FX83="cash",GX83,0),IF(GZ83="cash",HZ83,0),IF(IB83="cash",JB83,0),IF(JD83="cash",KD83,0),IF(KF83="cash",LF83,0),IF(LH83="cash",MH83,0))</f>
        <v>0</v>
      </c>
      <c r="BK83" s="7">
        <f>SUM(BF83,BH83,BI83,BJ83)</f>
        <v>-0.013836784550771366</v>
      </c>
      <c r="BL83" s="7">
        <f>G83-BK83</f>
        <v>0</v>
      </c>
      <c r="BM83" s="5">
        <f>MAX(ABS(CG83),ABS(DI83),ABS(EK83),ABS(FM83),ABS(GO83),ABS(HQ83),ABS(IS83),ABS(JU83),ABS(KW83),ABS(LY83))</f>
        <v>7.795413620170777e-17</v>
      </c>
      <c r="BN83" s="9">
        <f>COUNTA(BO83,CQ83,DS83,EU83,FW83,GY83,IA83,JC83,KE83,LG83)</f>
        <v>4</v>
      </c>
      <c r="BO83" t="inlineStr">
        <is>
          <t xml:space="preserve">Treasury collateral</t>
        </is>
      </c>
      <c r="BP83" t="inlineStr">
        <is>
          <t xml:space="preserve">treasury</t>
        </is>
      </c>
      <c r="BQ83" t="inlineStr">
        <is>
          <t xml:space="preserve">lease</t>
        </is>
      </c>
      <c r="BR83" t="inlineStr">
        <is>
          <t xml:space="preserve">long</t>
        </is>
      </c>
      <c r="BS83"/>
      <c r="BT83" s="4">
        <v>102.02413029817761</v>
      </c>
      <c r="BU83" s="4">
        <v>102.07410814611546</v>
      </c>
      <c r="BV83" s="6"/>
      <c r="BW83" s="4">
        <v>0.012162075869635821</v>
      </c>
      <c r="BX83" s="5">
        <f>IF(BP83="direct",IFERROR(CD83/BU83,0),0)</f>
        <v>0</v>
      </c>
      <c r="BY83" s="5">
        <f>IF(BP83="direct",BW83-BX83,IF(BP83="cash",CI83,BW83))</f>
        <v>0.012162075869635821</v>
      </c>
      <c r="BZ83" s="6">
        <v>1</v>
      </c>
      <c r="CA83" s="4">
        <v>1.2408252132200468</v>
      </c>
      <c r="CB83" s="4">
        <v>1.2408252132200468</v>
      </c>
      <c r="CC83" s="5">
        <f>IF(BP83="direct",BW83*(BU83-BT83),CF83)</f>
        <v>0.0006078343784212955</v>
      </c>
      <c r="CD83" s="5">
        <f>IF(BP83="direct",CB83*BV83*C83/365,0)</f>
        <v>0</v>
      </c>
      <c r="CE83" s="5">
        <f>CC83-CD83</f>
        <v>0.0006078343784212176</v>
      </c>
      <c r="CF83" s="4">
        <v>0.0006078343784212176</v>
      </c>
      <c r="CG83" s="5">
        <f>CF83-CE83</f>
        <v>-7.795413620170777e-17</v>
      </c>
      <c r="CH83" s="4">
        <v>5.0523821237824507e-17</v>
      </c>
      <c r="CI83" s="4">
        <v>1.241433047598468</v>
      </c>
      <c r="CJ83" s="4">
        <v>1.777</v>
      </c>
      <c r="CK83" s="4">
        <v>1.769</v>
      </c>
      <c r="CL83" s="6"/>
      <c r="CM83" s="6"/>
      <c r="CN83" s="6"/>
      <c r="CO83" s="9">
        <v>26</v>
      </c>
      <c r="CP83" s="7">
        <f>IFERROR(CE83/F83,0)</f>
        <v>0.0004898630136986302</v>
      </c>
      <c r="CQ83" t="inlineStr">
        <is>
          <t xml:space="preserve">SI69K</t>
        </is>
      </c>
      <c r="CR83" t="inlineStr">
        <is>
          <t xml:space="preserve">future</t>
        </is>
      </c>
      <c r="CS83" t="inlineStr">
        <is>
          <t xml:space="preserve">lease</t>
        </is>
      </c>
      <c r="CT83" t="inlineStr">
        <is>
          <t xml:space="preserve">long</t>
        </is>
      </c>
      <c r="CU83" t="inlineStr">
        <is>
          <t xml:space="preserve">regular</t>
        </is>
      </c>
      <c r="CV83" s="4">
        <v>1.745</v>
      </c>
      <c r="CW83" s="4">
        <v>1.72</v>
      </c>
      <c r="CX83" s="6"/>
      <c r="CY83" s="4">
        <v>0.7110746207564738</v>
      </c>
      <c r="CZ83" s="5">
        <f>IF(CR83="direct",IFERROR(DF83/CW83,0),0)</f>
        <v>0</v>
      </c>
      <c r="DA83" s="5">
        <f>IF(CR83="direct",CY83-CZ83,IF(CR83="cash",DK83,CY83))</f>
        <v>0.7110746207564738</v>
      </c>
      <c r="DB83" s="6">
        <v>1</v>
      </c>
      <c r="DC83" s="4">
        <v>1.2408252132200468</v>
      </c>
      <c r="DD83" s="4">
        <v>0</v>
      </c>
      <c r="DE83" s="5">
        <f>IF(CR83="direct",CY83*(CW83-CV83),DH83)</f>
        <v>-0.017776865518911947</v>
      </c>
      <c r="DF83" s="5">
        <f>IF(CR83="direct",DD83*CX83*C83/365,0)</f>
        <v>0</v>
      </c>
      <c r="DG83" s="5">
        <f>DE83-DF83</f>
        <v>-0.017776865518911947</v>
      </c>
      <c r="DH83" s="4">
        <v>-0.017776865518911947</v>
      </c>
      <c r="DI83" s="5">
        <f>DH83-DG83</f>
        <v>0</v>
      </c>
      <c r="DJ83" s="4">
        <v>0.017776865518911947</v>
      </c>
      <c r="DK83" s="4">
        <v>0</v>
      </c>
      <c r="DL83" s="4">
        <v>1.777</v>
      </c>
      <c r="DM83" s="4">
        <v>1.769</v>
      </c>
      <c r="DN83" s="6">
        <v>-0.01800787844682039</v>
      </c>
      <c r="DO83" s="6">
        <v>0.0596</v>
      </c>
      <c r="DP83" s="6">
        <v>0.3124029089649786</v>
      </c>
      <c r="DQ83" s="9">
        <v>26</v>
      </c>
      <c r="DR83" s="7">
        <f>IFERROR(DG83/F83,0)</f>
        <v>-0.014326647564469996</v>
      </c>
      <c r="DS83" t="inlineStr">
        <is>
          <t xml:space="preserve">Lease cash / margin / financing</t>
        </is>
      </c>
      <c r="DT83" t="inlineStr">
        <is>
          <t xml:space="preserve">cash</t>
        </is>
      </c>
      <c r="DU83" t="inlineStr">
        <is>
          <t xml:space="preserve">lease</t>
        </is>
      </c>
      <c r="DV83" t="inlineStr">
        <is>
          <t xml:space="preserve">cash</t>
        </is>
      </c>
      <c r="DW83"/>
      <c r="DX83" s="4">
        <v>1</v>
      </c>
      <c r="DY83" s="4">
        <v>1</v>
      </c>
      <c r="DZ83" s="6"/>
      <c r="EA83" s="4">
        <v>6.661338147750939e-16</v>
      </c>
      <c r="EB83" s="5">
        <f>IF(DT83="direct",IFERROR(EH83/DY83,0),0)</f>
        <v>0</v>
      </c>
      <c r="EC83" s="5">
        <f>IF(DT83="direct",EA83-EB83,IF(DT83="cash",EM83,EA83))</f>
        <v>-0.017776865518911333</v>
      </c>
      <c r="ED83" s="6"/>
      <c r="EE83" s="4">
        <v>6.661338147750939e-16</v>
      </c>
      <c r="EF83" s="4">
        <v>6.661338147750939e-16</v>
      </c>
      <c r="EG83" s="5">
        <f>IF(DT83="direct",EA83*(DY83-DX83),EJ83)</f>
        <v>0</v>
      </c>
      <c r="EH83" s="5">
        <f>IF(DT83="direct",EF83*DZ83*C83/365,0)</f>
        <v>0</v>
      </c>
      <c r="EI83" s="5">
        <f>EG83-EH83</f>
        <v>0</v>
      </c>
      <c r="EJ83" s="4">
        <v>0</v>
      </c>
      <c r="EK83" s="5">
        <f>EJ83-EI83</f>
        <v>0</v>
      </c>
      <c r="EL83" s="4">
        <v>-0.017776865518912</v>
      </c>
      <c r="EM83" s="4">
        <v>-0.017776865518911333</v>
      </c>
      <c r="EN83" s="4">
        <v>1.777</v>
      </c>
      <c r="EO83" s="4">
        <v>1.769</v>
      </c>
      <c r="EP83" s="6"/>
      <c r="EQ83" s="6"/>
      <c r="ER83" s="6"/>
      <c r="ES83" s="9"/>
      <c r="ET83" s="7">
        <f>IFERROR(EI83/F83,0)</f>
        <v>0</v>
      </c>
      <c r="EU83" t="inlineStr">
        <is>
          <t xml:space="preserve">Keep cash / margin / financing</t>
        </is>
      </c>
      <c r="EV83" t="inlineStr">
        <is>
          <t xml:space="preserve">cash</t>
        </is>
      </c>
      <c r="EW83" t="inlineStr">
        <is>
          <t xml:space="preserve">keep</t>
        </is>
      </c>
      <c r="EX83" t="inlineStr">
        <is>
          <t xml:space="preserve">cash</t>
        </is>
      </c>
      <c r="EY83"/>
      <c r="EZ83" s="4">
        <v>1</v>
      </c>
      <c r="FA83" s="4">
        <v>1</v>
      </c>
      <c r="FB83" s="6"/>
      <c r="FC83" s="4">
        <v>0</v>
      </c>
      <c r="FD83" s="5">
        <f>IF(EV83="direct",IFERROR(FJ83/FA83,0),0)</f>
        <v>0</v>
      </c>
      <c r="FE83" s="5">
        <f>IF(EV83="direct",FC83-FD83,IF(EV83="cash",FO83,FC83))</f>
        <v>0</v>
      </c>
      <c r="FF83" s="6"/>
      <c r="FG83" s="4">
        <v>0</v>
      </c>
      <c r="FH83" s="4">
        <v>0</v>
      </c>
      <c r="FI83" s="5">
        <f>IF(EV83="direct",FC83*(FA83-EZ83),FL83)</f>
        <v>0</v>
      </c>
      <c r="FJ83" s="5">
        <f>IF(EV83="direct",FH83*FB83*C83/365,0)</f>
        <v>0</v>
      </c>
      <c r="FK83" s="5">
        <f>FI83-FJ83</f>
        <v>0</v>
      </c>
      <c r="FL83" s="4">
        <v>0</v>
      </c>
      <c r="FM83" s="5">
        <f>FL83-FK83</f>
        <v>0</v>
      </c>
      <c r="FN83" s="4">
        <v>0</v>
      </c>
      <c r="FO83" s="4">
        <v>0</v>
      </c>
      <c r="FP83" s="4">
        <v>1.777</v>
      </c>
      <c r="FQ83" s="4">
        <v>1.769</v>
      </c>
      <c r="FR83" s="6"/>
      <c r="FS83" s="6"/>
      <c r="FT83" s="6"/>
      <c r="FU83" s="9"/>
      <c r="FV83" s="7">
        <f>IFERROR(FK83/F83,0)</f>
        <v>0</v>
      </c>
      <c r="FW83"/>
      <c r="FX83"/>
      <c r="FY83"/>
      <c r="FZ83"/>
      <c r="GA83"/>
      <c r="GB83" s="4"/>
      <c r="GC83" s="4"/>
      <c r="GD83" s="6"/>
      <c r="GE83" s="4"/>
      <c r="GF83" s="5">
        <v>0</v>
      </c>
      <c r="GG83" s="5"/>
      <c r="GH83" s="6"/>
      <c r="GI83" s="4"/>
      <c r="GJ83" s="4"/>
      <c r="GK83" s="5">
        <v>0</v>
      </c>
      <c r="GL83" s="5">
        <v>0</v>
      </c>
      <c r="GM83" s="5"/>
      <c r="GN83" s="4"/>
      <c r="GO83" s="5">
        <v>0</v>
      </c>
      <c r="GP83" s="4"/>
      <c r="GQ83" s="4"/>
      <c r="GR83" s="4"/>
      <c r="GS83" s="4"/>
      <c r="GT83" s="6"/>
      <c r="GU83" s="6"/>
      <c r="GV83" s="6"/>
      <c r="GW83" s="9"/>
      <c r="GX83"/>
      <c r="GY83"/>
      <c r="GZ83"/>
      <c r="HA83"/>
      <c r="HB83"/>
      <c r="HC83"/>
      <c r="HD83" s="4"/>
      <c r="HE83" s="4"/>
      <c r="HF83" s="6"/>
      <c r="HG83" s="4"/>
      <c r="HH83" s="5">
        <v>0</v>
      </c>
      <c r="HI83" s="5"/>
      <c r="HJ83" s="6"/>
      <c r="HK83" s="4"/>
      <c r="HL83" s="4"/>
      <c r="HM83" s="5">
        <v>0</v>
      </c>
      <c r="HN83" s="5">
        <v>0</v>
      </c>
      <c r="HO83" s="5"/>
      <c r="HP83" s="4"/>
      <c r="HQ83" s="5">
        <v>0</v>
      </c>
      <c r="HR83" s="4"/>
      <c r="HS83" s="4"/>
      <c r="HT83" s="4"/>
      <c r="HU83" s="4"/>
      <c r="HV83" s="6"/>
      <c r="HW83" s="6"/>
      <c r="HX83" s="6"/>
      <c r="HY83" s="9"/>
      <c r="HZ83"/>
      <c r="IA83"/>
      <c r="IB83"/>
      <c r="IC83"/>
      <c r="ID83"/>
      <c r="IE83"/>
      <c r="IF83" s="4"/>
      <c r="IG83" s="4"/>
      <c r="IH83" s="6"/>
      <c r="II83" s="4"/>
      <c r="IJ83" s="5">
        <v>0</v>
      </c>
      <c r="IK83" s="5"/>
      <c r="IL83" s="6"/>
      <c r="IM83" s="4"/>
      <c r="IN83" s="4"/>
      <c r="IO83" s="5">
        <v>0</v>
      </c>
      <c r="IP83" s="5">
        <v>0</v>
      </c>
      <c r="IQ83" s="5"/>
      <c r="IR83" s="4"/>
      <c r="IS83" s="5">
        <v>0</v>
      </c>
      <c r="IT83" s="4"/>
      <c r="IU83" s="4"/>
      <c r="IV83" s="4"/>
      <c r="IW83" s="4"/>
      <c r="IX83" s="6"/>
      <c r="IY83" s="6"/>
      <c r="IZ83" s="6"/>
      <c r="JA83" s="9"/>
      <c r="JB83"/>
      <c r="JC83"/>
      <c r="JD83"/>
      <c r="JE83"/>
      <c r="JF83"/>
      <c r="JG83"/>
      <c r="JH83" s="4"/>
      <c r="JI83" s="4"/>
      <c r="JJ83" s="6"/>
      <c r="JK83" s="4"/>
      <c r="JL83" s="5">
        <v>0</v>
      </c>
      <c r="JM83" s="5"/>
      <c r="JN83" s="6"/>
      <c r="JO83" s="4"/>
      <c r="JP83" s="4"/>
      <c r="JQ83" s="5">
        <v>0</v>
      </c>
      <c r="JR83" s="5">
        <v>0</v>
      </c>
      <c r="JS83" s="5"/>
      <c r="JT83" s="4"/>
      <c r="JU83" s="5">
        <v>0</v>
      </c>
      <c r="JV83" s="4"/>
      <c r="JW83" s="4"/>
      <c r="JX83" s="4"/>
      <c r="JY83" s="4"/>
      <c r="JZ83" s="6"/>
      <c r="KA83" s="6"/>
      <c r="KB83" s="6"/>
      <c r="KC83" s="9"/>
      <c r="KD83"/>
      <c r="KE83"/>
      <c r="KF83"/>
      <c r="KG83"/>
      <c r="KH83"/>
      <c r="KI83"/>
      <c r="KJ83" s="4"/>
      <c r="KK83" s="4"/>
      <c r="KL83" s="6"/>
      <c r="KM83" s="4"/>
      <c r="KN83" s="5">
        <v>0</v>
      </c>
      <c r="KO83" s="5"/>
      <c r="KP83" s="6"/>
      <c r="KQ83" s="4"/>
      <c r="KR83" s="4"/>
      <c r="KS83" s="5">
        <v>0</v>
      </c>
      <c r="KT83" s="5">
        <v>0</v>
      </c>
      <c r="KU83" s="5"/>
      <c r="KV83" s="4"/>
      <c r="KW83" s="5">
        <v>0</v>
      </c>
      <c r="KX83" s="4"/>
      <c r="KY83" s="4"/>
      <c r="KZ83" s="4"/>
      <c r="LA83" s="4"/>
      <c r="LB83" s="6"/>
      <c r="LC83" s="6"/>
      <c r="LD83" s="6"/>
      <c r="LE83" s="9"/>
      <c r="LF83"/>
      <c r="LG83"/>
      <c r="LH83"/>
      <c r="LI83"/>
      <c r="LJ83"/>
      <c r="LK83"/>
      <c r="LL83" s="4"/>
      <c r="LM83" s="4"/>
      <c r="LN83" s="6"/>
      <c r="LO83" s="4"/>
      <c r="LP83" s="5">
        <v>0</v>
      </c>
      <c r="LQ83" s="5"/>
      <c r="LR83" s="6"/>
      <c r="LS83" s="4"/>
      <c r="LT83" s="4"/>
      <c r="LU83" s="5">
        <v>0</v>
      </c>
      <c r="LV83" s="5">
        <v>0</v>
      </c>
      <c r="LW83" s="5"/>
      <c r="LX83" s="4"/>
      <c r="LY83" s="5">
        <v>0</v>
      </c>
      <c r="LZ83" s="4"/>
      <c r="MA83" s="4"/>
      <c r="MB83" s="4"/>
      <c r="MC83" s="4"/>
      <c r="MD83" s="6"/>
      <c r="ME83" s="6"/>
      <c r="MF83" s="6"/>
      <c r="MG83" s="9"/>
      <c r="MH83"/>
    </row>
    <row r="84">
      <c r="A84" s="8">
        <v>25328</v>
      </c>
      <c r="B84" s="8">
        <v>25329</v>
      </c>
      <c r="C84" s="9">
        <f>B84-A84</f>
        <v>1</v>
      </c>
      <c r="D84" s="8">
        <v>25328</v>
      </c>
      <c r="E84" t="inlineStr">
        <is>
          <t xml:space="preserve">positive</t>
        </is>
      </c>
      <c r="F84" s="4">
        <v>1.223656182079556</v>
      </c>
      <c r="G84" s="6">
        <v>0.014697623446957655</v>
      </c>
      <c r="H84" s="7">
        <f>SUM(CP84,DR84,ET84,FV84,GX84,HZ84,JB84,KD84,LF84,MH84)</f>
        <v>0.014697623446957655</v>
      </c>
      <c r="I84" s="7">
        <f>G84-H84</f>
        <v>0</v>
      </c>
      <c r="J84" s="5">
        <f>F84*(1+H84)</f>
        <v>1.2416410198723031</v>
      </c>
      <c r="K84" s="4">
        <v>1.2416410198723031</v>
      </c>
      <c r="L84" s="5">
        <f>K84-J84</f>
        <v>0</v>
      </c>
      <c r="M84" s="4">
        <v>1.769</v>
      </c>
      <c r="N84" s="4">
        <v>1.758</v>
      </c>
      <c r="O84" s="5">
        <f>M84/$M$3</f>
        <v>0.9034729315628192</v>
      </c>
      <c r="P84" s="5">
        <f>N84/$M$3</f>
        <v>0.8978549540347294</v>
      </c>
      <c r="Q84" s="7">
        <f>IFERROR(N84/M84-1,0)</f>
        <v>-0.006218202374222659</v>
      </c>
      <c r="R84" s="5">
        <f>SUM(IF(BQ84="lease",CB84,0),IF(CS84="lease",DD84,0),IF(DU84="lease",EF84,0),IF(EW84="lease",FH84,0),IF(FY84="lease",GJ84,0),IF(HA84="lease",HL84,0),IF(IC84="lease",IN84,0),IF(JE84="lease",JP84,0),IF(KG84="lease",KR84,0),IF(LI84="lease",LT84,0))</f>
        <v>1.2236561820795568</v>
      </c>
      <c r="S84" s="5">
        <f>SUM(IF(BQ84="lease",CI84,0),IF(CS84="lease",DK84,0),IF(DU84="lease",EM84,0),IF(EW84="lease",FO84,0),IF(FY84="lease",GQ84,0),IF(HA84="lease",HS84,0),IF(IC84="lease",IU84,0),IF(JE84="lease",JW84,0),IF(KG84="lease",KY84,0),IF(LI84="lease",MA84,0))</f>
        <v>1.241641019872304</v>
      </c>
      <c r="T84" s="5">
        <f>SUM(IF(BQ84="keep",CB84,0),IF(CS84="keep",DD84,0),IF(DU84="keep",EF84,0),IF(EW84="keep",FH84,0),IF(FY84="keep",GJ84,0),IF(HA84="keep",HL84,0),IF(IC84="keep",IN84,0),IF(JE84="keep",JP84,0),IF(KG84="keep",KR84,0),IF(LI84="keep",LT84,0))</f>
        <v>0</v>
      </c>
      <c r="U84" s="5">
        <f>SUM(IF(BQ84="keep",CI84,0),IF(CS84="keep",DK84,0),IF(DU84="keep",EM84,0),IF(EW84="keep",FO84,0),IF(FY84="keep",GQ84,0),IF(HA84="keep",HS84,0),IF(IC84="keep",IU84,0),IF(JE84="keep",JW84,0),IF(KG84="keep",KY84,0),IF(LI84="keep",MA84,0))</f>
        <v>0</v>
      </c>
      <c r="V84" s="5">
        <f>R84/O84</f>
        <v>1.354391636241816</v>
      </c>
      <c r="W84" s="5">
        <f>S84/P84</f>
        <v>1.382897108594978</v>
      </c>
      <c r="X84" s="5">
        <f>T84/O84</f>
        <v>0</v>
      </c>
      <c r="Y84" s="5">
        <f>U84/P84</f>
        <v>0</v>
      </c>
      <c r="Z84" s="5">
        <f>V84+X84</f>
        <v>1.354391636241816</v>
      </c>
      <c r="AA84" s="7">
        <f>IFERROR(W84/V84-1,0)</f>
        <v>0.021046698451460566</v>
      </c>
      <c r="AB84" s="7">
        <f>IFERROR((W84-V84)/Z84,0)</f>
        <v>0.021046698451460677</v>
      </c>
      <c r="AC84" s="7">
        <f>IFERROR(Y84/X84-1,0)</f>
        <v>0</v>
      </c>
      <c r="AD84" s="7">
        <f>IFERROR((Y84-X84)/Z84,0)</f>
        <v>0</v>
      </c>
      <c r="AE84" s="7">
        <f>AB84+AD84</f>
        <v>0.021046698451460677</v>
      </c>
      <c r="AF84" s="7">
        <f>(1+Q84)*(1+AE84)-1</f>
        <v>0.014697623446957797</v>
      </c>
      <c r="AG84" s="7">
        <f>G84-AF84</f>
        <v>-1.4224732503009818e-16</v>
      </c>
      <c r="AH84" s="5">
        <f>SUM(IF(BQ84="lease",CE84,0),IF(CS84="lease",DG84,0),IF(DU84="lease",EI84,0),IF(EW84="lease",FK84,0),IF(FY84="lease",GM84,0),IF(HA84="lease",HO84,0),IF(IC84="lease",IQ84,0),IF(JE84="lease",JS84,0),IF(KG84="lease",KU84,0),IF(LI84="lease",LW84,0))</f>
        <v>0.017984837792747167</v>
      </c>
      <c r="AI84" s="5">
        <f>SUM(IF(BQ84="keep",CE84,0),IF(CS84="keep",DG84,0),IF(DU84="keep",EI84,0),IF(EW84="keep",FK84,0),IF(FY84="keep",GM84,0),IF(HA84="keep",HO84,0),IF(IC84="keep",IQ84,0),IF(JE84="keep",JS84,0),IF(KG84="keep",KU84,0),IF(LI84="keep",LW84,0))</f>
        <v>0</v>
      </c>
      <c r="AJ84" s="5">
        <f>SUM(IF(BQ84="lease",CH84,0),IF(CS84="lease",DJ84,0),IF(DU84="lease",EL84,0),IF(EW84="lease",FN84,0),IF(FY84="lease",GP84,0),IF(HA84="lease",HR84,0),IF(IC84="lease",IT84,0),IF(JE84="lease",JV84,0),IF(KG84="lease",KX84,0),IF(LI84="lease",LZ84,0))</f>
        <v>0</v>
      </c>
      <c r="AK84" s="5">
        <f>SUM(IF(BQ84="keep",CH84,0),IF(CS84="keep",DJ84,0),IF(DU84="keep",EL84,0),IF(EW84="keep",FN84,0),IF(FY84="keep",GP84,0),IF(HA84="keep",HR84,0),IF(IC84="keep",IT84,0),IF(JE84="keep",JV84,0),IF(KG84="keep",KX84,0),IF(LI84="keep",LZ84,0))</f>
        <v>0</v>
      </c>
      <c r="AL84" s="5">
        <f>R84-S83</f>
        <v>0</v>
      </c>
      <c r="AM84" s="5">
        <f>T84-U83</f>
        <v>0</v>
      </c>
      <c r="AN84" s="5">
        <f>AN83</f>
        <v>1</v>
      </c>
      <c r="AO84" s="5">
        <f>AO83+AH84</f>
        <v>0.24164101987230407</v>
      </c>
      <c r="AP84" s="5">
        <f>AP83+AL84</f>
        <v>-4.440892098500626e-16</v>
      </c>
      <c r="AQ84" s="5">
        <f>AN84+AO84+AP84</f>
        <v>1.2416410198723036</v>
      </c>
      <c r="AR84" s="5">
        <f>S84-AQ84</f>
        <v>4.440892098500626e-16</v>
      </c>
      <c r="AS84" s="5">
        <f>AS83</f>
        <v>0</v>
      </c>
      <c r="AT84" s="5">
        <f>AT83+AI84</f>
        <v>0</v>
      </c>
      <c r="AU84" s="5">
        <f>AU83+AM84</f>
        <v>0</v>
      </c>
      <c r="AV84" s="5">
        <f>AS84+AT84+AU84</f>
        <v>0</v>
      </c>
      <c r="AW84" s="5">
        <f>U84-AV84</f>
        <v>0</v>
      </c>
      <c r="AX84" s="4">
        <v>1.2236561820795568</v>
      </c>
      <c r="AY84" s="4">
        <v>1.241641019872304</v>
      </c>
      <c r="AZ84" s="5">
        <f>S84-AY84</f>
        <v>0</v>
      </c>
      <c r="BA84" s="4">
        <v>0</v>
      </c>
      <c r="BB84" s="4">
        <v>0</v>
      </c>
      <c r="BC84" s="5">
        <f>U84-BB84</f>
        <v>0</v>
      </c>
      <c r="BD84" s="7">
        <f>SUM(IF(BP84="direct",CC84/F84,0),IF(CR84="direct",DE84/F84,0),IF(DT84="direct",EG84/F84,0),IF(EV84="direct",FI84/F84,0),IF(FX84="direct",GK84/F84,0),IF(GZ84="direct",HM84/F84,0),IF(IB84="direct",IO84/F84,0),IF(JD84="direct",JQ84/F84,0),IF(KF84="direct",KS84/F84,0),IF(LH84="direct",LU84/F84,0))</f>
        <v>0</v>
      </c>
      <c r="BE84" s="7">
        <f>-SUM(IF(BP84="direct",CD84/F84,0),IF(CR84="direct",DF84/F84,0),IF(DT84="direct",EH84/F84,0),IF(EV84="direct",FJ84/F84,0),IF(FX84="direct",GL84/F84,0),IF(GZ84="direct",HN84/F84,0),IF(IB84="direct",IP84/F84,0),IF(JD84="direct",JR84/F84,0),IF(KF84="direct",KT84/F84,0),IF(LH84="direct",LV84/F84,0))</f>
        <v>0</v>
      </c>
      <c r="BF84" s="7">
        <f>BD84+BE84</f>
        <v>0</v>
      </c>
      <c r="BG84" s="7">
        <f>BF84-SUM(IF(BP84="direct",CP84,0),IF(CR84="direct",DR84,0),IF(DT84="direct",ET84,0),IF(EV84="direct",FV84,0),IF(FX84="direct",GX84,0),IF(GZ84="direct",HZ84,0),IF(IB84="direct",JB84,0),IF(JD84="direct",KD84,0),IF(KF84="direct",LF84,0),IF(LH84="direct",MH84,0))</f>
        <v>0</v>
      </c>
      <c r="BH84" s="7">
        <f>SUM(IF(BP84="treasury",CP84,0),IF(CR84="treasury",DR84,0),IF(DT84="treasury",ET84,0),IF(EV84="treasury",FV84,0),IF(FX84="treasury",GX84,0),IF(GZ84="treasury",HZ84,0),IF(IB84="treasury",JB84,0),IF(JD84="treasury",KD84,0),IF(KF84="treasury",LF84,0),IF(LH84="treasury",MH84,0))</f>
        <v>0.00016273972602739726</v>
      </c>
      <c r="BI84" s="7">
        <f>SUM(IF(BP84="future",CP84,0),IF(CR84="future",DR84,0),IF(DT84="future",ET84,0),IF(EV84="future",FV84,0),IF(FX84="future",GX84,0),IF(GZ84="future",HZ84,0),IF(IB84="future",JB84,0),IF(JD84="future",KD84,0),IF(KF84="future",LF84,0),IF(LH84="future",MH84,0))</f>
        <v>0.014534883720930258</v>
      </c>
      <c r="BJ84" s="7">
        <f>SUM(IF(BP84="cash",CP84,0),IF(CR84="cash",DR84,0),IF(DT84="cash",ET84,0),IF(EV84="cash",FV84,0),IF(FX84="cash",GX84,0),IF(GZ84="cash",HZ84,0),IF(IB84="cash",JB84,0),IF(JD84="cash",KD84,0),IF(KF84="cash",LF84,0),IF(LH84="cash",MH84,0))</f>
        <v>0</v>
      </c>
      <c r="BK84" s="7">
        <f>SUM(BF84,BH84,BI84,BJ84)</f>
        <v>0.014697623446957655</v>
      </c>
      <c r="BL84" s="7">
        <f>G84-BK84</f>
        <v>0</v>
      </c>
      <c r="BM84" s="5">
        <f>MAX(ABS(CG84),ABS(DI84),ABS(EK84),ABS(FM84),ABS(GO84),ABS(HQ84),ABS(IS84),ABS(JU84),ABS(KW84),ABS(LY84))</f>
        <v>1.4194916943266467e-16</v>
      </c>
      <c r="BN84" s="9">
        <f>COUNTA(BO84,CQ84,DS84,EU84,FW84,GY84,IA84,JC84,KE84,LG84)</f>
        <v>4</v>
      </c>
      <c r="BO84" t="inlineStr">
        <is>
          <t xml:space="preserve">Treasury collateral</t>
        </is>
      </c>
      <c r="BP84" t="inlineStr">
        <is>
          <t xml:space="preserve">treasury</t>
        </is>
      </c>
      <c r="BQ84" t="inlineStr">
        <is>
          <t xml:space="preserve">lease</t>
        </is>
      </c>
      <c r="BR84" t="inlineStr">
        <is>
          <t xml:space="preserve">long</t>
        </is>
      </c>
      <c r="BS84"/>
      <c r="BT84" s="4">
        <v>102.07410814611546</v>
      </c>
      <c r="BU84" s="4">
        <v>102.09071965850964</v>
      </c>
      <c r="BV84" s="6"/>
      <c r="BW84" s="4">
        <v>0.011987919407808448</v>
      </c>
      <c r="BX84" s="5">
        <f>IF(BP84="direct",IFERROR(CD84/BU84,0),0)</f>
        <v>0</v>
      </c>
      <c r="BY84" s="5">
        <f>IF(BP84="direct",BW84-BX84,IF(BP84="cash",CI84,BW84))</f>
        <v>0.011987919407808448</v>
      </c>
      <c r="BZ84" s="6">
        <v>1</v>
      </c>
      <c r="CA84" s="4">
        <v>1.223656182079556</v>
      </c>
      <c r="CB84" s="4">
        <v>1.223656182079556</v>
      </c>
      <c r="CC84" s="5">
        <f>IF(BP84="direct",BW84*(BU84-BT84),CF84)</f>
        <v>0.00019913747182321592</v>
      </c>
      <c r="CD84" s="5">
        <f>IF(BP84="direct",CB84*BV84*C84/365,0)</f>
        <v>0</v>
      </c>
      <c r="CE84" s="5">
        <f>CC84-CD84</f>
        <v>0.00019913747182335786</v>
      </c>
      <c r="CF84" s="4">
        <v>0.00019913747182335786</v>
      </c>
      <c r="CG84" s="5">
        <f>CF84-CE84</f>
        <v>1.4194916943266467e-16</v>
      </c>
      <c r="CH84" s="4">
        <v>-3.9329433806911673e-17</v>
      </c>
      <c r="CI84" s="4">
        <v>1.2238553195513793</v>
      </c>
      <c r="CJ84" s="4">
        <v>1.769</v>
      </c>
      <c r="CK84" s="4">
        <v>1.758</v>
      </c>
      <c r="CL84" s="6"/>
      <c r="CM84" s="6"/>
      <c r="CN84" s="6"/>
      <c r="CO84" s="9">
        <v>23</v>
      </c>
      <c r="CP84" s="7">
        <f>IFERROR(CE84/F84,0)</f>
        <v>0.00016273972602739726</v>
      </c>
      <c r="CQ84" t="inlineStr">
        <is>
          <t xml:space="preserve">SI69K</t>
        </is>
      </c>
      <c r="CR84" t="inlineStr">
        <is>
          <t xml:space="preserve">future</t>
        </is>
      </c>
      <c r="CS84" t="inlineStr">
        <is>
          <t xml:space="preserve">lease</t>
        </is>
      </c>
      <c r="CT84" t="inlineStr">
        <is>
          <t xml:space="preserve">long</t>
        </is>
      </c>
      <c r="CU84" t="inlineStr">
        <is>
          <t xml:space="preserve">regular</t>
        </is>
      </c>
      <c r="CV84" s="4">
        <v>1.72</v>
      </c>
      <c r="CW84" s="4">
        <v>1.745</v>
      </c>
      <c r="CX84" s="6"/>
      <c r="CY84" s="4">
        <v>0.7114280128369511</v>
      </c>
      <c r="CZ84" s="5">
        <f>IF(CR84="direct",IFERROR(DF84/CW84,0),0)</f>
        <v>0</v>
      </c>
      <c r="DA84" s="5">
        <f>IF(CR84="direct",CY84-CZ84,IF(CR84="cash",DK84,CY84))</f>
        <v>0.7114280128369511</v>
      </c>
      <c r="DB84" s="6">
        <v>1</v>
      </c>
      <c r="DC84" s="4">
        <v>1.223656182079556</v>
      </c>
      <c r="DD84" s="4">
        <v>0</v>
      </c>
      <c r="DE84" s="5">
        <f>IF(CR84="direct",CY84*(CW84-CV84),DH84)</f>
        <v>0.01778570032092381</v>
      </c>
      <c r="DF84" s="5">
        <f>IF(CR84="direct",DD84*CX84*C84/365,0)</f>
        <v>0</v>
      </c>
      <c r="DG84" s="5">
        <f>DE84-DF84</f>
        <v>0.01778570032092381</v>
      </c>
      <c r="DH84" s="4">
        <v>0.01778570032092381</v>
      </c>
      <c r="DI84" s="5">
        <f>DH84-DG84</f>
        <v>0</v>
      </c>
      <c r="DJ84" s="4">
        <v>-0.01778570032092381</v>
      </c>
      <c r="DK84" s="4">
        <v>0</v>
      </c>
      <c r="DL84" s="4">
        <v>1.769</v>
      </c>
      <c r="DM84" s="4">
        <v>1.758</v>
      </c>
      <c r="DN84" s="6">
        <v>-0.02769926512153753</v>
      </c>
      <c r="DO84" s="6">
        <v>0.0594</v>
      </c>
      <c r="DP84" s="6">
        <v>0.49897529432005217</v>
      </c>
      <c r="DQ84" s="9">
        <v>23</v>
      </c>
      <c r="DR84" s="7">
        <f>IFERROR(DG84/F84,0)</f>
        <v>0.014534883720930258</v>
      </c>
      <c r="DS84" t="inlineStr">
        <is>
          <t xml:space="preserve">Lease cash / margin / financing</t>
        </is>
      </c>
      <c r="DT84" t="inlineStr">
        <is>
          <t xml:space="preserve">cash</t>
        </is>
      </c>
      <c r="DU84" t="inlineStr">
        <is>
          <t xml:space="preserve">lease</t>
        </is>
      </c>
      <c r="DV84" t="inlineStr">
        <is>
          <t xml:space="preserve">cash</t>
        </is>
      </c>
      <c r="DW84"/>
      <c r="DX84" s="4">
        <v>1</v>
      </c>
      <c r="DY84" s="4">
        <v>1</v>
      </c>
      <c r="DZ84" s="6"/>
      <c r="EA84" s="4">
        <v>8.881784197001252e-16</v>
      </c>
      <c r="EB84" s="5">
        <f>IF(DT84="direct",IFERROR(EH84/DY84,0),0)</f>
        <v>0</v>
      </c>
      <c r="EC84" s="5">
        <f>IF(DT84="direct",EA84-EB84,IF(DT84="cash",EM84,EA84))</f>
        <v>0.017785700320924736</v>
      </c>
      <c r="ED84" s="6"/>
      <c r="EE84" s="4">
        <v>8.881784197001252e-16</v>
      </c>
      <c r="EF84" s="4">
        <v>8.881784197001252e-16</v>
      </c>
      <c r="EG84" s="5">
        <f>IF(DT84="direct",EA84*(DY84-DX84),EJ84)</f>
        <v>0</v>
      </c>
      <c r="EH84" s="5">
        <f>IF(DT84="direct",EF84*DZ84*C84/365,0)</f>
        <v>0</v>
      </c>
      <c r="EI84" s="5">
        <f>EG84-EH84</f>
        <v>0</v>
      </c>
      <c r="EJ84" s="4">
        <v>0</v>
      </c>
      <c r="EK84" s="5">
        <f>EJ84-EI84</f>
        <v>0</v>
      </c>
      <c r="EL84" s="4">
        <v>0.017785700320923848</v>
      </c>
      <c r="EM84" s="4">
        <v>0.017785700320924736</v>
      </c>
      <c r="EN84" s="4">
        <v>1.769</v>
      </c>
      <c r="EO84" s="4">
        <v>1.758</v>
      </c>
      <c r="EP84" s="6"/>
      <c r="EQ84" s="6"/>
      <c r="ER84" s="6"/>
      <c r="ES84" s="9"/>
      <c r="ET84" s="7">
        <f>IFERROR(EI84/F84,0)</f>
        <v>0</v>
      </c>
      <c r="EU84" t="inlineStr">
        <is>
          <t xml:space="preserve">Keep cash / margin / financing</t>
        </is>
      </c>
      <c r="EV84" t="inlineStr">
        <is>
          <t xml:space="preserve">cash</t>
        </is>
      </c>
      <c r="EW84" t="inlineStr">
        <is>
          <t xml:space="preserve">keep</t>
        </is>
      </c>
      <c r="EX84" t="inlineStr">
        <is>
          <t xml:space="preserve">cash</t>
        </is>
      </c>
      <c r="EY84"/>
      <c r="EZ84" s="4">
        <v>1</v>
      </c>
      <c r="FA84" s="4">
        <v>1</v>
      </c>
      <c r="FB84" s="6"/>
      <c r="FC84" s="4">
        <v>0</v>
      </c>
      <c r="FD84" s="5">
        <f>IF(EV84="direct",IFERROR(FJ84/FA84,0),0)</f>
        <v>0</v>
      </c>
      <c r="FE84" s="5">
        <f>IF(EV84="direct",FC84-FD84,IF(EV84="cash",FO84,FC84))</f>
        <v>0</v>
      </c>
      <c r="FF84" s="6"/>
      <c r="FG84" s="4">
        <v>0</v>
      </c>
      <c r="FH84" s="4">
        <v>0</v>
      </c>
      <c r="FI84" s="5">
        <f>IF(EV84="direct",FC84*(FA84-EZ84),FL84)</f>
        <v>0</v>
      </c>
      <c r="FJ84" s="5">
        <f>IF(EV84="direct",FH84*FB84*C84/365,0)</f>
        <v>0</v>
      </c>
      <c r="FK84" s="5">
        <f>FI84-FJ84</f>
        <v>0</v>
      </c>
      <c r="FL84" s="4">
        <v>0</v>
      </c>
      <c r="FM84" s="5">
        <f>FL84-FK84</f>
        <v>0</v>
      </c>
      <c r="FN84" s="4">
        <v>0</v>
      </c>
      <c r="FO84" s="4">
        <v>0</v>
      </c>
      <c r="FP84" s="4">
        <v>1.769</v>
      </c>
      <c r="FQ84" s="4">
        <v>1.758</v>
      </c>
      <c r="FR84" s="6"/>
      <c r="FS84" s="6"/>
      <c r="FT84" s="6"/>
      <c r="FU84" s="9"/>
      <c r="FV84" s="7">
        <f>IFERROR(FK84/F84,0)</f>
        <v>0</v>
      </c>
      <c r="FW84"/>
      <c r="FX84"/>
      <c r="FY84"/>
      <c r="FZ84"/>
      <c r="GA84"/>
      <c r="GB84" s="4"/>
      <c r="GC84" s="4"/>
      <c r="GD84" s="6"/>
      <c r="GE84" s="4"/>
      <c r="GF84" s="5">
        <v>0</v>
      </c>
      <c r="GG84" s="5"/>
      <c r="GH84" s="6"/>
      <c r="GI84" s="4"/>
      <c r="GJ84" s="4"/>
      <c r="GK84" s="5">
        <v>0</v>
      </c>
      <c r="GL84" s="5">
        <v>0</v>
      </c>
      <c r="GM84" s="5"/>
      <c r="GN84" s="4"/>
      <c r="GO84" s="5">
        <v>0</v>
      </c>
      <c r="GP84" s="4"/>
      <c r="GQ84" s="4"/>
      <c r="GR84" s="4"/>
      <c r="GS84" s="4"/>
      <c r="GT84" s="6"/>
      <c r="GU84" s="6"/>
      <c r="GV84" s="6"/>
      <c r="GW84" s="9"/>
      <c r="GX84"/>
      <c r="GY84"/>
      <c r="GZ84"/>
      <c r="HA84"/>
      <c r="HB84"/>
      <c r="HC84"/>
      <c r="HD84" s="4"/>
      <c r="HE84" s="4"/>
      <c r="HF84" s="6"/>
      <c r="HG84" s="4"/>
      <c r="HH84" s="5">
        <v>0</v>
      </c>
      <c r="HI84" s="5"/>
      <c r="HJ84" s="6"/>
      <c r="HK84" s="4"/>
      <c r="HL84" s="4"/>
      <c r="HM84" s="5">
        <v>0</v>
      </c>
      <c r="HN84" s="5">
        <v>0</v>
      </c>
      <c r="HO84" s="5"/>
      <c r="HP84" s="4"/>
      <c r="HQ84" s="5">
        <v>0</v>
      </c>
      <c r="HR84" s="4"/>
      <c r="HS84" s="4"/>
      <c r="HT84" s="4"/>
      <c r="HU84" s="4"/>
      <c r="HV84" s="6"/>
      <c r="HW84" s="6"/>
      <c r="HX84" s="6"/>
      <c r="HY84" s="9"/>
      <c r="HZ84"/>
      <c r="IA84"/>
      <c r="IB84"/>
      <c r="IC84"/>
      <c r="ID84"/>
      <c r="IE84"/>
      <c r="IF84" s="4"/>
      <c r="IG84" s="4"/>
      <c r="IH84" s="6"/>
      <c r="II84" s="4"/>
      <c r="IJ84" s="5">
        <v>0</v>
      </c>
      <c r="IK84" s="5"/>
      <c r="IL84" s="6"/>
      <c r="IM84" s="4"/>
      <c r="IN84" s="4"/>
      <c r="IO84" s="5">
        <v>0</v>
      </c>
      <c r="IP84" s="5">
        <v>0</v>
      </c>
      <c r="IQ84" s="5"/>
      <c r="IR84" s="4"/>
      <c r="IS84" s="5">
        <v>0</v>
      </c>
      <c r="IT84" s="4"/>
      <c r="IU84" s="4"/>
      <c r="IV84" s="4"/>
      <c r="IW84" s="4"/>
      <c r="IX84" s="6"/>
      <c r="IY84" s="6"/>
      <c r="IZ84" s="6"/>
      <c r="JA84" s="9"/>
      <c r="JB84"/>
      <c r="JC84"/>
      <c r="JD84"/>
      <c r="JE84"/>
      <c r="JF84"/>
      <c r="JG84"/>
      <c r="JH84" s="4"/>
      <c r="JI84" s="4"/>
      <c r="JJ84" s="6"/>
      <c r="JK84" s="4"/>
      <c r="JL84" s="5">
        <v>0</v>
      </c>
      <c r="JM84" s="5"/>
      <c r="JN84" s="6"/>
      <c r="JO84" s="4"/>
      <c r="JP84" s="4"/>
      <c r="JQ84" s="5">
        <v>0</v>
      </c>
      <c r="JR84" s="5">
        <v>0</v>
      </c>
      <c r="JS84" s="5"/>
      <c r="JT84" s="4"/>
      <c r="JU84" s="5">
        <v>0</v>
      </c>
      <c r="JV84" s="4"/>
      <c r="JW84" s="4"/>
      <c r="JX84" s="4"/>
      <c r="JY84" s="4"/>
      <c r="JZ84" s="6"/>
      <c r="KA84" s="6"/>
      <c r="KB84" s="6"/>
      <c r="KC84" s="9"/>
      <c r="KD84"/>
      <c r="KE84"/>
      <c r="KF84"/>
      <c r="KG84"/>
      <c r="KH84"/>
      <c r="KI84"/>
      <c r="KJ84" s="4"/>
      <c r="KK84" s="4"/>
      <c r="KL84" s="6"/>
      <c r="KM84" s="4"/>
      <c r="KN84" s="5">
        <v>0</v>
      </c>
      <c r="KO84" s="5"/>
      <c r="KP84" s="6"/>
      <c r="KQ84" s="4"/>
      <c r="KR84" s="4"/>
      <c r="KS84" s="5">
        <v>0</v>
      </c>
      <c r="KT84" s="5">
        <v>0</v>
      </c>
      <c r="KU84" s="5"/>
      <c r="KV84" s="4"/>
      <c r="KW84" s="5">
        <v>0</v>
      </c>
      <c r="KX84" s="4"/>
      <c r="KY84" s="4"/>
      <c r="KZ84" s="4"/>
      <c r="LA84" s="4"/>
      <c r="LB84" s="6"/>
      <c r="LC84" s="6"/>
      <c r="LD84" s="6"/>
      <c r="LE84" s="9"/>
      <c r="LF84"/>
      <c r="LG84"/>
      <c r="LH84"/>
      <c r="LI84"/>
      <c r="LJ84"/>
      <c r="LK84"/>
      <c r="LL84" s="4"/>
      <c r="LM84" s="4"/>
      <c r="LN84" s="6"/>
      <c r="LO84" s="4"/>
      <c r="LP84" s="5">
        <v>0</v>
      </c>
      <c r="LQ84" s="5"/>
      <c r="LR84" s="6"/>
      <c r="LS84" s="4"/>
      <c r="LT84" s="4"/>
      <c r="LU84" s="5">
        <v>0</v>
      </c>
      <c r="LV84" s="5">
        <v>0</v>
      </c>
      <c r="LW84" s="5"/>
      <c r="LX84" s="4"/>
      <c r="LY84" s="5">
        <v>0</v>
      </c>
      <c r="LZ84" s="4"/>
      <c r="MA84" s="4"/>
      <c r="MB84" s="4"/>
      <c r="MC84" s="4"/>
      <c r="MD84" s="6"/>
      <c r="ME84" s="6"/>
      <c r="MF84" s="6"/>
      <c r="MG84" s="9"/>
      <c r="MH84"/>
    </row>
    <row r="85">
      <c r="A85" s="8">
        <v>25329</v>
      </c>
      <c r="B85" s="8">
        <v>25330</v>
      </c>
      <c r="C85" s="9">
        <f>B85-A85</f>
        <v>1</v>
      </c>
      <c r="D85" s="8">
        <v>25329</v>
      </c>
      <c r="E85" t="inlineStr">
        <is>
          <t xml:space="preserve">positive</t>
        </is>
      </c>
      <c r="F85" s="4">
        <v>1.2416410198723031</v>
      </c>
      <c r="G85" s="6">
        <v>0.04314487420025896</v>
      </c>
      <c r="H85" s="7">
        <f>SUM(CP85,DR85,ET85,FV85,GX85,HZ85,JB85,KD85,LF85,MH85)</f>
        <v>0.04314487420025897</v>
      </c>
      <c r="I85" s="7">
        <f>G85-H85</f>
        <v>-6.938893903907228e-18</v>
      </c>
      <c r="J85" s="5">
        <f>F85*(1+H85)</f>
        <v>1.2952114654765747</v>
      </c>
      <c r="K85" s="4">
        <v>1.2952114654765747</v>
      </c>
      <c r="L85" s="5">
        <f>K85-J85</f>
        <v>0</v>
      </c>
      <c r="M85" s="4">
        <v>1.758</v>
      </c>
      <c r="N85" s="4">
        <v>1.807</v>
      </c>
      <c r="O85" s="5">
        <f>M85/$M$3</f>
        <v>0.8978549540347294</v>
      </c>
      <c r="P85" s="5">
        <f>N85/$M$3</f>
        <v>0.9228804902962207</v>
      </c>
      <c r="Q85" s="7">
        <f>IFERROR(N85/M85-1,0)</f>
        <v>0.027872582480090946</v>
      </c>
      <c r="R85" s="5">
        <f>SUM(IF(BQ85="lease",CB85,0),IF(CS85="lease",DD85,0),IF(DU85="lease",EF85,0),IF(EW85="lease",FH85,0),IF(FY85="lease",GJ85,0),IF(HA85="lease",HL85,0),IF(IC85="lease",IN85,0),IF(JE85="lease",JP85,0),IF(KG85="lease",KR85,0),IF(LI85="lease",LT85,0))</f>
        <v>1.241641019872304</v>
      </c>
      <c r="S85" s="5">
        <f>SUM(IF(BQ85="lease",CI85,0),IF(CS85="lease",DK85,0),IF(DU85="lease",EM85,0),IF(EW85="lease",FO85,0),IF(FY85="lease",GQ85,0),IF(HA85="lease",HS85,0),IF(IC85="lease",IU85,0),IF(JE85="lease",JW85,0),IF(KG85="lease",KY85,0),IF(LI85="lease",MA85,0))</f>
        <v>1.2952114654765758</v>
      </c>
      <c r="T85" s="5">
        <f>SUM(IF(BQ85="keep",CB85,0),IF(CS85="keep",DD85,0),IF(DU85="keep",EF85,0),IF(EW85="keep",FH85,0),IF(FY85="keep",GJ85,0),IF(HA85="keep",HL85,0),IF(IC85="keep",IN85,0),IF(JE85="keep",JP85,0),IF(KG85="keep",KR85,0),IF(LI85="keep",LT85,0))</f>
        <v>0</v>
      </c>
      <c r="U85" s="5">
        <f>SUM(IF(BQ85="keep",CI85,0),IF(CS85="keep",DK85,0),IF(DU85="keep",EM85,0),IF(EW85="keep",FO85,0),IF(FY85="keep",GQ85,0),IF(HA85="keep",HS85,0),IF(IC85="keep",IU85,0),IF(JE85="keep",JW85,0),IF(KG85="keep",KY85,0),IF(LI85="keep",MA85,0))</f>
        <v>0</v>
      </c>
      <c r="V85" s="5">
        <f>R85/O85</f>
        <v>1.382897108594978</v>
      </c>
      <c r="W85" s="5">
        <f>S85/P85</f>
        <v>1.403444410295039</v>
      </c>
      <c r="X85" s="5">
        <f>T85/O85</f>
        <v>0</v>
      </c>
      <c r="Y85" s="5">
        <f>U85/P85</f>
        <v>0</v>
      </c>
      <c r="Z85" s="5">
        <f>V85+X85</f>
        <v>1.382897108594978</v>
      </c>
      <c r="AA85" s="7">
        <f>IFERROR(W85/V85-1,0)</f>
        <v>0.014858156526870614</v>
      </c>
      <c r="AB85" s="7">
        <f>IFERROR((W85-V85)/Z85,0)</f>
        <v>0.014858156526870654</v>
      </c>
      <c r="AC85" s="7">
        <f>IFERROR(Y85/X85-1,0)</f>
        <v>0</v>
      </c>
      <c r="AD85" s="7">
        <f>IFERROR((Y85-X85)/Z85,0)</f>
        <v>0</v>
      </c>
      <c r="AE85" s="7">
        <f>AB85+AD85</f>
        <v>0.014858156526870654</v>
      </c>
      <c r="AF85" s="7">
        <f>(1+Q85)*(1+AE85)-1</f>
        <v>0.04314487420025892</v>
      </c>
      <c r="AG85" s="7">
        <f>G85-AF85</f>
        <v>4.163336342344337e-17</v>
      </c>
      <c r="AH85" s="5">
        <f>SUM(IF(BQ85="lease",CE85,0),IF(CS85="lease",DG85,0),IF(DU85="lease",EI85,0),IF(EW85="lease",FK85,0),IF(FY85="lease",GM85,0),IF(HA85="lease",HO85,0),IF(IC85="lease",IQ85,0),IF(JE85="lease",JS85,0),IF(KG85="lease",KU85,0),IF(LI85="lease",LW85,0))</f>
        <v>0.053570445604271766</v>
      </c>
      <c r="AI85" s="5">
        <f>SUM(IF(BQ85="keep",CE85,0),IF(CS85="keep",DG85,0),IF(DU85="keep",EI85,0),IF(EW85="keep",FK85,0),IF(FY85="keep",GM85,0),IF(HA85="keep",HO85,0),IF(IC85="keep",IQ85,0),IF(JE85="keep",JS85,0),IF(KG85="keep",KU85,0),IF(LI85="keep",LW85,0))</f>
        <v>0</v>
      </c>
      <c r="AJ85" s="5">
        <f>SUM(IF(BQ85="lease",CH85,0),IF(CS85="lease",DJ85,0),IF(DU85="lease",EL85,0),IF(EW85="lease",FN85,0),IF(FY85="lease",GP85,0),IF(HA85="lease",HR85,0),IF(IC85="lease",IT85,0),IF(JE85="lease",JV85,0),IF(KG85="lease",KX85,0),IF(LI85="lease",LZ85,0))</f>
        <v>0</v>
      </c>
      <c r="AK85" s="5">
        <f>SUM(IF(BQ85="keep",CH85,0),IF(CS85="keep",DJ85,0),IF(DU85="keep",EL85,0),IF(EW85="keep",FN85,0),IF(FY85="keep",GP85,0),IF(HA85="keep",HR85,0),IF(IC85="keep",IT85,0),IF(JE85="keep",JV85,0),IF(KG85="keep",KX85,0),IF(LI85="keep",LZ85,0))</f>
        <v>0</v>
      </c>
      <c r="AL85" s="5">
        <f>R85-S84</f>
        <v>0</v>
      </c>
      <c r="AM85" s="5">
        <f>T85-U84</f>
        <v>0</v>
      </c>
      <c r="AN85" s="5">
        <f>AN84</f>
        <v>1</v>
      </c>
      <c r="AO85" s="5">
        <f>AO84+AH85</f>
        <v>0.29521146547657584</v>
      </c>
      <c r="AP85" s="5">
        <f>AP84+AL85</f>
        <v>-4.440892098500626e-16</v>
      </c>
      <c r="AQ85" s="5">
        <f>AN85+AO85+AP85</f>
        <v>1.2952114654765754</v>
      </c>
      <c r="AR85" s="5">
        <f>S85-AQ85</f>
        <v>4.440892098500626e-16</v>
      </c>
      <c r="AS85" s="5">
        <f>AS84</f>
        <v>0</v>
      </c>
      <c r="AT85" s="5">
        <f>AT84+AI85</f>
        <v>0</v>
      </c>
      <c r="AU85" s="5">
        <f>AU84+AM85</f>
        <v>0</v>
      </c>
      <c r="AV85" s="5">
        <f>AS85+AT85+AU85</f>
        <v>0</v>
      </c>
      <c r="AW85" s="5">
        <f>U85-AV85</f>
        <v>0</v>
      </c>
      <c r="AX85" s="4">
        <v>1.241641019872304</v>
      </c>
      <c r="AY85" s="4">
        <v>1.2952114654765758</v>
      </c>
      <c r="AZ85" s="5">
        <f>S85-AY85</f>
        <v>0</v>
      </c>
      <c r="BA85" s="4">
        <v>0</v>
      </c>
      <c r="BB85" s="4">
        <v>0</v>
      </c>
      <c r="BC85" s="5">
        <f>U85-BB85</f>
        <v>0</v>
      </c>
      <c r="BD85" s="7">
        <f>SUM(IF(BP85="direct",CC85/F85,0),IF(CR85="direct",DE85/F85,0),IF(DT85="direct",EG85/F85,0),IF(EV85="direct",FI85/F85,0),IF(FX85="direct",GK85/F85,0),IF(GZ85="direct",HM85/F85,0),IF(IB85="direct",IO85/F85,0),IF(JD85="direct",JQ85/F85,0),IF(KF85="direct",KS85/F85,0),IF(LH85="direct",LU85/F85,0))</f>
        <v>0</v>
      </c>
      <c r="BE85" s="7">
        <f>-SUM(IF(BP85="direct",CD85/F85,0),IF(CR85="direct",DF85/F85,0),IF(DT85="direct",EH85/F85,0),IF(EV85="direct",FJ85/F85,0),IF(FX85="direct",GL85/F85,0),IF(GZ85="direct",HN85/F85,0),IF(IB85="direct",IP85/F85,0),IF(JD85="direct",JR85/F85,0),IF(KF85="direct",KT85/F85,0),IF(LH85="direct",LV85/F85,0))</f>
        <v>0</v>
      </c>
      <c r="BF85" s="7">
        <f>BD85+BE85</f>
        <v>0</v>
      </c>
      <c r="BG85" s="7">
        <f>BF85-SUM(IF(BP85="direct",CP85,0),IF(CR85="direct",DR85,0),IF(DT85="direct",ET85,0),IF(EV85="direct",FV85,0),IF(FX85="direct",GX85,0),IF(GZ85="direct",HZ85,0),IF(IB85="direct",JB85,0),IF(JD85="direct",KD85,0),IF(KF85="direct",LF85,0),IF(LH85="direct",MH85,0))</f>
        <v>0</v>
      </c>
      <c r="BH85" s="7">
        <f>SUM(IF(BP85="treasury",CP85,0),IF(CR85="treasury",DR85,0),IF(DT85="treasury",ET85,0),IF(EV85="treasury",FV85,0),IF(FX85="treasury",GX85,0),IF(GZ85="treasury",HZ85,0),IF(IB85="treasury",JB85,0),IF(JD85="treasury",KD85,0),IF(KF85="treasury",LF85,0),IF(LH85="treasury",MH85,0))</f>
        <v>0.00016493150684931507</v>
      </c>
      <c r="BI85" s="7">
        <f>SUM(IF(BP85="future",CP85,0),IF(CR85="future",DR85,0),IF(DT85="future",ET85,0),IF(EV85="future",FV85,0),IF(FX85="future",GX85,0),IF(GZ85="future",HZ85,0),IF(IB85="future",JB85,0),IF(JD85="future",KD85,0),IF(KF85="future",LF85,0),IF(LH85="future",MH85,0))</f>
        <v>0.042979942693409656</v>
      </c>
      <c r="BJ85" s="7">
        <f>SUM(IF(BP85="cash",CP85,0),IF(CR85="cash",DR85,0),IF(DT85="cash",ET85,0),IF(EV85="cash",FV85,0),IF(FX85="cash",GX85,0),IF(GZ85="cash",HZ85,0),IF(IB85="cash",JB85,0),IF(JD85="cash",KD85,0),IF(KF85="cash",LF85,0),IF(LH85="cash",MH85,0))</f>
        <v>0</v>
      </c>
      <c r="BK85" s="7">
        <f>SUM(BF85,BH85,BI85,BJ85)</f>
        <v>0.04314487420025897</v>
      </c>
      <c r="BL85" s="7">
        <f>G85-BK85</f>
        <v>-6.938893903907228e-18</v>
      </c>
      <c r="BM85" s="5">
        <f>MAX(ABS(CG85),ABS(DI85),ABS(EK85),ABS(FM85),ABS(GO85),ABS(HQ85),ABS(IS85),ABS(JU85),ABS(KW85),ABS(LY85))</f>
        <v>9.90960785651751e-17</v>
      </c>
      <c r="BN85" s="9">
        <f>COUNTA(BO85,CQ85,DS85,EU85,FW85,GY85,IA85,JC85,KE85,LG85)</f>
        <v>4</v>
      </c>
      <c r="BO85" t="inlineStr">
        <is>
          <t xml:space="preserve">Treasury collateral</t>
        </is>
      </c>
      <c r="BP85" t="inlineStr">
        <is>
          <t xml:space="preserve">treasury</t>
        </is>
      </c>
      <c r="BQ85" t="inlineStr">
        <is>
          <t xml:space="preserve">lease</t>
        </is>
      </c>
      <c r="BR85" t="inlineStr">
        <is>
          <t xml:space="preserve">long</t>
        </is>
      </c>
      <c r="BS85"/>
      <c r="BT85" s="4">
        <v>102.09071965850964</v>
      </c>
      <c r="BU85" s="4">
        <v>102.10755763473824</v>
      </c>
      <c r="BV85" s="6"/>
      <c r="BW85" s="4">
        <v>0.012162134070810302</v>
      </c>
      <c r="BX85" s="5">
        <f>IF(BP85="direct",IFERROR(CD85/BU85,0),0)</f>
        <v>0</v>
      </c>
      <c r="BY85" s="5">
        <f>IF(BP85="direct",BW85-BX85,IF(BP85="cash",CI85,BW85))</f>
        <v>0.012162134070810302</v>
      </c>
      <c r="BZ85" s="6">
        <v>1</v>
      </c>
      <c r="CA85" s="4">
        <v>1.2416410198723031</v>
      </c>
      <c r="CB85" s="4">
        <v>1.2416410198723031</v>
      </c>
      <c r="CC85" s="5">
        <f>IF(BP85="direct",BW85*(BU85-BT85),CF85)</f>
        <v>0.0002047857243733602</v>
      </c>
      <c r="CD85" s="5">
        <f>IF(BP85="direct",CB85*BV85*C85/365,0)</f>
        <v>0</v>
      </c>
      <c r="CE85" s="5">
        <f>CC85-CD85</f>
        <v>0.0002047857243734593</v>
      </c>
      <c r="CF85" s="4">
        <v>0.0002047857243734593</v>
      </c>
      <c r="CG85" s="5">
        <f>CF85-CE85</f>
        <v>9.90960785651751e-17</v>
      </c>
      <c r="CH85" s="4">
        <v>-2.4069288229178198e-17</v>
      </c>
      <c r="CI85" s="4">
        <v>1.2418458055966766</v>
      </c>
      <c r="CJ85" s="4">
        <v>1.758</v>
      </c>
      <c r="CK85" s="4">
        <v>1.807</v>
      </c>
      <c r="CL85" s="6"/>
      <c r="CM85" s="6"/>
      <c r="CN85" s="6"/>
      <c r="CO85" s="9">
        <v>22</v>
      </c>
      <c r="CP85" s="7">
        <f>IFERROR(CE85/F85,0)</f>
        <v>0.00016493150684931507</v>
      </c>
      <c r="CQ85" t="inlineStr">
        <is>
          <t xml:space="preserve">SI69K</t>
        </is>
      </c>
      <c r="CR85" t="inlineStr">
        <is>
          <t xml:space="preserve">future</t>
        </is>
      </c>
      <c r="CS85" t="inlineStr">
        <is>
          <t xml:space="preserve">lease</t>
        </is>
      </c>
      <c r="CT85" t="inlineStr">
        <is>
          <t xml:space="preserve">long</t>
        </is>
      </c>
      <c r="CU85" t="inlineStr">
        <is>
          <t xml:space="preserve">regular</t>
        </is>
      </c>
      <c r="CV85" s="4">
        <v>1.745</v>
      </c>
      <c r="CW85" s="4">
        <v>1.82</v>
      </c>
      <c r="CX85" s="6"/>
      <c r="CY85" s="4">
        <v>0.7115421317319788</v>
      </c>
      <c r="CZ85" s="5">
        <f>IF(CR85="direct",IFERROR(DF85/CW85,0),0)</f>
        <v>0</v>
      </c>
      <c r="DA85" s="5">
        <f>IF(CR85="direct",CY85-CZ85,IF(CR85="cash",DK85,CY85))</f>
        <v>0.7115421317319788</v>
      </c>
      <c r="DB85" s="6">
        <v>1</v>
      </c>
      <c r="DC85" s="4">
        <v>1.2416410198723031</v>
      </c>
      <c r="DD85" s="4">
        <v>0</v>
      </c>
      <c r="DE85" s="5">
        <f>IF(CR85="direct",CY85*(CW85-CV85),DH85)</f>
        <v>0.05336565987989831</v>
      </c>
      <c r="DF85" s="5">
        <f>IF(CR85="direct",DD85*CX85*C85/365,0)</f>
        <v>0</v>
      </c>
      <c r="DG85" s="5">
        <f>DE85-DF85</f>
        <v>0.05336565987989831</v>
      </c>
      <c r="DH85" s="4">
        <v>0.05336565987989831</v>
      </c>
      <c r="DI85" s="5">
        <f>DH85-DG85</f>
        <v>0</v>
      </c>
      <c r="DJ85" s="4">
        <v>-0.05336565987989831</v>
      </c>
      <c r="DK85" s="4">
        <v>0</v>
      </c>
      <c r="DL85" s="4">
        <v>1.758</v>
      </c>
      <c r="DM85" s="4">
        <v>1.807</v>
      </c>
      <c r="DN85" s="6">
        <v>-0.007394766780432271</v>
      </c>
      <c r="DO85" s="6">
        <v>0.0602</v>
      </c>
      <c r="DP85" s="6">
        <v>0.1828859034026263</v>
      </c>
      <c r="DQ85" s="9">
        <v>22</v>
      </c>
      <c r="DR85" s="7">
        <f>IFERROR(DG85/F85,0)</f>
        <v>0.042979942693409656</v>
      </c>
      <c r="DS85" t="inlineStr">
        <is>
          <t xml:space="preserve">Lease cash / margin / financing</t>
        </is>
      </c>
      <c r="DT85" t="inlineStr">
        <is>
          <t xml:space="preserve">cash</t>
        </is>
      </c>
      <c r="DU85" t="inlineStr">
        <is>
          <t xml:space="preserve">lease</t>
        </is>
      </c>
      <c r="DV85" t="inlineStr">
        <is>
          <t xml:space="preserve">cash</t>
        </is>
      </c>
      <c r="DW85"/>
      <c r="DX85" s="4">
        <v>1</v>
      </c>
      <c r="DY85" s="4">
        <v>1</v>
      </c>
      <c r="DZ85" s="6"/>
      <c r="EA85" s="4">
        <v>8.881784197001252e-16</v>
      </c>
      <c r="EB85" s="5">
        <f>IF(DT85="direct",IFERROR(EH85/DY85,0),0)</f>
        <v>0</v>
      </c>
      <c r="EC85" s="5">
        <f>IF(DT85="direct",EA85-EB85,IF(DT85="cash",EM85,EA85))</f>
        <v>0.05336565987989922</v>
      </c>
      <c r="ED85" s="6"/>
      <c r="EE85" s="4">
        <v>8.881784197001252e-16</v>
      </c>
      <c r="EF85" s="4">
        <v>8.881784197001252e-16</v>
      </c>
      <c r="EG85" s="5">
        <f>IF(DT85="direct",EA85*(DY85-DX85),EJ85)</f>
        <v>0</v>
      </c>
      <c r="EH85" s="5">
        <f>IF(DT85="direct",EF85*DZ85*C85/365,0)</f>
        <v>0</v>
      </c>
      <c r="EI85" s="5">
        <f>EG85-EH85</f>
        <v>0</v>
      </c>
      <c r="EJ85" s="4">
        <v>0</v>
      </c>
      <c r="EK85" s="5">
        <f>EJ85-EI85</f>
        <v>0</v>
      </c>
      <c r="EL85" s="4">
        <v>0.05336565987989833</v>
      </c>
      <c r="EM85" s="4">
        <v>0.05336565987989922</v>
      </c>
      <c r="EN85" s="4">
        <v>1.758</v>
      </c>
      <c r="EO85" s="4">
        <v>1.807</v>
      </c>
      <c r="EP85" s="6"/>
      <c r="EQ85" s="6"/>
      <c r="ER85" s="6"/>
      <c r="ES85" s="9"/>
      <c r="ET85" s="7">
        <f>IFERROR(EI85/F85,0)</f>
        <v>0</v>
      </c>
      <c r="EU85" t="inlineStr">
        <is>
          <t xml:space="preserve">Keep cash / margin / financing</t>
        </is>
      </c>
      <c r="EV85" t="inlineStr">
        <is>
          <t xml:space="preserve">cash</t>
        </is>
      </c>
      <c r="EW85" t="inlineStr">
        <is>
          <t xml:space="preserve">keep</t>
        </is>
      </c>
      <c r="EX85" t="inlineStr">
        <is>
          <t xml:space="preserve">cash</t>
        </is>
      </c>
      <c r="EY85"/>
      <c r="EZ85" s="4">
        <v>1</v>
      </c>
      <c r="FA85" s="4">
        <v>1</v>
      </c>
      <c r="FB85" s="6"/>
      <c r="FC85" s="4">
        <v>0</v>
      </c>
      <c r="FD85" s="5">
        <f>IF(EV85="direct",IFERROR(FJ85/FA85,0),0)</f>
        <v>0</v>
      </c>
      <c r="FE85" s="5">
        <f>IF(EV85="direct",FC85-FD85,IF(EV85="cash",FO85,FC85))</f>
        <v>0</v>
      </c>
      <c r="FF85" s="6"/>
      <c r="FG85" s="4">
        <v>0</v>
      </c>
      <c r="FH85" s="4">
        <v>0</v>
      </c>
      <c r="FI85" s="5">
        <f>IF(EV85="direct",FC85*(FA85-EZ85),FL85)</f>
        <v>0</v>
      </c>
      <c r="FJ85" s="5">
        <f>IF(EV85="direct",FH85*FB85*C85/365,0)</f>
        <v>0</v>
      </c>
      <c r="FK85" s="5">
        <f>FI85-FJ85</f>
        <v>0</v>
      </c>
      <c r="FL85" s="4">
        <v>0</v>
      </c>
      <c r="FM85" s="5">
        <f>FL85-FK85</f>
        <v>0</v>
      </c>
      <c r="FN85" s="4">
        <v>0</v>
      </c>
      <c r="FO85" s="4">
        <v>0</v>
      </c>
      <c r="FP85" s="4">
        <v>1.758</v>
      </c>
      <c r="FQ85" s="4">
        <v>1.807</v>
      </c>
      <c r="FR85" s="6"/>
      <c r="FS85" s="6"/>
      <c r="FT85" s="6"/>
      <c r="FU85" s="9"/>
      <c r="FV85" s="7">
        <f>IFERROR(FK85/F85,0)</f>
        <v>0</v>
      </c>
      <c r="FW85"/>
      <c r="FX85"/>
      <c r="FY85"/>
      <c r="FZ85"/>
      <c r="GA85"/>
      <c r="GB85" s="4"/>
      <c r="GC85" s="4"/>
      <c r="GD85" s="6"/>
      <c r="GE85" s="4"/>
      <c r="GF85" s="5">
        <v>0</v>
      </c>
      <c r="GG85" s="5"/>
      <c r="GH85" s="6"/>
      <c r="GI85" s="4"/>
      <c r="GJ85" s="4"/>
      <c r="GK85" s="5">
        <v>0</v>
      </c>
      <c r="GL85" s="5">
        <v>0</v>
      </c>
      <c r="GM85" s="5"/>
      <c r="GN85" s="4"/>
      <c r="GO85" s="5">
        <v>0</v>
      </c>
      <c r="GP85" s="4"/>
      <c r="GQ85" s="4"/>
      <c r="GR85" s="4"/>
      <c r="GS85" s="4"/>
      <c r="GT85" s="6"/>
      <c r="GU85" s="6"/>
      <c r="GV85" s="6"/>
      <c r="GW85" s="9"/>
      <c r="GX85"/>
      <c r="GY85"/>
      <c r="GZ85"/>
      <c r="HA85"/>
      <c r="HB85"/>
      <c r="HC85"/>
      <c r="HD85" s="4"/>
      <c r="HE85" s="4"/>
      <c r="HF85" s="6"/>
      <c r="HG85" s="4"/>
      <c r="HH85" s="5">
        <v>0</v>
      </c>
      <c r="HI85" s="5"/>
      <c r="HJ85" s="6"/>
      <c r="HK85" s="4"/>
      <c r="HL85" s="4"/>
      <c r="HM85" s="5">
        <v>0</v>
      </c>
      <c r="HN85" s="5">
        <v>0</v>
      </c>
      <c r="HO85" s="5"/>
      <c r="HP85" s="4"/>
      <c r="HQ85" s="5">
        <v>0</v>
      </c>
      <c r="HR85" s="4"/>
      <c r="HS85" s="4"/>
      <c r="HT85" s="4"/>
      <c r="HU85" s="4"/>
      <c r="HV85" s="6"/>
      <c r="HW85" s="6"/>
      <c r="HX85" s="6"/>
      <c r="HY85" s="9"/>
      <c r="HZ85"/>
      <c r="IA85"/>
      <c r="IB85"/>
      <c r="IC85"/>
      <c r="ID85"/>
      <c r="IE85"/>
      <c r="IF85" s="4"/>
      <c r="IG85" s="4"/>
      <c r="IH85" s="6"/>
      <c r="II85" s="4"/>
      <c r="IJ85" s="5">
        <v>0</v>
      </c>
      <c r="IK85" s="5"/>
      <c r="IL85" s="6"/>
      <c r="IM85" s="4"/>
      <c r="IN85" s="4"/>
      <c r="IO85" s="5">
        <v>0</v>
      </c>
      <c r="IP85" s="5">
        <v>0</v>
      </c>
      <c r="IQ85" s="5"/>
      <c r="IR85" s="4"/>
      <c r="IS85" s="5">
        <v>0</v>
      </c>
      <c r="IT85" s="4"/>
      <c r="IU85" s="4"/>
      <c r="IV85" s="4"/>
      <c r="IW85" s="4"/>
      <c r="IX85" s="6"/>
      <c r="IY85" s="6"/>
      <c r="IZ85" s="6"/>
      <c r="JA85" s="9"/>
      <c r="JB85"/>
      <c r="JC85"/>
      <c r="JD85"/>
      <c r="JE85"/>
      <c r="JF85"/>
      <c r="JG85"/>
      <c r="JH85" s="4"/>
      <c r="JI85" s="4"/>
      <c r="JJ85" s="6"/>
      <c r="JK85" s="4"/>
      <c r="JL85" s="5">
        <v>0</v>
      </c>
      <c r="JM85" s="5"/>
      <c r="JN85" s="6"/>
      <c r="JO85" s="4"/>
      <c r="JP85" s="4"/>
      <c r="JQ85" s="5">
        <v>0</v>
      </c>
      <c r="JR85" s="5">
        <v>0</v>
      </c>
      <c r="JS85" s="5"/>
      <c r="JT85" s="4"/>
      <c r="JU85" s="5">
        <v>0</v>
      </c>
      <c r="JV85" s="4"/>
      <c r="JW85" s="4"/>
      <c r="JX85" s="4"/>
      <c r="JY85" s="4"/>
      <c r="JZ85" s="6"/>
      <c r="KA85" s="6"/>
      <c r="KB85" s="6"/>
      <c r="KC85" s="9"/>
      <c r="KD85"/>
      <c r="KE85"/>
      <c r="KF85"/>
      <c r="KG85"/>
      <c r="KH85"/>
      <c r="KI85"/>
      <c r="KJ85" s="4"/>
      <c r="KK85" s="4"/>
      <c r="KL85" s="6"/>
      <c r="KM85" s="4"/>
      <c r="KN85" s="5">
        <v>0</v>
      </c>
      <c r="KO85" s="5"/>
      <c r="KP85" s="6"/>
      <c r="KQ85" s="4"/>
      <c r="KR85" s="4"/>
      <c r="KS85" s="5">
        <v>0</v>
      </c>
      <c r="KT85" s="5">
        <v>0</v>
      </c>
      <c r="KU85" s="5"/>
      <c r="KV85" s="4"/>
      <c r="KW85" s="5">
        <v>0</v>
      </c>
      <c r="KX85" s="4"/>
      <c r="KY85" s="4"/>
      <c r="KZ85" s="4"/>
      <c r="LA85" s="4"/>
      <c r="LB85" s="6"/>
      <c r="LC85" s="6"/>
      <c r="LD85" s="6"/>
      <c r="LE85" s="9"/>
      <c r="LF85"/>
      <c r="LG85"/>
      <c r="LH85"/>
      <c r="LI85"/>
      <c r="LJ85"/>
      <c r="LK85"/>
      <c r="LL85" s="4"/>
      <c r="LM85" s="4"/>
      <c r="LN85" s="6"/>
      <c r="LO85" s="4"/>
      <c r="LP85" s="5">
        <v>0</v>
      </c>
      <c r="LQ85" s="5"/>
      <c r="LR85" s="6"/>
      <c r="LS85" s="4"/>
      <c r="LT85" s="4"/>
      <c r="LU85" s="5">
        <v>0</v>
      </c>
      <c r="LV85" s="5">
        <v>0</v>
      </c>
      <c r="LW85" s="5"/>
      <c r="LX85" s="4"/>
      <c r="LY85" s="5">
        <v>0</v>
      </c>
      <c r="LZ85" s="4"/>
      <c r="MA85" s="4"/>
      <c r="MB85" s="4"/>
      <c r="MC85" s="4"/>
      <c r="MD85" s="6"/>
      <c r="ME85" s="6"/>
      <c r="MF85" s="6"/>
      <c r="MG85" s="9"/>
      <c r="MH85"/>
    </row>
    <row r="86">
      <c r="A86" s="8">
        <v>25330</v>
      </c>
      <c r="B86" s="8">
        <v>25331</v>
      </c>
      <c r="C86" s="9">
        <f>B86-A86</f>
        <v>1</v>
      </c>
      <c r="D86" s="8">
        <v>25330</v>
      </c>
      <c r="E86" t="inlineStr">
        <is>
          <t xml:space="preserve">neutral</t>
        </is>
      </c>
      <c r="F86" s="4">
        <v>1.2952114654765747</v>
      </c>
      <c r="G86" s="6">
        <v>0.021575884497881236</v>
      </c>
      <c r="H86" s="7">
        <f>SUM(CP86,DR86,ET86,FV86,GX86,HZ86,JB86,KD86,LF86,MH86)</f>
        <v>0.021575884497881236</v>
      </c>
      <c r="I86" s="7">
        <f>G86-H86</f>
        <v>0</v>
      </c>
      <c r="J86" s="5">
        <f>F86*(1+H86)</f>
        <v>1.3231567984560288</v>
      </c>
      <c r="K86" s="4">
        <v>1.3231567984560288</v>
      </c>
      <c r="L86" s="5">
        <f>K86-J86</f>
        <v>0</v>
      </c>
      <c r="M86" s="4">
        <v>1.807</v>
      </c>
      <c r="N86" s="4">
        <v>1.846</v>
      </c>
      <c r="O86" s="5">
        <f>M86/$M$3</f>
        <v>0.9228804902962207</v>
      </c>
      <c r="P86" s="5">
        <f>N86/$M$3</f>
        <v>0.9427987742594485</v>
      </c>
      <c r="Q86" s="7">
        <f>IFERROR(N86/M86-1,0)</f>
        <v>0.021582733812949728</v>
      </c>
      <c r="R86" s="5">
        <f>SUM(IF(BQ86="lease",CB86,0),IF(CS86="lease",DD86,0),IF(DU86="lease",EF86,0),IF(EW86="lease",FH86,0),IF(FY86="lease",GJ86,0),IF(HA86="lease",HL86,0),IF(IC86="lease",IN86,0),IF(JE86="lease",JP86,0),IF(KG86="lease",KR86,0),IF(LI86="lease",LT86,0))</f>
        <v>1.2952114654765758</v>
      </c>
      <c r="S86" s="5">
        <f>SUM(IF(BQ86="lease",CI86,0),IF(CS86="lease",DK86,0),IF(DU86="lease",EM86,0),IF(EW86="lease",FO86,0),IF(FY86="lease",GQ86,0),IF(HA86="lease",HS86,0),IF(IC86="lease",IU86,0),IF(JE86="lease",JW86,0),IF(KG86="lease",KY86,0),IF(LI86="lease",MA86,0))</f>
        <v>1.32315679845603</v>
      </c>
      <c r="T86" s="5">
        <f>SUM(IF(BQ86="keep",CB86,0),IF(CS86="keep",DD86,0),IF(DU86="keep",EF86,0),IF(EW86="keep",FH86,0),IF(FY86="keep",GJ86,0),IF(HA86="keep",HL86,0),IF(IC86="keep",IN86,0),IF(JE86="keep",JP86,0),IF(KG86="keep",KR86,0),IF(LI86="keep",LT86,0))</f>
        <v>0</v>
      </c>
      <c r="U86" s="5">
        <f>SUM(IF(BQ86="keep",CI86,0),IF(CS86="keep",DK86,0),IF(DU86="keep",EM86,0),IF(EW86="keep",FO86,0),IF(FY86="keep",GQ86,0),IF(HA86="keep",HS86,0),IF(IC86="keep",IU86,0),IF(JE86="keep",JW86,0),IF(KG86="keep",KY86,0),IF(LI86="keep",MA86,0))</f>
        <v>0</v>
      </c>
      <c r="V86" s="5">
        <f>R86/O86</f>
        <v>1.403444410295039</v>
      </c>
      <c r="W86" s="5">
        <f>S86/P86</f>
        <v>1.4034350007458865</v>
      </c>
      <c r="X86" s="5">
        <f>T86/O86</f>
        <v>0</v>
      </c>
      <c r="Y86" s="5">
        <f>U86/P86</f>
        <v>0</v>
      </c>
      <c r="Z86" s="5">
        <f>V86+X86</f>
        <v>1.403444410295039</v>
      </c>
      <c r="AA86" s="7">
        <f>IFERROR(W86/V86-1,0)</f>
        <v>-0.000006704611228980362</v>
      </c>
      <c r="AB86" s="7">
        <f>IFERROR((W86-V86)/Z86,0)</f>
        <v>-0.000006704611228982625</v>
      </c>
      <c r="AC86" s="7">
        <f>IFERROR(Y86/X86-1,0)</f>
        <v>0</v>
      </c>
      <c r="AD86" s="7">
        <f>IFERROR((Y86-X86)/Z86,0)</f>
        <v>0</v>
      </c>
      <c r="AE86" s="7">
        <f>AB86+AD86</f>
        <v>-0.000006704611228982625</v>
      </c>
      <c r="AF86" s="7">
        <f>(1+Q86)*(1+AE86)-1</f>
        <v>0.02157588449788128</v>
      </c>
      <c r="AG86" s="7">
        <f>G86-AF86</f>
        <v>-4.5102810375396984e-17</v>
      </c>
      <c r="AH86" s="5">
        <f>SUM(IF(BQ86="lease",CE86,0),IF(CS86="lease",DG86,0),IF(DU86="lease",EI86,0),IF(EW86="lease",FK86,0),IF(FY86="lease",GM86,0),IF(HA86="lease",HO86,0),IF(IC86="lease",IQ86,0),IF(JE86="lease",JS86,0),IF(KG86="lease",KU86,0),IF(LI86="lease",LW86,0))</f>
        <v>0.027945332979454066</v>
      </c>
      <c r="AI86" s="5">
        <f>SUM(IF(BQ86="keep",CE86,0),IF(CS86="keep",DG86,0),IF(DU86="keep",EI86,0),IF(EW86="keep",FK86,0),IF(FY86="keep",GM86,0),IF(HA86="keep",HO86,0),IF(IC86="keep",IQ86,0),IF(JE86="keep",JS86,0),IF(KG86="keep",KU86,0),IF(LI86="keep",LW86,0))</f>
        <v>0</v>
      </c>
      <c r="AJ86" s="5">
        <f>SUM(IF(BQ86="lease",CH86,0),IF(CS86="lease",DJ86,0),IF(DU86="lease",EL86,0),IF(EW86="lease",FN86,0),IF(FY86="lease",GP86,0),IF(HA86="lease",HR86,0),IF(IC86="lease",IT86,0),IF(JE86="lease",JV86,0),IF(KG86="lease",KX86,0),IF(LI86="lease",LZ86,0))</f>
        <v>0</v>
      </c>
      <c r="AK86" s="5">
        <f>SUM(IF(BQ86="keep",CH86,0),IF(CS86="keep",DJ86,0),IF(DU86="keep",EL86,0),IF(EW86="keep",FN86,0),IF(FY86="keep",GP86,0),IF(HA86="keep",HR86,0),IF(IC86="keep",IT86,0),IF(JE86="keep",JV86,0),IF(KG86="keep",KX86,0),IF(LI86="keep",LZ86,0))</f>
        <v>0</v>
      </c>
      <c r="AL86" s="5">
        <f>R86-S85</f>
        <v>0</v>
      </c>
      <c r="AM86" s="5">
        <f>T86-U85</f>
        <v>0</v>
      </c>
      <c r="AN86" s="5">
        <f>AN85</f>
        <v>1</v>
      </c>
      <c r="AO86" s="5">
        <f>AO85+AH86</f>
        <v>0.3231567984560299</v>
      </c>
      <c r="AP86" s="5">
        <f>AP85+AL86</f>
        <v>-4.440892098500626e-16</v>
      </c>
      <c r="AQ86" s="5">
        <f>AN86+AO86+AP86</f>
        <v>1.3231567984560295</v>
      </c>
      <c r="AR86" s="5">
        <f>S86-AQ86</f>
        <v>4.440892098500626e-16</v>
      </c>
      <c r="AS86" s="5">
        <f>AS85</f>
        <v>0</v>
      </c>
      <c r="AT86" s="5">
        <f>AT85+AI86</f>
        <v>0</v>
      </c>
      <c r="AU86" s="5">
        <f>AU85+AM86</f>
        <v>0</v>
      </c>
      <c r="AV86" s="5">
        <f>AS86+AT86+AU86</f>
        <v>0</v>
      </c>
      <c r="AW86" s="5">
        <f>U86-AV86</f>
        <v>0</v>
      </c>
      <c r="AX86" s="4">
        <v>1.2952114654765758</v>
      </c>
      <c r="AY86" s="4">
        <v>1.32315679845603</v>
      </c>
      <c r="AZ86" s="5">
        <f>S86-AY86</f>
        <v>0</v>
      </c>
      <c r="BA86" s="4">
        <v>0</v>
      </c>
      <c r="BB86" s="4">
        <v>0</v>
      </c>
      <c r="BC86" s="5">
        <f>U86-BB86</f>
        <v>0</v>
      </c>
      <c r="BD86" s="7">
        <f>SUM(IF(BP86="direct",CC86/F86,0),IF(CR86="direct",DE86/F86,0),IF(DT86="direct",EG86/F86,0),IF(EV86="direct",FI86/F86,0),IF(FX86="direct",GK86/F86,0),IF(GZ86="direct",HM86/F86,0),IF(IB86="direct",IO86/F86,0),IF(JD86="direct",JQ86/F86,0),IF(KF86="direct",KS86/F86,0),IF(LH86="direct",LU86/F86,0))</f>
        <v>0.02158273381294972</v>
      </c>
      <c r="BE86" s="7">
        <f>-SUM(IF(BP86="direct",CD86/F86,0),IF(CR86="direct",DF86/F86,0),IF(DT86="direct",EH86/F86,0),IF(EV86="direct",FJ86/F86,0),IF(FX86="direct",GL86/F86,0),IF(GZ86="direct",HN86/F86,0),IF(IB86="direct",IP86/F86,0),IF(JD86="direct",JR86/F86,0),IF(KF86="direct",KT86/F86,0),IF(LH86="direct",LV86/F86,0))</f>
        <v>-0.000006849315068493152</v>
      </c>
      <c r="BF86" s="7">
        <f>BD86+BE86</f>
        <v>0.02157588449788123</v>
      </c>
      <c r="BG86" s="7">
        <f>BF86-SUM(IF(BP86="direct",CP86,0),IF(CR86="direct",DR86,0),IF(DT86="direct",ET86,0),IF(EV86="direct",FV86,0),IF(FX86="direct",GX86,0),IF(GZ86="direct",HZ86,0),IF(IB86="direct",JB86,0),IF(JD86="direct",KD86,0),IF(KF86="direct",LF86,0),IF(LH86="direct",MH86,0))</f>
        <v>-6.938893903907228e-18</v>
      </c>
      <c r="BH86" s="7">
        <f>SUM(IF(BP86="treasury",CP86,0),IF(CR86="treasury",DR86,0),IF(DT86="treasury",ET86,0),IF(EV86="treasury",FV86,0),IF(FX86="treasury",GX86,0),IF(GZ86="treasury",HZ86,0),IF(IB86="treasury",JB86,0),IF(JD86="treasury",KD86,0),IF(KF86="treasury",LF86,0),IF(LH86="treasury",MH86,0))</f>
        <v>0</v>
      </c>
      <c r="BI86" s="7">
        <f>SUM(IF(BP86="future",CP86,0),IF(CR86="future",DR86,0),IF(DT86="future",ET86,0),IF(EV86="future",FV86,0),IF(FX86="future",GX86,0),IF(GZ86="future",HZ86,0),IF(IB86="future",JB86,0),IF(JD86="future",KD86,0),IF(KF86="future",LF86,0),IF(LH86="future",MH86,0))</f>
        <v>0</v>
      </c>
      <c r="BJ86" s="7">
        <f>SUM(IF(BP86="cash",CP86,0),IF(CR86="cash",DR86,0),IF(DT86="cash",ET86,0),IF(EV86="cash",FV86,0),IF(FX86="cash",GX86,0),IF(GZ86="cash",HZ86,0),IF(IB86="cash",JB86,0),IF(JD86="cash",KD86,0),IF(KF86="cash",LF86,0),IF(LH86="cash",MH86,0))</f>
        <v>0</v>
      </c>
      <c r="BK86" s="7">
        <f>SUM(BF86,BH86,BI86,BJ86)</f>
        <v>0.021575884497881236</v>
      </c>
      <c r="BL86" s="7">
        <f>G86-BK86</f>
        <v>0</v>
      </c>
      <c r="BM86" s="5">
        <f>MAX(ABS(CG86),ABS(DI86),ABS(EK86),ABS(FM86),ABS(GO86),ABS(HQ86),ABS(IS86),ABS(JU86),ABS(KW86),ABS(LY86))</f>
        <v>8.055283328388396e-18</v>
      </c>
      <c r="BN86" s="9">
        <f>COUNTA(BO86,CQ86,DS86,EU86,FW86,GY86,IA86,JC86,KE86,LG86)</f>
        <v>3</v>
      </c>
      <c r="BO86" t="inlineStr">
        <is>
          <t xml:space="preserve">Direct commodity holding</t>
        </is>
      </c>
      <c r="BP86" t="inlineStr">
        <is>
          <t xml:space="preserve">direct</t>
        </is>
      </c>
      <c r="BQ86" t="inlineStr">
        <is>
          <t xml:space="preserve">lease</t>
        </is>
      </c>
      <c r="BR86" t="inlineStr">
        <is>
          <t xml:space="preserve">long</t>
        </is>
      </c>
      <c r="BS86"/>
      <c r="BT86" s="4">
        <v>1.807</v>
      </c>
      <c r="BU86" s="4">
        <v>1.846</v>
      </c>
      <c r="BV86" s="6">
        <v>0.0025</v>
      </c>
      <c r="BW86" s="4">
        <v>0.7167744689964443</v>
      </c>
      <c r="BX86" s="5">
        <f>IF(BP86="direct",IFERROR(CD86/BU86,0),0)</f>
        <v>0.000004805694153506934</v>
      </c>
      <c r="BY86" s="5">
        <f>IF(BP86="direct",BW86-BX86,IF(BP86="cash",CI86,BW86))</f>
        <v>0.7167696633022907</v>
      </c>
      <c r="BZ86" s="6">
        <v>1</v>
      </c>
      <c r="CA86" s="4">
        <v>1.2952114654765747</v>
      </c>
      <c r="CB86" s="4">
        <v>1.2952114654765747</v>
      </c>
      <c r="CC86" s="5">
        <f>IF(BP86="direct",BW86*(BU86-BT86),CF86)</f>
        <v>0.027954204290861432</v>
      </c>
      <c r="CD86" s="5">
        <f>IF(BP86="direct",CB86*BV86*C86/365,0)</f>
        <v>0.0000088713114073738</v>
      </c>
      <c r="CE86" s="5">
        <f>CC86-CD86</f>
        <v>0.027945332979454066</v>
      </c>
      <c r="CF86" s="4">
        <v>0.027945332979454066</v>
      </c>
      <c r="CG86" s="5">
        <f>CF86-CE86</f>
        <v>8.055283328388396e-18</v>
      </c>
      <c r="CH86" s="4">
        <v>0</v>
      </c>
      <c r="CI86" s="4">
        <v>1.3231567984560288</v>
      </c>
      <c r="CJ86" s="4">
        <v>1.807</v>
      </c>
      <c r="CK86" s="4">
        <v>1.846</v>
      </c>
      <c r="CL86" s="6"/>
      <c r="CM86" s="6"/>
      <c r="CN86" s="6"/>
      <c r="CO86" s="9"/>
      <c r="CP86" s="7">
        <f>IFERROR(CE86/F86,0)</f>
        <v>0.021575884497881236</v>
      </c>
      <c r="CQ86" t="inlineStr">
        <is>
          <t xml:space="preserve">Lease cash / margin / financing</t>
        </is>
      </c>
      <c r="CR86" t="inlineStr">
        <is>
          <t xml:space="preserve">cash</t>
        </is>
      </c>
      <c r="CS86" t="inlineStr">
        <is>
          <t xml:space="preserve">lease</t>
        </is>
      </c>
      <c r="CT86" t="inlineStr">
        <is>
          <t xml:space="preserve">cash</t>
        </is>
      </c>
      <c r="CU86"/>
      <c r="CV86" s="4">
        <v>1</v>
      </c>
      <c r="CW86" s="4">
        <v>1</v>
      </c>
      <c r="CX86" s="6"/>
      <c r="CY86" s="4">
        <v>1.1102230246251565e-15</v>
      </c>
      <c r="CZ86" s="5">
        <f>IF(CR86="direct",IFERROR(DF86/CW86,0),0)</f>
        <v>0</v>
      </c>
      <c r="DA86" s="5">
        <f>IF(CR86="direct",CY86-CZ86,IF(CR86="cash",DK86,CY86))</f>
        <v>1.1102230246251565e-15</v>
      </c>
      <c r="DB86" s="6"/>
      <c r="DC86" s="4">
        <v>1.1102230246251565e-15</v>
      </c>
      <c r="DD86" s="4">
        <v>1.1102230246251565e-15</v>
      </c>
      <c r="DE86" s="5">
        <f>IF(CR86="direct",CY86*(CW86-CV86),DH86)</f>
        <v>0</v>
      </c>
      <c r="DF86" s="5">
        <f>IF(CR86="direct",DD86*CX86*C86/365,0)</f>
        <v>0</v>
      </c>
      <c r="DG86" s="5">
        <f>DE86-DF86</f>
        <v>0</v>
      </c>
      <c r="DH86" s="4">
        <v>0</v>
      </c>
      <c r="DI86" s="5">
        <f>DH86-DG86</f>
        <v>0</v>
      </c>
      <c r="DJ86" s="4">
        <v>0</v>
      </c>
      <c r="DK86" s="4">
        <v>1.1102230246251565e-15</v>
      </c>
      <c r="DL86" s="4">
        <v>1.807</v>
      </c>
      <c r="DM86" s="4">
        <v>1.846</v>
      </c>
      <c r="DN86" s="6"/>
      <c r="DO86" s="6"/>
      <c r="DP86" s="6"/>
      <c r="DQ86" s="9"/>
      <c r="DR86" s="7">
        <f>IFERROR(DG86/F86,0)</f>
        <v>0</v>
      </c>
      <c r="DS86" t="inlineStr">
        <is>
          <t xml:space="preserve">Keep cash / margin / financing</t>
        </is>
      </c>
      <c r="DT86" t="inlineStr">
        <is>
          <t xml:space="preserve">cash</t>
        </is>
      </c>
      <c r="DU86" t="inlineStr">
        <is>
          <t xml:space="preserve">keep</t>
        </is>
      </c>
      <c r="DV86" t="inlineStr">
        <is>
          <t xml:space="preserve">cash</t>
        </is>
      </c>
      <c r="DW86"/>
      <c r="DX86" s="4">
        <v>1</v>
      </c>
      <c r="DY86" s="4">
        <v>1</v>
      </c>
      <c r="DZ86" s="6"/>
      <c r="EA86" s="4">
        <v>0</v>
      </c>
      <c r="EB86" s="5">
        <f>IF(DT86="direct",IFERROR(EH86/DY86,0),0)</f>
        <v>0</v>
      </c>
      <c r="EC86" s="5">
        <f>IF(DT86="direct",EA86-EB86,IF(DT86="cash",EM86,EA86))</f>
        <v>0</v>
      </c>
      <c r="ED86" s="6"/>
      <c r="EE86" s="4">
        <v>0</v>
      </c>
      <c r="EF86" s="4">
        <v>0</v>
      </c>
      <c r="EG86" s="5">
        <f>IF(DT86="direct",EA86*(DY86-DX86),EJ86)</f>
        <v>0</v>
      </c>
      <c r="EH86" s="5">
        <f>IF(DT86="direct",EF86*DZ86*C86/365,0)</f>
        <v>0</v>
      </c>
      <c r="EI86" s="5">
        <f>EG86-EH86</f>
        <v>0</v>
      </c>
      <c r="EJ86" s="4">
        <v>0</v>
      </c>
      <c r="EK86" s="5">
        <f>EJ86-EI86</f>
        <v>0</v>
      </c>
      <c r="EL86" s="4">
        <v>0</v>
      </c>
      <c r="EM86" s="4">
        <v>0</v>
      </c>
      <c r="EN86" s="4">
        <v>1.807</v>
      </c>
      <c r="EO86" s="4">
        <v>1.846</v>
      </c>
      <c r="EP86" s="6"/>
      <c r="EQ86" s="6"/>
      <c r="ER86" s="6"/>
      <c r="ES86" s="9"/>
      <c r="ET86" s="7">
        <f>IFERROR(EI86/F86,0)</f>
        <v>0</v>
      </c>
      <c r="EU86"/>
      <c r="EV86"/>
      <c r="EW86"/>
      <c r="EX86"/>
      <c r="EY86"/>
      <c r="EZ86" s="4"/>
      <c r="FA86" s="4"/>
      <c r="FB86" s="6"/>
      <c r="FC86" s="4"/>
      <c r="FD86" s="5">
        <v>0</v>
      </c>
      <c r="FE86" s="5"/>
      <c r="FF86" s="6"/>
      <c r="FG86" s="4"/>
      <c r="FH86" s="4"/>
      <c r="FI86" s="5">
        <v>0</v>
      </c>
      <c r="FJ86" s="5">
        <v>0</v>
      </c>
      <c r="FK86" s="5"/>
      <c r="FL86" s="4"/>
      <c r="FM86" s="5">
        <v>0</v>
      </c>
      <c r="FN86" s="4"/>
      <c r="FO86" s="4"/>
      <c r="FP86" s="4"/>
      <c r="FQ86" s="4"/>
      <c r="FR86" s="6"/>
      <c r="FS86" s="6"/>
      <c r="FT86" s="6"/>
      <c r="FU86" s="9"/>
      <c r="FV86"/>
      <c r="FW86"/>
      <c r="FX86"/>
      <c r="FY86"/>
      <c r="FZ86"/>
      <c r="GA86"/>
      <c r="GB86" s="4"/>
      <c r="GC86" s="4"/>
      <c r="GD86" s="6"/>
      <c r="GE86" s="4"/>
      <c r="GF86" s="5">
        <v>0</v>
      </c>
      <c r="GG86" s="5"/>
      <c r="GH86" s="6"/>
      <c r="GI86" s="4"/>
      <c r="GJ86" s="4"/>
      <c r="GK86" s="5">
        <v>0</v>
      </c>
      <c r="GL86" s="5">
        <v>0</v>
      </c>
      <c r="GM86" s="5"/>
      <c r="GN86" s="4"/>
      <c r="GO86" s="5">
        <v>0</v>
      </c>
      <c r="GP86" s="4"/>
      <c r="GQ86" s="4"/>
      <c r="GR86" s="4"/>
      <c r="GS86" s="4"/>
      <c r="GT86" s="6"/>
      <c r="GU86" s="6"/>
      <c r="GV86" s="6"/>
      <c r="GW86" s="9"/>
      <c r="GX86"/>
      <c r="GY86"/>
      <c r="GZ86"/>
      <c r="HA86"/>
      <c r="HB86"/>
      <c r="HC86"/>
      <c r="HD86" s="4"/>
      <c r="HE86" s="4"/>
      <c r="HF86" s="6"/>
      <c r="HG86" s="4"/>
      <c r="HH86" s="5">
        <v>0</v>
      </c>
      <c r="HI86" s="5"/>
      <c r="HJ86" s="6"/>
      <c r="HK86" s="4"/>
      <c r="HL86" s="4"/>
      <c r="HM86" s="5">
        <v>0</v>
      </c>
      <c r="HN86" s="5">
        <v>0</v>
      </c>
      <c r="HO86" s="5"/>
      <c r="HP86" s="4"/>
      <c r="HQ86" s="5">
        <v>0</v>
      </c>
      <c r="HR86" s="4"/>
      <c r="HS86" s="4"/>
      <c r="HT86" s="4"/>
      <c r="HU86" s="4"/>
      <c r="HV86" s="6"/>
      <c r="HW86" s="6"/>
      <c r="HX86" s="6"/>
      <c r="HY86" s="9"/>
      <c r="HZ86"/>
      <c r="IA86"/>
      <c r="IB86"/>
      <c r="IC86"/>
      <c r="ID86"/>
      <c r="IE86"/>
      <c r="IF86" s="4"/>
      <c r="IG86" s="4"/>
      <c r="IH86" s="6"/>
      <c r="II86" s="4"/>
      <c r="IJ86" s="5">
        <v>0</v>
      </c>
      <c r="IK86" s="5"/>
      <c r="IL86" s="6"/>
      <c r="IM86" s="4"/>
      <c r="IN86" s="4"/>
      <c r="IO86" s="5">
        <v>0</v>
      </c>
      <c r="IP86" s="5">
        <v>0</v>
      </c>
      <c r="IQ86" s="5"/>
      <c r="IR86" s="4"/>
      <c r="IS86" s="5">
        <v>0</v>
      </c>
      <c r="IT86" s="4"/>
      <c r="IU86" s="4"/>
      <c r="IV86" s="4"/>
      <c r="IW86" s="4"/>
      <c r="IX86" s="6"/>
      <c r="IY86" s="6"/>
      <c r="IZ86" s="6"/>
      <c r="JA86" s="9"/>
      <c r="JB86"/>
      <c r="JC86"/>
      <c r="JD86"/>
      <c r="JE86"/>
      <c r="JF86"/>
      <c r="JG86"/>
      <c r="JH86" s="4"/>
      <c r="JI86" s="4"/>
      <c r="JJ86" s="6"/>
      <c r="JK86" s="4"/>
      <c r="JL86" s="5">
        <v>0</v>
      </c>
      <c r="JM86" s="5"/>
      <c r="JN86" s="6"/>
      <c r="JO86" s="4"/>
      <c r="JP86" s="4"/>
      <c r="JQ86" s="5">
        <v>0</v>
      </c>
      <c r="JR86" s="5">
        <v>0</v>
      </c>
      <c r="JS86" s="5"/>
      <c r="JT86" s="4"/>
      <c r="JU86" s="5">
        <v>0</v>
      </c>
      <c r="JV86" s="4"/>
      <c r="JW86" s="4"/>
      <c r="JX86" s="4"/>
      <c r="JY86" s="4"/>
      <c r="JZ86" s="6"/>
      <c r="KA86" s="6"/>
      <c r="KB86" s="6"/>
      <c r="KC86" s="9"/>
      <c r="KD86"/>
      <c r="KE86"/>
      <c r="KF86"/>
      <c r="KG86"/>
      <c r="KH86"/>
      <c r="KI86"/>
      <c r="KJ86" s="4"/>
      <c r="KK86" s="4"/>
      <c r="KL86" s="6"/>
      <c r="KM86" s="4"/>
      <c r="KN86" s="5">
        <v>0</v>
      </c>
      <c r="KO86" s="5"/>
      <c r="KP86" s="6"/>
      <c r="KQ86" s="4"/>
      <c r="KR86" s="4"/>
      <c r="KS86" s="5">
        <v>0</v>
      </c>
      <c r="KT86" s="5">
        <v>0</v>
      </c>
      <c r="KU86" s="5"/>
      <c r="KV86" s="4"/>
      <c r="KW86" s="5">
        <v>0</v>
      </c>
      <c r="KX86" s="4"/>
      <c r="KY86" s="4"/>
      <c r="KZ86" s="4"/>
      <c r="LA86" s="4"/>
      <c r="LB86" s="6"/>
      <c r="LC86" s="6"/>
      <c r="LD86" s="6"/>
      <c r="LE86" s="9"/>
      <c r="LF86"/>
      <c r="LG86"/>
      <c r="LH86"/>
      <c r="LI86"/>
      <c r="LJ86"/>
      <c r="LK86"/>
      <c r="LL86" s="4"/>
      <c r="LM86" s="4"/>
      <c r="LN86" s="6"/>
      <c r="LO86" s="4"/>
      <c r="LP86" s="5">
        <v>0</v>
      </c>
      <c r="LQ86" s="5"/>
      <c r="LR86" s="6"/>
      <c r="LS86" s="4"/>
      <c r="LT86" s="4"/>
      <c r="LU86" s="5">
        <v>0</v>
      </c>
      <c r="LV86" s="5">
        <v>0</v>
      </c>
      <c r="LW86" s="5"/>
      <c r="LX86" s="4"/>
      <c r="LY86" s="5">
        <v>0</v>
      </c>
      <c r="LZ86" s="4"/>
      <c r="MA86" s="4"/>
      <c r="MB86" s="4"/>
      <c r="MC86" s="4"/>
      <c r="MD86" s="6"/>
      <c r="ME86" s="6"/>
      <c r="MF86" s="6"/>
      <c r="MG86" s="9"/>
      <c r="MH86"/>
    </row>
    <row r="87">
      <c r="A87" s="8">
        <v>25331</v>
      </c>
      <c r="B87" s="8">
        <v>25332</v>
      </c>
      <c r="C87" s="9">
        <f>B87-A87</f>
        <v>1</v>
      </c>
      <c r="D87" s="8">
        <v>25331</v>
      </c>
      <c r="E87" t="inlineStr">
        <is>
          <t xml:space="preserve">positive</t>
        </is>
      </c>
      <c r="F87" s="4">
        <v>1.3231567984560288</v>
      </c>
      <c r="G87" s="6">
        <v>-0.013111048611952779</v>
      </c>
      <c r="H87" s="7">
        <f>SUM(CP87,DR87,ET87,FV87,GX87,HZ87,JB87,KD87,LF87,MH87)</f>
        <v>-0.013111048611952777</v>
      </c>
      <c r="I87" s="7">
        <f>G87-H87</f>
        <v>-1.734723475976807e-18</v>
      </c>
      <c r="J87" s="5">
        <f>F87*(1+H87)</f>
        <v>1.305808825350236</v>
      </c>
      <c r="K87" s="4">
        <v>1.305808825350236</v>
      </c>
      <c r="L87" s="5">
        <f>K87-J87</f>
        <v>0</v>
      </c>
      <c r="M87" s="4">
        <v>1.846</v>
      </c>
      <c r="N87" s="4">
        <v>1.817</v>
      </c>
      <c r="O87" s="5">
        <f>M87/$M$3</f>
        <v>0.9427987742594485</v>
      </c>
      <c r="P87" s="5">
        <f>N87/$M$3</f>
        <v>0.9279877425944841</v>
      </c>
      <c r="Q87" s="7">
        <f>IFERROR(N87/M87-1,0)</f>
        <v>-0.015709642470205898</v>
      </c>
      <c r="R87" s="5">
        <f>SUM(IF(BQ87="lease",CB87,0),IF(CS87="lease",DD87,0),IF(DU87="lease",EF87,0),IF(EW87="lease",FH87,0),IF(FY87="lease",GJ87,0),IF(HA87="lease",HL87,0),IF(IC87="lease",IN87,0),IF(JE87="lease",JP87,0),IF(KG87="lease",KR87,0),IF(LI87="lease",LT87,0))</f>
        <v>1.32315679845603</v>
      </c>
      <c r="S87" s="5">
        <f>SUM(IF(BQ87="lease",CI87,0),IF(CS87="lease",DK87,0),IF(DU87="lease",EM87,0),IF(EW87="lease",FO87,0),IF(FY87="lease",GQ87,0),IF(HA87="lease",HS87,0),IF(IC87="lease",IU87,0),IF(JE87="lease",JW87,0),IF(KG87="lease",KY87,0),IF(LI87="lease",MA87,0))</f>
        <v>1.3058088253502371</v>
      </c>
      <c r="T87" s="5">
        <f>SUM(IF(BQ87="keep",CB87,0),IF(CS87="keep",DD87,0),IF(DU87="keep",EF87,0),IF(EW87="keep",FH87,0),IF(FY87="keep",GJ87,0),IF(HA87="keep",HL87,0),IF(IC87="keep",IN87,0),IF(JE87="keep",JP87,0),IF(KG87="keep",KR87,0),IF(LI87="keep",LT87,0))</f>
        <v>0</v>
      </c>
      <c r="U87" s="5">
        <f>SUM(IF(BQ87="keep",CI87,0),IF(CS87="keep",DK87,0),IF(DU87="keep",EM87,0),IF(EW87="keep",FO87,0),IF(FY87="keep",GQ87,0),IF(HA87="keep",HS87,0),IF(IC87="keep",IU87,0),IF(JE87="keep",JW87,0),IF(KG87="keep",KY87,0),IF(LI87="keep",MA87,0))</f>
        <v>0</v>
      </c>
      <c r="V87" s="5">
        <f>R87/O87</f>
        <v>1.4034350007458865</v>
      </c>
      <c r="W87" s="5">
        <f>S87/P87</f>
        <v>1.407140165127003</v>
      </c>
      <c r="X87" s="5">
        <f>T87/O87</f>
        <v>0</v>
      </c>
      <c r="Y87" s="5">
        <f>U87/P87</f>
        <v>0</v>
      </c>
      <c r="Z87" s="5">
        <f>V87+X87</f>
        <v>1.4034350007458865</v>
      </c>
      <c r="AA87" s="7">
        <f>IFERROR(W87/V87-1,0)</f>
        <v>0.0026400683887370935</v>
      </c>
      <c r="AB87" s="7">
        <f>IFERROR((W87-V87)/Z87,0)</f>
        <v>0.002640068388737187</v>
      </c>
      <c r="AC87" s="7">
        <f>IFERROR(Y87/X87-1,0)</f>
        <v>0</v>
      </c>
      <c r="AD87" s="7">
        <f>IFERROR((Y87-X87)/Z87,0)</f>
        <v>0</v>
      </c>
      <c r="AE87" s="7">
        <f>AB87+AD87</f>
        <v>0.002640068388737187</v>
      </c>
      <c r="AF87" s="7">
        <f>(1+Q87)*(1+AE87)-1</f>
        <v>-0.01311104861195278</v>
      </c>
      <c r="AG87" s="7">
        <f>G87-AF87</f>
        <v>1.734723475976807e-18</v>
      </c>
      <c r="AH87" s="5">
        <f>SUM(IF(BQ87="lease",CE87,0),IF(CS87="lease",DG87,0),IF(DU87="lease",EI87,0),IF(EW87="lease",FK87,0),IF(FY87="lease",GM87,0),IF(HA87="lease",HO87,0),IF(IC87="lease",IQ87,0),IF(JE87="lease",JS87,0),IF(KG87="lease",KU87,0),IF(LI87="lease",LW87,0))</f>
        <v>-0.017347973105792797</v>
      </c>
      <c r="AI87" s="5">
        <f>SUM(IF(BQ87="keep",CE87,0),IF(CS87="keep",DG87,0),IF(DU87="keep",EI87,0),IF(EW87="keep",FK87,0),IF(FY87="keep",GM87,0),IF(HA87="keep",HO87,0),IF(IC87="keep",IQ87,0),IF(JE87="keep",JS87,0),IF(KG87="keep",KU87,0),IF(LI87="keep",LW87,0))</f>
        <v>0</v>
      </c>
      <c r="AJ87" s="5">
        <f>SUM(IF(BQ87="lease",CH87,0),IF(CS87="lease",DJ87,0),IF(DU87="lease",EL87,0),IF(EW87="lease",FN87,0),IF(FY87="lease",GP87,0),IF(HA87="lease",HR87,0),IF(IC87="lease",IT87,0),IF(JE87="lease",JV87,0),IF(KG87="lease",KX87,0),IF(LI87="lease",LZ87,0))</f>
        <v>0</v>
      </c>
      <c r="AK87" s="5">
        <f>SUM(IF(BQ87="keep",CH87,0),IF(CS87="keep",DJ87,0),IF(DU87="keep",EL87,0),IF(EW87="keep",FN87,0),IF(FY87="keep",GP87,0),IF(HA87="keep",HR87,0),IF(IC87="keep",IT87,0),IF(JE87="keep",JV87,0),IF(KG87="keep",KX87,0),IF(LI87="keep",LZ87,0))</f>
        <v>0</v>
      </c>
      <c r="AL87" s="5">
        <f>R87-S86</f>
        <v>0</v>
      </c>
      <c r="AM87" s="5">
        <f>T87-U86</f>
        <v>0</v>
      </c>
      <c r="AN87" s="5">
        <f>AN86</f>
        <v>1</v>
      </c>
      <c r="AO87" s="5">
        <f>AO86+AH87</f>
        <v>0.3058088253502371</v>
      </c>
      <c r="AP87" s="5">
        <f>AP86+AL87</f>
        <v>-4.440892098500626e-16</v>
      </c>
      <c r="AQ87" s="5">
        <f>AN87+AO87+AP87</f>
        <v>1.3058088253502367</v>
      </c>
      <c r="AR87" s="5">
        <f>S87-AQ87</f>
        <v>4.440892098500626e-16</v>
      </c>
      <c r="AS87" s="5">
        <f>AS86</f>
        <v>0</v>
      </c>
      <c r="AT87" s="5">
        <f>AT86+AI87</f>
        <v>0</v>
      </c>
      <c r="AU87" s="5">
        <f>AU86+AM87</f>
        <v>0</v>
      </c>
      <c r="AV87" s="5">
        <f>AS87+AT87+AU87</f>
        <v>0</v>
      </c>
      <c r="AW87" s="5">
        <f>U87-AV87</f>
        <v>0</v>
      </c>
      <c r="AX87" s="4">
        <v>1.32315679845603</v>
      </c>
      <c r="AY87" s="4">
        <v>1.3058088253502371</v>
      </c>
      <c r="AZ87" s="5">
        <f>S87-AY87</f>
        <v>0</v>
      </c>
      <c r="BA87" s="4">
        <v>0</v>
      </c>
      <c r="BB87" s="4">
        <v>0</v>
      </c>
      <c r="BC87" s="5">
        <f>U87-BB87</f>
        <v>0</v>
      </c>
      <c r="BD87" s="7">
        <f>SUM(IF(BP87="direct",CC87/F87,0),IF(CR87="direct",DE87/F87,0),IF(DT87="direct",EG87/F87,0),IF(EV87="direct",FI87/F87,0),IF(FX87="direct",GK87/F87,0),IF(GZ87="direct",HM87/F87,0),IF(IB87="direct",IO87/F87,0),IF(JD87="direct",JQ87/F87,0),IF(KF87="direct",KS87/F87,0),IF(LH87="direct",LU87/F87,0))</f>
        <v>0</v>
      </c>
      <c r="BE87" s="7">
        <f>-SUM(IF(BP87="direct",CD87/F87,0),IF(CR87="direct",DF87/F87,0),IF(DT87="direct",EH87/F87,0),IF(EV87="direct",FJ87/F87,0),IF(FX87="direct",GL87/F87,0),IF(GZ87="direct",HN87/F87,0),IF(IB87="direct",IP87/F87,0),IF(JD87="direct",JR87/F87,0),IF(KF87="direct",KT87/F87,0),IF(LH87="direct",LV87/F87,0))</f>
        <v>0</v>
      </c>
      <c r="BF87" s="7">
        <f>BD87+BE87</f>
        <v>0</v>
      </c>
      <c r="BG87" s="7">
        <f>BF87-SUM(IF(BP87="direct",CP87,0),IF(CR87="direct",DR87,0),IF(DT87="direct",ET87,0),IF(EV87="direct",FV87,0),IF(FX87="direct",GX87,0),IF(GZ87="direct",HZ87,0),IF(IB87="direct",JB87,0),IF(JD87="direct",KD87,0),IF(KF87="direct",LF87,0),IF(LH87="direct",MH87,0))</f>
        <v>0</v>
      </c>
      <c r="BH87" s="7">
        <f>SUM(IF(BP87="treasury",CP87,0),IF(CR87="treasury",DR87,0),IF(DT87="treasury",ET87,0),IF(EV87="treasury",FV87,0),IF(FX87="treasury",GX87,0),IF(GZ87="treasury",HZ87,0),IF(IB87="treasury",JB87,0),IF(JD87="treasury",KD87,0),IF(KF87="treasury",LF87,0),IF(LH87="treasury",MH87,0))</f>
        <v>0.0001632876712328767</v>
      </c>
      <c r="BI87" s="7">
        <f>SUM(IF(BP87="future",CP87,0),IF(CR87="future",DR87,0),IF(DT87="future",ET87,0),IF(EV87="future",FV87,0),IF(FX87="future",GX87,0),IF(GZ87="future",HZ87,0),IF(IB87="future",JB87,0),IF(JD87="future",KD87,0),IF(KF87="future",LF87,0),IF(LH87="future",MH87,0))</f>
        <v>-0.013274336283185655</v>
      </c>
      <c r="BJ87" s="7">
        <f>SUM(IF(BP87="cash",CP87,0),IF(CR87="cash",DR87,0),IF(DT87="cash",ET87,0),IF(EV87="cash",FV87,0),IF(FX87="cash",GX87,0),IF(GZ87="cash",HZ87,0),IF(IB87="cash",JB87,0),IF(JD87="cash",KD87,0),IF(KF87="cash",LF87,0),IF(LH87="cash",MH87,0))</f>
        <v>0</v>
      </c>
      <c r="BK87" s="7">
        <f>SUM(BF87,BH87,BI87,BJ87)</f>
        <v>-0.013111048611952779</v>
      </c>
      <c r="BL87" s="7">
        <f>G87-BK87</f>
        <v>0</v>
      </c>
      <c r="BM87" s="5">
        <f>MAX(ABS(CG87),ABS(DI87),ABS(EK87),ABS(FM87),ABS(GO87),ABS(HQ87),ABS(IS87),ABS(JU87),ABS(KW87),ABS(LY87))</f>
        <v>4.480465477796347e-17</v>
      </c>
      <c r="BN87" s="9">
        <f>COUNTA(BO87,CQ87,DS87,EU87,FW87,GY87,IA87,JC87,KE87,LG87)</f>
        <v>5</v>
      </c>
      <c r="BO87" t="inlineStr">
        <is>
          <t xml:space="preserve">Treasury collateral</t>
        </is>
      </c>
      <c r="BP87" t="inlineStr">
        <is>
          <t xml:space="preserve">treasury</t>
        </is>
      </c>
      <c r="BQ87" t="inlineStr">
        <is>
          <t xml:space="preserve">lease</t>
        </is>
      </c>
      <c r="BR87" t="inlineStr">
        <is>
          <t xml:space="preserve">long</t>
        </is>
      </c>
      <c r="BS87"/>
      <c r="BT87" s="4">
        <v>102.12437041340633</v>
      </c>
      <c r="BU87" s="4">
        <v>102.14104606402725</v>
      </c>
      <c r="BV87" s="6"/>
      <c r="BW87" s="4">
        <v>0.012956327594479174</v>
      </c>
      <c r="BX87" s="5">
        <f>IF(BP87="direct",IFERROR(CD87/BU87,0),0)</f>
        <v>0</v>
      </c>
      <c r="BY87" s="5">
        <f>IF(BP87="direct",BW87-BX87,IF(BP87="cash",CI87,BW87))</f>
        <v>0.012956327594479174</v>
      </c>
      <c r="BZ87" s="6">
        <v>1</v>
      </c>
      <c r="CA87" s="4">
        <v>1.3231567984560288</v>
      </c>
      <c r="CB87" s="4">
        <v>1.3231567984560288</v>
      </c>
      <c r="CC87" s="5">
        <f>IF(BP87="direct",BW87*(BU87-BT87),CF87)</f>
        <v>0.00021605519229578893</v>
      </c>
      <c r="CD87" s="5">
        <f>IF(BP87="direct",CB87*BV87*C87/365,0)</f>
        <v>0</v>
      </c>
      <c r="CE87" s="5">
        <f>CC87-CD87</f>
        <v>0.00021605519229583373</v>
      </c>
      <c r="CF87" s="4">
        <v>0.00021605519229583373</v>
      </c>
      <c r="CG87" s="5">
        <f>CF87-CE87</f>
        <v>4.480465477796347e-17</v>
      </c>
      <c r="CH87" s="4">
        <v>4.960224939121183e-18</v>
      </c>
      <c r="CI87" s="4">
        <v>1.3233728536483247</v>
      </c>
      <c r="CJ87" s="4">
        <v>1.846</v>
      </c>
      <c r="CK87" s="4">
        <v>1.817</v>
      </c>
      <c r="CL87" s="6"/>
      <c r="CM87" s="6"/>
      <c r="CN87" s="6"/>
      <c r="CO87" s="9">
        <v>20</v>
      </c>
      <c r="CP87" s="7">
        <f>IFERROR(CE87/F87,0)</f>
        <v>0.0001632876712328767</v>
      </c>
      <c r="CQ87" t="inlineStr">
        <is>
          <t xml:space="preserve">SI69K</t>
        </is>
      </c>
      <c r="CR87" t="inlineStr">
        <is>
          <t xml:space="preserve">future</t>
        </is>
      </c>
      <c r="CS87" t="inlineStr">
        <is>
          <t xml:space="preserve">lease</t>
        </is>
      </c>
      <c r="CT87" t="inlineStr">
        <is>
          <t xml:space="preserve">long</t>
        </is>
      </c>
      <c r="CU87" t="inlineStr">
        <is>
          <t xml:space="preserve">regular</t>
        </is>
      </c>
      <c r="CV87" s="4">
        <v>1.808</v>
      </c>
      <c r="CW87" s="4">
        <v>1.784</v>
      </c>
      <c r="CX87" s="6"/>
      <c r="CY87" s="4">
        <v>0.7318345124203397</v>
      </c>
      <c r="CZ87" s="5">
        <f>IF(CR87="direct",IFERROR(DF87/CW87,0),0)</f>
        <v>0</v>
      </c>
      <c r="DA87" s="5">
        <f>IF(CR87="direct",CY87-CZ87,IF(CR87="cash",DK87,CY87))</f>
        <v>0.7318345124203397</v>
      </c>
      <c r="DB87" s="6">
        <v>0.9999999999999587</v>
      </c>
      <c r="DC87" s="4">
        <v>1.3231567984559742</v>
      </c>
      <c r="DD87" s="4">
        <v>0</v>
      </c>
      <c r="DE87" s="5">
        <f>IF(CR87="direct",CY87*(CW87-CV87),DH87)</f>
        <v>-0.01756402829808818</v>
      </c>
      <c r="DF87" s="5">
        <f>IF(CR87="direct",DD87*CX87*C87/365,0)</f>
        <v>0</v>
      </c>
      <c r="DG87" s="5">
        <f>DE87-DF87</f>
        <v>-0.01756402829808818</v>
      </c>
      <c r="DH87" s="4">
        <v>-0.01756402829808818</v>
      </c>
      <c r="DI87" s="5">
        <f>DH87-DG87</f>
        <v>0</v>
      </c>
      <c r="DJ87" s="4">
        <v>0.01756402829808818</v>
      </c>
      <c r="DK87" s="4">
        <v>0</v>
      </c>
      <c r="DL87" s="4">
        <v>1.846</v>
      </c>
      <c r="DM87" s="4">
        <v>1.817</v>
      </c>
      <c r="DN87" s="6">
        <v>-0.020585048754062862</v>
      </c>
      <c r="DO87" s="6">
        <v>0.0596</v>
      </c>
      <c r="DP87" s="6">
        <v>0.43527713976164717</v>
      </c>
      <c r="DQ87" s="9">
        <v>20</v>
      </c>
      <c r="DR87" s="7">
        <f>IFERROR(DG87/F87,0)</f>
        <v>-0.013274336283185313</v>
      </c>
      <c r="DS87" t="inlineStr">
        <is>
          <t xml:space="preserve">SI69N</t>
        </is>
      </c>
      <c r="DT87" t="inlineStr">
        <is>
          <t xml:space="preserve">future</t>
        </is>
      </c>
      <c r="DU87" t="inlineStr">
        <is>
          <t xml:space="preserve">lease</t>
        </is>
      </c>
      <c r="DV87" t="inlineStr">
        <is>
          <t xml:space="preserve">long</t>
        </is>
      </c>
      <c r="DW87" t="inlineStr">
        <is>
          <t xml:space="preserve">regular</t>
        </is>
      </c>
      <c r="DX87" s="4">
        <v>1.818</v>
      </c>
      <c r="DY87" s="4">
        <v>1.8030000000000002</v>
      </c>
      <c r="DZ87" s="6"/>
      <c r="EA87" s="4">
        <v>3.011202850964143e-14</v>
      </c>
      <c r="EB87" s="5">
        <f>IF(DT87="direct",IFERROR(EH87/DY87,0),0)</f>
        <v>0</v>
      </c>
      <c r="EC87" s="5">
        <f>IF(DT87="direct",EA87-EB87,IF(DT87="cash",EM87,EA87))</f>
        <v>3.011202850964143e-14</v>
      </c>
      <c r="ED87" s="6">
        <v>4.137353025310958e-14</v>
      </c>
      <c r="EE87" s="4">
        <v>5.474366783052812e-14</v>
      </c>
      <c r="EF87" s="4">
        <v>0</v>
      </c>
      <c r="EG87" s="5">
        <f>IF(DT87="direct",EA87*(DY87-DX87),EJ87)</f>
        <v>-4.516804276446178e-16</v>
      </c>
      <c r="EH87" s="5">
        <f>IF(DT87="direct",EF87*DZ87*C87/365,0)</f>
        <v>0</v>
      </c>
      <c r="EI87" s="5">
        <f>EG87-EH87</f>
        <v>-4.516804276446178e-16</v>
      </c>
      <c r="EJ87" s="4">
        <v>-4.516804276446178e-16</v>
      </c>
      <c r="EK87" s="5">
        <f>EJ87-EI87</f>
        <v>0</v>
      </c>
      <c r="EL87" s="4">
        <v>4.516804276446178e-16</v>
      </c>
      <c r="EM87" s="4">
        <v>0</v>
      </c>
      <c r="EN87" s="4">
        <v>1.846</v>
      </c>
      <c r="EO87" s="4">
        <v>1.817</v>
      </c>
      <c r="EP87" s="6">
        <v>-0.015167930660888396</v>
      </c>
      <c r="EQ87" s="6">
        <v>0.0596</v>
      </c>
      <c r="ER87" s="6">
        <v>0.12711578891736908</v>
      </c>
      <c r="ES87" s="9">
        <v>82</v>
      </c>
      <c r="ET87" s="7">
        <f>IFERROR(EI87/F87,0)</f>
        <v>-3.4136576116426767e-16</v>
      </c>
      <c r="EU87" t="inlineStr">
        <is>
          <t xml:space="preserve">Lease cash / margin / financing</t>
        </is>
      </c>
      <c r="EV87" t="inlineStr">
        <is>
          <t xml:space="preserve">cash</t>
        </is>
      </c>
      <c r="EW87" t="inlineStr">
        <is>
          <t xml:space="preserve">lease</t>
        </is>
      </c>
      <c r="EX87" t="inlineStr">
        <is>
          <t xml:space="preserve">cash</t>
        </is>
      </c>
      <c r="EY87"/>
      <c r="EZ87" s="4">
        <v>1</v>
      </c>
      <c r="FA87" s="4">
        <v>1</v>
      </c>
      <c r="FB87" s="6"/>
      <c r="FC87" s="4">
        <v>1.1102230246251565e-15</v>
      </c>
      <c r="FD87" s="5">
        <f>IF(EV87="direct",IFERROR(FJ87/FA87,0),0)</f>
        <v>0</v>
      </c>
      <c r="FE87" s="5">
        <f>IF(EV87="direct",FC87-FD87,IF(EV87="cash",FO87,FC87))</f>
        <v>-0.017564028298087526</v>
      </c>
      <c r="FF87" s="6"/>
      <c r="FG87" s="4">
        <v>1.1102230246251565e-15</v>
      </c>
      <c r="FH87" s="4">
        <v>1.1102230246251565e-15</v>
      </c>
      <c r="FI87" s="5">
        <f>IF(EV87="direct",FC87*(FA87-EZ87),FL87)</f>
        <v>0</v>
      </c>
      <c r="FJ87" s="5">
        <f>IF(EV87="direct",FH87*FB87*C87/365,0)</f>
        <v>0</v>
      </c>
      <c r="FK87" s="5">
        <f>FI87-FJ87</f>
        <v>0</v>
      </c>
      <c r="FL87" s="4">
        <v>0</v>
      </c>
      <c r="FM87" s="5">
        <f>FL87-FK87</f>
        <v>0</v>
      </c>
      <c r="FN87" s="4">
        <v>-0.017564028298088636</v>
      </c>
      <c r="FO87" s="4">
        <v>-0.017564028298087526</v>
      </c>
      <c r="FP87" s="4">
        <v>1.846</v>
      </c>
      <c r="FQ87" s="4">
        <v>1.817</v>
      </c>
      <c r="FR87" s="6"/>
      <c r="FS87" s="6"/>
      <c r="FT87" s="6"/>
      <c r="FU87" s="9"/>
      <c r="FV87" s="7">
        <f>IFERROR(FK87/F87,0)</f>
        <v>0</v>
      </c>
      <c r="FW87" t="inlineStr">
        <is>
          <t xml:space="preserve">Keep cash / margin / financing</t>
        </is>
      </c>
      <c r="FX87" t="inlineStr">
        <is>
          <t xml:space="preserve">cash</t>
        </is>
      </c>
      <c r="FY87" t="inlineStr">
        <is>
          <t xml:space="preserve">keep</t>
        </is>
      </c>
      <c r="FZ87" t="inlineStr">
        <is>
          <t xml:space="preserve">cash</t>
        </is>
      </c>
      <c r="GA87"/>
      <c r="GB87" s="4">
        <v>1</v>
      </c>
      <c r="GC87" s="4">
        <v>1</v>
      </c>
      <c r="GD87" s="6"/>
      <c r="GE87" s="4">
        <v>0</v>
      </c>
      <c r="GF87" s="5">
        <f>IF(FX87="direct",IFERROR(GL87/GC87,0),0)</f>
        <v>0</v>
      </c>
      <c r="GG87" s="5">
        <f>IF(FX87="direct",GE87-GF87,IF(FX87="cash",GQ87,GE87))</f>
        <v>0</v>
      </c>
      <c r="GH87" s="6"/>
      <c r="GI87" s="4">
        <v>0</v>
      </c>
      <c r="GJ87" s="4">
        <v>0</v>
      </c>
      <c r="GK87" s="5">
        <f>IF(FX87="direct",GE87*(GC87-GB87),GN87)</f>
        <v>0</v>
      </c>
      <c r="GL87" s="5">
        <f>IF(FX87="direct",GJ87*GD87*C87/365,0)</f>
        <v>0</v>
      </c>
      <c r="GM87" s="5">
        <f>GK87-GL87</f>
        <v>0</v>
      </c>
      <c r="GN87" s="4">
        <v>0</v>
      </c>
      <c r="GO87" s="5">
        <f>GN87-GM87</f>
        <v>0</v>
      </c>
      <c r="GP87" s="4">
        <v>0</v>
      </c>
      <c r="GQ87" s="4">
        <v>0</v>
      </c>
      <c r="GR87" s="4">
        <v>1.846</v>
      </c>
      <c r="GS87" s="4">
        <v>1.817</v>
      </c>
      <c r="GT87" s="6"/>
      <c r="GU87" s="6"/>
      <c r="GV87" s="6"/>
      <c r="GW87" s="9"/>
      <c r="GX87" s="7">
        <f>IFERROR(GM87/F87,0)</f>
        <v>0</v>
      </c>
      <c r="GY87"/>
      <c r="GZ87"/>
      <c r="HA87"/>
      <c r="HB87"/>
      <c r="HC87"/>
      <c r="HD87" s="4"/>
      <c r="HE87" s="4"/>
      <c r="HF87" s="6"/>
      <c r="HG87" s="4"/>
      <c r="HH87" s="5">
        <v>0</v>
      </c>
      <c r="HI87" s="5"/>
      <c r="HJ87" s="6"/>
      <c r="HK87" s="4"/>
      <c r="HL87" s="4"/>
      <c r="HM87" s="5">
        <v>0</v>
      </c>
      <c r="HN87" s="5">
        <v>0</v>
      </c>
      <c r="HO87" s="5"/>
      <c r="HP87" s="4"/>
      <c r="HQ87" s="5">
        <v>0</v>
      </c>
      <c r="HR87" s="4"/>
      <c r="HS87" s="4"/>
      <c r="HT87" s="4"/>
      <c r="HU87" s="4"/>
      <c r="HV87" s="6"/>
      <c r="HW87" s="6"/>
      <c r="HX87" s="6"/>
      <c r="HY87" s="9"/>
      <c r="HZ87"/>
      <c r="IA87"/>
      <c r="IB87"/>
      <c r="IC87"/>
      <c r="ID87"/>
      <c r="IE87"/>
      <c r="IF87" s="4"/>
      <c r="IG87" s="4"/>
      <c r="IH87" s="6"/>
      <c r="II87" s="4"/>
      <c r="IJ87" s="5">
        <v>0</v>
      </c>
      <c r="IK87" s="5"/>
      <c r="IL87" s="6"/>
      <c r="IM87" s="4"/>
      <c r="IN87" s="4"/>
      <c r="IO87" s="5">
        <v>0</v>
      </c>
      <c r="IP87" s="5">
        <v>0</v>
      </c>
      <c r="IQ87" s="5"/>
      <c r="IR87" s="4"/>
      <c r="IS87" s="5">
        <v>0</v>
      </c>
      <c r="IT87" s="4"/>
      <c r="IU87" s="4"/>
      <c r="IV87" s="4"/>
      <c r="IW87" s="4"/>
      <c r="IX87" s="6"/>
      <c r="IY87" s="6"/>
      <c r="IZ87" s="6"/>
      <c r="JA87" s="9"/>
      <c r="JB87"/>
      <c r="JC87"/>
      <c r="JD87"/>
      <c r="JE87"/>
      <c r="JF87"/>
      <c r="JG87"/>
      <c r="JH87" s="4"/>
      <c r="JI87" s="4"/>
      <c r="JJ87" s="6"/>
      <c r="JK87" s="4"/>
      <c r="JL87" s="5">
        <v>0</v>
      </c>
      <c r="JM87" s="5"/>
      <c r="JN87" s="6"/>
      <c r="JO87" s="4"/>
      <c r="JP87" s="4"/>
      <c r="JQ87" s="5">
        <v>0</v>
      </c>
      <c r="JR87" s="5">
        <v>0</v>
      </c>
      <c r="JS87" s="5"/>
      <c r="JT87" s="4"/>
      <c r="JU87" s="5">
        <v>0</v>
      </c>
      <c r="JV87" s="4"/>
      <c r="JW87" s="4"/>
      <c r="JX87" s="4"/>
      <c r="JY87" s="4"/>
      <c r="JZ87" s="6"/>
      <c r="KA87" s="6"/>
      <c r="KB87" s="6"/>
      <c r="KC87" s="9"/>
      <c r="KD87"/>
      <c r="KE87"/>
      <c r="KF87"/>
      <c r="KG87"/>
      <c r="KH87"/>
      <c r="KI87"/>
      <c r="KJ87" s="4"/>
      <c r="KK87" s="4"/>
      <c r="KL87" s="6"/>
      <c r="KM87" s="4"/>
      <c r="KN87" s="5">
        <v>0</v>
      </c>
      <c r="KO87" s="5"/>
      <c r="KP87" s="6"/>
      <c r="KQ87" s="4"/>
      <c r="KR87" s="4"/>
      <c r="KS87" s="5">
        <v>0</v>
      </c>
      <c r="KT87" s="5">
        <v>0</v>
      </c>
      <c r="KU87" s="5"/>
      <c r="KV87" s="4"/>
      <c r="KW87" s="5">
        <v>0</v>
      </c>
      <c r="KX87" s="4"/>
      <c r="KY87" s="4"/>
      <c r="KZ87" s="4"/>
      <c r="LA87" s="4"/>
      <c r="LB87" s="6"/>
      <c r="LC87" s="6"/>
      <c r="LD87" s="6"/>
      <c r="LE87" s="9"/>
      <c r="LF87"/>
      <c r="LG87"/>
      <c r="LH87"/>
      <c r="LI87"/>
      <c r="LJ87"/>
      <c r="LK87"/>
      <c r="LL87" s="4"/>
      <c r="LM87" s="4"/>
      <c r="LN87" s="6"/>
      <c r="LO87" s="4"/>
      <c r="LP87" s="5">
        <v>0</v>
      </c>
      <c r="LQ87" s="5"/>
      <c r="LR87" s="6"/>
      <c r="LS87" s="4"/>
      <c r="LT87" s="4"/>
      <c r="LU87" s="5">
        <v>0</v>
      </c>
      <c r="LV87" s="5">
        <v>0</v>
      </c>
      <c r="LW87" s="5"/>
      <c r="LX87" s="4"/>
      <c r="LY87" s="5">
        <v>0</v>
      </c>
      <c r="LZ87" s="4"/>
      <c r="MA87" s="4"/>
      <c r="MB87" s="4"/>
      <c r="MC87" s="4"/>
      <c r="MD87" s="6"/>
      <c r="ME87" s="6"/>
      <c r="MF87" s="6"/>
      <c r="MG87" s="9"/>
      <c r="MH87"/>
    </row>
    <row r="88">
      <c r="A88" s="8">
        <v>25332</v>
      </c>
      <c r="B88" s="8">
        <v>25335</v>
      </c>
      <c r="C88" s="9">
        <f>B88-A88</f>
        <v>3</v>
      </c>
      <c r="D88" s="8">
        <v>25332</v>
      </c>
      <c r="E88" t="inlineStr">
        <is>
          <t xml:space="preserve">positive</t>
        </is>
      </c>
      <c r="F88" s="4">
        <v>1.305808825350236</v>
      </c>
      <c r="G88" s="6">
        <v>-0.01856843295042699</v>
      </c>
      <c r="H88" s="7">
        <f>SUM(CP88,DR88,ET88,FV88,GX88,HZ88,JB88,KD88,LF88,MH88)</f>
        <v>-0.018568432950426993</v>
      </c>
      <c r="I88" s="7">
        <f>G88-H88</f>
        <v>3.469446951953614e-18</v>
      </c>
      <c r="J88" s="5">
        <f>F88*(1+H88)</f>
        <v>1.2815620017306444</v>
      </c>
      <c r="K88" s="4">
        <v>1.2815620017306444</v>
      </c>
      <c r="L88" s="5">
        <f>K88-J88</f>
        <v>0</v>
      </c>
      <c r="M88" s="4">
        <v>1.817</v>
      </c>
      <c r="N88" s="4">
        <v>1.795</v>
      </c>
      <c r="O88" s="5">
        <f>M88/$M$3</f>
        <v>0.9279877425944841</v>
      </c>
      <c r="P88" s="5">
        <f>N88/$M$3</f>
        <v>0.9167517875383043</v>
      </c>
      <c r="Q88" s="7">
        <f>IFERROR(N88/M88-1,0)</f>
        <v>-0.012107870115575126</v>
      </c>
      <c r="R88" s="5">
        <f>SUM(IF(BQ88="lease",CB88,0),IF(CS88="lease",DD88,0),IF(DU88="lease",EF88,0),IF(EW88="lease",FH88,0),IF(FY88="lease",GJ88,0),IF(HA88="lease",HL88,0),IF(IC88="lease",IN88,0),IF(JE88="lease",JP88,0),IF(KG88="lease",KR88,0),IF(LI88="lease",LT88,0))</f>
        <v>1.3058088253502371</v>
      </c>
      <c r="S88" s="5">
        <f>SUM(IF(BQ88="lease",CI88,0),IF(CS88="lease",DK88,0),IF(DU88="lease",EM88,0),IF(EW88="lease",FO88,0),IF(FY88="lease",GQ88,0),IF(HA88="lease",HS88,0),IF(IC88="lease",IU88,0),IF(JE88="lease",JW88,0),IF(KG88="lease",KY88,0),IF(LI88="lease",MA88,0))</f>
        <v>1.2815620017306455</v>
      </c>
      <c r="T88" s="5">
        <f>SUM(IF(BQ88="keep",CB88,0),IF(CS88="keep",DD88,0),IF(DU88="keep",EF88,0),IF(EW88="keep",FH88,0),IF(FY88="keep",GJ88,0),IF(HA88="keep",HL88,0),IF(IC88="keep",IN88,0),IF(JE88="keep",JP88,0),IF(KG88="keep",KR88,0),IF(LI88="keep",LT88,0))</f>
        <v>0</v>
      </c>
      <c r="U88" s="5">
        <f>SUM(IF(BQ88="keep",CI88,0),IF(CS88="keep",DK88,0),IF(DU88="keep",EM88,0),IF(EW88="keep",FO88,0),IF(FY88="keep",GQ88,0),IF(HA88="keep",HS88,0),IF(IC88="keep",IU88,0),IF(JE88="keep",JW88,0),IF(KG88="keep",KY88,0),IF(LI88="keep",MA88,0))</f>
        <v>0</v>
      </c>
      <c r="V88" s="5">
        <f>R88/O88</f>
        <v>1.407140165127003</v>
      </c>
      <c r="W88" s="5">
        <f>S88/P88</f>
        <v>1.3979378269574396</v>
      </c>
      <c r="X88" s="5">
        <f>T88/O88</f>
        <v>0</v>
      </c>
      <c r="Y88" s="5">
        <f>U88/P88</f>
        <v>0</v>
      </c>
      <c r="Z88" s="5">
        <f>V88+X88</f>
        <v>1.407140165127003</v>
      </c>
      <c r="AA88" s="7">
        <f>IFERROR(W88/V88-1,0)</f>
        <v>-0.006539745220571436</v>
      </c>
      <c r="AB88" s="7">
        <f>IFERROR((W88-V88)/Z88,0)</f>
        <v>-0.006539745220571419</v>
      </c>
      <c r="AC88" s="7">
        <f>IFERROR(Y88/X88-1,0)</f>
        <v>0</v>
      </c>
      <c r="AD88" s="7">
        <f>IFERROR((Y88-X88)/Z88,0)</f>
        <v>0</v>
      </c>
      <c r="AE88" s="7">
        <f>AB88+AD88</f>
        <v>-0.006539745220571419</v>
      </c>
      <c r="AF88" s="7">
        <f>(1+Q88)*(1+AE88)-1</f>
        <v>-0.018568432950426983</v>
      </c>
      <c r="AG88" s="7">
        <f>G88-AF88</f>
        <v>-6.938893903907228e-18</v>
      </c>
      <c r="AH88" s="5">
        <f>SUM(IF(BQ88="lease",CE88,0),IF(CS88="lease",DG88,0),IF(DU88="lease",EI88,0),IF(EW88="lease",FK88,0),IF(FY88="lease",GM88,0),IF(HA88="lease",HO88,0),IF(IC88="lease",IQ88,0),IF(JE88="lease",JS88,0),IF(KG88="lease",KU88,0),IF(LI88="lease",LW88,0))</f>
        <v>-0.024246823619591688</v>
      </c>
      <c r="AI88" s="5">
        <f>SUM(IF(BQ88="keep",CE88,0),IF(CS88="keep",DG88,0),IF(DU88="keep",EI88,0),IF(EW88="keep",FK88,0),IF(FY88="keep",GM88,0),IF(HA88="keep",HO88,0),IF(IC88="keep",IQ88,0),IF(JE88="keep",JS88,0),IF(KG88="keep",KU88,0),IF(LI88="keep",LW88,0))</f>
        <v>0</v>
      </c>
      <c r="AJ88" s="5">
        <f>SUM(IF(BQ88="lease",CH88,0),IF(CS88="lease",DJ88,0),IF(DU88="lease",EL88,0),IF(EW88="lease",FN88,0),IF(FY88="lease",GP88,0),IF(HA88="lease",HR88,0),IF(IC88="lease",IT88,0),IF(JE88="lease",JV88,0),IF(KG88="lease",KX88,0),IF(LI88="lease",LZ88,0))</f>
        <v>0</v>
      </c>
      <c r="AK88" s="5">
        <f>SUM(IF(BQ88="keep",CH88,0),IF(CS88="keep",DJ88,0),IF(DU88="keep",EL88,0),IF(EW88="keep",FN88,0),IF(FY88="keep",GP88,0),IF(HA88="keep",HR88,0),IF(IC88="keep",IT88,0),IF(JE88="keep",JV88,0),IF(KG88="keep",KX88,0),IF(LI88="keep",LZ88,0))</f>
        <v>0</v>
      </c>
      <c r="AL88" s="5">
        <f>R88-S87</f>
        <v>0</v>
      </c>
      <c r="AM88" s="5">
        <f>T88-U87</f>
        <v>0</v>
      </c>
      <c r="AN88" s="5">
        <f>AN87</f>
        <v>1</v>
      </c>
      <c r="AO88" s="5">
        <f>AO87+AH88</f>
        <v>0.28156200173064544</v>
      </c>
      <c r="AP88" s="5">
        <f>AP87+AL88</f>
        <v>-4.440892098500626e-16</v>
      </c>
      <c r="AQ88" s="5">
        <f>AN88+AO88+AP88</f>
        <v>1.281562001730645</v>
      </c>
      <c r="AR88" s="5">
        <f>S88-AQ88</f>
        <v>4.440892098500626e-16</v>
      </c>
      <c r="AS88" s="5">
        <f>AS87</f>
        <v>0</v>
      </c>
      <c r="AT88" s="5">
        <f>AT87+AI88</f>
        <v>0</v>
      </c>
      <c r="AU88" s="5">
        <f>AU87+AM88</f>
        <v>0</v>
      </c>
      <c r="AV88" s="5">
        <f>AS88+AT88+AU88</f>
        <v>0</v>
      </c>
      <c r="AW88" s="5">
        <f>U88-AV88</f>
        <v>0</v>
      </c>
      <c r="AX88" s="4">
        <v>1.3058088253502371</v>
      </c>
      <c r="AY88" s="4">
        <v>1.2815620017306455</v>
      </c>
      <c r="AZ88" s="5">
        <f>S88-AY88</f>
        <v>0</v>
      </c>
      <c r="BA88" s="4">
        <v>0</v>
      </c>
      <c r="BB88" s="4">
        <v>0</v>
      </c>
      <c r="BC88" s="5">
        <f>U88-BB88</f>
        <v>0</v>
      </c>
      <c r="BD88" s="7">
        <f>SUM(IF(BP88="direct",CC88/F88,0),IF(CR88="direct",DE88/F88,0),IF(DT88="direct",EG88/F88,0),IF(EV88="direct",FI88/F88,0),IF(FX88="direct",GK88/F88,0),IF(GZ88="direct",HM88/F88,0),IF(IB88="direct",IO88/F88,0),IF(JD88="direct",JQ88/F88,0),IF(KF88="direct",KS88/F88,0),IF(LH88="direct",LU88/F88,0))</f>
        <v>0</v>
      </c>
      <c r="BE88" s="7">
        <f>-SUM(IF(BP88="direct",CD88/F88,0),IF(CR88="direct",DF88/F88,0),IF(DT88="direct",EH88/F88,0),IF(EV88="direct",FJ88/F88,0),IF(FX88="direct",GL88/F88,0),IF(GZ88="direct",HN88/F88,0),IF(IB88="direct",IP88/F88,0),IF(JD88="direct",JR88/F88,0),IF(KF88="direct",KT88/F88,0),IF(LH88="direct",LV88/F88,0))</f>
        <v>0</v>
      </c>
      <c r="BF88" s="7">
        <f>BD88+BE88</f>
        <v>0</v>
      </c>
      <c r="BG88" s="7">
        <f>BF88-SUM(IF(BP88="direct",CP88,0),IF(CR88="direct",DR88,0),IF(DT88="direct",ET88,0),IF(EV88="direct",FV88,0),IF(FX88="direct",GX88,0),IF(GZ88="direct",HZ88,0),IF(IB88="direct",JB88,0),IF(JD88="direct",KD88,0),IF(KF88="direct",LF88,0),IF(LH88="direct",MH88,0))</f>
        <v>0</v>
      </c>
      <c r="BH88" s="7">
        <f>SUM(IF(BP88="treasury",CP88,0),IF(CR88="treasury",DR88,0),IF(DT88="treasury",ET88,0),IF(EV88="treasury",FV88,0),IF(FX88="treasury",GX88,0),IF(GZ88="treasury",HZ88,0),IF(IB88="treasury",JB88,0),IF(JD88="treasury",KD88,0),IF(KF88="treasury",LF88,0),IF(LH88="treasury",MH88,0))</f>
        <v>0.0004898630136986302</v>
      </c>
      <c r="BI88" s="7">
        <f>SUM(IF(BP88="future",CP88,0),IF(CR88="future",DR88,0),IF(DT88="future",ET88,0),IF(EV88="future",FV88,0),IF(FX88="future",GX88,0),IF(GZ88="future",HZ88,0),IF(IB88="future",JB88,0),IF(JD88="future",KD88,0),IF(KF88="future",LF88,0),IF(LH88="future",MH88,0))</f>
        <v>-0.019058295964125622</v>
      </c>
      <c r="BJ88" s="7">
        <f>SUM(IF(BP88="cash",CP88,0),IF(CR88="cash",DR88,0),IF(DT88="cash",ET88,0),IF(EV88="cash",FV88,0),IF(FX88="cash",GX88,0),IF(GZ88="cash",HZ88,0),IF(IB88="cash",JB88,0),IF(JD88="cash",KD88,0),IF(KF88="cash",LF88,0),IF(LH88="cash",MH88,0))</f>
        <v>0</v>
      </c>
      <c r="BK88" s="7">
        <f>SUM(BF88,BH88,BI88,BJ88)</f>
        <v>-0.018568432950426993</v>
      </c>
      <c r="BL88" s="7">
        <f>G88-BK88</f>
        <v>3.469446951953614e-18</v>
      </c>
      <c r="BM88" s="5">
        <f>MAX(ABS(CG88),ABS(DI88),ABS(EK88),ABS(FM88),ABS(GO88),ABS(HQ88),ABS(IS88),ABS(JU88),ABS(KW88),ABS(LY88))</f>
        <v>4.380176776841438e-17</v>
      </c>
      <c r="BN88" s="9">
        <f>COUNTA(BO88,CQ88,DS88,EU88,FW88,GY88,IA88,JC88,KE88,LG88)</f>
        <v>5</v>
      </c>
      <c r="BO88" t="inlineStr">
        <is>
          <t xml:space="preserve">Treasury collateral</t>
        </is>
      </c>
      <c r="BP88" t="inlineStr">
        <is>
          <t xml:space="preserve">treasury</t>
        </is>
      </c>
      <c r="BQ88" t="inlineStr">
        <is>
          <t xml:space="preserve">lease</t>
        </is>
      </c>
      <c r="BR88" t="inlineStr">
        <is>
          <t xml:space="preserve">long</t>
        </is>
      </c>
      <c r="BS88"/>
      <c r="BT88" s="4">
        <v>102.14104606402725</v>
      </c>
      <c r="BU88" s="4">
        <v>102.1910811846745</v>
      </c>
      <c r="BV88" s="6"/>
      <c r="BW88" s="4">
        <v>0.012784369023709509</v>
      </c>
      <c r="BX88" s="5">
        <f>IF(BP88="direct",IFERROR(CD88/BU88,0),0)</f>
        <v>0</v>
      </c>
      <c r="BY88" s="5">
        <f>IF(BP88="direct",BW88-BX88,IF(BP88="cash",CI88,BW88))</f>
        <v>0.012784369023709509</v>
      </c>
      <c r="BZ88" s="6">
        <v>1</v>
      </c>
      <c r="CA88" s="4">
        <v>1.305808825350236</v>
      </c>
      <c r="CB88" s="4">
        <v>1.305808825350236</v>
      </c>
      <c r="CC88" s="5">
        <f>IF(BP88="direct",BW88*(BU88-BT88),CF88)</f>
        <v>0.0006396674465002911</v>
      </c>
      <c r="CD88" s="5">
        <f>IF(BP88="direct",CB88*BV88*C88/365,0)</f>
        <v>0</v>
      </c>
      <c r="CE88" s="5">
        <f>CC88-CD88</f>
        <v>0.0006396674465003349</v>
      </c>
      <c r="CF88" s="4">
        <v>0.0006396674465003349</v>
      </c>
      <c r="CG88" s="5">
        <f>CF88-CE88</f>
        <v>4.380176776841438e-17</v>
      </c>
      <c r="CH88" s="4">
        <v>1.22514845490862e-17</v>
      </c>
      <c r="CI88" s="4">
        <v>1.3064484927967364</v>
      </c>
      <c r="CJ88" s="4">
        <v>1.817</v>
      </c>
      <c r="CK88" s="4">
        <v>1.795</v>
      </c>
      <c r="CL88" s="6"/>
      <c r="CM88" s="6"/>
      <c r="CN88" s="6"/>
      <c r="CO88" s="9">
        <v>19</v>
      </c>
      <c r="CP88" s="7">
        <f>IFERROR(CE88/F88,0)</f>
        <v>0.0004898630136986302</v>
      </c>
      <c r="CQ88" t="inlineStr">
        <is>
          <t xml:space="preserve">SI69K</t>
        </is>
      </c>
      <c r="CR88" t="inlineStr">
        <is>
          <t xml:space="preserve">future</t>
        </is>
      </c>
      <c r="CS88" t="inlineStr">
        <is>
          <t xml:space="preserve">lease</t>
        </is>
      </c>
      <c r="CT88" t="inlineStr">
        <is>
          <t xml:space="preserve">long</t>
        </is>
      </c>
      <c r="CU88" t="inlineStr">
        <is>
          <t xml:space="preserve">regular</t>
        </is>
      </c>
      <c r="CV88" s="4">
        <v>1.784</v>
      </c>
      <c r="CW88" s="4">
        <v>1.75</v>
      </c>
      <c r="CX88" s="6"/>
      <c r="CY88" s="4">
        <v>0.7319556195909229</v>
      </c>
      <c r="CZ88" s="5">
        <f>IF(CR88="direct",IFERROR(DF88/CW88,0),0)</f>
        <v>0</v>
      </c>
      <c r="DA88" s="5">
        <f>IF(CR88="direct",CY88-CZ88,IF(CR88="cash",DK88,CY88))</f>
        <v>0.7319556195909229</v>
      </c>
      <c r="DB88" s="6">
        <v>0.9999999999999774</v>
      </c>
      <c r="DC88" s="4">
        <v>1.3058088253502065</v>
      </c>
      <c r="DD88" s="4">
        <v>0</v>
      </c>
      <c r="DE88" s="5">
        <f>IF(CR88="direct",CY88*(CW88-CV88),DH88)</f>
        <v>-0.02488649106609138</v>
      </c>
      <c r="DF88" s="5">
        <f>IF(CR88="direct",DD88*CX88*C88/365,0)</f>
        <v>0</v>
      </c>
      <c r="DG88" s="5">
        <f>DE88-DF88</f>
        <v>-0.02488649106609138</v>
      </c>
      <c r="DH88" s="4">
        <v>-0.02488649106609138</v>
      </c>
      <c r="DI88" s="5">
        <f>DH88-DG88</f>
        <v>0</v>
      </c>
      <c r="DJ88" s="4">
        <v>0.02488649106609138</v>
      </c>
      <c r="DK88" s="4">
        <v>0</v>
      </c>
      <c r="DL88" s="4">
        <v>1.817</v>
      </c>
      <c r="DM88" s="4">
        <v>1.795</v>
      </c>
      <c r="DN88" s="6">
        <v>-0.018161805173362633</v>
      </c>
      <c r="DO88" s="6">
        <v>0.0596</v>
      </c>
      <c r="DP88" s="6">
        <v>0.40849783622512426</v>
      </c>
      <c r="DQ88" s="9">
        <v>19</v>
      </c>
      <c r="DR88" s="7">
        <f>IFERROR(DG88/F88,0)</f>
        <v>-0.01905829596412513</v>
      </c>
      <c r="DS88" t="inlineStr">
        <is>
          <t xml:space="preserve">SI69N</t>
        </is>
      </c>
      <c r="DT88" t="inlineStr">
        <is>
          <t xml:space="preserve">future</t>
        </is>
      </c>
      <c r="DU88" t="inlineStr">
        <is>
          <t xml:space="preserve">lease</t>
        </is>
      </c>
      <c r="DV88" t="inlineStr">
        <is>
          <t xml:space="preserve">long</t>
        </is>
      </c>
      <c r="DW88" t="inlineStr">
        <is>
          <t xml:space="preserve">regular</t>
        </is>
      </c>
      <c r="DX88" s="4">
        <v>1.8030000000000002</v>
      </c>
      <c r="DY88" s="4">
        <v>1.764</v>
      </c>
      <c r="DZ88" s="6"/>
      <c r="EA88" s="4">
        <v>1.6417918984362404e-14</v>
      </c>
      <c r="EB88" s="5">
        <f>IF(DT88="direct",IFERROR(EH88/DY88,0),0)</f>
        <v>0</v>
      </c>
      <c r="EC88" s="5">
        <f>IF(DT88="direct",EA88-EB88,IF(DT88="cash",EM88,EA88))</f>
        <v>1.6417918984362404e-14</v>
      </c>
      <c r="ED88" s="6">
        <v>2.2669097768477618e-14</v>
      </c>
      <c r="EE88" s="4">
        <v>2.960150792880542e-14</v>
      </c>
      <c r="EF88" s="4">
        <v>0</v>
      </c>
      <c r="EG88" s="5">
        <f>IF(DT88="direct",EA88*(DY88-DX88),EJ88)</f>
        <v>-6.402988403901366e-16</v>
      </c>
      <c r="EH88" s="5">
        <f>IF(DT88="direct",EF88*DZ88*C88/365,0)</f>
        <v>0</v>
      </c>
      <c r="EI88" s="5">
        <f>EG88-EH88</f>
        <v>-6.402988403901366e-16</v>
      </c>
      <c r="EJ88" s="4">
        <v>-6.402988403901366e-16</v>
      </c>
      <c r="EK88" s="5">
        <f>EJ88-EI88</f>
        <v>0</v>
      </c>
      <c r="EL88" s="4">
        <v>6.402988403901366e-16</v>
      </c>
      <c r="EM88" s="4">
        <v>0</v>
      </c>
      <c r="EN88" s="4">
        <v>1.817</v>
      </c>
      <c r="EO88" s="4">
        <v>1.795</v>
      </c>
      <c r="EP88" s="6">
        <v>-0.007705008255365908</v>
      </c>
      <c r="EQ88" s="6">
        <v>0.0596</v>
      </c>
      <c r="ER88" s="6">
        <v>0.0943200989285007</v>
      </c>
      <c r="ES88" s="9">
        <v>81</v>
      </c>
      <c r="ET88" s="7">
        <f>IFERROR(EI88/F88,0)</f>
        <v>-4.90346540749102e-16</v>
      </c>
      <c r="EU88" t="inlineStr">
        <is>
          <t xml:space="preserve">Lease cash / margin / financing</t>
        </is>
      </c>
      <c r="EV88" t="inlineStr">
        <is>
          <t xml:space="preserve">cash</t>
        </is>
      </c>
      <c r="EW88" t="inlineStr">
        <is>
          <t xml:space="preserve">lease</t>
        </is>
      </c>
      <c r="EX88" t="inlineStr">
        <is>
          <t xml:space="preserve">cash</t>
        </is>
      </c>
      <c r="EY88"/>
      <c r="EZ88" s="4">
        <v>1</v>
      </c>
      <c r="FA88" s="4">
        <v>1</v>
      </c>
      <c r="FB88" s="6"/>
      <c r="FC88" s="4">
        <v>1.1102230246251565e-15</v>
      </c>
      <c r="FD88" s="5">
        <f>IF(EV88="direct",IFERROR(FJ88/FA88,0),0)</f>
        <v>0</v>
      </c>
      <c r="FE88" s="5">
        <f>IF(EV88="direct",FC88-FD88,IF(EV88="cash",FO88,FC88))</f>
        <v>-0.024886491066090925</v>
      </c>
      <c r="FF88" s="6"/>
      <c r="FG88" s="4">
        <v>1.1102230246251565e-15</v>
      </c>
      <c r="FH88" s="4">
        <v>1.1102230246251565e-15</v>
      </c>
      <c r="FI88" s="5">
        <f>IF(EV88="direct",FC88*(FA88-EZ88),FL88)</f>
        <v>0</v>
      </c>
      <c r="FJ88" s="5">
        <f>IF(EV88="direct",FH88*FB88*C88/365,0)</f>
        <v>0</v>
      </c>
      <c r="FK88" s="5">
        <f>FI88-FJ88</f>
        <v>0</v>
      </c>
      <c r="FL88" s="4">
        <v>0</v>
      </c>
      <c r="FM88" s="5">
        <f>FL88-FK88</f>
        <v>0</v>
      </c>
      <c r="FN88" s="4">
        <v>-0.024886491066092035</v>
      </c>
      <c r="FO88" s="4">
        <v>-0.024886491066090925</v>
      </c>
      <c r="FP88" s="4">
        <v>1.817</v>
      </c>
      <c r="FQ88" s="4">
        <v>1.795</v>
      </c>
      <c r="FR88" s="6"/>
      <c r="FS88" s="6"/>
      <c r="FT88" s="6"/>
      <c r="FU88" s="9"/>
      <c r="FV88" s="7">
        <f>IFERROR(FK88/F88,0)</f>
        <v>0</v>
      </c>
      <c r="FW88" t="inlineStr">
        <is>
          <t xml:space="preserve">Keep cash / margin / financing</t>
        </is>
      </c>
      <c r="FX88" t="inlineStr">
        <is>
          <t xml:space="preserve">cash</t>
        </is>
      </c>
      <c r="FY88" t="inlineStr">
        <is>
          <t xml:space="preserve">keep</t>
        </is>
      </c>
      <c r="FZ88" t="inlineStr">
        <is>
          <t xml:space="preserve">cash</t>
        </is>
      </c>
      <c r="GA88"/>
      <c r="GB88" s="4">
        <v>1</v>
      </c>
      <c r="GC88" s="4">
        <v>1</v>
      </c>
      <c r="GD88" s="6"/>
      <c r="GE88" s="4">
        <v>0</v>
      </c>
      <c r="GF88" s="5">
        <f>IF(FX88="direct",IFERROR(GL88/GC88,0),0)</f>
        <v>0</v>
      </c>
      <c r="GG88" s="5">
        <f>IF(FX88="direct",GE88-GF88,IF(FX88="cash",GQ88,GE88))</f>
        <v>0</v>
      </c>
      <c r="GH88" s="6"/>
      <c r="GI88" s="4">
        <v>0</v>
      </c>
      <c r="GJ88" s="4">
        <v>0</v>
      </c>
      <c r="GK88" s="5">
        <f>IF(FX88="direct",GE88*(GC88-GB88),GN88)</f>
        <v>0</v>
      </c>
      <c r="GL88" s="5">
        <f>IF(FX88="direct",GJ88*GD88*C88/365,0)</f>
        <v>0</v>
      </c>
      <c r="GM88" s="5">
        <f>GK88-GL88</f>
        <v>0</v>
      </c>
      <c r="GN88" s="4">
        <v>0</v>
      </c>
      <c r="GO88" s="5">
        <f>GN88-GM88</f>
        <v>0</v>
      </c>
      <c r="GP88" s="4">
        <v>0</v>
      </c>
      <c r="GQ88" s="4">
        <v>0</v>
      </c>
      <c r="GR88" s="4">
        <v>1.817</v>
      </c>
      <c r="GS88" s="4">
        <v>1.795</v>
      </c>
      <c r="GT88" s="6"/>
      <c r="GU88" s="6"/>
      <c r="GV88" s="6"/>
      <c r="GW88" s="9"/>
      <c r="GX88" s="7">
        <f>IFERROR(GM88/F88,0)</f>
        <v>0</v>
      </c>
      <c r="GY88"/>
      <c r="GZ88"/>
      <c r="HA88"/>
      <c r="HB88"/>
      <c r="HC88"/>
      <c r="HD88" s="4"/>
      <c r="HE88" s="4"/>
      <c r="HF88" s="6"/>
      <c r="HG88" s="4"/>
      <c r="HH88" s="5">
        <v>0</v>
      </c>
      <c r="HI88" s="5"/>
      <c r="HJ88" s="6"/>
      <c r="HK88" s="4"/>
      <c r="HL88" s="4"/>
      <c r="HM88" s="5">
        <v>0</v>
      </c>
      <c r="HN88" s="5">
        <v>0</v>
      </c>
      <c r="HO88" s="5"/>
      <c r="HP88" s="4"/>
      <c r="HQ88" s="5">
        <v>0</v>
      </c>
      <c r="HR88" s="4"/>
      <c r="HS88" s="4"/>
      <c r="HT88" s="4"/>
      <c r="HU88" s="4"/>
      <c r="HV88" s="6"/>
      <c r="HW88" s="6"/>
      <c r="HX88" s="6"/>
      <c r="HY88" s="9"/>
      <c r="HZ88"/>
      <c r="IA88"/>
      <c r="IB88"/>
      <c r="IC88"/>
      <c r="ID88"/>
      <c r="IE88"/>
      <c r="IF88" s="4"/>
      <c r="IG88" s="4"/>
      <c r="IH88" s="6"/>
      <c r="II88" s="4"/>
      <c r="IJ88" s="5">
        <v>0</v>
      </c>
      <c r="IK88" s="5"/>
      <c r="IL88" s="6"/>
      <c r="IM88" s="4"/>
      <c r="IN88" s="4"/>
      <c r="IO88" s="5">
        <v>0</v>
      </c>
      <c r="IP88" s="5">
        <v>0</v>
      </c>
      <c r="IQ88" s="5"/>
      <c r="IR88" s="4"/>
      <c r="IS88" s="5">
        <v>0</v>
      </c>
      <c r="IT88" s="4"/>
      <c r="IU88" s="4"/>
      <c r="IV88" s="4"/>
      <c r="IW88" s="4"/>
      <c r="IX88" s="6"/>
      <c r="IY88" s="6"/>
      <c r="IZ88" s="6"/>
      <c r="JA88" s="9"/>
      <c r="JB88"/>
      <c r="JC88"/>
      <c r="JD88"/>
      <c r="JE88"/>
      <c r="JF88"/>
      <c r="JG88"/>
      <c r="JH88" s="4"/>
      <c r="JI88" s="4"/>
      <c r="JJ88" s="6"/>
      <c r="JK88" s="4"/>
      <c r="JL88" s="5">
        <v>0</v>
      </c>
      <c r="JM88" s="5"/>
      <c r="JN88" s="6"/>
      <c r="JO88" s="4"/>
      <c r="JP88" s="4"/>
      <c r="JQ88" s="5">
        <v>0</v>
      </c>
      <c r="JR88" s="5">
        <v>0</v>
      </c>
      <c r="JS88" s="5"/>
      <c r="JT88" s="4"/>
      <c r="JU88" s="5">
        <v>0</v>
      </c>
      <c r="JV88" s="4"/>
      <c r="JW88" s="4"/>
      <c r="JX88" s="4"/>
      <c r="JY88" s="4"/>
      <c r="JZ88" s="6"/>
      <c r="KA88" s="6"/>
      <c r="KB88" s="6"/>
      <c r="KC88" s="9"/>
      <c r="KD88"/>
      <c r="KE88"/>
      <c r="KF88"/>
      <c r="KG88"/>
      <c r="KH88"/>
      <c r="KI88"/>
      <c r="KJ88" s="4"/>
      <c r="KK88" s="4"/>
      <c r="KL88" s="6"/>
      <c r="KM88" s="4"/>
      <c r="KN88" s="5">
        <v>0</v>
      </c>
      <c r="KO88" s="5"/>
      <c r="KP88" s="6"/>
      <c r="KQ88" s="4"/>
      <c r="KR88" s="4"/>
      <c r="KS88" s="5">
        <v>0</v>
      </c>
      <c r="KT88" s="5">
        <v>0</v>
      </c>
      <c r="KU88" s="5"/>
      <c r="KV88" s="4"/>
      <c r="KW88" s="5">
        <v>0</v>
      </c>
      <c r="KX88" s="4"/>
      <c r="KY88" s="4"/>
      <c r="KZ88" s="4"/>
      <c r="LA88" s="4"/>
      <c r="LB88" s="6"/>
      <c r="LC88" s="6"/>
      <c r="LD88" s="6"/>
      <c r="LE88" s="9"/>
      <c r="LF88"/>
      <c r="LG88"/>
      <c r="LH88"/>
      <c r="LI88"/>
      <c r="LJ88"/>
      <c r="LK88"/>
      <c r="LL88" s="4"/>
      <c r="LM88" s="4"/>
      <c r="LN88" s="6"/>
      <c r="LO88" s="4"/>
      <c r="LP88" s="5">
        <v>0</v>
      </c>
      <c r="LQ88" s="5"/>
      <c r="LR88" s="6"/>
      <c r="LS88" s="4"/>
      <c r="LT88" s="4"/>
      <c r="LU88" s="5">
        <v>0</v>
      </c>
      <c r="LV88" s="5">
        <v>0</v>
      </c>
      <c r="LW88" s="5"/>
      <c r="LX88" s="4"/>
      <c r="LY88" s="5">
        <v>0</v>
      </c>
      <c r="LZ88" s="4"/>
      <c r="MA88" s="4"/>
      <c r="MB88" s="4"/>
      <c r="MC88" s="4"/>
      <c r="MD88" s="6"/>
      <c r="ME88" s="6"/>
      <c r="MF88" s="6"/>
      <c r="MG88" s="9"/>
      <c r="MH88"/>
    </row>
    <row r="89">
      <c r="A89" s="8">
        <v>25335</v>
      </c>
      <c r="B89" s="8">
        <v>25336</v>
      </c>
      <c r="C89" s="9">
        <f>B89-A89</f>
        <v>1</v>
      </c>
      <c r="D89" s="8">
        <v>25335</v>
      </c>
      <c r="E89" t="inlineStr">
        <is>
          <t xml:space="preserve">positive</t>
        </is>
      </c>
      <c r="F89" s="4">
        <v>1.2815620017306444</v>
      </c>
      <c r="G89" s="6">
        <v>0.005879765166340577</v>
      </c>
      <c r="H89" s="7">
        <f>SUM(CP89,DR89,ET89,FV89,GX89,HZ89,JB89,KD89,LF89,MH89)</f>
        <v>0.005879765166340578</v>
      </c>
      <c r="I89" s="7">
        <f>G89-H89</f>
        <v>-8.673617379884035e-19</v>
      </c>
      <c r="J89" s="5">
        <f>F89*(1+H89)</f>
        <v>1.2890972853469258</v>
      </c>
      <c r="K89" s="4">
        <v>1.2890972853469258</v>
      </c>
      <c r="L89" s="5">
        <f>K89-J89</f>
        <v>0</v>
      </c>
      <c r="M89" s="4">
        <v>1.795</v>
      </c>
      <c r="N89" s="4">
        <v>1.749</v>
      </c>
      <c r="O89" s="5">
        <f>M89/$M$3</f>
        <v>0.9167517875383043</v>
      </c>
      <c r="P89" s="5">
        <f>N89/$M$3</f>
        <v>0.8932584269662922</v>
      </c>
      <c r="Q89" s="7">
        <f>IFERROR(N89/M89-1,0)</f>
        <v>-0.025626740947075066</v>
      </c>
      <c r="R89" s="5">
        <f>SUM(IF(BQ89="lease",CB89,0),IF(CS89="lease",DD89,0),IF(DU89="lease",EF89,0),IF(EW89="lease",FH89,0),IF(FY89="lease",GJ89,0),IF(HA89="lease",HL89,0),IF(IC89="lease",IN89,0),IF(JE89="lease",JP89,0),IF(KG89="lease",KR89,0),IF(LI89="lease",LT89,0))</f>
        <v>1.2815620017306455</v>
      </c>
      <c r="S89" s="5">
        <f>SUM(IF(BQ89="lease",CI89,0),IF(CS89="lease",DK89,0),IF(DU89="lease",EM89,0),IF(EW89="lease",FO89,0),IF(FY89="lease",GQ89,0),IF(HA89="lease",HS89,0),IF(IC89="lease",IU89,0),IF(JE89="lease",JW89,0),IF(KG89="lease",KY89,0),IF(LI89="lease",MA89,0))</f>
        <v>1.2890972853469271</v>
      </c>
      <c r="T89" s="5">
        <f>SUM(IF(BQ89="keep",CB89,0),IF(CS89="keep",DD89,0),IF(DU89="keep",EF89,0),IF(EW89="keep",FH89,0),IF(FY89="keep",GJ89,0),IF(HA89="keep",HL89,0),IF(IC89="keep",IN89,0),IF(JE89="keep",JP89,0),IF(KG89="keep",KR89,0),IF(LI89="keep",LT89,0))</f>
        <v>0</v>
      </c>
      <c r="U89" s="5">
        <f>SUM(IF(BQ89="keep",CI89,0),IF(CS89="keep",DK89,0),IF(DU89="keep",EM89,0),IF(EW89="keep",FO89,0),IF(FY89="keep",GQ89,0),IF(HA89="keep",HS89,0),IF(IC89="keep",IU89,0),IF(JE89="keep",JW89,0),IF(KG89="keep",KY89,0),IF(LI89="keep",MA89,0))</f>
        <v>0</v>
      </c>
      <c r="V89" s="5">
        <f>R89/O89</f>
        <v>1.3979378269574396</v>
      </c>
      <c r="W89" s="5">
        <f>S89/P89</f>
        <v>1.4431403571808366</v>
      </c>
      <c r="X89" s="5">
        <f>T89/O89</f>
        <v>0</v>
      </c>
      <c r="Y89" s="5">
        <f>U89/P89</f>
        <v>0</v>
      </c>
      <c r="Z89" s="5">
        <f>V89+X89</f>
        <v>1.3979378269574396</v>
      </c>
      <c r="AA89" s="7">
        <f>IFERROR(W89/V89-1,0)</f>
        <v>0.032335150642413435</v>
      </c>
      <c r="AB89" s="7">
        <f>IFERROR((W89-V89)/Z89,0)</f>
        <v>0.03233515064241346</v>
      </c>
      <c r="AC89" s="7">
        <f>IFERROR(Y89/X89-1,0)</f>
        <v>0</v>
      </c>
      <c r="AD89" s="7">
        <f>IFERROR((Y89-X89)/Z89,0)</f>
        <v>0</v>
      </c>
      <c r="AE89" s="7">
        <f>AB89+AD89</f>
        <v>0.03233515064241346</v>
      </c>
      <c r="AF89" s="7">
        <f>(1+Q89)*(1+AE89)-1</f>
        <v>0.0058797651663407</v>
      </c>
      <c r="AG89" s="7">
        <f>G89-AF89</f>
        <v>-1.231653667943533e-16</v>
      </c>
      <c r="AH89" s="5">
        <f>SUM(IF(BQ89="lease",CE89,0),IF(CS89="lease",DG89,0),IF(DU89="lease",EI89,0),IF(EW89="lease",FK89,0),IF(FY89="lease",GM89,0),IF(HA89="lease",HO89,0),IF(IC89="lease",IQ89,0),IF(JE89="lease",JS89,0),IF(KG89="lease",KU89,0),IF(LI89="lease",LW89,0))</f>
        <v>0.007535283616281546</v>
      </c>
      <c r="AI89" s="5">
        <f>SUM(IF(BQ89="keep",CE89,0),IF(CS89="keep",DG89,0),IF(DU89="keep",EI89,0),IF(EW89="keep",FK89,0),IF(FY89="keep",GM89,0),IF(HA89="keep",HO89,0),IF(IC89="keep",IQ89,0),IF(JE89="keep",JS89,0),IF(KG89="keep",KU89,0),IF(LI89="keep",LW89,0))</f>
        <v>0</v>
      </c>
      <c r="AJ89" s="5">
        <f>SUM(IF(BQ89="lease",CH89,0),IF(CS89="lease",DJ89,0),IF(DU89="lease",EL89,0),IF(EW89="lease",FN89,0),IF(FY89="lease",GP89,0),IF(HA89="lease",HR89,0),IF(IC89="lease",IT89,0),IF(JE89="lease",JV89,0),IF(KG89="lease",KX89,0),IF(LI89="lease",LZ89,0))</f>
        <v>0</v>
      </c>
      <c r="AK89" s="5">
        <f>SUM(IF(BQ89="keep",CH89,0),IF(CS89="keep",DJ89,0),IF(DU89="keep",EL89,0),IF(EW89="keep",FN89,0),IF(FY89="keep",GP89,0),IF(HA89="keep",HR89,0),IF(IC89="keep",IT89,0),IF(JE89="keep",JV89,0),IF(KG89="keep",KX89,0),IF(LI89="keep",LZ89,0))</f>
        <v>0</v>
      </c>
      <c r="AL89" s="5">
        <f>R89-S88</f>
        <v>0</v>
      </c>
      <c r="AM89" s="5">
        <f>T89-U88</f>
        <v>0</v>
      </c>
      <c r="AN89" s="5">
        <f>AN88</f>
        <v>1</v>
      </c>
      <c r="AO89" s="5">
        <f>AO88+AH89</f>
        <v>0.28909728534692697</v>
      </c>
      <c r="AP89" s="5">
        <f>AP88+AL89</f>
        <v>-4.440892098500626e-16</v>
      </c>
      <c r="AQ89" s="5">
        <f>AN89+AO89+AP89</f>
        <v>1.2890972853469265</v>
      </c>
      <c r="AR89" s="5">
        <f>S89-AQ89</f>
        <v>6.661338147750939e-16</v>
      </c>
      <c r="AS89" s="5">
        <f>AS88</f>
        <v>0</v>
      </c>
      <c r="AT89" s="5">
        <f>AT88+AI89</f>
        <v>0</v>
      </c>
      <c r="AU89" s="5">
        <f>AU88+AM89</f>
        <v>0</v>
      </c>
      <c r="AV89" s="5">
        <f>AS89+AT89+AU89</f>
        <v>0</v>
      </c>
      <c r="AW89" s="5">
        <f>U89-AV89</f>
        <v>0</v>
      </c>
      <c r="AX89" s="4">
        <v>1.2815620017306455</v>
      </c>
      <c r="AY89" s="4">
        <v>1.2890972853469271</v>
      </c>
      <c r="AZ89" s="5">
        <f>S89-AY89</f>
        <v>0</v>
      </c>
      <c r="BA89" s="4">
        <v>0</v>
      </c>
      <c r="BB89" s="4">
        <v>0</v>
      </c>
      <c r="BC89" s="5">
        <f>U89-BB89</f>
        <v>0</v>
      </c>
      <c r="BD89" s="7">
        <f>SUM(IF(BP89="direct",CC89/F89,0),IF(CR89="direct",DE89/F89,0),IF(DT89="direct",EG89/F89,0),IF(EV89="direct",FI89/F89,0),IF(FX89="direct",GK89/F89,0),IF(GZ89="direct",HM89/F89,0),IF(IB89="direct",IO89/F89,0),IF(JD89="direct",JQ89/F89,0),IF(KF89="direct",KS89/F89,0),IF(LH89="direct",LU89/F89,0))</f>
        <v>0</v>
      </c>
      <c r="BE89" s="7">
        <f>-SUM(IF(BP89="direct",CD89/F89,0),IF(CR89="direct",DF89/F89,0),IF(DT89="direct",EH89/F89,0),IF(EV89="direct",FJ89/F89,0),IF(FX89="direct",GL89/F89,0),IF(GZ89="direct",HN89/F89,0),IF(IB89="direct",IP89/F89,0),IF(JD89="direct",JR89/F89,0),IF(KF89="direct",KT89/F89,0),IF(LH89="direct",LV89/F89,0))</f>
        <v>0</v>
      </c>
      <c r="BF89" s="7">
        <f>BD89+BE89</f>
        <v>0</v>
      </c>
      <c r="BG89" s="7">
        <f>BF89-SUM(IF(BP89="direct",CP89,0),IF(CR89="direct",DR89,0),IF(DT89="direct",ET89,0),IF(EV89="direct",FV89,0),IF(FX89="direct",GX89,0),IF(GZ89="direct",HZ89,0),IF(IB89="direct",JB89,0),IF(JD89="direct",KD89,0),IF(KF89="direct",LF89,0),IF(LH89="direct",MH89,0))</f>
        <v>0</v>
      </c>
      <c r="BH89" s="7">
        <f>SUM(IF(BP89="treasury",CP89,0),IF(CR89="treasury",DR89,0),IF(DT89="treasury",ET89,0),IF(EV89="treasury",FV89,0),IF(FX89="treasury",GX89,0),IF(GZ89="treasury",HZ89,0),IF(IB89="treasury",JB89,0),IF(JD89="treasury",KD89,0),IF(KF89="treasury",LF89,0),IF(LH89="treasury",MH89,0))</f>
        <v>0.00016547945205479454</v>
      </c>
      <c r="BI89" s="7">
        <f>SUM(IF(BP89="future",CP89,0),IF(CR89="future",DR89,0),IF(DT89="future",ET89,0),IF(EV89="future",FV89,0),IF(FX89="future",GX89,0),IF(GZ89="future",HZ89,0),IF(IB89="future",JB89,0),IF(JD89="future",KD89,0),IF(KF89="future",LF89,0),IF(LH89="future",MH89,0))</f>
        <v>0.005714285714285783</v>
      </c>
      <c r="BJ89" s="7">
        <f>SUM(IF(BP89="cash",CP89,0),IF(CR89="cash",DR89,0),IF(DT89="cash",ET89,0),IF(EV89="cash",FV89,0),IF(FX89="cash",GX89,0),IF(GZ89="cash",HZ89,0),IF(IB89="cash",JB89,0),IF(JD89="cash",KD89,0),IF(KF89="cash",LF89,0),IF(LH89="cash",MH89,0))</f>
        <v>0</v>
      </c>
      <c r="BK89" s="7">
        <f>SUM(BF89,BH89,BI89,BJ89)</f>
        <v>0.005879765166340577</v>
      </c>
      <c r="BL89" s="7">
        <f>G89-BK89</f>
        <v>0</v>
      </c>
      <c r="BM89" s="5">
        <f>MAX(ABS(CG89),ABS(DI89),ABS(EK89),ABS(FM89),ABS(GO89),ABS(HQ89),ABS(IS89),ABS(JU89),ABS(KW89),ABS(LY89))</f>
        <v>2.417770844642675e-17</v>
      </c>
      <c r="BN89" s="9">
        <f>COUNTA(BO89,CQ89,DS89,EU89,FW89,GY89,IA89,JC89,KE89,LG89)</f>
        <v>4</v>
      </c>
      <c r="BO89" t="inlineStr">
        <is>
          <t xml:space="preserve">Treasury collateral</t>
        </is>
      </c>
      <c r="BP89" t="inlineStr">
        <is>
          <t xml:space="preserve">treasury</t>
        </is>
      </c>
      <c r="BQ89" t="inlineStr">
        <is>
          <t xml:space="preserve">lease</t>
        </is>
      </c>
      <c r="BR89" t="inlineStr">
        <is>
          <t xml:space="preserve">long</t>
        </is>
      </c>
      <c r="BS89"/>
      <c r="BT89" s="4">
        <v>102.1910811846745</v>
      </c>
      <c r="BU89" s="4">
        <v>102.20799170879383</v>
      </c>
      <c r="BV89" s="6"/>
      <c r="BW89" s="4">
        <v>0.012540840030987353</v>
      </c>
      <c r="BX89" s="5">
        <f>IF(BP89="direct",IFERROR(CD89/BU89,0),0)</f>
        <v>0</v>
      </c>
      <c r="BY89" s="5">
        <f>IF(BP89="direct",BW89-BX89,IF(BP89="cash",CI89,BW89))</f>
        <v>0.012540840030987353</v>
      </c>
      <c r="BZ89" s="6">
        <v>1</v>
      </c>
      <c r="CA89" s="4">
        <v>1.2815620017306444</v>
      </c>
      <c r="CB89" s="4">
        <v>1.2815620017306444</v>
      </c>
      <c r="CC89" s="5">
        <f>IF(BP89="direct",BW89*(BU89-BT89),CF89)</f>
        <v>0.0002120721778206085</v>
      </c>
      <c r="CD89" s="5">
        <f>IF(BP89="direct",CB89*BV89*C89/365,0)</f>
        <v>0</v>
      </c>
      <c r="CE89" s="5">
        <f>CC89-CD89</f>
        <v>0.00021207217782063267</v>
      </c>
      <c r="CF89" s="4">
        <v>0.00021207217782063267</v>
      </c>
      <c r="CG89" s="5">
        <f>CF89-CE89</f>
        <v>2.417770844642675e-17</v>
      </c>
      <c r="CH89" s="4">
        <v>7.752045533271357e-17</v>
      </c>
      <c r="CI89" s="4">
        <v>1.281774073908465</v>
      </c>
      <c r="CJ89" s="4">
        <v>1.795</v>
      </c>
      <c r="CK89" s="4">
        <v>1.749</v>
      </c>
      <c r="CL89" s="6"/>
      <c r="CM89" s="6"/>
      <c r="CN89" s="6"/>
      <c r="CO89" s="9">
        <v>16</v>
      </c>
      <c r="CP89" s="7">
        <f>IFERROR(CE89/F89,0)</f>
        <v>0.00016547945205479454</v>
      </c>
      <c r="CQ89" t="inlineStr">
        <is>
          <t xml:space="preserve">SI69K</t>
        </is>
      </c>
      <c r="CR89" t="inlineStr">
        <is>
          <t xml:space="preserve">future</t>
        </is>
      </c>
      <c r="CS89" t="inlineStr">
        <is>
          <t xml:space="preserve">lease</t>
        </is>
      </c>
      <c r="CT89" t="inlineStr">
        <is>
          <t xml:space="preserve">long</t>
        </is>
      </c>
      <c r="CU89" t="inlineStr">
        <is>
          <t xml:space="preserve">regular</t>
        </is>
      </c>
      <c r="CV89" s="4">
        <v>1.75</v>
      </c>
      <c r="CW89" s="4">
        <v>1.76</v>
      </c>
      <c r="CX89" s="6"/>
      <c r="CY89" s="4">
        <v>0.7323211438460825</v>
      </c>
      <c r="CZ89" s="5">
        <f>IF(CR89="direct",IFERROR(DF89/CW89,0),0)</f>
        <v>0</v>
      </c>
      <c r="DA89" s="5">
        <f>IF(CR89="direct",CY89-CZ89,IF(CR89="cash",DK89,CY89))</f>
        <v>0.7323211438460825</v>
      </c>
      <c r="DB89" s="6">
        <v>1</v>
      </c>
      <c r="DC89" s="4">
        <v>1.2815620017306444</v>
      </c>
      <c r="DD89" s="4">
        <v>0</v>
      </c>
      <c r="DE89" s="5">
        <f>IF(CR89="direct",CY89*(CW89-CV89),DH89)</f>
        <v>0.007323211438460913</v>
      </c>
      <c r="DF89" s="5">
        <f>IF(CR89="direct",DD89*CX89*C89/365,0)</f>
        <v>0</v>
      </c>
      <c r="DG89" s="5">
        <f>DE89-DF89</f>
        <v>0.007323211438460913</v>
      </c>
      <c r="DH89" s="4">
        <v>0.007323211438460913</v>
      </c>
      <c r="DI89" s="5">
        <f>DH89-DG89</f>
        <v>0</v>
      </c>
      <c r="DJ89" s="4">
        <v>-0.007323211438460913</v>
      </c>
      <c r="DK89" s="4">
        <v>0</v>
      </c>
      <c r="DL89" s="4">
        <v>1.795</v>
      </c>
      <c r="DM89" s="4">
        <v>1.749</v>
      </c>
      <c r="DN89" s="6">
        <v>-0.02506963788300831</v>
      </c>
      <c r="DO89" s="6">
        <v>0.0604</v>
      </c>
      <c r="DP89" s="6">
        <v>0.6323011142061271</v>
      </c>
      <c r="DQ89" s="9">
        <v>16</v>
      </c>
      <c r="DR89" s="7">
        <f>IFERROR(DG89/F89,0)</f>
        <v>0.005714285714285783</v>
      </c>
      <c r="DS89" t="inlineStr">
        <is>
          <t xml:space="preserve">Lease cash / margin / financing</t>
        </is>
      </c>
      <c r="DT89" t="inlineStr">
        <is>
          <t xml:space="preserve">cash</t>
        </is>
      </c>
      <c r="DU89" t="inlineStr">
        <is>
          <t xml:space="preserve">lease</t>
        </is>
      </c>
      <c r="DV89" t="inlineStr">
        <is>
          <t xml:space="preserve">cash</t>
        </is>
      </c>
      <c r="DW89"/>
      <c r="DX89" s="4">
        <v>1</v>
      </c>
      <c r="DY89" s="4">
        <v>1</v>
      </c>
      <c r="DZ89" s="6"/>
      <c r="EA89" s="4">
        <v>1.1102230246251565e-15</v>
      </c>
      <c r="EB89" s="5">
        <f>IF(DT89="direct",IFERROR(EH89/DY89,0),0)</f>
        <v>0</v>
      </c>
      <c r="EC89" s="5">
        <f>IF(DT89="direct",EA89-EB89,IF(DT89="cash",EM89,EA89))</f>
        <v>0.007323211438461946</v>
      </c>
      <c r="ED89" s="6"/>
      <c r="EE89" s="4">
        <v>1.1102230246251565e-15</v>
      </c>
      <c r="EF89" s="4">
        <v>1.1102230246251565e-15</v>
      </c>
      <c r="EG89" s="5">
        <f>IF(DT89="direct",EA89*(DY89-DX89),EJ89)</f>
        <v>0</v>
      </c>
      <c r="EH89" s="5">
        <f>IF(DT89="direct",EF89*DZ89*C89/365,0)</f>
        <v>0</v>
      </c>
      <c r="EI89" s="5">
        <f>EG89-EH89</f>
        <v>0</v>
      </c>
      <c r="EJ89" s="4">
        <v>0</v>
      </c>
      <c r="EK89" s="5">
        <f>EJ89-EI89</f>
        <v>0</v>
      </c>
      <c r="EL89" s="4">
        <v>0.007323211438460836</v>
      </c>
      <c r="EM89" s="4">
        <v>0.007323211438461946</v>
      </c>
      <c r="EN89" s="4">
        <v>1.795</v>
      </c>
      <c r="EO89" s="4">
        <v>1.749</v>
      </c>
      <c r="EP89" s="6"/>
      <c r="EQ89" s="6"/>
      <c r="ER89" s="6"/>
      <c r="ES89" s="9"/>
      <c r="ET89" s="7">
        <f>IFERROR(EI89/F89,0)</f>
        <v>0</v>
      </c>
      <c r="EU89" t="inlineStr">
        <is>
          <t xml:space="preserve">Keep cash / margin / financing</t>
        </is>
      </c>
      <c r="EV89" t="inlineStr">
        <is>
          <t xml:space="preserve">cash</t>
        </is>
      </c>
      <c r="EW89" t="inlineStr">
        <is>
          <t xml:space="preserve">keep</t>
        </is>
      </c>
      <c r="EX89" t="inlineStr">
        <is>
          <t xml:space="preserve">cash</t>
        </is>
      </c>
      <c r="EY89"/>
      <c r="EZ89" s="4">
        <v>1</v>
      </c>
      <c r="FA89" s="4">
        <v>1</v>
      </c>
      <c r="FB89" s="6"/>
      <c r="FC89" s="4">
        <v>0</v>
      </c>
      <c r="FD89" s="5">
        <f>IF(EV89="direct",IFERROR(FJ89/FA89,0),0)</f>
        <v>0</v>
      </c>
      <c r="FE89" s="5">
        <f>IF(EV89="direct",FC89-FD89,IF(EV89="cash",FO89,FC89))</f>
        <v>0</v>
      </c>
      <c r="FF89" s="6"/>
      <c r="FG89" s="4">
        <v>0</v>
      </c>
      <c r="FH89" s="4">
        <v>0</v>
      </c>
      <c r="FI89" s="5">
        <f>IF(EV89="direct",FC89*(FA89-EZ89),FL89)</f>
        <v>0</v>
      </c>
      <c r="FJ89" s="5">
        <f>IF(EV89="direct",FH89*FB89*C89/365,0)</f>
        <v>0</v>
      </c>
      <c r="FK89" s="5">
        <f>FI89-FJ89</f>
        <v>0</v>
      </c>
      <c r="FL89" s="4">
        <v>0</v>
      </c>
      <c r="FM89" s="5">
        <f>FL89-FK89</f>
        <v>0</v>
      </c>
      <c r="FN89" s="4">
        <v>0</v>
      </c>
      <c r="FO89" s="4">
        <v>0</v>
      </c>
      <c r="FP89" s="4">
        <v>1.795</v>
      </c>
      <c r="FQ89" s="4">
        <v>1.749</v>
      </c>
      <c r="FR89" s="6"/>
      <c r="FS89" s="6"/>
      <c r="FT89" s="6"/>
      <c r="FU89" s="9"/>
      <c r="FV89" s="7">
        <f>IFERROR(FK89/F89,0)</f>
        <v>0</v>
      </c>
      <c r="FW89"/>
      <c r="FX89"/>
      <c r="FY89"/>
      <c r="FZ89"/>
      <c r="GA89"/>
      <c r="GB89" s="4"/>
      <c r="GC89" s="4"/>
      <c r="GD89" s="6"/>
      <c r="GE89" s="4"/>
      <c r="GF89" s="5">
        <v>0</v>
      </c>
      <c r="GG89" s="5"/>
      <c r="GH89" s="6"/>
      <c r="GI89" s="4"/>
      <c r="GJ89" s="4"/>
      <c r="GK89" s="5">
        <v>0</v>
      </c>
      <c r="GL89" s="5">
        <v>0</v>
      </c>
      <c r="GM89" s="5"/>
      <c r="GN89" s="4"/>
      <c r="GO89" s="5">
        <v>0</v>
      </c>
      <c r="GP89" s="4"/>
      <c r="GQ89" s="4"/>
      <c r="GR89" s="4"/>
      <c r="GS89" s="4"/>
      <c r="GT89" s="6"/>
      <c r="GU89" s="6"/>
      <c r="GV89" s="6"/>
      <c r="GW89" s="9"/>
      <c r="GX89"/>
      <c r="GY89"/>
      <c r="GZ89"/>
      <c r="HA89"/>
      <c r="HB89"/>
      <c r="HC89"/>
      <c r="HD89" s="4"/>
      <c r="HE89" s="4"/>
      <c r="HF89" s="6"/>
      <c r="HG89" s="4"/>
      <c r="HH89" s="5">
        <v>0</v>
      </c>
      <c r="HI89" s="5"/>
      <c r="HJ89" s="6"/>
      <c r="HK89" s="4"/>
      <c r="HL89" s="4"/>
      <c r="HM89" s="5">
        <v>0</v>
      </c>
      <c r="HN89" s="5">
        <v>0</v>
      </c>
      <c r="HO89" s="5"/>
      <c r="HP89" s="4"/>
      <c r="HQ89" s="5">
        <v>0</v>
      </c>
      <c r="HR89" s="4"/>
      <c r="HS89" s="4"/>
      <c r="HT89" s="4"/>
      <c r="HU89" s="4"/>
      <c r="HV89" s="6"/>
      <c r="HW89" s="6"/>
      <c r="HX89" s="6"/>
      <c r="HY89" s="9"/>
      <c r="HZ89"/>
      <c r="IA89"/>
      <c r="IB89"/>
      <c r="IC89"/>
      <c r="ID89"/>
      <c r="IE89"/>
      <c r="IF89" s="4"/>
      <c r="IG89" s="4"/>
      <c r="IH89" s="6"/>
      <c r="II89" s="4"/>
      <c r="IJ89" s="5">
        <v>0</v>
      </c>
      <c r="IK89" s="5"/>
      <c r="IL89" s="6"/>
      <c r="IM89" s="4"/>
      <c r="IN89" s="4"/>
      <c r="IO89" s="5">
        <v>0</v>
      </c>
      <c r="IP89" s="5">
        <v>0</v>
      </c>
      <c r="IQ89" s="5"/>
      <c r="IR89" s="4"/>
      <c r="IS89" s="5">
        <v>0</v>
      </c>
      <c r="IT89" s="4"/>
      <c r="IU89" s="4"/>
      <c r="IV89" s="4"/>
      <c r="IW89" s="4"/>
      <c r="IX89" s="6"/>
      <c r="IY89" s="6"/>
      <c r="IZ89" s="6"/>
      <c r="JA89" s="9"/>
      <c r="JB89"/>
      <c r="JC89"/>
      <c r="JD89"/>
      <c r="JE89"/>
      <c r="JF89"/>
      <c r="JG89"/>
      <c r="JH89" s="4"/>
      <c r="JI89" s="4"/>
      <c r="JJ89" s="6"/>
      <c r="JK89" s="4"/>
      <c r="JL89" s="5">
        <v>0</v>
      </c>
      <c r="JM89" s="5"/>
      <c r="JN89" s="6"/>
      <c r="JO89" s="4"/>
      <c r="JP89" s="4"/>
      <c r="JQ89" s="5">
        <v>0</v>
      </c>
      <c r="JR89" s="5">
        <v>0</v>
      </c>
      <c r="JS89" s="5"/>
      <c r="JT89" s="4"/>
      <c r="JU89" s="5">
        <v>0</v>
      </c>
      <c r="JV89" s="4"/>
      <c r="JW89" s="4"/>
      <c r="JX89" s="4"/>
      <c r="JY89" s="4"/>
      <c r="JZ89" s="6"/>
      <c r="KA89" s="6"/>
      <c r="KB89" s="6"/>
      <c r="KC89" s="9"/>
      <c r="KD89"/>
      <c r="KE89"/>
      <c r="KF89"/>
      <c r="KG89"/>
      <c r="KH89"/>
      <c r="KI89"/>
      <c r="KJ89" s="4"/>
      <c r="KK89" s="4"/>
      <c r="KL89" s="6"/>
      <c r="KM89" s="4"/>
      <c r="KN89" s="5">
        <v>0</v>
      </c>
      <c r="KO89" s="5"/>
      <c r="KP89" s="6"/>
      <c r="KQ89" s="4"/>
      <c r="KR89" s="4"/>
      <c r="KS89" s="5">
        <v>0</v>
      </c>
      <c r="KT89" s="5">
        <v>0</v>
      </c>
      <c r="KU89" s="5"/>
      <c r="KV89" s="4"/>
      <c r="KW89" s="5">
        <v>0</v>
      </c>
      <c r="KX89" s="4"/>
      <c r="KY89" s="4"/>
      <c r="KZ89" s="4"/>
      <c r="LA89" s="4"/>
      <c r="LB89" s="6"/>
      <c r="LC89" s="6"/>
      <c r="LD89" s="6"/>
      <c r="LE89" s="9"/>
      <c r="LF89"/>
      <c r="LG89"/>
      <c r="LH89"/>
      <c r="LI89"/>
      <c r="LJ89"/>
      <c r="LK89"/>
      <c r="LL89" s="4"/>
      <c r="LM89" s="4"/>
      <c r="LN89" s="6"/>
      <c r="LO89" s="4"/>
      <c r="LP89" s="5">
        <v>0</v>
      </c>
      <c r="LQ89" s="5"/>
      <c r="LR89" s="6"/>
      <c r="LS89" s="4"/>
      <c r="LT89" s="4"/>
      <c r="LU89" s="5">
        <v>0</v>
      </c>
      <c r="LV89" s="5">
        <v>0</v>
      </c>
      <c r="LW89" s="5"/>
      <c r="LX89" s="4"/>
      <c r="LY89" s="5">
        <v>0</v>
      </c>
      <c r="LZ89" s="4"/>
      <c r="MA89" s="4"/>
      <c r="MB89" s="4"/>
      <c r="MC89" s="4"/>
      <c r="MD89" s="6"/>
      <c r="ME89" s="6"/>
      <c r="MF89" s="6"/>
      <c r="MG89" s="9"/>
      <c r="MH89"/>
    </row>
    <row r="90">
      <c r="A90" s="8">
        <v>25336</v>
      </c>
      <c r="B90" s="8">
        <v>25337</v>
      </c>
      <c r="C90" s="9">
        <f>B90-A90</f>
        <v>1</v>
      </c>
      <c r="D90" s="8">
        <v>25336</v>
      </c>
      <c r="E90" t="inlineStr">
        <is>
          <t xml:space="preserve">neutral</t>
        </is>
      </c>
      <c r="F90" s="4">
        <v>1.2890972853469258</v>
      </c>
      <c r="G90" s="6">
        <v>0.015430543480814804</v>
      </c>
      <c r="H90" s="7">
        <f>SUM(CP90,DR90,ET90,FV90,GX90,HZ90,JB90,KD90,LF90,MH90)</f>
        <v>0.015430543480814804</v>
      </c>
      <c r="I90" s="7">
        <f>G90-H90</f>
        <v>0</v>
      </c>
      <c r="J90" s="5">
        <f>F90*(1+H90)</f>
        <v>1.308988757059472</v>
      </c>
      <c r="K90" s="4">
        <v>1.308988757059472</v>
      </c>
      <c r="L90" s="5">
        <f>K90-J90</f>
        <v>0</v>
      </c>
      <c r="M90" s="4">
        <v>1.749</v>
      </c>
      <c r="N90" s="4">
        <v>1.776</v>
      </c>
      <c r="O90" s="5">
        <f>M90/$M$3</f>
        <v>0.8932584269662922</v>
      </c>
      <c r="P90" s="5">
        <f>N90/$M$3</f>
        <v>0.9070480081716037</v>
      </c>
      <c r="Q90" s="7">
        <f>IFERROR(N90/M90-1,0)</f>
        <v>0.015437392795883298</v>
      </c>
      <c r="R90" s="5">
        <f>SUM(IF(BQ90="lease",CB90,0),IF(CS90="lease",DD90,0),IF(DU90="lease",EF90,0),IF(EW90="lease",FH90,0),IF(FY90="lease",GJ90,0),IF(HA90="lease",HL90,0),IF(IC90="lease",IN90,0),IF(JE90="lease",JP90,0),IF(KG90="lease",KR90,0),IF(LI90="lease",LT90,0))</f>
        <v>1.2890972853469271</v>
      </c>
      <c r="S90" s="5">
        <f>SUM(IF(BQ90="lease",CI90,0),IF(CS90="lease",DK90,0),IF(DU90="lease",EM90,0),IF(EW90="lease",FO90,0),IF(FY90="lease",GQ90,0),IF(HA90="lease",HS90,0),IF(IC90="lease",IU90,0),IF(JE90="lease",JW90,0),IF(KG90="lease",KY90,0),IF(LI90="lease",MA90,0))</f>
        <v>1.3089887570594732</v>
      </c>
      <c r="T90" s="5">
        <f>SUM(IF(BQ90="keep",CB90,0),IF(CS90="keep",DD90,0),IF(DU90="keep",EF90,0),IF(EW90="keep",FH90,0),IF(FY90="keep",GJ90,0),IF(HA90="keep",HL90,0),IF(IC90="keep",IN90,0),IF(JE90="keep",JP90,0),IF(KG90="keep",KR90,0),IF(LI90="keep",LT90,0))</f>
        <v>0</v>
      </c>
      <c r="U90" s="5">
        <f>SUM(IF(BQ90="keep",CI90,0),IF(CS90="keep",DK90,0),IF(DU90="keep",EM90,0),IF(EW90="keep",FO90,0),IF(FY90="keep",GQ90,0),IF(HA90="keep",HS90,0),IF(IC90="keep",IU90,0),IF(JE90="keep",JW90,0),IF(KG90="keep",KY90,0),IF(LI90="keep",MA90,0))</f>
        <v>0</v>
      </c>
      <c r="V90" s="5">
        <f>R90/O90</f>
        <v>1.4431403571808366</v>
      </c>
      <c r="W90" s="5">
        <f>S90/P90</f>
        <v>1.4431306229293066</v>
      </c>
      <c r="X90" s="5">
        <f>T90/O90</f>
        <v>0</v>
      </c>
      <c r="Y90" s="5">
        <f>U90/P90</f>
        <v>0</v>
      </c>
      <c r="Z90" s="5">
        <f>V90+X90</f>
        <v>1.4431403571808366</v>
      </c>
      <c r="AA90" s="7">
        <f>IFERROR(W90/V90-1,0)</f>
        <v>-0.000006745186967749284</v>
      </c>
      <c r="AB90" s="7">
        <f>IFERROR((W90-V90)/Z90,0)</f>
        <v>-0.00000674518696778932</v>
      </c>
      <c r="AC90" s="7">
        <f>IFERROR(Y90/X90-1,0)</f>
        <v>0</v>
      </c>
      <c r="AD90" s="7">
        <f>IFERROR((Y90-X90)/Z90,0)</f>
        <v>0</v>
      </c>
      <c r="AE90" s="7">
        <f>AB90+AD90</f>
        <v>-0.00000674518696778932</v>
      </c>
      <c r="AF90" s="7">
        <f>(1+Q90)*(1+AE90)-1</f>
        <v>0.015430543480814851</v>
      </c>
      <c r="AG90" s="7">
        <f>G90-AF90</f>
        <v>-4.683753385137379e-17</v>
      </c>
      <c r="AH90" s="5">
        <f>SUM(IF(BQ90="lease",CE90,0),IF(CS90="lease",DG90,0),IF(DU90="lease",EI90,0),IF(EW90="lease",FK90,0),IF(FY90="lease",GM90,0),IF(HA90="lease",HO90,0),IF(IC90="lease",IQ90,0),IF(JE90="lease",JS90,0),IF(KG90="lease",KU90,0),IF(LI90="lease",LW90,0))</f>
        <v>0.019891471712546068</v>
      </c>
      <c r="AI90" s="5">
        <f>SUM(IF(BQ90="keep",CE90,0),IF(CS90="keep",DG90,0),IF(DU90="keep",EI90,0),IF(EW90="keep",FK90,0),IF(FY90="keep",GM90,0),IF(HA90="keep",HO90,0),IF(IC90="keep",IQ90,0),IF(JE90="keep",JS90,0),IF(KG90="keep",KU90,0),IF(LI90="keep",LW90,0))</f>
        <v>0</v>
      </c>
      <c r="AJ90" s="5">
        <f>SUM(IF(BQ90="lease",CH90,0),IF(CS90="lease",DJ90,0),IF(DU90="lease",EL90,0),IF(EW90="lease",FN90,0),IF(FY90="lease",GP90,0),IF(HA90="lease",HR90,0),IF(IC90="lease",IT90,0),IF(JE90="lease",JV90,0),IF(KG90="lease",KX90,0),IF(LI90="lease",LZ90,0))</f>
        <v>0</v>
      </c>
      <c r="AK90" s="5">
        <f>SUM(IF(BQ90="keep",CH90,0),IF(CS90="keep",DJ90,0),IF(DU90="keep",EL90,0),IF(EW90="keep",FN90,0),IF(FY90="keep",GP90,0),IF(HA90="keep",HR90,0),IF(IC90="keep",IT90,0),IF(JE90="keep",JV90,0),IF(KG90="keep",KX90,0),IF(LI90="keep",LZ90,0))</f>
        <v>0</v>
      </c>
      <c r="AL90" s="5">
        <f>R90-S89</f>
        <v>0</v>
      </c>
      <c r="AM90" s="5">
        <f>T90-U89</f>
        <v>0</v>
      </c>
      <c r="AN90" s="5">
        <f>AN89</f>
        <v>1</v>
      </c>
      <c r="AO90" s="5">
        <f>AO89+AH90</f>
        <v>0.30898875705947304</v>
      </c>
      <c r="AP90" s="5">
        <f>AP89+AL90</f>
        <v>-4.440892098500626e-16</v>
      </c>
      <c r="AQ90" s="5">
        <f>AN90+AO90+AP90</f>
        <v>1.3089887570594727</v>
      </c>
      <c r="AR90" s="5">
        <f>S90-AQ90</f>
        <v>4.440892098500626e-16</v>
      </c>
      <c r="AS90" s="5">
        <f>AS89</f>
        <v>0</v>
      </c>
      <c r="AT90" s="5">
        <f>AT89+AI90</f>
        <v>0</v>
      </c>
      <c r="AU90" s="5">
        <f>AU89+AM90</f>
        <v>0</v>
      </c>
      <c r="AV90" s="5">
        <f>AS90+AT90+AU90</f>
        <v>0</v>
      </c>
      <c r="AW90" s="5">
        <f>U90-AV90</f>
        <v>0</v>
      </c>
      <c r="AX90" s="4">
        <v>1.2890972853469271</v>
      </c>
      <c r="AY90" s="4">
        <v>1.3089887570594732</v>
      </c>
      <c r="AZ90" s="5">
        <f>S90-AY90</f>
        <v>0</v>
      </c>
      <c r="BA90" s="4">
        <v>0</v>
      </c>
      <c r="BB90" s="4">
        <v>0</v>
      </c>
      <c r="BC90" s="5">
        <f>U90-BB90</f>
        <v>0</v>
      </c>
      <c r="BD90" s="7">
        <f>SUM(IF(BP90="direct",CC90/F90,0),IF(CR90="direct",DE90/F90,0),IF(DT90="direct",EG90/F90,0),IF(EV90="direct",FI90/F90,0),IF(FX90="direct",GK90/F90,0),IF(GZ90="direct",HM90/F90,0),IF(IB90="direct",IO90/F90,0),IF(JD90="direct",JQ90/F90,0),IF(KF90="direct",KS90/F90,0),IF(LH90="direct",LU90/F90,0))</f>
        <v>0.01543739279588331</v>
      </c>
      <c r="BE90" s="7">
        <f>-SUM(IF(BP90="direct",CD90/F90,0),IF(CR90="direct",DF90/F90,0),IF(DT90="direct",EH90/F90,0),IF(EV90="direct",FJ90/F90,0),IF(FX90="direct",GL90/F90,0),IF(GZ90="direct",HN90/F90,0),IF(IB90="direct",IP90/F90,0),IF(JD90="direct",JR90/F90,0),IF(KF90="direct",KT90/F90,0),IF(LH90="direct",LV90/F90,0))</f>
        <v>-0.000006849315068493151</v>
      </c>
      <c r="BF90" s="7">
        <f>BD90+BE90</f>
        <v>0.015430543480814816</v>
      </c>
      <c r="BG90" s="7">
        <f>BF90-SUM(IF(BP90="direct",CP90,0),IF(CR90="direct",DR90,0),IF(DT90="direct",ET90,0),IF(EV90="direct",FV90,0),IF(FX90="direct",GX90,0),IF(GZ90="direct",HZ90,0),IF(IB90="direct",JB90,0),IF(JD90="direct",KD90,0),IF(KF90="direct",LF90,0),IF(LH90="direct",MH90,0))</f>
        <v>1.214306433183765e-17</v>
      </c>
      <c r="BH90" s="7">
        <f>SUM(IF(BP90="treasury",CP90,0),IF(CR90="treasury",DR90,0),IF(DT90="treasury",ET90,0),IF(EV90="treasury",FV90,0),IF(FX90="treasury",GX90,0),IF(GZ90="treasury",HZ90,0),IF(IB90="treasury",JB90,0),IF(JD90="treasury",KD90,0),IF(KF90="treasury",LF90,0),IF(LH90="treasury",MH90,0))</f>
        <v>0</v>
      </c>
      <c r="BI90" s="7">
        <f>SUM(IF(BP90="future",CP90,0),IF(CR90="future",DR90,0),IF(DT90="future",ET90,0),IF(EV90="future",FV90,0),IF(FX90="future",GX90,0),IF(GZ90="future",HZ90,0),IF(IB90="future",JB90,0),IF(JD90="future",KD90,0),IF(KF90="future",LF90,0),IF(LH90="future",MH90,0))</f>
        <v>0</v>
      </c>
      <c r="BJ90" s="7">
        <f>SUM(IF(BP90="cash",CP90,0),IF(CR90="cash",DR90,0),IF(DT90="cash",ET90,0),IF(EV90="cash",FV90,0),IF(FX90="cash",GX90,0),IF(GZ90="cash",HZ90,0),IF(IB90="cash",JB90,0),IF(JD90="cash",KD90,0),IF(KF90="cash",LF90,0),IF(LH90="cash",MH90,0))</f>
        <v>0</v>
      </c>
      <c r="BK90" s="7">
        <f>SUM(BF90,BH90,BI90,BJ90)</f>
        <v>0.015430543480814804</v>
      </c>
      <c r="BL90" s="7">
        <f>G90-BK90</f>
        <v>0</v>
      </c>
      <c r="BM90" s="5">
        <f>MAX(ABS(CG90),ABS(DI90),ABS(EK90),ABS(FM90),ABS(GO90),ABS(HQ90),ABS(IS90),ABS(JU90),ABS(KW90),ABS(LY90))</f>
        <v>1.618510555613517e-17</v>
      </c>
      <c r="BN90" s="9">
        <f>COUNTA(BO90,CQ90,DS90,EU90,FW90,GY90,IA90,JC90,KE90,LG90)</f>
        <v>3</v>
      </c>
      <c r="BO90" t="inlineStr">
        <is>
          <t xml:space="preserve">Direct commodity holding</t>
        </is>
      </c>
      <c r="BP90" t="inlineStr">
        <is>
          <t xml:space="preserve">direct</t>
        </is>
      </c>
      <c r="BQ90" t="inlineStr">
        <is>
          <t xml:space="preserve">lease</t>
        </is>
      </c>
      <c r="BR90" t="inlineStr">
        <is>
          <t xml:space="preserve">long</t>
        </is>
      </c>
      <c r="BS90"/>
      <c r="BT90" s="4">
        <v>1.749</v>
      </c>
      <c r="BU90" s="4">
        <v>1.776</v>
      </c>
      <c r="BV90" s="6">
        <v>0.0025</v>
      </c>
      <c r="BW90" s="4">
        <v>0.7370481905928677</v>
      </c>
      <c r="BX90" s="5">
        <f>IF(BP90="direct",IFERROR(CD90/BU90,0),0)</f>
        <v>0.000004971527849819996</v>
      </c>
      <c r="BY90" s="5">
        <f>IF(BP90="direct",BW90-BX90,IF(BP90="cash",CI90,BW90))</f>
        <v>0.7370432190650179</v>
      </c>
      <c r="BZ90" s="6">
        <v>1</v>
      </c>
      <c r="CA90" s="4">
        <v>1.2890972853469258</v>
      </c>
      <c r="CB90" s="4">
        <v>1.2890972853469258</v>
      </c>
      <c r="CC90" s="5">
        <f>IF(BP90="direct",BW90*(BU90-BT90),CF90)</f>
        <v>0.019900301146007365</v>
      </c>
      <c r="CD90" s="5">
        <f>IF(BP90="direct",CB90*BV90*C90/365,0)</f>
        <v>0.000008829433461280314</v>
      </c>
      <c r="CE90" s="5">
        <f>CC90-CD90</f>
        <v>0.019891471712546068</v>
      </c>
      <c r="CF90" s="4">
        <v>0.019891471712546068</v>
      </c>
      <c r="CG90" s="5">
        <f>CF90-CE90</f>
        <v>-1.618510555613517e-17</v>
      </c>
      <c r="CH90" s="4">
        <v>0</v>
      </c>
      <c r="CI90" s="4">
        <v>1.3089887570594718</v>
      </c>
      <c r="CJ90" s="4">
        <v>1.749</v>
      </c>
      <c r="CK90" s="4">
        <v>1.776</v>
      </c>
      <c r="CL90" s="6"/>
      <c r="CM90" s="6"/>
      <c r="CN90" s="6"/>
      <c r="CO90" s="9"/>
      <c r="CP90" s="7">
        <f>IFERROR(CE90/F90,0)</f>
        <v>0.015430543480814804</v>
      </c>
      <c r="CQ90" t="inlineStr">
        <is>
          <t xml:space="preserve">Lease cash / margin / financing</t>
        </is>
      </c>
      <c r="CR90" t="inlineStr">
        <is>
          <t xml:space="preserve">cash</t>
        </is>
      </c>
      <c r="CS90" t="inlineStr">
        <is>
          <t xml:space="preserve">lease</t>
        </is>
      </c>
      <c r="CT90" t="inlineStr">
        <is>
          <t xml:space="preserve">cash</t>
        </is>
      </c>
      <c r="CU90"/>
      <c r="CV90" s="4">
        <v>1</v>
      </c>
      <c r="CW90" s="4">
        <v>1</v>
      </c>
      <c r="CX90" s="6"/>
      <c r="CY90" s="4">
        <v>1.3322676295501878e-15</v>
      </c>
      <c r="CZ90" s="5">
        <f>IF(CR90="direct",IFERROR(DF90/CW90,0),0)</f>
        <v>0</v>
      </c>
      <c r="DA90" s="5">
        <f>IF(CR90="direct",CY90-CZ90,IF(CR90="cash",DK90,CY90))</f>
        <v>1.3322676295501878e-15</v>
      </c>
      <c r="DB90" s="6"/>
      <c r="DC90" s="4">
        <v>1.3322676295501878e-15</v>
      </c>
      <c r="DD90" s="4">
        <v>1.3322676295501878e-15</v>
      </c>
      <c r="DE90" s="5">
        <f>IF(CR90="direct",CY90*(CW90-CV90),DH90)</f>
        <v>0</v>
      </c>
      <c r="DF90" s="5">
        <f>IF(CR90="direct",DD90*CX90*C90/365,0)</f>
        <v>0</v>
      </c>
      <c r="DG90" s="5">
        <f>DE90-DF90</f>
        <v>0</v>
      </c>
      <c r="DH90" s="4">
        <v>0</v>
      </c>
      <c r="DI90" s="5">
        <f>DH90-DG90</f>
        <v>0</v>
      </c>
      <c r="DJ90" s="4">
        <v>0</v>
      </c>
      <c r="DK90" s="4">
        <v>1.3322676295501878e-15</v>
      </c>
      <c r="DL90" s="4">
        <v>1.749</v>
      </c>
      <c r="DM90" s="4">
        <v>1.776</v>
      </c>
      <c r="DN90" s="6"/>
      <c r="DO90" s="6"/>
      <c r="DP90" s="6"/>
      <c r="DQ90" s="9"/>
      <c r="DR90" s="7">
        <f>IFERROR(DG90/F90,0)</f>
        <v>0</v>
      </c>
      <c r="DS90" t="inlineStr">
        <is>
          <t xml:space="preserve">Keep cash / margin / financing</t>
        </is>
      </c>
      <c r="DT90" t="inlineStr">
        <is>
          <t xml:space="preserve">cash</t>
        </is>
      </c>
      <c r="DU90" t="inlineStr">
        <is>
          <t xml:space="preserve">keep</t>
        </is>
      </c>
      <c r="DV90" t="inlineStr">
        <is>
          <t xml:space="preserve">cash</t>
        </is>
      </c>
      <c r="DW90"/>
      <c r="DX90" s="4">
        <v>1</v>
      </c>
      <c r="DY90" s="4">
        <v>1</v>
      </c>
      <c r="DZ90" s="6"/>
      <c r="EA90" s="4">
        <v>0</v>
      </c>
      <c r="EB90" s="5">
        <f>IF(DT90="direct",IFERROR(EH90/DY90,0),0)</f>
        <v>0</v>
      </c>
      <c r="EC90" s="5">
        <f>IF(DT90="direct",EA90-EB90,IF(DT90="cash",EM90,EA90))</f>
        <v>0</v>
      </c>
      <c r="ED90" s="6"/>
      <c r="EE90" s="4">
        <v>0</v>
      </c>
      <c r="EF90" s="4">
        <v>0</v>
      </c>
      <c r="EG90" s="5">
        <f>IF(DT90="direct",EA90*(DY90-DX90),EJ90)</f>
        <v>0</v>
      </c>
      <c r="EH90" s="5">
        <f>IF(DT90="direct",EF90*DZ90*C90/365,0)</f>
        <v>0</v>
      </c>
      <c r="EI90" s="5">
        <f>EG90-EH90</f>
        <v>0</v>
      </c>
      <c r="EJ90" s="4">
        <v>0</v>
      </c>
      <c r="EK90" s="5">
        <f>EJ90-EI90</f>
        <v>0</v>
      </c>
      <c r="EL90" s="4">
        <v>0</v>
      </c>
      <c r="EM90" s="4">
        <v>0</v>
      </c>
      <c r="EN90" s="4">
        <v>1.749</v>
      </c>
      <c r="EO90" s="4">
        <v>1.776</v>
      </c>
      <c r="EP90" s="6"/>
      <c r="EQ90" s="6"/>
      <c r="ER90" s="6"/>
      <c r="ES90" s="9"/>
      <c r="ET90" s="7">
        <f>IFERROR(EI90/F90,0)</f>
        <v>0</v>
      </c>
      <c r="EU90"/>
      <c r="EV90"/>
      <c r="EW90"/>
      <c r="EX90"/>
      <c r="EY90"/>
      <c r="EZ90" s="4"/>
      <c r="FA90" s="4"/>
      <c r="FB90" s="6"/>
      <c r="FC90" s="4"/>
      <c r="FD90" s="5">
        <v>0</v>
      </c>
      <c r="FE90" s="5"/>
      <c r="FF90" s="6"/>
      <c r="FG90" s="4"/>
      <c r="FH90" s="4"/>
      <c r="FI90" s="5">
        <v>0</v>
      </c>
      <c r="FJ90" s="5">
        <v>0</v>
      </c>
      <c r="FK90" s="5"/>
      <c r="FL90" s="4"/>
      <c r="FM90" s="5">
        <v>0</v>
      </c>
      <c r="FN90" s="4"/>
      <c r="FO90" s="4"/>
      <c r="FP90" s="4"/>
      <c r="FQ90" s="4"/>
      <c r="FR90" s="6"/>
      <c r="FS90" s="6"/>
      <c r="FT90" s="6"/>
      <c r="FU90" s="9"/>
      <c r="FV90"/>
      <c r="FW90"/>
      <c r="FX90"/>
      <c r="FY90"/>
      <c r="FZ90"/>
      <c r="GA90"/>
      <c r="GB90" s="4"/>
      <c r="GC90" s="4"/>
      <c r="GD90" s="6"/>
      <c r="GE90" s="4"/>
      <c r="GF90" s="5">
        <v>0</v>
      </c>
      <c r="GG90" s="5"/>
      <c r="GH90" s="6"/>
      <c r="GI90" s="4"/>
      <c r="GJ90" s="4"/>
      <c r="GK90" s="5">
        <v>0</v>
      </c>
      <c r="GL90" s="5">
        <v>0</v>
      </c>
      <c r="GM90" s="5"/>
      <c r="GN90" s="4"/>
      <c r="GO90" s="5">
        <v>0</v>
      </c>
      <c r="GP90" s="4"/>
      <c r="GQ90" s="4"/>
      <c r="GR90" s="4"/>
      <c r="GS90" s="4"/>
      <c r="GT90" s="6"/>
      <c r="GU90" s="6"/>
      <c r="GV90" s="6"/>
      <c r="GW90" s="9"/>
      <c r="GX90"/>
      <c r="GY90"/>
      <c r="GZ90"/>
      <c r="HA90"/>
      <c r="HB90"/>
      <c r="HC90"/>
      <c r="HD90" s="4"/>
      <c r="HE90" s="4"/>
      <c r="HF90" s="6"/>
      <c r="HG90" s="4"/>
      <c r="HH90" s="5">
        <v>0</v>
      </c>
      <c r="HI90" s="5"/>
      <c r="HJ90" s="6"/>
      <c r="HK90" s="4"/>
      <c r="HL90" s="4"/>
      <c r="HM90" s="5">
        <v>0</v>
      </c>
      <c r="HN90" s="5">
        <v>0</v>
      </c>
      <c r="HO90" s="5"/>
      <c r="HP90" s="4"/>
      <c r="HQ90" s="5">
        <v>0</v>
      </c>
      <c r="HR90" s="4"/>
      <c r="HS90" s="4"/>
      <c r="HT90" s="4"/>
      <c r="HU90" s="4"/>
      <c r="HV90" s="6"/>
      <c r="HW90" s="6"/>
      <c r="HX90" s="6"/>
      <c r="HY90" s="9"/>
      <c r="HZ90"/>
      <c r="IA90"/>
      <c r="IB90"/>
      <c r="IC90"/>
      <c r="ID90"/>
      <c r="IE90"/>
      <c r="IF90" s="4"/>
      <c r="IG90" s="4"/>
      <c r="IH90" s="6"/>
      <c r="II90" s="4"/>
      <c r="IJ90" s="5">
        <v>0</v>
      </c>
      <c r="IK90" s="5"/>
      <c r="IL90" s="6"/>
      <c r="IM90" s="4"/>
      <c r="IN90" s="4"/>
      <c r="IO90" s="5">
        <v>0</v>
      </c>
      <c r="IP90" s="5">
        <v>0</v>
      </c>
      <c r="IQ90" s="5"/>
      <c r="IR90" s="4"/>
      <c r="IS90" s="5">
        <v>0</v>
      </c>
      <c r="IT90" s="4"/>
      <c r="IU90" s="4"/>
      <c r="IV90" s="4"/>
      <c r="IW90" s="4"/>
      <c r="IX90" s="6"/>
      <c r="IY90" s="6"/>
      <c r="IZ90" s="6"/>
      <c r="JA90" s="9"/>
      <c r="JB90"/>
      <c r="JC90"/>
      <c r="JD90"/>
      <c r="JE90"/>
      <c r="JF90"/>
      <c r="JG90"/>
      <c r="JH90" s="4"/>
      <c r="JI90" s="4"/>
      <c r="JJ90" s="6"/>
      <c r="JK90" s="4"/>
      <c r="JL90" s="5">
        <v>0</v>
      </c>
      <c r="JM90" s="5"/>
      <c r="JN90" s="6"/>
      <c r="JO90" s="4"/>
      <c r="JP90" s="4"/>
      <c r="JQ90" s="5">
        <v>0</v>
      </c>
      <c r="JR90" s="5">
        <v>0</v>
      </c>
      <c r="JS90" s="5"/>
      <c r="JT90" s="4"/>
      <c r="JU90" s="5">
        <v>0</v>
      </c>
      <c r="JV90" s="4"/>
      <c r="JW90" s="4"/>
      <c r="JX90" s="4"/>
      <c r="JY90" s="4"/>
      <c r="JZ90" s="6"/>
      <c r="KA90" s="6"/>
      <c r="KB90" s="6"/>
      <c r="KC90" s="9"/>
      <c r="KD90"/>
      <c r="KE90"/>
      <c r="KF90"/>
      <c r="KG90"/>
      <c r="KH90"/>
      <c r="KI90"/>
      <c r="KJ90" s="4"/>
      <c r="KK90" s="4"/>
      <c r="KL90" s="6"/>
      <c r="KM90" s="4"/>
      <c r="KN90" s="5">
        <v>0</v>
      </c>
      <c r="KO90" s="5"/>
      <c r="KP90" s="6"/>
      <c r="KQ90" s="4"/>
      <c r="KR90" s="4"/>
      <c r="KS90" s="5">
        <v>0</v>
      </c>
      <c r="KT90" s="5">
        <v>0</v>
      </c>
      <c r="KU90" s="5"/>
      <c r="KV90" s="4"/>
      <c r="KW90" s="5">
        <v>0</v>
      </c>
      <c r="KX90" s="4"/>
      <c r="KY90" s="4"/>
      <c r="KZ90" s="4"/>
      <c r="LA90" s="4"/>
      <c r="LB90" s="6"/>
      <c r="LC90" s="6"/>
      <c r="LD90" s="6"/>
      <c r="LE90" s="9"/>
      <c r="LF90"/>
      <c r="LG90"/>
      <c r="LH90"/>
      <c r="LI90"/>
      <c r="LJ90"/>
      <c r="LK90"/>
      <c r="LL90" s="4"/>
      <c r="LM90" s="4"/>
      <c r="LN90" s="6"/>
      <c r="LO90" s="4"/>
      <c r="LP90" s="5">
        <v>0</v>
      </c>
      <c r="LQ90" s="5"/>
      <c r="LR90" s="6"/>
      <c r="LS90" s="4"/>
      <c r="LT90" s="4"/>
      <c r="LU90" s="5">
        <v>0</v>
      </c>
      <c r="LV90" s="5">
        <v>0</v>
      </c>
      <c r="LW90" s="5"/>
      <c r="LX90" s="4"/>
      <c r="LY90" s="5">
        <v>0</v>
      </c>
      <c r="LZ90" s="4"/>
      <c r="MA90" s="4"/>
      <c r="MB90" s="4"/>
      <c r="MC90" s="4"/>
      <c r="MD90" s="6"/>
      <c r="ME90" s="6"/>
      <c r="MF90" s="6"/>
      <c r="MG90" s="9"/>
      <c r="MH90"/>
    </row>
    <row r="91">
      <c r="A91" s="8">
        <v>25337</v>
      </c>
      <c r="B91" s="8">
        <v>25338</v>
      </c>
      <c r="C91" s="9">
        <f>B91-A91</f>
        <v>1</v>
      </c>
      <c r="D91" s="8">
        <v>25337</v>
      </c>
      <c r="E91" t="inlineStr">
        <is>
          <t xml:space="preserve">positive</t>
        </is>
      </c>
      <c r="F91" s="4">
        <v>1.308988757059472</v>
      </c>
      <c r="G91" s="6">
        <v>0.0024520156555772393</v>
      </c>
      <c r="H91" s="7">
        <f>SUM(CP91,DR91,ET91,FV91,GX91,HZ91,JB91,KD91,LF91,MH91)</f>
        <v>0.0024520156555772363</v>
      </c>
      <c r="I91" s="7">
        <f>G91-H91</f>
        <v>3.0357660829594124e-18</v>
      </c>
      <c r="J91" s="5">
        <f>F91*(1+H91)</f>
        <v>1.3121984179847563</v>
      </c>
      <c r="K91" s="4">
        <v>1.3121984179847563</v>
      </c>
      <c r="L91" s="5">
        <f>K91-J91</f>
        <v>0</v>
      </c>
      <c r="M91" s="4">
        <v>1.776</v>
      </c>
      <c r="N91" s="4">
        <v>1.761</v>
      </c>
      <c r="O91" s="5">
        <f>M91/$M$3</f>
        <v>0.9070480081716037</v>
      </c>
      <c r="P91" s="5">
        <f>N91/$M$3</f>
        <v>0.8993871297242083</v>
      </c>
      <c r="Q91" s="7">
        <f>IFERROR(N91/M91-1,0)</f>
        <v>-0.008445945945946054</v>
      </c>
      <c r="R91" s="5">
        <f>SUM(IF(BQ91="lease",CB91,0),IF(CS91="lease",DD91,0),IF(DU91="lease",EF91,0),IF(EW91="lease",FH91,0),IF(FY91="lease",GJ91,0),IF(HA91="lease",HL91,0),IF(IC91="lease",IN91,0),IF(JE91="lease",JP91,0),IF(KG91="lease",KR91,0),IF(LI91="lease",LT91,0))</f>
        <v>1.3089887570594732</v>
      </c>
      <c r="S91" s="5">
        <f>SUM(IF(BQ91="lease",CI91,0),IF(CS91="lease",DK91,0),IF(DU91="lease",EM91,0),IF(EW91="lease",FO91,0),IF(FY91="lease",GQ91,0),IF(HA91="lease",HS91,0),IF(IC91="lease",IU91,0),IF(JE91="lease",JW91,0),IF(KG91="lease",KY91,0),IF(LI91="lease",MA91,0))</f>
        <v>1.3121984179847577</v>
      </c>
      <c r="T91" s="5">
        <f>SUM(IF(BQ91="keep",CB91,0),IF(CS91="keep",DD91,0),IF(DU91="keep",EF91,0),IF(EW91="keep",FH91,0),IF(FY91="keep",GJ91,0),IF(HA91="keep",HL91,0),IF(IC91="keep",IN91,0),IF(JE91="keep",JP91,0),IF(KG91="keep",KR91,0),IF(LI91="keep",LT91,0))</f>
        <v>0</v>
      </c>
      <c r="U91" s="5">
        <f>SUM(IF(BQ91="keep",CI91,0),IF(CS91="keep",DK91,0),IF(DU91="keep",EM91,0),IF(EW91="keep",FO91,0),IF(FY91="keep",GQ91,0),IF(HA91="keep",HS91,0),IF(IC91="keep",IU91,0),IF(JE91="keep",JW91,0),IF(KG91="keep",KY91,0),IF(LI91="keep",MA91,0))</f>
        <v>0</v>
      </c>
      <c r="V91" s="5">
        <f>R91/O91</f>
        <v>1.4431306229293066</v>
      </c>
      <c r="W91" s="5">
        <f>S91/P91</f>
        <v>1.458991767412922</v>
      </c>
      <c r="X91" s="5">
        <f>T91/O91</f>
        <v>0</v>
      </c>
      <c r="Y91" s="5">
        <f>U91/P91</f>
        <v>0</v>
      </c>
      <c r="Z91" s="5">
        <f>V91+X91</f>
        <v>1.4431306229293066</v>
      </c>
      <c r="AA91" s="7">
        <f>IFERROR(W91/V91-1,0)</f>
        <v>0.010990789213120689</v>
      </c>
      <c r="AB91" s="7">
        <f>IFERROR((W91-V91)/Z91,0)</f>
        <v>0.01099078921312059</v>
      </c>
      <c r="AC91" s="7">
        <f>IFERROR(Y91/X91-1,0)</f>
        <v>0</v>
      </c>
      <c r="AD91" s="7">
        <f>IFERROR((Y91-X91)/Z91,0)</f>
        <v>0</v>
      </c>
      <c r="AE91" s="7">
        <f>AB91+AD91</f>
        <v>0.01099078921312059</v>
      </c>
      <c r="AF91" s="7">
        <f>(1+Q91)*(1+AE91)-1</f>
        <v>0.0024520156555773998</v>
      </c>
      <c r="AG91" s="7">
        <f>G91-AF91</f>
        <v>-1.6046192152785466e-16</v>
      </c>
      <c r="AH91" s="5">
        <f>SUM(IF(BQ91="lease",CE91,0),IF(CS91="lease",DG91,0),IF(DU91="lease",EI91,0),IF(EW91="lease",FK91,0),IF(FY91="lease",GM91,0),IF(HA91="lease",HO91,0),IF(IC91="lease",IQ91,0),IF(JE91="lease",JS91,0),IF(KG91="lease",KU91,0),IF(LI91="lease",LW91,0))</f>
        <v>0.003209660925284413</v>
      </c>
      <c r="AI91" s="5">
        <f>SUM(IF(BQ91="keep",CE91,0),IF(CS91="keep",DG91,0),IF(DU91="keep",EI91,0),IF(EW91="keep",FK91,0),IF(FY91="keep",GM91,0),IF(HA91="keep",HO91,0),IF(IC91="keep",IQ91,0),IF(JE91="keep",JS91,0),IF(KG91="keep",KU91,0),IF(LI91="keep",LW91,0))</f>
        <v>0</v>
      </c>
      <c r="AJ91" s="5">
        <f>SUM(IF(BQ91="lease",CH91,0),IF(CS91="lease",DJ91,0),IF(DU91="lease",EL91,0),IF(EW91="lease",FN91,0),IF(FY91="lease",GP91,0),IF(HA91="lease",HR91,0),IF(IC91="lease",IT91,0),IF(JE91="lease",JV91,0),IF(KG91="lease",KX91,0),IF(LI91="lease",LZ91,0))</f>
        <v>0</v>
      </c>
      <c r="AK91" s="5">
        <f>SUM(IF(BQ91="keep",CH91,0),IF(CS91="keep",DJ91,0),IF(DU91="keep",EL91,0),IF(EW91="keep",FN91,0),IF(FY91="keep",GP91,0),IF(HA91="keep",HR91,0),IF(IC91="keep",IT91,0),IF(JE91="keep",JV91,0),IF(KG91="keep",KX91,0),IF(LI91="keep",LZ91,0))</f>
        <v>0</v>
      </c>
      <c r="AL91" s="5">
        <f>R91-S90</f>
        <v>0</v>
      </c>
      <c r="AM91" s="5">
        <f>T91-U90</f>
        <v>0</v>
      </c>
      <c r="AN91" s="5">
        <f>AN90</f>
        <v>1</v>
      </c>
      <c r="AO91" s="5">
        <f>AO90+AH91</f>
        <v>0.31219841798475745</v>
      </c>
      <c r="AP91" s="5">
        <f>AP90+AL91</f>
        <v>-4.440892098500626e-16</v>
      </c>
      <c r="AQ91" s="5">
        <f>AN91+AO91+AP91</f>
        <v>1.312198417984757</v>
      </c>
      <c r="AR91" s="5">
        <f>S91-AQ91</f>
        <v>6.661338147750939e-16</v>
      </c>
      <c r="AS91" s="5">
        <f>AS90</f>
        <v>0</v>
      </c>
      <c r="AT91" s="5">
        <f>AT90+AI91</f>
        <v>0</v>
      </c>
      <c r="AU91" s="5">
        <f>AU90+AM91</f>
        <v>0</v>
      </c>
      <c r="AV91" s="5">
        <f>AS91+AT91+AU91</f>
        <v>0</v>
      </c>
      <c r="AW91" s="5">
        <f>U91-AV91</f>
        <v>0</v>
      </c>
      <c r="AX91" s="4">
        <v>1.3089887570594732</v>
      </c>
      <c r="AY91" s="4">
        <v>1.3121984179847577</v>
      </c>
      <c r="AZ91" s="5">
        <f>S91-AY91</f>
        <v>0</v>
      </c>
      <c r="BA91" s="4">
        <v>0</v>
      </c>
      <c r="BB91" s="4">
        <v>0</v>
      </c>
      <c r="BC91" s="5">
        <f>U91-BB91</f>
        <v>0</v>
      </c>
      <c r="BD91" s="7">
        <f>SUM(IF(BP91="direct",CC91/F91,0),IF(CR91="direct",DE91/F91,0),IF(DT91="direct",EG91/F91,0),IF(EV91="direct",FI91/F91,0),IF(FX91="direct",GK91/F91,0),IF(GZ91="direct",HM91/F91,0),IF(IB91="direct",IO91/F91,0),IF(JD91="direct",JQ91/F91,0),IF(KF91="direct",KS91/F91,0),IF(LH91="direct",LU91/F91,0))</f>
        <v>0</v>
      </c>
      <c r="BE91" s="7">
        <f>-SUM(IF(BP91="direct",CD91/F91,0),IF(CR91="direct",DF91/F91,0),IF(DT91="direct",EH91/F91,0),IF(EV91="direct",FJ91/F91,0),IF(FX91="direct",GL91/F91,0),IF(GZ91="direct",HN91/F91,0),IF(IB91="direct",IP91/F91,0),IF(JD91="direct",JR91/F91,0),IF(KF91="direct",KT91/F91,0),IF(LH91="direct",LV91/F91,0))</f>
        <v>0</v>
      </c>
      <c r="BF91" s="7">
        <f>BD91+BE91</f>
        <v>0</v>
      </c>
      <c r="BG91" s="7">
        <f>BF91-SUM(IF(BP91="direct",CP91,0),IF(CR91="direct",DR91,0),IF(DT91="direct",ET91,0),IF(EV91="direct",FV91,0),IF(FX91="direct",GX91,0),IF(GZ91="direct",HZ91,0),IF(IB91="direct",JB91,0),IF(JD91="direct",KD91,0),IF(KF91="direct",LF91,0),IF(LH91="direct",MH91,0))</f>
        <v>0</v>
      </c>
      <c r="BH91" s="7">
        <f>SUM(IF(BP91="treasury",CP91,0),IF(CR91="treasury",DR91,0),IF(DT91="treasury",ET91,0),IF(EV91="treasury",FV91,0),IF(FX91="treasury",GX91,0),IF(GZ91="treasury",HZ91,0),IF(IB91="treasury",JB91,0),IF(JD91="treasury",KD91,0),IF(KF91="treasury",LF91,0),IF(LH91="treasury",MH91,0))</f>
        <v>0.00016630136986301372</v>
      </c>
      <c r="BI91" s="7">
        <f>SUM(IF(BP91="future",CP91,0),IF(CR91="future",DR91,0),IF(DT91="future",ET91,0),IF(EV91="future",FV91,0),IF(FX91="future",GX91,0),IF(GZ91="future",HZ91,0),IF(IB91="future",JB91,0),IF(JD91="future",KD91,0),IF(KF91="future",LF91,0),IF(LH91="future",MH91,0))</f>
        <v>0.0022857142857142226</v>
      </c>
      <c r="BJ91" s="7">
        <f>SUM(IF(BP91="cash",CP91,0),IF(CR91="cash",DR91,0),IF(DT91="cash",ET91,0),IF(EV91="cash",FV91,0),IF(FX91="cash",GX91,0),IF(GZ91="cash",HZ91,0),IF(IB91="cash",JB91,0),IF(JD91="cash",KD91,0),IF(KF91="cash",LF91,0),IF(LH91="cash",MH91,0))</f>
        <v>0</v>
      </c>
      <c r="BK91" s="7">
        <f>SUM(BF91,BH91,BI91,BJ91)</f>
        <v>0.0024520156555772363</v>
      </c>
      <c r="BL91" s="7">
        <f>G91-BK91</f>
        <v>3.0357660829594124e-18</v>
      </c>
      <c r="BM91" s="5">
        <f>MAX(ABS(CG91),ABS(DI91),ABS(EK91),ABS(FM91),ABS(GO91),ABS(HQ91),ABS(IS91),ABS(JU91),ABS(KW91),ABS(LY91))</f>
        <v>2.0372158821002628e-16</v>
      </c>
      <c r="BN91" s="9">
        <f>COUNTA(BO91,CQ91,DS91,EU91,FW91,GY91,IA91,JC91,KE91,LG91)</f>
        <v>4</v>
      </c>
      <c r="BO91" t="inlineStr">
        <is>
          <t xml:space="preserve">Treasury collateral</t>
        </is>
      </c>
      <c r="BP91" t="inlineStr">
        <is>
          <t xml:space="preserve">treasury</t>
        </is>
      </c>
      <c r="BQ91" t="inlineStr">
        <is>
          <t xml:space="preserve">lease</t>
        </is>
      </c>
      <c r="BR91" t="inlineStr">
        <is>
          <t xml:space="preserve">long</t>
        </is>
      </c>
      <c r="BS91"/>
      <c r="BT91" s="4">
        <v>102.22504504220495</v>
      </c>
      <c r="BU91" s="4">
        <v>102.24204520722976</v>
      </c>
      <c r="BV91" s="6"/>
      <c r="BW91" s="4">
        <v>0.012804971193889314</v>
      </c>
      <c r="BX91" s="5">
        <f>IF(BP91="direct",IFERROR(CD91/BU91,0),0)</f>
        <v>0</v>
      </c>
      <c r="BY91" s="5">
        <f>IF(BP91="direct",BW91-BX91,IF(BP91="cash",CI91,BW91))</f>
        <v>0.012804971193889314</v>
      </c>
      <c r="BZ91" s="6">
        <v>1</v>
      </c>
      <c r="CA91" s="4">
        <v>1.308988757059472</v>
      </c>
      <c r="CB91" s="4">
        <v>1.308988757059472</v>
      </c>
      <c r="CC91" s="5">
        <f>IF(BP91="direct",BW91*(BU91-BT91),CF91)</f>
        <v>0.00021768662343407016</v>
      </c>
      <c r="CD91" s="5">
        <f>IF(BP91="direct",CB91*BV91*C91/365,0)</f>
        <v>0</v>
      </c>
      <c r="CE91" s="5">
        <f>CC91-CD91</f>
        <v>0.00021768662343427388</v>
      </c>
      <c r="CF91" s="4">
        <v>0.00021768662343427388</v>
      </c>
      <c r="CG91" s="5">
        <f>CF91-CE91</f>
        <v>2.0372158821002628e-16</v>
      </c>
      <c r="CH91" s="4">
        <v>-3.049318610115481e-17</v>
      </c>
      <c r="CI91" s="4">
        <v>1.3092064436829063</v>
      </c>
      <c r="CJ91" s="4">
        <v>1.776</v>
      </c>
      <c r="CK91" s="4">
        <v>1.761</v>
      </c>
      <c r="CL91" s="6"/>
      <c r="CM91" s="6"/>
      <c r="CN91" s="6"/>
      <c r="CO91" s="9">
        <v>14</v>
      </c>
      <c r="CP91" s="7">
        <f>IFERROR(CE91/F91,0)</f>
        <v>0.00016630136986301372</v>
      </c>
      <c r="CQ91" t="inlineStr">
        <is>
          <t xml:space="preserve">SI69K</t>
        </is>
      </c>
      <c r="CR91" t="inlineStr">
        <is>
          <t xml:space="preserve">future</t>
        </is>
      </c>
      <c r="CS91" t="inlineStr">
        <is>
          <t xml:space="preserve">lease</t>
        </is>
      </c>
      <c r="CT91" t="inlineStr">
        <is>
          <t xml:space="preserve">long</t>
        </is>
      </c>
      <c r="CU91" t="inlineStr">
        <is>
          <t xml:space="preserve">regular</t>
        </is>
      </c>
      <c r="CV91" s="4">
        <v>1.75</v>
      </c>
      <c r="CW91" s="4">
        <v>1.754</v>
      </c>
      <c r="CX91" s="6"/>
      <c r="CY91" s="4">
        <v>0.747993575462555</v>
      </c>
      <c r="CZ91" s="5">
        <f>IF(CR91="direct",IFERROR(DF91/CW91,0),0)</f>
        <v>0</v>
      </c>
      <c r="DA91" s="5">
        <f>IF(CR91="direct",CY91-CZ91,IF(CR91="cash",DK91,CY91))</f>
        <v>0.747993575462555</v>
      </c>
      <c r="DB91" s="6">
        <v>0.9999999999999993</v>
      </c>
      <c r="DC91" s="4">
        <v>1.3089887570594712</v>
      </c>
      <c r="DD91" s="4">
        <v>0</v>
      </c>
      <c r="DE91" s="5">
        <f>IF(CR91="direct",CY91*(CW91-CV91),DH91)</f>
        <v>0.002991974301850139</v>
      </c>
      <c r="DF91" s="5">
        <f>IF(CR91="direct",DD91*CX91*C91/365,0)</f>
        <v>0</v>
      </c>
      <c r="DG91" s="5">
        <f>DE91-DF91</f>
        <v>0.002991974301850139</v>
      </c>
      <c r="DH91" s="4">
        <v>0.002991974301850139</v>
      </c>
      <c r="DI91" s="5">
        <f>DH91-DG91</f>
        <v>0</v>
      </c>
      <c r="DJ91" s="4">
        <v>-0.002991974301850139</v>
      </c>
      <c r="DK91" s="4">
        <v>0</v>
      </c>
      <c r="DL91" s="4">
        <v>1.776</v>
      </c>
      <c r="DM91" s="4">
        <v>1.761</v>
      </c>
      <c r="DN91" s="6">
        <v>-0.014639639639639657</v>
      </c>
      <c r="DO91" s="6">
        <v>0.0607</v>
      </c>
      <c r="DP91" s="6">
        <v>0.4423763191763196</v>
      </c>
      <c r="DQ91" s="9">
        <v>14</v>
      </c>
      <c r="DR91" s="7">
        <f>IFERROR(DG91/F91,0)</f>
        <v>0.0022857142857142226</v>
      </c>
      <c r="DS91" t="inlineStr">
        <is>
          <t xml:space="preserve">Lease cash / margin / financing</t>
        </is>
      </c>
      <c r="DT91" t="inlineStr">
        <is>
          <t xml:space="preserve">cash</t>
        </is>
      </c>
      <c r="DU91" t="inlineStr">
        <is>
          <t xml:space="preserve">lease</t>
        </is>
      </c>
      <c r="DV91" t="inlineStr">
        <is>
          <t xml:space="preserve">cash</t>
        </is>
      </c>
      <c r="DW91"/>
      <c r="DX91" s="4">
        <v>1</v>
      </c>
      <c r="DY91" s="4">
        <v>1</v>
      </c>
      <c r="DZ91" s="6"/>
      <c r="EA91" s="4">
        <v>1.1102230246251565e-15</v>
      </c>
      <c r="EB91" s="5">
        <f>IF(DT91="direct",IFERROR(EH91/DY91,0),0)</f>
        <v>0</v>
      </c>
      <c r="EC91" s="5">
        <f>IF(DT91="direct",EA91-EB91,IF(DT91="cash",EM91,EA91))</f>
        <v>0.0029919743018512798</v>
      </c>
      <c r="ED91" s="6"/>
      <c r="EE91" s="4">
        <v>1.1102230246251565e-15</v>
      </c>
      <c r="EF91" s="4">
        <v>1.1102230246251565e-15</v>
      </c>
      <c r="EG91" s="5">
        <f>IF(DT91="direct",EA91*(DY91-DX91),EJ91)</f>
        <v>0</v>
      </c>
      <c r="EH91" s="5">
        <f>IF(DT91="direct",EF91*DZ91*C91/365,0)</f>
        <v>0</v>
      </c>
      <c r="EI91" s="5">
        <f>EG91-EH91</f>
        <v>0</v>
      </c>
      <c r="EJ91" s="4">
        <v>0</v>
      </c>
      <c r="EK91" s="5">
        <f>EJ91-EI91</f>
        <v>0</v>
      </c>
      <c r="EL91" s="4">
        <v>0.0029919743018501695</v>
      </c>
      <c r="EM91" s="4">
        <v>0.0029919743018512798</v>
      </c>
      <c r="EN91" s="4">
        <v>1.776</v>
      </c>
      <c r="EO91" s="4">
        <v>1.761</v>
      </c>
      <c r="EP91" s="6"/>
      <c r="EQ91" s="6"/>
      <c r="ER91" s="6"/>
      <c r="ES91" s="9"/>
      <c r="ET91" s="7">
        <f>IFERROR(EI91/F91,0)</f>
        <v>0</v>
      </c>
      <c r="EU91" t="inlineStr">
        <is>
          <t xml:space="preserve">Keep cash / margin / financing</t>
        </is>
      </c>
      <c r="EV91" t="inlineStr">
        <is>
          <t xml:space="preserve">cash</t>
        </is>
      </c>
      <c r="EW91" t="inlineStr">
        <is>
          <t xml:space="preserve">keep</t>
        </is>
      </c>
      <c r="EX91" t="inlineStr">
        <is>
          <t xml:space="preserve">cash</t>
        </is>
      </c>
      <c r="EY91"/>
      <c r="EZ91" s="4">
        <v>1</v>
      </c>
      <c r="FA91" s="4">
        <v>1</v>
      </c>
      <c r="FB91" s="6"/>
      <c r="FC91" s="4">
        <v>0</v>
      </c>
      <c r="FD91" s="5">
        <f>IF(EV91="direct",IFERROR(FJ91/FA91,0),0)</f>
        <v>0</v>
      </c>
      <c r="FE91" s="5">
        <f>IF(EV91="direct",FC91-FD91,IF(EV91="cash",FO91,FC91))</f>
        <v>0</v>
      </c>
      <c r="FF91" s="6"/>
      <c r="FG91" s="4">
        <v>0</v>
      </c>
      <c r="FH91" s="4">
        <v>0</v>
      </c>
      <c r="FI91" s="5">
        <f>IF(EV91="direct",FC91*(FA91-EZ91),FL91)</f>
        <v>0</v>
      </c>
      <c r="FJ91" s="5">
        <f>IF(EV91="direct",FH91*FB91*C91/365,0)</f>
        <v>0</v>
      </c>
      <c r="FK91" s="5">
        <f>FI91-FJ91</f>
        <v>0</v>
      </c>
      <c r="FL91" s="4">
        <v>0</v>
      </c>
      <c r="FM91" s="5">
        <f>FL91-FK91</f>
        <v>0</v>
      </c>
      <c r="FN91" s="4">
        <v>0</v>
      </c>
      <c r="FO91" s="4">
        <v>0</v>
      </c>
      <c r="FP91" s="4">
        <v>1.776</v>
      </c>
      <c r="FQ91" s="4">
        <v>1.761</v>
      </c>
      <c r="FR91" s="6"/>
      <c r="FS91" s="6"/>
      <c r="FT91" s="6"/>
      <c r="FU91" s="9"/>
      <c r="FV91" s="7">
        <f>IFERROR(FK91/F91,0)</f>
        <v>0</v>
      </c>
      <c r="FW91"/>
      <c r="FX91"/>
      <c r="FY91"/>
      <c r="FZ91"/>
      <c r="GA91"/>
      <c r="GB91" s="4"/>
      <c r="GC91" s="4"/>
      <c r="GD91" s="6"/>
      <c r="GE91" s="4"/>
      <c r="GF91" s="5">
        <v>0</v>
      </c>
      <c r="GG91" s="5"/>
      <c r="GH91" s="6"/>
      <c r="GI91" s="4"/>
      <c r="GJ91" s="4"/>
      <c r="GK91" s="5">
        <v>0</v>
      </c>
      <c r="GL91" s="5">
        <v>0</v>
      </c>
      <c r="GM91" s="5"/>
      <c r="GN91" s="4"/>
      <c r="GO91" s="5">
        <v>0</v>
      </c>
      <c r="GP91" s="4"/>
      <c r="GQ91" s="4"/>
      <c r="GR91" s="4"/>
      <c r="GS91" s="4"/>
      <c r="GT91" s="6"/>
      <c r="GU91" s="6"/>
      <c r="GV91" s="6"/>
      <c r="GW91" s="9"/>
      <c r="GX91"/>
      <c r="GY91"/>
      <c r="GZ91"/>
      <c r="HA91"/>
      <c r="HB91"/>
      <c r="HC91"/>
      <c r="HD91" s="4"/>
      <c r="HE91" s="4"/>
      <c r="HF91" s="6"/>
      <c r="HG91" s="4"/>
      <c r="HH91" s="5">
        <v>0</v>
      </c>
      <c r="HI91" s="5"/>
      <c r="HJ91" s="6"/>
      <c r="HK91" s="4"/>
      <c r="HL91" s="4"/>
      <c r="HM91" s="5">
        <v>0</v>
      </c>
      <c r="HN91" s="5">
        <v>0</v>
      </c>
      <c r="HO91" s="5"/>
      <c r="HP91" s="4"/>
      <c r="HQ91" s="5">
        <v>0</v>
      </c>
      <c r="HR91" s="4"/>
      <c r="HS91" s="4"/>
      <c r="HT91" s="4"/>
      <c r="HU91" s="4"/>
      <c r="HV91" s="6"/>
      <c r="HW91" s="6"/>
      <c r="HX91" s="6"/>
      <c r="HY91" s="9"/>
      <c r="HZ91"/>
      <c r="IA91"/>
      <c r="IB91"/>
      <c r="IC91"/>
      <c r="ID91"/>
      <c r="IE91"/>
      <c r="IF91" s="4"/>
      <c r="IG91" s="4"/>
      <c r="IH91" s="6"/>
      <c r="II91" s="4"/>
      <c r="IJ91" s="5">
        <v>0</v>
      </c>
      <c r="IK91" s="5"/>
      <c r="IL91" s="6"/>
      <c r="IM91" s="4"/>
      <c r="IN91" s="4"/>
      <c r="IO91" s="5">
        <v>0</v>
      </c>
      <c r="IP91" s="5">
        <v>0</v>
      </c>
      <c r="IQ91" s="5"/>
      <c r="IR91" s="4"/>
      <c r="IS91" s="5">
        <v>0</v>
      </c>
      <c r="IT91" s="4"/>
      <c r="IU91" s="4"/>
      <c r="IV91" s="4"/>
      <c r="IW91" s="4"/>
      <c r="IX91" s="6"/>
      <c r="IY91" s="6"/>
      <c r="IZ91" s="6"/>
      <c r="JA91" s="9"/>
      <c r="JB91"/>
      <c r="JC91"/>
      <c r="JD91"/>
      <c r="JE91"/>
      <c r="JF91"/>
      <c r="JG91"/>
      <c r="JH91" s="4"/>
      <c r="JI91" s="4"/>
      <c r="JJ91" s="6"/>
      <c r="JK91" s="4"/>
      <c r="JL91" s="5">
        <v>0</v>
      </c>
      <c r="JM91" s="5"/>
      <c r="JN91" s="6"/>
      <c r="JO91" s="4"/>
      <c r="JP91" s="4"/>
      <c r="JQ91" s="5">
        <v>0</v>
      </c>
      <c r="JR91" s="5">
        <v>0</v>
      </c>
      <c r="JS91" s="5"/>
      <c r="JT91" s="4"/>
      <c r="JU91" s="5">
        <v>0</v>
      </c>
      <c r="JV91" s="4"/>
      <c r="JW91" s="4"/>
      <c r="JX91" s="4"/>
      <c r="JY91" s="4"/>
      <c r="JZ91" s="6"/>
      <c r="KA91" s="6"/>
      <c r="KB91" s="6"/>
      <c r="KC91" s="9"/>
      <c r="KD91"/>
      <c r="KE91"/>
      <c r="KF91"/>
      <c r="KG91"/>
      <c r="KH91"/>
      <c r="KI91"/>
      <c r="KJ91" s="4"/>
      <c r="KK91" s="4"/>
      <c r="KL91" s="6"/>
      <c r="KM91" s="4"/>
      <c r="KN91" s="5">
        <v>0</v>
      </c>
      <c r="KO91" s="5"/>
      <c r="KP91" s="6"/>
      <c r="KQ91" s="4"/>
      <c r="KR91" s="4"/>
      <c r="KS91" s="5">
        <v>0</v>
      </c>
      <c r="KT91" s="5">
        <v>0</v>
      </c>
      <c r="KU91" s="5"/>
      <c r="KV91" s="4"/>
      <c r="KW91" s="5">
        <v>0</v>
      </c>
      <c r="KX91" s="4"/>
      <c r="KY91" s="4"/>
      <c r="KZ91" s="4"/>
      <c r="LA91" s="4"/>
      <c r="LB91" s="6"/>
      <c r="LC91" s="6"/>
      <c r="LD91" s="6"/>
      <c r="LE91" s="9"/>
      <c r="LF91"/>
      <c r="LG91"/>
      <c r="LH91"/>
      <c r="LI91"/>
      <c r="LJ91"/>
      <c r="LK91"/>
      <c r="LL91" s="4"/>
      <c r="LM91" s="4"/>
      <c r="LN91" s="6"/>
      <c r="LO91" s="4"/>
      <c r="LP91" s="5">
        <v>0</v>
      </c>
      <c r="LQ91" s="5"/>
      <c r="LR91" s="6"/>
      <c r="LS91" s="4"/>
      <c r="LT91" s="4"/>
      <c r="LU91" s="5">
        <v>0</v>
      </c>
      <c r="LV91" s="5">
        <v>0</v>
      </c>
      <c r="LW91" s="5"/>
      <c r="LX91" s="4"/>
      <c r="LY91" s="5">
        <v>0</v>
      </c>
      <c r="LZ91" s="4"/>
      <c r="MA91" s="4"/>
      <c r="MB91" s="4"/>
      <c r="MC91" s="4"/>
      <c r="MD91" s="6"/>
      <c r="ME91" s="6"/>
      <c r="MF91" s="6"/>
      <c r="MG91" s="9"/>
      <c r="MH91"/>
    </row>
    <row r="92">
      <c r="A92" s="8">
        <v>25338</v>
      </c>
      <c r="B92" s="8">
        <v>25339</v>
      </c>
      <c r="C92" s="9">
        <f>B92-A92</f>
        <v>1</v>
      </c>
      <c r="D92" s="8">
        <v>25338</v>
      </c>
      <c r="E92" t="inlineStr">
        <is>
          <t xml:space="preserve">positive</t>
        </is>
      </c>
      <c r="F92" s="4">
        <v>1.3121984179847563</v>
      </c>
      <c r="G92" s="6">
        <v>0.0001668493150684935</v>
      </c>
      <c r="H92" s="7">
        <f>SUM(CP92,DR92,ET92,FV92,GX92,HZ92,JB92,KD92,LF92,MH92)</f>
        <v>0.00016684931506849313</v>
      </c>
      <c r="I92" s="7">
        <f>G92-H92</f>
        <v>3.7947076036992655e-19</v>
      </c>
      <c r="J92" s="5">
        <f>F92*(1+H92)</f>
        <v>1.3124173573920308</v>
      </c>
      <c r="K92" s="4">
        <v>1.3124173573920308</v>
      </c>
      <c r="L92" s="5">
        <f>K92-J92</f>
        <v>0</v>
      </c>
      <c r="M92" s="4">
        <v>1.761</v>
      </c>
      <c r="N92" s="4">
        <v>1.781</v>
      </c>
      <c r="O92" s="5">
        <f>M92/$M$3</f>
        <v>0.8993871297242083</v>
      </c>
      <c r="P92" s="5">
        <f>N92/$M$3</f>
        <v>0.9096016343207354</v>
      </c>
      <c r="Q92" s="7">
        <f>IFERROR(N92/M92-1,0)</f>
        <v>0.011357183418512218</v>
      </c>
      <c r="R92" s="5">
        <f>SUM(IF(BQ92="lease",CB92,0),IF(CS92="lease",DD92,0),IF(DU92="lease",EF92,0),IF(EW92="lease",FH92,0),IF(FY92="lease",GJ92,0),IF(HA92="lease",HL92,0),IF(IC92="lease",IN92,0),IF(JE92="lease",JP92,0),IF(KG92="lease",KR92,0),IF(LI92="lease",LT92,0))</f>
        <v>1.3121984179847577</v>
      </c>
      <c r="S92" s="5">
        <f>SUM(IF(BQ92="lease",CI92,0),IF(CS92="lease",DK92,0),IF(DU92="lease",EM92,0),IF(EW92="lease",FO92,0),IF(FY92="lease",GQ92,0),IF(HA92="lease",HS92,0),IF(IC92="lease",IU92,0),IF(JE92="lease",JW92,0),IF(KG92="lease",KY92,0),IF(LI92="lease",MA92,0))</f>
        <v>1.3124173573920324</v>
      </c>
      <c r="T92" s="5">
        <f>SUM(IF(BQ92="keep",CB92,0),IF(CS92="keep",DD92,0),IF(DU92="keep",EF92,0),IF(EW92="keep",FH92,0),IF(FY92="keep",GJ92,0),IF(HA92="keep",HL92,0),IF(IC92="keep",IN92,0),IF(JE92="keep",JP92,0),IF(KG92="keep",KR92,0),IF(LI92="keep",LT92,0))</f>
        <v>0</v>
      </c>
      <c r="U92" s="5">
        <f>SUM(IF(BQ92="keep",CI92,0),IF(CS92="keep",DK92,0),IF(DU92="keep",EM92,0),IF(EW92="keep",FO92,0),IF(FY92="keep",GQ92,0),IF(HA92="keep",HS92,0),IF(IC92="keep",IU92,0),IF(JE92="keep",JW92,0),IF(KG92="keep",KY92,0),IF(LI92="keep",MA92,0))</f>
        <v>0</v>
      </c>
      <c r="V92" s="5">
        <f>R92/O92</f>
        <v>1.458991767412922</v>
      </c>
      <c r="W92" s="5">
        <f>S92/P92</f>
        <v>1.4428485040839976</v>
      </c>
      <c r="X92" s="5">
        <f>T92/O92</f>
        <v>0</v>
      </c>
      <c r="Y92" s="5">
        <f>U92/P92</f>
        <v>0</v>
      </c>
      <c r="Z92" s="5">
        <f>V92+X92</f>
        <v>1.458991767412922</v>
      </c>
      <c r="AA92" s="7">
        <f>IFERROR(W92/V92-1,0)</f>
        <v>-0.011064670609862048</v>
      </c>
      <c r="AB92" s="7">
        <f>IFERROR((W92-V92)/Z92,0)</f>
        <v>-0.01106467060986206</v>
      </c>
      <c r="AC92" s="7">
        <f>IFERROR(Y92/X92-1,0)</f>
        <v>0</v>
      </c>
      <c r="AD92" s="7">
        <f>IFERROR((Y92-X92)/Z92,0)</f>
        <v>0</v>
      </c>
      <c r="AE92" s="7">
        <f>AB92+AD92</f>
        <v>-0.01106467060986206</v>
      </c>
      <c r="AF92" s="7">
        <f>(1+Q92)*(1+AE92)-1</f>
        <v>0.00016684931506860678</v>
      </c>
      <c r="AG92" s="7">
        <f>G92-AF92</f>
        <v>-1.1327202197042308e-16</v>
      </c>
      <c r="AH92" s="5">
        <f>SUM(IF(BQ92="lease",CE92,0),IF(CS92="lease",DG92,0),IF(DU92="lease",EI92,0),IF(EW92="lease",FK92,0),IF(FY92="lease",GM92,0),IF(HA92="lease",HO92,0),IF(IC92="lease",IQ92,0),IF(JE92="lease",JS92,0),IF(KG92="lease",KU92,0),IF(LI92="lease",LW92,0))</f>
        <v>0.00021893940727471685</v>
      </c>
      <c r="AI92" s="5">
        <f>SUM(IF(BQ92="keep",CE92,0),IF(CS92="keep",DG92,0),IF(DU92="keep",EI92,0),IF(EW92="keep",FK92,0),IF(FY92="keep",GM92,0),IF(HA92="keep",HO92,0),IF(IC92="keep",IQ92,0),IF(JE92="keep",JS92,0),IF(KG92="keep",KU92,0),IF(LI92="keep",LW92,0))</f>
        <v>0</v>
      </c>
      <c r="AJ92" s="5">
        <f>SUM(IF(BQ92="lease",CH92,0),IF(CS92="lease",DJ92,0),IF(DU92="lease",EL92,0),IF(EW92="lease",FN92,0),IF(FY92="lease",GP92,0),IF(HA92="lease",HR92,0),IF(IC92="lease",IT92,0),IF(JE92="lease",JV92,0),IF(KG92="lease",KX92,0),IF(LI92="lease",LZ92,0))</f>
        <v>0</v>
      </c>
      <c r="AK92" s="5">
        <f>SUM(IF(BQ92="keep",CH92,0),IF(CS92="keep",DJ92,0),IF(DU92="keep",EL92,0),IF(EW92="keep",FN92,0),IF(FY92="keep",GP92,0),IF(HA92="keep",HR92,0),IF(IC92="keep",IT92,0),IF(JE92="keep",JV92,0),IF(KG92="keep",KX92,0),IF(LI92="keep",LZ92,0))</f>
        <v>0</v>
      </c>
      <c r="AL92" s="5">
        <f>R92-S91</f>
        <v>0</v>
      </c>
      <c r="AM92" s="5">
        <f>T92-U91</f>
        <v>0</v>
      </c>
      <c r="AN92" s="5">
        <f>AN91</f>
        <v>1</v>
      </c>
      <c r="AO92" s="5">
        <f>AO91+AH92</f>
        <v>0.3124173573920322</v>
      </c>
      <c r="AP92" s="5">
        <f>AP91+AL92</f>
        <v>-4.440892098500626e-16</v>
      </c>
      <c r="AQ92" s="5">
        <f>AN92+AO92+AP92</f>
        <v>1.3124173573920317</v>
      </c>
      <c r="AR92" s="5">
        <f>S92-AQ92</f>
        <v>6.661338147750939e-16</v>
      </c>
      <c r="AS92" s="5">
        <f>AS91</f>
        <v>0</v>
      </c>
      <c r="AT92" s="5">
        <f>AT91+AI92</f>
        <v>0</v>
      </c>
      <c r="AU92" s="5">
        <f>AU91+AM92</f>
        <v>0</v>
      </c>
      <c r="AV92" s="5">
        <f>AS92+AT92+AU92</f>
        <v>0</v>
      </c>
      <c r="AW92" s="5">
        <f>U92-AV92</f>
        <v>0</v>
      </c>
      <c r="AX92" s="4">
        <v>1.3121984179847577</v>
      </c>
      <c r="AY92" s="4">
        <v>1.3124173573920324</v>
      </c>
      <c r="AZ92" s="5">
        <f>S92-AY92</f>
        <v>0</v>
      </c>
      <c r="BA92" s="4">
        <v>0</v>
      </c>
      <c r="BB92" s="4">
        <v>0</v>
      </c>
      <c r="BC92" s="5">
        <f>U92-BB92</f>
        <v>0</v>
      </c>
      <c r="BD92" s="7">
        <f>SUM(IF(BP92="direct",CC92/F92,0),IF(CR92="direct",DE92/F92,0),IF(DT92="direct",EG92/F92,0),IF(EV92="direct",FI92/F92,0),IF(FX92="direct",GK92/F92,0),IF(GZ92="direct",HM92/F92,0),IF(IB92="direct",IO92/F92,0),IF(JD92="direct",JQ92/F92,0),IF(KF92="direct",KS92/F92,0),IF(LH92="direct",LU92/F92,0))</f>
        <v>0</v>
      </c>
      <c r="BE92" s="7">
        <f>-SUM(IF(BP92="direct",CD92/F92,0),IF(CR92="direct",DF92/F92,0),IF(DT92="direct",EH92/F92,0),IF(EV92="direct",FJ92/F92,0),IF(FX92="direct",GL92/F92,0),IF(GZ92="direct",HN92/F92,0),IF(IB92="direct",IP92/F92,0),IF(JD92="direct",JR92/F92,0),IF(KF92="direct",KT92/F92,0),IF(LH92="direct",LV92/F92,0))</f>
        <v>0</v>
      </c>
      <c r="BF92" s="7">
        <f>BD92+BE92</f>
        <v>0</v>
      </c>
      <c r="BG92" s="7">
        <f>BF92-SUM(IF(BP92="direct",CP92,0),IF(CR92="direct",DR92,0),IF(DT92="direct",ET92,0),IF(EV92="direct",FV92,0),IF(FX92="direct",GX92,0),IF(GZ92="direct",HZ92,0),IF(IB92="direct",JB92,0),IF(JD92="direct",KD92,0),IF(KF92="direct",LF92,0),IF(LH92="direct",MH92,0))</f>
        <v>0</v>
      </c>
      <c r="BH92" s="7">
        <f>SUM(IF(BP92="treasury",CP92,0),IF(CR92="treasury",DR92,0),IF(DT92="treasury",ET92,0),IF(EV92="treasury",FV92,0),IF(FX92="treasury",GX92,0),IF(GZ92="treasury",HZ92,0),IF(IB92="treasury",JB92,0),IF(JD92="treasury",KD92,0),IF(KF92="treasury",LF92,0),IF(LH92="treasury",MH92,0))</f>
        <v>0.00016684931506849313</v>
      </c>
      <c r="BI92" s="7">
        <f>SUM(IF(BP92="future",CP92,0),IF(CR92="future",DR92,0),IF(DT92="future",ET92,0),IF(EV92="future",FV92,0),IF(FX92="future",GX92,0),IF(GZ92="future",HZ92,0),IF(IB92="future",JB92,0),IF(JD92="future",KD92,0),IF(KF92="future",LF92,0),IF(LH92="future",MH92,0))</f>
        <v>0</v>
      </c>
      <c r="BJ92" s="7">
        <f>SUM(IF(BP92="cash",CP92,0),IF(CR92="cash",DR92,0),IF(DT92="cash",ET92,0),IF(EV92="cash",FV92,0),IF(FX92="cash",GX92,0),IF(GZ92="cash",HZ92,0),IF(IB92="cash",JB92,0),IF(JD92="cash",KD92,0),IF(KF92="cash",LF92,0),IF(LH92="cash",MH92,0))</f>
        <v>0</v>
      </c>
      <c r="BK92" s="7">
        <f>SUM(BF92,BH92,BI92,BJ92)</f>
        <v>0.00016684931506849313</v>
      </c>
      <c r="BL92" s="7">
        <f>G92-BK92</f>
        <v>3.7947076036992655e-19</v>
      </c>
      <c r="BM92" s="5">
        <f>MAX(ABS(CG92),ABS(DI92),ABS(EK92),ABS(FM92),ABS(GO92),ABS(HQ92),ABS(IS92),ABS(JU92),ABS(KW92),ABS(LY92))</f>
        <v>3.133344278483108e-17</v>
      </c>
      <c r="BN92" s="9">
        <f>COUNTA(BO92,CQ92,DS92,EU92,FW92,GY92,IA92,JC92,KE92,LG92)</f>
        <v>4</v>
      </c>
      <c r="BO92" t="inlineStr">
        <is>
          <t xml:space="preserve">Treasury collateral</t>
        </is>
      </c>
      <c r="BP92" t="inlineStr">
        <is>
          <t xml:space="preserve">treasury</t>
        </is>
      </c>
      <c r="BQ92" t="inlineStr">
        <is>
          <t xml:space="preserve">lease</t>
        </is>
      </c>
      <c r="BR92" t="inlineStr">
        <is>
          <t xml:space="preserve">long</t>
        </is>
      </c>
      <c r="BS92"/>
      <c r="BT92" s="4">
        <v>102.24204520722976</v>
      </c>
      <c r="BU92" s="4">
        <v>102.2591042224438</v>
      </c>
      <c r="BV92" s="6"/>
      <c r="BW92" s="4">
        <v>0.012834234832892094</v>
      </c>
      <c r="BX92" s="5">
        <f>IF(BP92="direct",IFERROR(CD92/BU92,0),0)</f>
        <v>0</v>
      </c>
      <c r="BY92" s="5">
        <f>IF(BP92="direct",BW92-BX92,IF(BP92="cash",CI92,BW92))</f>
        <v>0.012834234832892094</v>
      </c>
      <c r="BZ92" s="6">
        <v>1</v>
      </c>
      <c r="CA92" s="4">
        <v>1.3121984179847563</v>
      </c>
      <c r="CB92" s="4">
        <v>1.3121984179847563</v>
      </c>
      <c r="CC92" s="5">
        <f>IF(BP92="direct",BW92*(BU92-BT92),CF92)</f>
        <v>0.00021893940727474819</v>
      </c>
      <c r="CD92" s="5">
        <f>IF(BP92="direct",CB92*BV92*C92/365,0)</f>
        <v>0</v>
      </c>
      <c r="CE92" s="5">
        <f>CC92-CD92</f>
        <v>0.00021893940727471685</v>
      </c>
      <c r="CF92" s="4">
        <v>0.00021893940727471685</v>
      </c>
      <c r="CG92" s="5">
        <f>CF92-CE92</f>
        <v>-3.133344278483108e-17</v>
      </c>
      <c r="CH92" s="4">
        <v>1.9271693615929841e-16</v>
      </c>
      <c r="CI92" s="4">
        <v>1.3124173573920312</v>
      </c>
      <c r="CJ92" s="4">
        <v>1.761</v>
      </c>
      <c r="CK92" s="4">
        <v>1.781</v>
      </c>
      <c r="CL92" s="6"/>
      <c r="CM92" s="6"/>
      <c r="CN92" s="6"/>
      <c r="CO92" s="9">
        <v>13</v>
      </c>
      <c r="CP92" s="7">
        <f>IFERROR(CE92/F92,0)</f>
        <v>0.00016684931506849313</v>
      </c>
      <c r="CQ92" t="inlineStr">
        <is>
          <t xml:space="preserve">SI69K</t>
        </is>
      </c>
      <c r="CR92" t="inlineStr">
        <is>
          <t xml:space="preserve">future</t>
        </is>
      </c>
      <c r="CS92" t="inlineStr">
        <is>
          <t xml:space="preserve">lease</t>
        </is>
      </c>
      <c r="CT92" t="inlineStr">
        <is>
          <t xml:space="preserve">long</t>
        </is>
      </c>
      <c r="CU92" t="inlineStr">
        <is>
          <t xml:space="preserve">regular</t>
        </is>
      </c>
      <c r="CV92" s="4">
        <v>1.754</v>
      </c>
      <c r="CW92" s="4">
        <v>1.754</v>
      </c>
      <c r="CX92" s="6"/>
      <c r="CY92" s="4">
        <v>0.7481176841418218</v>
      </c>
      <c r="CZ92" s="5">
        <f>IF(CR92="direct",IFERROR(DF92/CW92,0),0)</f>
        <v>0</v>
      </c>
      <c r="DA92" s="5">
        <f>IF(CR92="direct",CY92-CZ92,IF(CR92="cash",DK92,CY92))</f>
        <v>0.7481176841418218</v>
      </c>
      <c r="DB92" s="6">
        <v>0.9999999999999993</v>
      </c>
      <c r="DC92" s="4">
        <v>1.3121984179847554</v>
      </c>
      <c r="DD92" s="4">
        <v>0</v>
      </c>
      <c r="DE92" s="5">
        <f>IF(CR92="direct",CY92*(CW92-CV92),DH92)</f>
        <v>0</v>
      </c>
      <c r="DF92" s="5">
        <f>IF(CR92="direct",DD92*CX92*C92/365,0)</f>
        <v>0</v>
      </c>
      <c r="DG92" s="5">
        <f>DE92-DF92</f>
        <v>0</v>
      </c>
      <c r="DH92" s="4">
        <v>0</v>
      </c>
      <c r="DI92" s="5">
        <f>DH92-DG92</f>
        <v>0</v>
      </c>
      <c r="DJ92" s="4">
        <v>0</v>
      </c>
      <c r="DK92" s="4">
        <v>0</v>
      </c>
      <c r="DL92" s="4">
        <v>1.761</v>
      </c>
      <c r="DM92" s="4">
        <v>1.781</v>
      </c>
      <c r="DN92" s="6">
        <v>-0.003975014196479165</v>
      </c>
      <c r="DO92" s="6">
        <v>0.060899999999999996</v>
      </c>
      <c r="DP92" s="6">
        <v>0.1725061678242227</v>
      </c>
      <c r="DQ92" s="9">
        <v>13</v>
      </c>
      <c r="DR92" s="7">
        <f>IFERROR(DG92/F92,0)</f>
        <v>0</v>
      </c>
      <c r="DS92" t="inlineStr">
        <is>
          <t xml:space="preserve">Lease cash / margin / financing</t>
        </is>
      </c>
      <c r="DT92" t="inlineStr">
        <is>
          <t xml:space="preserve">cash</t>
        </is>
      </c>
      <c r="DU92" t="inlineStr">
        <is>
          <t xml:space="preserve">lease</t>
        </is>
      </c>
      <c r="DV92" t="inlineStr">
        <is>
          <t xml:space="preserve">cash</t>
        </is>
      </c>
      <c r="DW92"/>
      <c r="DX92" s="4">
        <v>1</v>
      </c>
      <c r="DY92" s="4">
        <v>1</v>
      </c>
      <c r="DZ92" s="6"/>
      <c r="EA92" s="4">
        <v>1.3322676295501878e-15</v>
      </c>
      <c r="EB92" s="5">
        <f>IF(DT92="direct",IFERROR(EH92/DY92,0),0)</f>
        <v>0</v>
      </c>
      <c r="EC92" s="5">
        <f>IF(DT92="direct",EA92-EB92,IF(DT92="cash",EM92,EA92))</f>
        <v>1.1395506933908894e-15</v>
      </c>
      <c r="ED92" s="6"/>
      <c r="EE92" s="4">
        <v>1.3322676295501878e-15</v>
      </c>
      <c r="EF92" s="4">
        <v>1.3322676295501878e-15</v>
      </c>
      <c r="EG92" s="5">
        <f>IF(DT92="direct",EA92*(DY92-DX92),EJ92)</f>
        <v>0</v>
      </c>
      <c r="EH92" s="5">
        <f>IF(DT92="direct",EF92*DZ92*C92/365,0)</f>
        <v>0</v>
      </c>
      <c r="EI92" s="5">
        <f>EG92-EH92</f>
        <v>0</v>
      </c>
      <c r="EJ92" s="4">
        <v>0</v>
      </c>
      <c r="EK92" s="5">
        <f>EJ92-EI92</f>
        <v>0</v>
      </c>
      <c r="EL92" s="4">
        <v>-1.9271693615929841e-16</v>
      </c>
      <c r="EM92" s="4">
        <v>1.1395506933908894e-15</v>
      </c>
      <c r="EN92" s="4">
        <v>1.761</v>
      </c>
      <c r="EO92" s="4">
        <v>1.781</v>
      </c>
      <c r="EP92" s="6"/>
      <c r="EQ92" s="6"/>
      <c r="ER92" s="6"/>
      <c r="ES92" s="9"/>
      <c r="ET92" s="7">
        <f>IFERROR(EI92/F92,0)</f>
        <v>0</v>
      </c>
      <c r="EU92" t="inlineStr">
        <is>
          <t xml:space="preserve">Keep cash / margin / financing</t>
        </is>
      </c>
      <c r="EV92" t="inlineStr">
        <is>
          <t xml:space="preserve">cash</t>
        </is>
      </c>
      <c r="EW92" t="inlineStr">
        <is>
          <t xml:space="preserve">keep</t>
        </is>
      </c>
      <c r="EX92" t="inlineStr">
        <is>
          <t xml:space="preserve">cash</t>
        </is>
      </c>
      <c r="EY92"/>
      <c r="EZ92" s="4">
        <v>1</v>
      </c>
      <c r="FA92" s="4">
        <v>1</v>
      </c>
      <c r="FB92" s="6"/>
      <c r="FC92" s="4">
        <v>0</v>
      </c>
      <c r="FD92" s="5">
        <f>IF(EV92="direct",IFERROR(FJ92/FA92,0),0)</f>
        <v>0</v>
      </c>
      <c r="FE92" s="5">
        <f>IF(EV92="direct",FC92-FD92,IF(EV92="cash",FO92,FC92))</f>
        <v>0</v>
      </c>
      <c r="FF92" s="6"/>
      <c r="FG92" s="4">
        <v>0</v>
      </c>
      <c r="FH92" s="4">
        <v>0</v>
      </c>
      <c r="FI92" s="5">
        <f>IF(EV92="direct",FC92*(FA92-EZ92),FL92)</f>
        <v>0</v>
      </c>
      <c r="FJ92" s="5">
        <f>IF(EV92="direct",FH92*FB92*C92/365,0)</f>
        <v>0</v>
      </c>
      <c r="FK92" s="5">
        <f>FI92-FJ92</f>
        <v>0</v>
      </c>
      <c r="FL92" s="4">
        <v>0</v>
      </c>
      <c r="FM92" s="5">
        <f>FL92-FK92</f>
        <v>0</v>
      </c>
      <c r="FN92" s="4">
        <v>0</v>
      </c>
      <c r="FO92" s="4">
        <v>0</v>
      </c>
      <c r="FP92" s="4">
        <v>1.761</v>
      </c>
      <c r="FQ92" s="4">
        <v>1.781</v>
      </c>
      <c r="FR92" s="6"/>
      <c r="FS92" s="6"/>
      <c r="FT92" s="6"/>
      <c r="FU92" s="9"/>
      <c r="FV92" s="7">
        <f>IFERROR(FK92/F92,0)</f>
        <v>0</v>
      </c>
      <c r="FW92"/>
      <c r="FX92"/>
      <c r="FY92"/>
      <c r="FZ92"/>
      <c r="GA92"/>
      <c r="GB92" s="4"/>
      <c r="GC92" s="4"/>
      <c r="GD92" s="6"/>
      <c r="GE92" s="4"/>
      <c r="GF92" s="5">
        <v>0</v>
      </c>
      <c r="GG92" s="5"/>
      <c r="GH92" s="6"/>
      <c r="GI92" s="4"/>
      <c r="GJ92" s="4"/>
      <c r="GK92" s="5">
        <v>0</v>
      </c>
      <c r="GL92" s="5">
        <v>0</v>
      </c>
      <c r="GM92" s="5"/>
      <c r="GN92" s="4"/>
      <c r="GO92" s="5">
        <v>0</v>
      </c>
      <c r="GP92" s="4"/>
      <c r="GQ92" s="4"/>
      <c r="GR92" s="4"/>
      <c r="GS92" s="4"/>
      <c r="GT92" s="6"/>
      <c r="GU92" s="6"/>
      <c r="GV92" s="6"/>
      <c r="GW92" s="9"/>
      <c r="GX92"/>
      <c r="GY92"/>
      <c r="GZ92"/>
      <c r="HA92"/>
      <c r="HB92"/>
      <c r="HC92"/>
      <c r="HD92" s="4"/>
      <c r="HE92" s="4"/>
      <c r="HF92" s="6"/>
      <c r="HG92" s="4"/>
      <c r="HH92" s="5">
        <v>0</v>
      </c>
      <c r="HI92" s="5"/>
      <c r="HJ92" s="6"/>
      <c r="HK92" s="4"/>
      <c r="HL92" s="4"/>
      <c r="HM92" s="5">
        <v>0</v>
      </c>
      <c r="HN92" s="5">
        <v>0</v>
      </c>
      <c r="HO92" s="5"/>
      <c r="HP92" s="4"/>
      <c r="HQ92" s="5">
        <v>0</v>
      </c>
      <c r="HR92" s="4"/>
      <c r="HS92" s="4"/>
      <c r="HT92" s="4"/>
      <c r="HU92" s="4"/>
      <c r="HV92" s="6"/>
      <c r="HW92" s="6"/>
      <c r="HX92" s="6"/>
      <c r="HY92" s="9"/>
      <c r="HZ92"/>
      <c r="IA92"/>
      <c r="IB92"/>
      <c r="IC92"/>
      <c r="ID92"/>
      <c r="IE92"/>
      <c r="IF92" s="4"/>
      <c r="IG92" s="4"/>
      <c r="IH92" s="6"/>
      <c r="II92" s="4"/>
      <c r="IJ92" s="5">
        <v>0</v>
      </c>
      <c r="IK92" s="5"/>
      <c r="IL92" s="6"/>
      <c r="IM92" s="4"/>
      <c r="IN92" s="4"/>
      <c r="IO92" s="5">
        <v>0</v>
      </c>
      <c r="IP92" s="5">
        <v>0</v>
      </c>
      <c r="IQ92" s="5"/>
      <c r="IR92" s="4"/>
      <c r="IS92" s="5">
        <v>0</v>
      </c>
      <c r="IT92" s="4"/>
      <c r="IU92" s="4"/>
      <c r="IV92" s="4"/>
      <c r="IW92" s="4"/>
      <c r="IX92" s="6"/>
      <c r="IY92" s="6"/>
      <c r="IZ92" s="6"/>
      <c r="JA92" s="9"/>
      <c r="JB92"/>
      <c r="JC92"/>
      <c r="JD92"/>
      <c r="JE92"/>
      <c r="JF92"/>
      <c r="JG92"/>
      <c r="JH92" s="4"/>
      <c r="JI92" s="4"/>
      <c r="JJ92" s="6"/>
      <c r="JK92" s="4"/>
      <c r="JL92" s="5">
        <v>0</v>
      </c>
      <c r="JM92" s="5"/>
      <c r="JN92" s="6"/>
      <c r="JO92" s="4"/>
      <c r="JP92" s="4"/>
      <c r="JQ92" s="5">
        <v>0</v>
      </c>
      <c r="JR92" s="5">
        <v>0</v>
      </c>
      <c r="JS92" s="5"/>
      <c r="JT92" s="4"/>
      <c r="JU92" s="5">
        <v>0</v>
      </c>
      <c r="JV92" s="4"/>
      <c r="JW92" s="4"/>
      <c r="JX92" s="4"/>
      <c r="JY92" s="4"/>
      <c r="JZ92" s="6"/>
      <c r="KA92" s="6"/>
      <c r="KB92" s="6"/>
      <c r="KC92" s="9"/>
      <c r="KD92"/>
      <c r="KE92"/>
      <c r="KF92"/>
      <c r="KG92"/>
      <c r="KH92"/>
      <c r="KI92"/>
      <c r="KJ92" s="4"/>
      <c r="KK92" s="4"/>
      <c r="KL92" s="6"/>
      <c r="KM92" s="4"/>
      <c r="KN92" s="5">
        <v>0</v>
      </c>
      <c r="KO92" s="5"/>
      <c r="KP92" s="6"/>
      <c r="KQ92" s="4"/>
      <c r="KR92" s="4"/>
      <c r="KS92" s="5">
        <v>0</v>
      </c>
      <c r="KT92" s="5">
        <v>0</v>
      </c>
      <c r="KU92" s="5"/>
      <c r="KV92" s="4"/>
      <c r="KW92" s="5">
        <v>0</v>
      </c>
      <c r="KX92" s="4"/>
      <c r="KY92" s="4"/>
      <c r="KZ92" s="4"/>
      <c r="LA92" s="4"/>
      <c r="LB92" s="6"/>
      <c r="LC92" s="6"/>
      <c r="LD92" s="6"/>
      <c r="LE92" s="9"/>
      <c r="LF92"/>
      <c r="LG92"/>
      <c r="LH92"/>
      <c r="LI92"/>
      <c r="LJ92"/>
      <c r="LK92"/>
      <c r="LL92" s="4"/>
      <c r="LM92" s="4"/>
      <c r="LN92" s="6"/>
      <c r="LO92" s="4"/>
      <c r="LP92" s="5">
        <v>0</v>
      </c>
      <c r="LQ92" s="5"/>
      <c r="LR92" s="6"/>
      <c r="LS92" s="4"/>
      <c r="LT92" s="4"/>
      <c r="LU92" s="5">
        <v>0</v>
      </c>
      <c r="LV92" s="5">
        <v>0</v>
      </c>
      <c r="LW92" s="5"/>
      <c r="LX92" s="4"/>
      <c r="LY92" s="5">
        <v>0</v>
      </c>
      <c r="LZ92" s="4"/>
      <c r="MA92" s="4"/>
      <c r="MB92" s="4"/>
      <c r="MC92" s="4"/>
      <c r="MD92" s="6"/>
      <c r="ME92" s="6"/>
      <c r="MF92" s="6"/>
      <c r="MG92" s="9"/>
      <c r="MH92"/>
    </row>
    <row r="93">
      <c r="A93" s="8">
        <v>25339</v>
      </c>
      <c r="B93" s="8">
        <v>25342</v>
      </c>
      <c r="C93" s="9">
        <f>B93-A93</f>
        <v>3</v>
      </c>
      <c r="D93" s="8">
        <v>25339</v>
      </c>
      <c r="E93" t="inlineStr">
        <is>
          <t xml:space="preserve">positive</t>
        </is>
      </c>
      <c r="F93" s="4">
        <v>1.3124173573920308</v>
      </c>
      <c r="G93" s="6">
        <v>-0.0063401352681151015</v>
      </c>
      <c r="H93" s="7">
        <f>SUM(CP93,DR93,ET93,FV93,GX93,HZ93,JB93,KD93,LF93,MH93)</f>
        <v>-0.0063401352681151015</v>
      </c>
      <c r="I93" s="7">
        <f>G93-H93</f>
        <v>0</v>
      </c>
      <c r="J93" s="5">
        <f>F93*(1+H93)</f>
        <v>1.3040964538179431</v>
      </c>
      <c r="K93" s="4">
        <v>1.3040964538179431</v>
      </c>
      <c r="L93" s="5">
        <f>K93-J93</f>
        <v>0</v>
      </c>
      <c r="M93" s="4">
        <v>1.781</v>
      </c>
      <c r="N93" s="4">
        <v>1.761</v>
      </c>
      <c r="O93" s="5">
        <f>M93/$M$3</f>
        <v>0.9096016343207354</v>
      </c>
      <c r="P93" s="5">
        <f>N93/$M$3</f>
        <v>0.8993871297242083</v>
      </c>
      <c r="Q93" s="7">
        <f>IFERROR(N93/M93-1,0)</f>
        <v>-0.011229646266142645</v>
      </c>
      <c r="R93" s="5">
        <f>SUM(IF(BQ93="lease",CB93,0),IF(CS93="lease",DD93,0),IF(DU93="lease",EF93,0),IF(EW93="lease",FH93,0),IF(FY93="lease",GJ93,0),IF(HA93="lease",HL93,0),IF(IC93="lease",IN93,0),IF(JE93="lease",JP93,0),IF(KG93="lease",KR93,0),IF(LI93="lease",LT93,0))</f>
        <v>1.3124173573920324</v>
      </c>
      <c r="S93" s="5">
        <f>SUM(IF(BQ93="lease",CI93,0),IF(CS93="lease",DK93,0),IF(DU93="lease",EM93,0),IF(EW93="lease",FO93,0),IF(FY93="lease",GQ93,0),IF(HA93="lease",HS93,0),IF(IC93="lease",IU93,0),IF(JE93="lease",JW93,0),IF(KG93="lease",KY93,0),IF(LI93="lease",MA93,0))</f>
        <v>1.3040964538179447</v>
      </c>
      <c r="T93" s="5">
        <f>SUM(IF(BQ93="keep",CB93,0),IF(CS93="keep",DD93,0),IF(DU93="keep",EF93,0),IF(EW93="keep",FH93,0),IF(FY93="keep",GJ93,0),IF(HA93="keep",HL93,0),IF(IC93="keep",IN93,0),IF(JE93="keep",JP93,0),IF(KG93="keep",KR93,0),IF(LI93="keep",LT93,0))</f>
        <v>0</v>
      </c>
      <c r="U93" s="5">
        <f>SUM(IF(BQ93="keep",CI93,0),IF(CS93="keep",DK93,0),IF(DU93="keep",EM93,0),IF(EW93="keep",FO93,0),IF(FY93="keep",GQ93,0),IF(HA93="keep",HS93,0),IF(IC93="keep",IU93,0),IF(JE93="keep",JW93,0),IF(KG93="keep",KY93,0),IF(LI93="keep",MA93,0))</f>
        <v>0</v>
      </c>
      <c r="V93" s="5">
        <f>R93/O93</f>
        <v>1.4428485040839976</v>
      </c>
      <c r="W93" s="5">
        <f>S93/P93</f>
        <v>1.4499834506391458</v>
      </c>
      <c r="X93" s="5">
        <f>T93/O93</f>
        <v>0</v>
      </c>
      <c r="Y93" s="5">
        <f>U93/P93</f>
        <v>0</v>
      </c>
      <c r="Z93" s="5">
        <f>V93+X93</f>
        <v>1.4428485040839976</v>
      </c>
      <c r="AA93" s="7">
        <f>IFERROR(W93/V93-1,0)</f>
        <v>0.004945042071258898</v>
      </c>
      <c r="AB93" s="7">
        <f>IFERROR((W93-V93)/Z93,0)</f>
        <v>0.004945042071258831</v>
      </c>
      <c r="AC93" s="7">
        <f>IFERROR(Y93/X93-1,0)</f>
        <v>0</v>
      </c>
      <c r="AD93" s="7">
        <f>IFERROR((Y93-X93)/Z93,0)</f>
        <v>0</v>
      </c>
      <c r="AE93" s="7">
        <f>AB93+AD93</f>
        <v>0.004945042071258831</v>
      </c>
      <c r="AF93" s="7">
        <f>(1+Q93)*(1+AE93)-1</f>
        <v>-0.006340135268115166</v>
      </c>
      <c r="AG93" s="7">
        <f>G93-AF93</f>
        <v>6.418476861114186e-17</v>
      </c>
      <c r="AH93" s="5">
        <f>SUM(IF(BQ93="lease",CE93,0),IF(CS93="lease",DG93,0),IF(DU93="lease",EI93,0),IF(EW93="lease",FK93,0),IF(FY93="lease",GM93,0),IF(HA93="lease",HO93,0),IF(IC93="lease",IQ93,0),IF(JE93="lease",JS93,0),IF(KG93="lease",KU93,0),IF(LI93="lease",LW93,0))</f>
        <v>-0.008320903574087636</v>
      </c>
      <c r="AI93" s="5">
        <f>SUM(IF(BQ93="keep",CE93,0),IF(CS93="keep",DG93,0),IF(DU93="keep",EI93,0),IF(EW93="keep",FK93,0),IF(FY93="keep",GM93,0),IF(HA93="keep",HO93,0),IF(IC93="keep",IQ93,0),IF(JE93="keep",JS93,0),IF(KG93="keep",KU93,0),IF(LI93="keep",LW93,0))</f>
        <v>0</v>
      </c>
      <c r="AJ93" s="5">
        <f>SUM(IF(BQ93="lease",CH93,0),IF(CS93="lease",DJ93,0),IF(DU93="lease",EL93,0),IF(EW93="lease",FN93,0),IF(FY93="lease",GP93,0),IF(HA93="lease",HR93,0),IF(IC93="lease",IT93,0),IF(JE93="lease",JV93,0),IF(KG93="lease",KX93,0),IF(LI93="lease",LZ93,0))</f>
        <v>0</v>
      </c>
      <c r="AK93" s="5">
        <f>SUM(IF(BQ93="keep",CH93,0),IF(CS93="keep",DJ93,0),IF(DU93="keep",EL93,0),IF(EW93="keep",FN93,0),IF(FY93="keep",GP93,0),IF(HA93="keep",HR93,0),IF(IC93="keep",IT93,0),IF(JE93="keep",JV93,0),IF(KG93="keep",KX93,0),IF(LI93="keep",LZ93,0))</f>
        <v>0</v>
      </c>
      <c r="AL93" s="5">
        <f>R93-S92</f>
        <v>0</v>
      </c>
      <c r="AM93" s="5">
        <f>T93-U92</f>
        <v>0</v>
      </c>
      <c r="AN93" s="5">
        <f>AN92</f>
        <v>1</v>
      </c>
      <c r="AO93" s="5">
        <f>AO92+AH93</f>
        <v>0.30409645381794453</v>
      </c>
      <c r="AP93" s="5">
        <f>AP92+AL93</f>
        <v>-4.440892098500626e-16</v>
      </c>
      <c r="AQ93" s="5">
        <f>AN93+AO93+AP93</f>
        <v>1.304096453817944</v>
      </c>
      <c r="AR93" s="5">
        <f>S93-AQ93</f>
        <v>6.661338147750939e-16</v>
      </c>
      <c r="AS93" s="5">
        <f>AS92</f>
        <v>0</v>
      </c>
      <c r="AT93" s="5">
        <f>AT92+AI93</f>
        <v>0</v>
      </c>
      <c r="AU93" s="5">
        <f>AU92+AM93</f>
        <v>0</v>
      </c>
      <c r="AV93" s="5">
        <f>AS93+AT93+AU93</f>
        <v>0</v>
      </c>
      <c r="AW93" s="5">
        <f>U93-AV93</f>
        <v>0</v>
      </c>
      <c r="AX93" s="4">
        <v>1.3124173573920324</v>
      </c>
      <c r="AY93" s="4">
        <v>1.3040964538179447</v>
      </c>
      <c r="AZ93" s="5">
        <f>S93-AY93</f>
        <v>0</v>
      </c>
      <c r="BA93" s="4">
        <v>0</v>
      </c>
      <c r="BB93" s="4">
        <v>0</v>
      </c>
      <c r="BC93" s="5">
        <f>U93-BB93</f>
        <v>0</v>
      </c>
      <c r="BD93" s="7">
        <f>SUM(IF(BP93="direct",CC93/F93,0),IF(CR93="direct",DE93/F93,0),IF(DT93="direct",EG93/F93,0),IF(EV93="direct",FI93/F93,0),IF(FX93="direct",GK93/F93,0),IF(GZ93="direct",HM93/F93,0),IF(IB93="direct",IO93/F93,0),IF(JD93="direct",JQ93/F93,0),IF(KF93="direct",KS93/F93,0),IF(LH93="direct",LU93/F93,0))</f>
        <v>0</v>
      </c>
      <c r="BE93" s="7">
        <f>-SUM(IF(BP93="direct",CD93/F93,0),IF(CR93="direct",DF93/F93,0),IF(DT93="direct",EH93/F93,0),IF(EV93="direct",FJ93/F93,0),IF(FX93="direct",GL93/F93,0),IF(GZ93="direct",HN93/F93,0),IF(IB93="direct",IP93/F93,0),IF(JD93="direct",JR93/F93,0),IF(KF93="direct",KT93/F93,0),IF(LH93="direct",LV93/F93,0))</f>
        <v>0</v>
      </c>
      <c r="BF93" s="7">
        <f>BD93+BE93</f>
        <v>0</v>
      </c>
      <c r="BG93" s="7">
        <f>BF93-SUM(IF(BP93="direct",CP93,0),IF(CR93="direct",DR93,0),IF(DT93="direct",ET93,0),IF(EV93="direct",FV93,0),IF(FX93="direct",GX93,0),IF(GZ93="direct",HZ93,0),IF(IB93="direct",JB93,0),IF(JD93="direct",KD93,0),IF(KF93="direct",LF93,0),IF(LH93="direct",MH93,0))</f>
        <v>0</v>
      </c>
      <c r="BH93" s="7">
        <f>SUM(IF(BP93="treasury",CP93,0),IF(CR93="treasury",DR93,0),IF(DT93="treasury",ET93,0),IF(EV93="treasury",FV93,0),IF(FX93="treasury",GX93,0),IF(GZ93="treasury",HZ93,0),IF(IB93="treasury",JB93,0),IF(JD93="treasury",KD93,0),IF(KF93="treasury",LF93,0),IF(LH93="treasury",MH93,0))</f>
        <v>0.0005013698630136986</v>
      </c>
      <c r="BI93" s="7">
        <f>SUM(IF(BP93="future",CP93,0),IF(CR93="future",DR93,0),IF(DT93="future",ET93,0),IF(EV93="future",FV93,0),IF(FX93="future",GX93,0),IF(GZ93="future",HZ93,0),IF(IB93="future",JB93,0),IF(JD93="future",KD93,0),IF(KF93="future",LF93,0),IF(LH93="future",MH93,0))</f>
        <v>-0.0068415051311288</v>
      </c>
      <c r="BJ93" s="7">
        <f>SUM(IF(BP93="cash",CP93,0),IF(CR93="cash",DR93,0),IF(DT93="cash",ET93,0),IF(EV93="cash",FV93,0),IF(FX93="cash",GX93,0),IF(GZ93="cash",HZ93,0),IF(IB93="cash",JB93,0),IF(JD93="cash",KD93,0),IF(KF93="cash",LF93,0),IF(LH93="cash",MH93,0))</f>
        <v>0</v>
      </c>
      <c r="BK93" s="7">
        <f>SUM(BF93,BH93,BI93,BJ93)</f>
        <v>-0.0063401352681151015</v>
      </c>
      <c r="BL93" s="7">
        <f>G93-BK93</f>
        <v>0</v>
      </c>
      <c r="BM93" s="5">
        <f>MAX(ABS(CG93),ABS(DI93),ABS(EK93),ABS(FM93),ABS(GO93),ABS(HQ93),ABS(IS93),ABS(JU93),ABS(KW93),ABS(LY93))</f>
        <v>1.0505919051384538e-16</v>
      </c>
      <c r="BN93" s="9">
        <f>COUNTA(BO93,CQ93,DS93,EU93,FW93,GY93,IA93,JC93,KE93,LG93)</f>
        <v>4</v>
      </c>
      <c r="BO93" t="inlineStr">
        <is>
          <t xml:space="preserve">Treasury collateral</t>
        </is>
      </c>
      <c r="BP93" t="inlineStr">
        <is>
          <t xml:space="preserve">treasury</t>
        </is>
      </c>
      <c r="BQ93" t="inlineStr">
        <is>
          <t xml:space="preserve">lease</t>
        </is>
      </c>
      <c r="BR93" t="inlineStr">
        <is>
          <t xml:space="preserve">long</t>
        </is>
      </c>
      <c r="BS93"/>
      <c r="BT93" s="4">
        <v>102.2591042224438</v>
      </c>
      <c r="BU93" s="4">
        <v>102.31037385551971</v>
      </c>
      <c r="BV93" s="6"/>
      <c r="BW93" s="4">
        <v>0.01283423483289209</v>
      </c>
      <c r="BX93" s="5">
        <f>IF(BP93="direct",IFERROR(CD93/BU93,0),0)</f>
        <v>0</v>
      </c>
      <c r="BY93" s="5">
        <f>IF(BP93="direct",BW93-BX93,IF(BP93="cash",CI93,BW93))</f>
        <v>0.01283423483289209</v>
      </c>
      <c r="BZ93" s="6">
        <v>1</v>
      </c>
      <c r="CA93" s="4">
        <v>1.3124173573920308</v>
      </c>
      <c r="CB93" s="4">
        <v>1.3124173573920308</v>
      </c>
      <c r="CC93" s="5">
        <f>IF(BP93="direct",BW93*(BU93-BT93),CF93)</f>
        <v>0.0006580065106925479</v>
      </c>
      <c r="CD93" s="5">
        <f>IF(BP93="direct",CB93*BV93*C93/365,0)</f>
        <v>0</v>
      </c>
      <c r="CE93" s="5">
        <f>CC93-CD93</f>
        <v>0.0006580065106924428</v>
      </c>
      <c r="CF93" s="4">
        <v>0.0006580065106924428</v>
      </c>
      <c r="CG93" s="5">
        <f>CF93-CE93</f>
        <v>-1.0505919051384538e-16</v>
      </c>
      <c r="CH93" s="4">
        <v>3.426078865054194e-17</v>
      </c>
      <c r="CI93" s="4">
        <v>1.3130753639027233</v>
      </c>
      <c r="CJ93" s="4">
        <v>1.781</v>
      </c>
      <c r="CK93" s="4">
        <v>1.761</v>
      </c>
      <c r="CL93" s="6"/>
      <c r="CM93" s="6"/>
      <c r="CN93" s="6"/>
      <c r="CO93" s="9">
        <v>12</v>
      </c>
      <c r="CP93" s="7">
        <f>IFERROR(CE93/F93,0)</f>
        <v>0.0005013698630136986</v>
      </c>
      <c r="CQ93" t="inlineStr">
        <is>
          <t xml:space="preserve">SI69K</t>
        </is>
      </c>
      <c r="CR93" t="inlineStr">
        <is>
          <t xml:space="preserve">future</t>
        </is>
      </c>
      <c r="CS93" t="inlineStr">
        <is>
          <t xml:space="preserve">lease</t>
        </is>
      </c>
      <c r="CT93" t="inlineStr">
        <is>
          <t xml:space="preserve">long</t>
        </is>
      </c>
      <c r="CU93" t="inlineStr">
        <is>
          <t xml:space="preserve">regular</t>
        </is>
      </c>
      <c r="CV93" s="4">
        <v>1.754</v>
      </c>
      <c r="CW93" s="4">
        <v>1.742</v>
      </c>
      <c r="CX93" s="6"/>
      <c r="CY93" s="4">
        <v>0.7482425070650118</v>
      </c>
      <c r="CZ93" s="5">
        <f>IF(CR93="direct",IFERROR(DF93/CW93,0),0)</f>
        <v>0</v>
      </c>
      <c r="DA93" s="5">
        <f>IF(CR93="direct",CY93-CZ93,IF(CR93="cash",DK93,CY93))</f>
        <v>0.7482425070650118</v>
      </c>
      <c r="DB93" s="6">
        <v>1</v>
      </c>
      <c r="DC93" s="4">
        <v>1.3124173573920308</v>
      </c>
      <c r="DD93" s="4">
        <v>0</v>
      </c>
      <c r="DE93" s="5">
        <f>IF(CR93="direct",CY93*(CW93-CV93),DH93)</f>
        <v>-0.008978910084780078</v>
      </c>
      <c r="DF93" s="5">
        <f>IF(CR93="direct",DD93*CX93*C93/365,0)</f>
        <v>0</v>
      </c>
      <c r="DG93" s="5">
        <f>DE93-DF93</f>
        <v>-0.008978910084780078</v>
      </c>
      <c r="DH93" s="4">
        <v>-0.008978910084780078</v>
      </c>
      <c r="DI93" s="5">
        <f>DH93-DG93</f>
        <v>0</v>
      </c>
      <c r="DJ93" s="4">
        <v>0.008978910084780078</v>
      </c>
      <c r="DK93" s="4">
        <v>0</v>
      </c>
      <c r="DL93" s="4">
        <v>1.781</v>
      </c>
      <c r="DM93" s="4">
        <v>1.761</v>
      </c>
      <c r="DN93" s="6">
        <v>-0.015160022459292488</v>
      </c>
      <c r="DO93" s="6">
        <v>0.061</v>
      </c>
      <c r="DP93" s="6">
        <v>0.5221173498034799</v>
      </c>
      <c r="DQ93" s="9">
        <v>12</v>
      </c>
      <c r="DR93" s="7">
        <f>IFERROR(DG93/F93,0)</f>
        <v>-0.0068415051311288</v>
      </c>
      <c r="DS93" t="inlineStr">
        <is>
          <t xml:space="preserve">Lease cash / margin / financing</t>
        </is>
      </c>
      <c r="DT93" t="inlineStr">
        <is>
          <t xml:space="preserve">cash</t>
        </is>
      </c>
      <c r="DU93" t="inlineStr">
        <is>
          <t xml:space="preserve">lease</t>
        </is>
      </c>
      <c r="DV93" t="inlineStr">
        <is>
          <t xml:space="preserve">cash</t>
        </is>
      </c>
      <c r="DW93"/>
      <c r="DX93" s="4">
        <v>1</v>
      </c>
      <c r="DY93" s="4">
        <v>1</v>
      </c>
      <c r="DZ93" s="6"/>
      <c r="EA93" s="4">
        <v>1.5543122344752192e-15</v>
      </c>
      <c r="EB93" s="5">
        <f>IF(DT93="direct",IFERROR(EH93/DY93,0),0)</f>
        <v>0</v>
      </c>
      <c r="EC93" s="5">
        <f>IF(DT93="direct",EA93-EB93,IF(DT93="cash",EM93,EA93))</f>
        <v>-0.008978910084778559</v>
      </c>
      <c r="ED93" s="6"/>
      <c r="EE93" s="4">
        <v>1.5543122344752192e-15</v>
      </c>
      <c r="EF93" s="4">
        <v>1.5543122344752192e-15</v>
      </c>
      <c r="EG93" s="5">
        <f>IF(DT93="direct",EA93*(DY93-DX93),EJ93)</f>
        <v>0</v>
      </c>
      <c r="EH93" s="5">
        <f>IF(DT93="direct",EF93*DZ93*C93/365,0)</f>
        <v>0</v>
      </c>
      <c r="EI93" s="5">
        <f>EG93-EH93</f>
        <v>0</v>
      </c>
      <c r="EJ93" s="4">
        <v>0</v>
      </c>
      <c r="EK93" s="5">
        <f>EJ93-EI93</f>
        <v>0</v>
      </c>
      <c r="EL93" s="4">
        <v>-0.008978910084780113</v>
      </c>
      <c r="EM93" s="4">
        <v>-0.008978910084778559</v>
      </c>
      <c r="EN93" s="4">
        <v>1.781</v>
      </c>
      <c r="EO93" s="4">
        <v>1.761</v>
      </c>
      <c r="EP93" s="6"/>
      <c r="EQ93" s="6"/>
      <c r="ER93" s="6"/>
      <c r="ES93" s="9"/>
      <c r="ET93" s="7">
        <f>IFERROR(EI93/F93,0)</f>
        <v>0</v>
      </c>
      <c r="EU93" t="inlineStr">
        <is>
          <t xml:space="preserve">Keep cash / margin / financing</t>
        </is>
      </c>
      <c r="EV93" t="inlineStr">
        <is>
          <t xml:space="preserve">cash</t>
        </is>
      </c>
      <c r="EW93" t="inlineStr">
        <is>
          <t xml:space="preserve">keep</t>
        </is>
      </c>
      <c r="EX93" t="inlineStr">
        <is>
          <t xml:space="preserve">cash</t>
        </is>
      </c>
      <c r="EY93"/>
      <c r="EZ93" s="4">
        <v>1</v>
      </c>
      <c r="FA93" s="4">
        <v>1</v>
      </c>
      <c r="FB93" s="6"/>
      <c r="FC93" s="4">
        <v>0</v>
      </c>
      <c r="FD93" s="5">
        <f>IF(EV93="direct",IFERROR(FJ93/FA93,0),0)</f>
        <v>0</v>
      </c>
      <c r="FE93" s="5">
        <f>IF(EV93="direct",FC93-FD93,IF(EV93="cash",FO93,FC93))</f>
        <v>0</v>
      </c>
      <c r="FF93" s="6"/>
      <c r="FG93" s="4">
        <v>0</v>
      </c>
      <c r="FH93" s="4">
        <v>0</v>
      </c>
      <c r="FI93" s="5">
        <f>IF(EV93="direct",FC93*(FA93-EZ93),FL93)</f>
        <v>0</v>
      </c>
      <c r="FJ93" s="5">
        <f>IF(EV93="direct",FH93*FB93*C93/365,0)</f>
        <v>0</v>
      </c>
      <c r="FK93" s="5">
        <f>FI93-FJ93</f>
        <v>0</v>
      </c>
      <c r="FL93" s="4">
        <v>0</v>
      </c>
      <c r="FM93" s="5">
        <f>FL93-FK93</f>
        <v>0</v>
      </c>
      <c r="FN93" s="4">
        <v>0</v>
      </c>
      <c r="FO93" s="4">
        <v>0</v>
      </c>
      <c r="FP93" s="4">
        <v>1.781</v>
      </c>
      <c r="FQ93" s="4">
        <v>1.761</v>
      </c>
      <c r="FR93" s="6"/>
      <c r="FS93" s="6"/>
      <c r="FT93" s="6"/>
      <c r="FU93" s="9"/>
      <c r="FV93" s="7">
        <f>IFERROR(FK93/F93,0)</f>
        <v>0</v>
      </c>
      <c r="FW93"/>
      <c r="FX93"/>
      <c r="FY93"/>
      <c r="FZ93"/>
      <c r="GA93"/>
      <c r="GB93" s="4"/>
      <c r="GC93" s="4"/>
      <c r="GD93" s="6"/>
      <c r="GE93" s="4"/>
      <c r="GF93" s="5">
        <v>0</v>
      </c>
      <c r="GG93" s="5"/>
      <c r="GH93" s="6"/>
      <c r="GI93" s="4"/>
      <c r="GJ93" s="4"/>
      <c r="GK93" s="5">
        <v>0</v>
      </c>
      <c r="GL93" s="5">
        <v>0</v>
      </c>
      <c r="GM93" s="5"/>
      <c r="GN93" s="4"/>
      <c r="GO93" s="5">
        <v>0</v>
      </c>
      <c r="GP93" s="4"/>
      <c r="GQ93" s="4"/>
      <c r="GR93" s="4"/>
      <c r="GS93" s="4"/>
      <c r="GT93" s="6"/>
      <c r="GU93" s="6"/>
      <c r="GV93" s="6"/>
      <c r="GW93" s="9"/>
      <c r="GX93"/>
      <c r="GY93"/>
      <c r="GZ93"/>
      <c r="HA93"/>
      <c r="HB93"/>
      <c r="HC93"/>
      <c r="HD93" s="4"/>
      <c r="HE93" s="4"/>
      <c r="HF93" s="6"/>
      <c r="HG93" s="4"/>
      <c r="HH93" s="5">
        <v>0</v>
      </c>
      <c r="HI93" s="5"/>
      <c r="HJ93" s="6"/>
      <c r="HK93" s="4"/>
      <c r="HL93" s="4"/>
      <c r="HM93" s="5">
        <v>0</v>
      </c>
      <c r="HN93" s="5">
        <v>0</v>
      </c>
      <c r="HO93" s="5"/>
      <c r="HP93" s="4"/>
      <c r="HQ93" s="5">
        <v>0</v>
      </c>
      <c r="HR93" s="4"/>
      <c r="HS93" s="4"/>
      <c r="HT93" s="4"/>
      <c r="HU93" s="4"/>
      <c r="HV93" s="6"/>
      <c r="HW93" s="6"/>
      <c r="HX93" s="6"/>
      <c r="HY93" s="9"/>
      <c r="HZ93"/>
      <c r="IA93"/>
      <c r="IB93"/>
      <c r="IC93"/>
      <c r="ID93"/>
      <c r="IE93"/>
      <c r="IF93" s="4"/>
      <c r="IG93" s="4"/>
      <c r="IH93" s="6"/>
      <c r="II93" s="4"/>
      <c r="IJ93" s="5">
        <v>0</v>
      </c>
      <c r="IK93" s="5"/>
      <c r="IL93" s="6"/>
      <c r="IM93" s="4"/>
      <c r="IN93" s="4"/>
      <c r="IO93" s="5">
        <v>0</v>
      </c>
      <c r="IP93" s="5">
        <v>0</v>
      </c>
      <c r="IQ93" s="5"/>
      <c r="IR93" s="4"/>
      <c r="IS93" s="5">
        <v>0</v>
      </c>
      <c r="IT93" s="4"/>
      <c r="IU93" s="4"/>
      <c r="IV93" s="4"/>
      <c r="IW93" s="4"/>
      <c r="IX93" s="6"/>
      <c r="IY93" s="6"/>
      <c r="IZ93" s="6"/>
      <c r="JA93" s="9"/>
      <c r="JB93"/>
      <c r="JC93"/>
      <c r="JD93"/>
      <c r="JE93"/>
      <c r="JF93"/>
      <c r="JG93"/>
      <c r="JH93" s="4"/>
      <c r="JI93" s="4"/>
      <c r="JJ93" s="6"/>
      <c r="JK93" s="4"/>
      <c r="JL93" s="5">
        <v>0</v>
      </c>
      <c r="JM93" s="5"/>
      <c r="JN93" s="6"/>
      <c r="JO93" s="4"/>
      <c r="JP93" s="4"/>
      <c r="JQ93" s="5">
        <v>0</v>
      </c>
      <c r="JR93" s="5">
        <v>0</v>
      </c>
      <c r="JS93" s="5"/>
      <c r="JT93" s="4"/>
      <c r="JU93" s="5">
        <v>0</v>
      </c>
      <c r="JV93" s="4"/>
      <c r="JW93" s="4"/>
      <c r="JX93" s="4"/>
      <c r="JY93" s="4"/>
      <c r="JZ93" s="6"/>
      <c r="KA93" s="6"/>
      <c r="KB93" s="6"/>
      <c r="KC93" s="9"/>
      <c r="KD93"/>
      <c r="KE93"/>
      <c r="KF93"/>
      <c r="KG93"/>
      <c r="KH93"/>
      <c r="KI93"/>
      <c r="KJ93" s="4"/>
      <c r="KK93" s="4"/>
      <c r="KL93" s="6"/>
      <c r="KM93" s="4"/>
      <c r="KN93" s="5">
        <v>0</v>
      </c>
      <c r="KO93" s="5"/>
      <c r="KP93" s="6"/>
      <c r="KQ93" s="4"/>
      <c r="KR93" s="4"/>
      <c r="KS93" s="5">
        <v>0</v>
      </c>
      <c r="KT93" s="5">
        <v>0</v>
      </c>
      <c r="KU93" s="5"/>
      <c r="KV93" s="4"/>
      <c r="KW93" s="5">
        <v>0</v>
      </c>
      <c r="KX93" s="4"/>
      <c r="KY93" s="4"/>
      <c r="KZ93" s="4"/>
      <c r="LA93" s="4"/>
      <c r="LB93" s="6"/>
      <c r="LC93" s="6"/>
      <c r="LD93" s="6"/>
      <c r="LE93" s="9"/>
      <c r="LF93"/>
      <c r="LG93"/>
      <c r="LH93"/>
      <c r="LI93"/>
      <c r="LJ93"/>
      <c r="LK93"/>
      <c r="LL93" s="4"/>
      <c r="LM93" s="4"/>
      <c r="LN93" s="6"/>
      <c r="LO93" s="4"/>
      <c r="LP93" s="5">
        <v>0</v>
      </c>
      <c r="LQ93" s="5"/>
      <c r="LR93" s="6"/>
      <c r="LS93" s="4"/>
      <c r="LT93" s="4"/>
      <c r="LU93" s="5">
        <v>0</v>
      </c>
      <c r="LV93" s="5">
        <v>0</v>
      </c>
      <c r="LW93" s="5"/>
      <c r="LX93" s="4"/>
      <c r="LY93" s="5">
        <v>0</v>
      </c>
      <c r="LZ93" s="4"/>
      <c r="MA93" s="4"/>
      <c r="MB93" s="4"/>
      <c r="MC93" s="4"/>
      <c r="MD93" s="6"/>
      <c r="ME93" s="6"/>
      <c r="MF93" s="6"/>
      <c r="MG93" s="9"/>
      <c r="MH93"/>
    </row>
    <row r="94">
      <c r="A94" s="8">
        <v>25342</v>
      </c>
      <c r="B94" s="8">
        <v>25343</v>
      </c>
      <c r="C94" s="9">
        <f>B94-A94</f>
        <v>1</v>
      </c>
      <c r="D94" s="8">
        <v>25342</v>
      </c>
      <c r="E94" t="inlineStr">
        <is>
          <t xml:space="preserve">positive</t>
        </is>
      </c>
      <c r="F94" s="4">
        <v>1.3040964538179431</v>
      </c>
      <c r="G94" s="6">
        <v>-0.0009296255022984719</v>
      </c>
      <c r="H94" s="7">
        <f>SUM(CP94,DR94,ET94,FV94,GX94,HZ94,JB94,KD94,LF94,MH94)</f>
        <v>-0.0009296255022984721</v>
      </c>
      <c r="I94" s="7">
        <f>G94-H94</f>
        <v>2.168404344971009e-19</v>
      </c>
      <c r="J94" s="5">
        <f>F94*(1+H94)</f>
        <v>1.302884132497017</v>
      </c>
      <c r="K94" s="4">
        <v>1.302884132497017</v>
      </c>
      <c r="L94" s="5">
        <f>K94-J94</f>
        <v>0</v>
      </c>
      <c r="M94" s="4">
        <v>1.761</v>
      </c>
      <c r="N94" s="4">
        <v>1.749</v>
      </c>
      <c r="O94" s="5">
        <f>M94/$M$3</f>
        <v>0.8993871297242083</v>
      </c>
      <c r="P94" s="5">
        <f>N94/$M$3</f>
        <v>0.8932584269662922</v>
      </c>
      <c r="Q94" s="7">
        <f>IFERROR(N94/M94-1,0)</f>
        <v>-0.00681431005110722</v>
      </c>
      <c r="R94" s="5">
        <f>SUM(IF(BQ94="lease",CB94,0),IF(CS94="lease",DD94,0),IF(DU94="lease",EF94,0),IF(EW94="lease",FH94,0),IF(FY94="lease",GJ94,0),IF(HA94="lease",HL94,0),IF(IC94="lease",IN94,0),IF(JE94="lease",JP94,0),IF(KG94="lease",KR94,0),IF(LI94="lease",LT94,0))</f>
        <v>1.3040964538179447</v>
      </c>
      <c r="S94" s="5">
        <f>SUM(IF(BQ94="lease",CI94,0),IF(CS94="lease",DK94,0),IF(DU94="lease",EM94,0),IF(EW94="lease",FO94,0),IF(FY94="lease",GQ94,0),IF(HA94="lease",HS94,0),IF(IC94="lease",IU94,0),IF(JE94="lease",JW94,0),IF(KG94="lease",KY94,0),IF(LI94="lease",MA94,0))</f>
        <v>1.3028841324970184</v>
      </c>
      <c r="T94" s="5">
        <f>SUM(IF(BQ94="keep",CB94,0),IF(CS94="keep",DD94,0),IF(DU94="keep",EF94,0),IF(EW94="keep",FH94,0),IF(FY94="keep",GJ94,0),IF(HA94="keep",HL94,0),IF(IC94="keep",IN94,0),IF(JE94="keep",JP94,0),IF(KG94="keep",KR94,0),IF(LI94="keep",LT94,0))</f>
        <v>0</v>
      </c>
      <c r="U94" s="5">
        <f>SUM(IF(BQ94="keep",CI94,0),IF(CS94="keep",DK94,0),IF(DU94="keep",EM94,0),IF(EW94="keep",FO94,0),IF(FY94="keep",GQ94,0),IF(HA94="keep",HS94,0),IF(IC94="keep",IU94,0),IF(JE94="keep",JW94,0),IF(KG94="keep",KY94,0),IF(LI94="keep",MA94,0))</f>
        <v>0</v>
      </c>
      <c r="V94" s="5">
        <f>R94/O94</f>
        <v>1.4499834506391458</v>
      </c>
      <c r="W94" s="5">
        <f>S94/P94</f>
        <v>1.4585746892104985</v>
      </c>
      <c r="X94" s="5">
        <f>T94/O94</f>
        <v>0</v>
      </c>
      <c r="Y94" s="5">
        <f>U94/P94</f>
        <v>0</v>
      </c>
      <c r="Z94" s="5">
        <f>V94+X94</f>
        <v>1.4499834506391458</v>
      </c>
      <c r="AA94" s="7">
        <f>IFERROR(W94/V94-1,0)</f>
        <v>0.00592505974296853</v>
      </c>
      <c r="AB94" s="7">
        <f>IFERROR((W94-V94)/Z94,0)</f>
        <v>0.005925059742968591</v>
      </c>
      <c r="AC94" s="7">
        <f>IFERROR(Y94/X94-1,0)</f>
        <v>0</v>
      </c>
      <c r="AD94" s="7">
        <f>IFERROR((Y94-X94)/Z94,0)</f>
        <v>0</v>
      </c>
      <c r="AE94" s="7">
        <f>AB94+AD94</f>
        <v>0.005925059742968591</v>
      </c>
      <c r="AF94" s="7">
        <f>(1+Q94)*(1+AE94)-1</f>
        <v>-0.0009296255022985811</v>
      </c>
      <c r="AG94" s="7">
        <f>G94-AF94</f>
        <v>1.091791587692903e-16</v>
      </c>
      <c r="AH94" s="5">
        <f>SUM(IF(BQ94="lease",CE94,0),IF(CS94="lease",DG94,0),IF(DU94="lease",EI94,0),IF(EW94="lease",FK94,0),IF(FY94="lease",GM94,0),IF(HA94="lease",HO94,0),IF(IC94="lease",IQ94,0),IF(JE94="lease",JS94,0),IF(KG94="lease",KU94,0),IF(LI94="lease",LW94,0))</f>
        <v>-0.0012123213209261617</v>
      </c>
      <c r="AI94" s="5">
        <f>SUM(IF(BQ94="keep",CE94,0),IF(CS94="keep",DG94,0),IF(DU94="keep",EI94,0),IF(EW94="keep",FK94,0),IF(FY94="keep",GM94,0),IF(HA94="keep",HO94,0),IF(IC94="keep",IQ94,0),IF(JE94="keep",JS94,0),IF(KG94="keep",KU94,0),IF(LI94="keep",LW94,0))</f>
        <v>0</v>
      </c>
      <c r="AJ94" s="5">
        <f>SUM(IF(BQ94="lease",CH94,0),IF(CS94="lease",DJ94,0),IF(DU94="lease",EL94,0),IF(EW94="lease",FN94,0),IF(FY94="lease",GP94,0),IF(HA94="lease",HR94,0),IF(IC94="lease",IT94,0),IF(JE94="lease",JV94,0),IF(KG94="lease",KX94,0),IF(LI94="lease",LZ94,0))</f>
        <v>0</v>
      </c>
      <c r="AK94" s="5">
        <f>SUM(IF(BQ94="keep",CH94,0),IF(CS94="keep",DJ94,0),IF(DU94="keep",EL94,0),IF(EW94="keep",FN94,0),IF(FY94="keep",GP94,0),IF(HA94="keep",HR94,0),IF(IC94="keep",IT94,0),IF(JE94="keep",JV94,0),IF(KG94="keep",KX94,0),IF(LI94="keep",LZ94,0))</f>
        <v>0</v>
      </c>
      <c r="AL94" s="5">
        <f>R94-S93</f>
        <v>0</v>
      </c>
      <c r="AM94" s="5">
        <f>T94-U93</f>
        <v>0</v>
      </c>
      <c r="AN94" s="5">
        <f>AN93</f>
        <v>1</v>
      </c>
      <c r="AO94" s="5">
        <f>AO93+AH94</f>
        <v>0.3028841324970184</v>
      </c>
      <c r="AP94" s="5">
        <f>AP93+AL94</f>
        <v>-4.440892098500626e-16</v>
      </c>
      <c r="AQ94" s="5">
        <f>AN94+AO94+AP94</f>
        <v>1.302884132497018</v>
      </c>
      <c r="AR94" s="5">
        <f>S94-AQ94</f>
        <v>4.440892098500626e-16</v>
      </c>
      <c r="AS94" s="5">
        <f>AS93</f>
        <v>0</v>
      </c>
      <c r="AT94" s="5">
        <f>AT93+AI94</f>
        <v>0</v>
      </c>
      <c r="AU94" s="5">
        <f>AU93+AM94</f>
        <v>0</v>
      </c>
      <c r="AV94" s="5">
        <f>AS94+AT94+AU94</f>
        <v>0</v>
      </c>
      <c r="AW94" s="5">
        <f>U94-AV94</f>
        <v>0</v>
      </c>
      <c r="AX94" s="4">
        <v>1.3040964538179447</v>
      </c>
      <c r="AY94" s="4">
        <v>1.3028841324970186</v>
      </c>
      <c r="AZ94" s="5">
        <f>S94-AY94</f>
        <v>-2.220446049250313e-16</v>
      </c>
      <c r="BA94" s="4">
        <v>0</v>
      </c>
      <c r="BB94" s="4">
        <v>0</v>
      </c>
      <c r="BC94" s="5">
        <f>U94-BB94</f>
        <v>0</v>
      </c>
      <c r="BD94" s="7">
        <f>SUM(IF(BP94="direct",CC94/F94,0),IF(CR94="direct",DE94/F94,0),IF(DT94="direct",EG94/F94,0),IF(EV94="direct",FI94/F94,0),IF(FX94="direct",GK94/F94,0),IF(GZ94="direct",HM94/F94,0),IF(IB94="direct",IO94/F94,0),IF(JD94="direct",JQ94/F94,0),IF(KF94="direct",KS94/F94,0),IF(LH94="direct",LU94/F94,0))</f>
        <v>-0.003782462144731621</v>
      </c>
      <c r="BE94" s="7">
        <f>-SUM(IF(BP94="direct",CD94/F94,0),IF(CR94="direct",DF94/F94,0),IF(DT94="direct",EH94/F94,0),IF(EV94="direct",FJ94/F94,0),IF(FX94="direct",GL94/F94,0),IF(GZ94="direct",HN94/F94,0),IF(IB94="direct",IP94/F94,0),IF(JD94="direct",JR94/F94,0),IF(KF94="direct",KT94/F94,0),IF(LH94="direct",LV94/F94,0))</f>
        <v>-0.000003801892600954624</v>
      </c>
      <c r="BF94" s="7">
        <f>BD94+BE94</f>
        <v>-0.0037862640373325755</v>
      </c>
      <c r="BG94" s="7">
        <f>BF94-SUM(IF(BP94="direct",CP94,0),IF(CR94="direct",DR94,0),IF(DT94="direct",ET94,0),IF(EV94="direct",FV94,0),IF(FX94="direct",GX94,0),IF(GZ94="direct",HZ94,0),IF(IB94="direct",JB94,0),IF(JD94="direct",KD94,0),IF(KF94="direct",LF94,0),IF(LH94="direct",MH94,0))</f>
        <v>7.37257477290143e-18</v>
      </c>
      <c r="BH94" s="7">
        <f>SUM(IF(BP94="treasury",CP94,0),IF(CR94="treasury",DR94,0),IF(DT94="treasury",ET94,0),IF(EV94="treasury",FV94,0),IF(FX94="treasury",GX94,0),IF(GZ94="treasury",HZ94,0),IF(IB94="treasury",JB94,0),IF(JD94="treasury",KD94,0),IF(KF94="treasury",LF94,0),IF(LH94="treasury",MH94,0))</f>
        <v>0.00007423521130923851</v>
      </c>
      <c r="BI94" s="7">
        <f>SUM(IF(BP94="future",CP94,0),IF(CR94="future",DR94,0),IF(DT94="future",ET94,0),IF(EV94="future",FV94,0),IF(FX94="future",GX94,0),IF(GZ94="future",HZ94,0),IF(IB94="future",JB94,0),IF(JD94="future",KD94,0),IF(KF94="future",LF94,0),IF(LH94="future",MH94,0))</f>
        <v>0.0027824033237248726</v>
      </c>
      <c r="BJ94" s="7">
        <f>SUM(IF(BP94="cash",CP94,0),IF(CR94="cash",DR94,0),IF(DT94="cash",ET94,0),IF(EV94="cash",FV94,0),IF(FX94="cash",GX94,0),IF(GZ94="cash",HZ94,0),IF(IB94="cash",JB94,0),IF(JD94="cash",KD94,0),IF(KF94="cash",LF94,0),IF(LH94="cash",MH94,0))</f>
        <v>0</v>
      </c>
      <c r="BK94" s="7">
        <f>SUM(BF94,BH94,BI94,BJ94)</f>
        <v>-0.0009296255022984718</v>
      </c>
      <c r="BL94" s="7">
        <f>G94-BK94</f>
        <v>-1.0842021724855044e-19</v>
      </c>
      <c r="BM94" s="5">
        <f>MAX(ABS(CG94),ABS(DI94),ABS(EK94),ABS(FM94),ABS(GO94),ABS(HQ94),ABS(IS94),ABS(JU94),ABS(KW94),ABS(LY94))</f>
        <v>8.126095282778856e-17</v>
      </c>
      <c r="BN94" s="9">
        <f>COUNTA(BO94,CQ94,DS94,EU94,FW94,GY94,IA94,JC94,KE94,LG94)</f>
        <v>6</v>
      </c>
      <c r="BO94" t="inlineStr">
        <is>
          <t xml:space="preserve">Direct commodity holding</t>
        </is>
      </c>
      <c r="BP94" t="inlineStr">
        <is>
          <t xml:space="preserve">direct</t>
        </is>
      </c>
      <c r="BQ94" t="inlineStr">
        <is>
          <t xml:space="preserve">lease</t>
        </is>
      </c>
      <c r="BR94" t="inlineStr">
        <is>
          <t xml:space="preserve">long</t>
        </is>
      </c>
      <c r="BS94"/>
      <c r="BT94" s="4">
        <v>1.761</v>
      </c>
      <c r="BU94" s="4">
        <v>1.749</v>
      </c>
      <c r="BV94" s="6">
        <v>0.0025</v>
      </c>
      <c r="BW94" s="4">
        <v>0.41105795580376714</v>
      </c>
      <c r="BX94" s="5">
        <f>IF(BP94="direct",IFERROR(CD94/BU94,0),0)</f>
        <v>0.0000028347825378511157</v>
      </c>
      <c r="BY94" s="5">
        <f>IF(BP94="direct",BW94-BX94,IF(BP94="cash",CI94,BW94))</f>
        <v>0.41105512102122926</v>
      </c>
      <c r="BZ94" s="6">
        <v>0.5550763197393751</v>
      </c>
      <c r="CA94" s="4">
        <v>0.7238730601704338</v>
      </c>
      <c r="CB94" s="4">
        <v>0.7238730601704338</v>
      </c>
      <c r="CC94" s="5">
        <f>IF(BP94="direct",BW94*(BU94-BT94),CF94)</f>
        <v>-0.004932695469645119</v>
      </c>
      <c r="CD94" s="5">
        <f>IF(BP94="direct",CB94*BV94*C94/365,0)</f>
        <v>0.0000049580346587016016</v>
      </c>
      <c r="CE94" s="5">
        <f>CC94-CD94</f>
        <v>-0.00493765350430383</v>
      </c>
      <c r="CF94" s="4">
        <v>-0.00493765350430383</v>
      </c>
      <c r="CG94" s="5">
        <f>CF94-CE94</f>
        <v>-9.414771208731548e-18</v>
      </c>
      <c r="CH94" s="4">
        <v>0</v>
      </c>
      <c r="CI94" s="4">
        <v>0.71893540666613</v>
      </c>
      <c r="CJ94" s="4">
        <v>1.761</v>
      </c>
      <c r="CK94" s="4">
        <v>1.749</v>
      </c>
      <c r="CL94" s="6"/>
      <c r="CM94" s="6"/>
      <c r="CN94" s="6"/>
      <c r="CO94" s="9"/>
      <c r="CP94" s="7">
        <f>IFERROR(CE94/F94,0)</f>
        <v>-0.003786264037332583</v>
      </c>
      <c r="CQ94" t="inlineStr">
        <is>
          <t xml:space="preserve">Treasury collateral</t>
        </is>
      </c>
      <c r="CR94" t="inlineStr">
        <is>
          <t xml:space="preserve">treasury</t>
        </is>
      </c>
      <c r="CS94" t="inlineStr">
        <is>
          <t xml:space="preserve">lease</t>
        </is>
      </c>
      <c r="CT94" t="inlineStr">
        <is>
          <t xml:space="preserve">long</t>
        </is>
      </c>
      <c r="CU94"/>
      <c r="CV94" s="4">
        <v>102.31037385551971</v>
      </c>
      <c r="CW94" s="4">
        <v>102.3274442713219</v>
      </c>
      <c r="CX94" s="6"/>
      <c r="CY94" s="4">
        <v>0.005671207833400032</v>
      </c>
      <c r="CZ94" s="5">
        <f>IF(CR94="direct",IFERROR(DF94/CW94,0),0)</f>
        <v>0</v>
      </c>
      <c r="DA94" s="5">
        <f>IF(CR94="direct",CY94-CZ94,IF(CR94="cash",DK94,CY94))</f>
        <v>0.005671207833400032</v>
      </c>
      <c r="DB94" s="6">
        <v>0.44492368026062495</v>
      </c>
      <c r="DC94" s="4">
        <v>0.5802233936475093</v>
      </c>
      <c r="DD94" s="4">
        <v>0.5802233936475093</v>
      </c>
      <c r="DE94" s="5">
        <f>IF(CR94="direct",CY94*(CW94-CV94),DH94)</f>
        <v>0.00009680987581672234</v>
      </c>
      <c r="DF94" s="5">
        <f>IF(CR94="direct",DD94*CX94*C94/365,0)</f>
        <v>0</v>
      </c>
      <c r="DG94" s="5">
        <f>DE94-DF94</f>
        <v>0.0000968098758168036</v>
      </c>
      <c r="DH94" s="4">
        <v>0.0000968098758168036</v>
      </c>
      <c r="DI94" s="5">
        <f>DH94-DG94</f>
        <v>8.126095282778856e-17</v>
      </c>
      <c r="DJ94" s="4">
        <v>-7.565020658517607e-17</v>
      </c>
      <c r="DK94" s="4">
        <v>0.580320203523326</v>
      </c>
      <c r="DL94" s="4">
        <v>1.761</v>
      </c>
      <c r="DM94" s="4">
        <v>1.749</v>
      </c>
      <c r="DN94" s="6"/>
      <c r="DO94" s="6"/>
      <c r="DP94" s="6"/>
      <c r="DQ94" s="9">
        <v>71</v>
      </c>
      <c r="DR94" s="7">
        <f>IFERROR(DG94/F94,0)</f>
        <v>0.00007423521130923851</v>
      </c>
      <c r="DS94" t="inlineStr">
        <is>
          <t xml:space="preserve">SI69N</t>
        </is>
      </c>
      <c r="DT94" t="inlineStr">
        <is>
          <t xml:space="preserve">future</t>
        </is>
      </c>
      <c r="DU94" t="inlineStr">
        <is>
          <t xml:space="preserve">lease</t>
        </is>
      </c>
      <c r="DV94" t="inlineStr">
        <is>
          <t xml:space="preserve">long</t>
        </is>
      </c>
      <c r="DW94" t="inlineStr">
        <is>
          <t xml:space="preserve">regular</t>
        </is>
      </c>
      <c r="DX94" s="4">
        <v>1.7590000000000001</v>
      </c>
      <c r="DY94" s="4">
        <v>1.77</v>
      </c>
      <c r="DZ94" s="6"/>
      <c r="EA94" s="4">
        <v>0.3297777334246534</v>
      </c>
      <c r="EB94" s="5">
        <f>IF(DT94="direct",IFERROR(EH94/DY94,0),0)</f>
        <v>0</v>
      </c>
      <c r="EC94" s="5">
        <f>IF(DT94="direct",EA94-EB94,IF(DT94="cash",EM94,EA94))</f>
        <v>0.3297777334246534</v>
      </c>
      <c r="ED94" s="6">
        <v>0.44481298250270884</v>
      </c>
      <c r="EE94" s="4">
        <v>0.5800790330939654</v>
      </c>
      <c r="EF94" s="4">
        <v>0</v>
      </c>
      <c r="EG94" s="5">
        <f>IF(DT94="direct",EA94*(DY94-DX94),EJ94)</f>
        <v>0.003627555067671123</v>
      </c>
      <c r="EH94" s="5">
        <f>IF(DT94="direct",EF94*DZ94*C94/365,0)</f>
        <v>0</v>
      </c>
      <c r="EI94" s="5">
        <f>EG94-EH94</f>
        <v>0.003627555067671123</v>
      </c>
      <c r="EJ94" s="4">
        <v>0.003627555067671123</v>
      </c>
      <c r="EK94" s="5">
        <f>EJ94-EI94</f>
        <v>0</v>
      </c>
      <c r="EL94" s="4">
        <v>-0.003627555067671123</v>
      </c>
      <c r="EM94" s="4">
        <v>0</v>
      </c>
      <c r="EN94" s="4">
        <v>1.761</v>
      </c>
      <c r="EO94" s="4">
        <v>1.749</v>
      </c>
      <c r="EP94" s="6">
        <v>-0.0011357183418511108</v>
      </c>
      <c r="EQ94" s="6">
        <v>0.060899999999999996</v>
      </c>
      <c r="ER94" s="6">
        <v>0.06673855203909373</v>
      </c>
      <c r="ES94" s="9">
        <v>71</v>
      </c>
      <c r="ET94" s="7">
        <f>IFERROR(EI94/F94,0)</f>
        <v>0.0027816616302044966</v>
      </c>
      <c r="EU94" t="inlineStr">
        <is>
          <t xml:space="preserve">SI69U</t>
        </is>
      </c>
      <c r="EV94" t="inlineStr">
        <is>
          <t xml:space="preserve">future</t>
        </is>
      </c>
      <c r="EW94" t="inlineStr">
        <is>
          <t xml:space="preserve">lease</t>
        </is>
      </c>
      <c r="EX94" t="inlineStr">
        <is>
          <t xml:space="preserve">long</t>
        </is>
      </c>
      <c r="EY94" t="inlineStr">
        <is>
          <t xml:space="preserve">regular</t>
        </is>
      </c>
      <c r="EZ94" s="4">
        <v>1.791</v>
      </c>
      <c r="FA94" s="4">
        <v>1.8030000000000002</v>
      </c>
      <c r="FB94" s="6"/>
      <c r="FC94" s="4">
        <v>0.00008060332414515837</v>
      </c>
      <c r="FD94" s="5">
        <f>IF(EV94="direct",IFERROR(FJ94/FA94,0),0)</f>
        <v>0</v>
      </c>
      <c r="FE94" s="5">
        <f>IF(EV94="direct",FC94-FD94,IF(EV94="cash",FO94,FC94))</f>
        <v>0.00008060332414515837</v>
      </c>
      <c r="FF94" s="6">
        <v>0.00011069775791609656</v>
      </c>
      <c r="FG94" s="4">
        <v>0.00014436055354397865</v>
      </c>
      <c r="FH94" s="4">
        <v>0</v>
      </c>
      <c r="FI94" s="5">
        <f>IF(EV94="direct",FC94*(FA94-EZ94),FL94)</f>
        <v>9.67239889741926e-7</v>
      </c>
      <c r="FJ94" s="5">
        <f>IF(EV94="direct",FH94*FB94*C94/365,0)</f>
        <v>0</v>
      </c>
      <c r="FK94" s="5">
        <f>FI94-FJ94</f>
        <v>9.67239889741926e-7</v>
      </c>
      <c r="FL94" s="4">
        <v>9.67239889741926e-7</v>
      </c>
      <c r="FM94" s="5">
        <f>FL94-FK94</f>
        <v>0</v>
      </c>
      <c r="FN94" s="4">
        <v>-9.67239889741926e-7</v>
      </c>
      <c r="FO94" s="4">
        <v>0</v>
      </c>
      <c r="FP94" s="4">
        <v>1.761</v>
      </c>
      <c r="FQ94" s="4">
        <v>1.749</v>
      </c>
      <c r="FR94" s="6">
        <v>0.017035775127768327</v>
      </c>
      <c r="FS94" s="6">
        <v>0.061200000000000004</v>
      </c>
      <c r="FT94" s="6">
        <v>0.013368785218188926</v>
      </c>
      <c r="FU94" s="9">
        <v>130</v>
      </c>
      <c r="FV94" s="7">
        <f>IFERROR(FK94/F94,0)</f>
        <v>7.416935203758759e-7</v>
      </c>
      <c r="FW94" t="inlineStr">
        <is>
          <t xml:space="preserve">Lease cash / margin / financing</t>
        </is>
      </c>
      <c r="FX94" t="inlineStr">
        <is>
          <t xml:space="preserve">cash</t>
        </is>
      </c>
      <c r="FY94" t="inlineStr">
        <is>
          <t xml:space="preserve">lease</t>
        </is>
      </c>
      <c r="FZ94" t="inlineStr">
        <is>
          <t xml:space="preserve">cash</t>
        </is>
      </c>
      <c r="GA94"/>
      <c r="GB94" s="4">
        <v>1</v>
      </c>
      <c r="GC94" s="4">
        <v>1</v>
      </c>
      <c r="GD94" s="6"/>
      <c r="GE94" s="4">
        <v>1.5543122344752192e-15</v>
      </c>
      <c r="GF94" s="5">
        <f>IF(FX94="direct",IFERROR(GL94/GC94,0),0)</f>
        <v>0</v>
      </c>
      <c r="GG94" s="5">
        <f>IF(FX94="direct",GE94-GF94,IF(FX94="cash",GQ94,GE94))</f>
        <v>0.0036285223075624945</v>
      </c>
      <c r="GH94" s="6"/>
      <c r="GI94" s="4">
        <v>1.5543122344752192e-15</v>
      </c>
      <c r="GJ94" s="4">
        <v>1.5543122344752192e-15</v>
      </c>
      <c r="GK94" s="5">
        <f>IF(FX94="direct",GE94*(GC94-GB94),GN94)</f>
        <v>0</v>
      </c>
      <c r="GL94" s="5">
        <f>IF(FX94="direct",GJ94*GD94*C94/365,0)</f>
        <v>0</v>
      </c>
      <c r="GM94" s="5">
        <f>GK94-GL94</f>
        <v>0</v>
      </c>
      <c r="GN94" s="4">
        <v>0</v>
      </c>
      <c r="GO94" s="5">
        <f>GN94-GM94</f>
        <v>0</v>
      </c>
      <c r="GP94" s="4">
        <v>0.00362852230756094</v>
      </c>
      <c r="GQ94" s="4">
        <v>0.0036285223075624945</v>
      </c>
      <c r="GR94" s="4">
        <v>1.761</v>
      </c>
      <c r="GS94" s="4">
        <v>1.749</v>
      </c>
      <c r="GT94" s="6"/>
      <c r="GU94" s="6"/>
      <c r="GV94" s="6"/>
      <c r="GW94" s="9"/>
      <c r="GX94" s="7">
        <f>IFERROR(GM94/F94,0)</f>
        <v>0</v>
      </c>
      <c r="GY94" t="inlineStr">
        <is>
          <t xml:space="preserve">Keep cash / margin / financing</t>
        </is>
      </c>
      <c r="GZ94" t="inlineStr">
        <is>
          <t xml:space="preserve">cash</t>
        </is>
      </c>
      <c r="HA94" t="inlineStr">
        <is>
          <t xml:space="preserve">keep</t>
        </is>
      </c>
      <c r="HB94" t="inlineStr">
        <is>
          <t xml:space="preserve">cash</t>
        </is>
      </c>
      <c r="HC94"/>
      <c r="HD94" s="4">
        <v>1</v>
      </c>
      <c r="HE94" s="4">
        <v>1</v>
      </c>
      <c r="HF94" s="6"/>
      <c r="HG94" s="4">
        <v>0</v>
      </c>
      <c r="HH94" s="5">
        <f>IF(GZ94="direct",IFERROR(HN94/HE94,0),0)</f>
        <v>0</v>
      </c>
      <c r="HI94" s="5">
        <f>IF(GZ94="direct",HG94-HH94,IF(GZ94="cash",HS94,HG94))</f>
        <v>0</v>
      </c>
      <c r="HJ94" s="6"/>
      <c r="HK94" s="4">
        <v>0</v>
      </c>
      <c r="HL94" s="4">
        <v>0</v>
      </c>
      <c r="HM94" s="5">
        <f>IF(GZ94="direct",HG94*(HE94-HD94),HP94)</f>
        <v>0</v>
      </c>
      <c r="HN94" s="5">
        <f>IF(GZ94="direct",HL94*HF94*C94/365,0)</f>
        <v>0</v>
      </c>
      <c r="HO94" s="5">
        <f>HM94-HN94</f>
        <v>0</v>
      </c>
      <c r="HP94" s="4">
        <v>0</v>
      </c>
      <c r="HQ94" s="5">
        <f>HP94-HO94</f>
        <v>0</v>
      </c>
      <c r="HR94" s="4">
        <v>0</v>
      </c>
      <c r="HS94" s="4">
        <v>0</v>
      </c>
      <c r="HT94" s="4">
        <v>1.761</v>
      </c>
      <c r="HU94" s="4">
        <v>1.749</v>
      </c>
      <c r="HV94" s="6"/>
      <c r="HW94" s="6"/>
      <c r="HX94" s="6"/>
      <c r="HY94" s="9"/>
      <c r="HZ94" s="7">
        <f>IFERROR(HO94/F94,0)</f>
        <v>0</v>
      </c>
      <c r="IA94"/>
      <c r="IB94"/>
      <c r="IC94"/>
      <c r="ID94"/>
      <c r="IE94"/>
      <c r="IF94" s="4"/>
      <c r="IG94" s="4"/>
      <c r="IH94" s="6"/>
      <c r="II94" s="4"/>
      <c r="IJ94" s="5">
        <v>0</v>
      </c>
      <c r="IK94" s="5"/>
      <c r="IL94" s="6"/>
      <c r="IM94" s="4"/>
      <c r="IN94" s="4"/>
      <c r="IO94" s="5">
        <v>0</v>
      </c>
      <c r="IP94" s="5">
        <v>0</v>
      </c>
      <c r="IQ94" s="5"/>
      <c r="IR94" s="4"/>
      <c r="IS94" s="5">
        <v>0</v>
      </c>
      <c r="IT94" s="4"/>
      <c r="IU94" s="4"/>
      <c r="IV94" s="4"/>
      <c r="IW94" s="4"/>
      <c r="IX94" s="6"/>
      <c r="IY94" s="6"/>
      <c r="IZ94" s="6"/>
      <c r="JA94" s="9"/>
      <c r="JB94"/>
      <c r="JC94"/>
      <c r="JD94"/>
      <c r="JE94"/>
      <c r="JF94"/>
      <c r="JG94"/>
      <c r="JH94" s="4"/>
      <c r="JI94" s="4"/>
      <c r="JJ94" s="6"/>
      <c r="JK94" s="4"/>
      <c r="JL94" s="5">
        <v>0</v>
      </c>
      <c r="JM94" s="5"/>
      <c r="JN94" s="6"/>
      <c r="JO94" s="4"/>
      <c r="JP94" s="4"/>
      <c r="JQ94" s="5">
        <v>0</v>
      </c>
      <c r="JR94" s="5">
        <v>0</v>
      </c>
      <c r="JS94" s="5"/>
      <c r="JT94" s="4"/>
      <c r="JU94" s="5">
        <v>0</v>
      </c>
      <c r="JV94" s="4"/>
      <c r="JW94" s="4"/>
      <c r="JX94" s="4"/>
      <c r="JY94" s="4"/>
      <c r="JZ94" s="6"/>
      <c r="KA94" s="6"/>
      <c r="KB94" s="6"/>
      <c r="KC94" s="9"/>
      <c r="KD94"/>
      <c r="KE94"/>
      <c r="KF94"/>
      <c r="KG94"/>
      <c r="KH94"/>
      <c r="KI94"/>
      <c r="KJ94" s="4"/>
      <c r="KK94" s="4"/>
      <c r="KL94" s="6"/>
      <c r="KM94" s="4"/>
      <c r="KN94" s="5">
        <v>0</v>
      </c>
      <c r="KO94" s="5"/>
      <c r="KP94" s="6"/>
      <c r="KQ94" s="4"/>
      <c r="KR94" s="4"/>
      <c r="KS94" s="5">
        <v>0</v>
      </c>
      <c r="KT94" s="5">
        <v>0</v>
      </c>
      <c r="KU94" s="5"/>
      <c r="KV94" s="4"/>
      <c r="KW94" s="5">
        <v>0</v>
      </c>
      <c r="KX94" s="4"/>
      <c r="KY94" s="4"/>
      <c r="KZ94" s="4"/>
      <c r="LA94" s="4"/>
      <c r="LB94" s="6"/>
      <c r="LC94" s="6"/>
      <c r="LD94" s="6"/>
      <c r="LE94" s="9"/>
      <c r="LF94"/>
      <c r="LG94"/>
      <c r="LH94"/>
      <c r="LI94"/>
      <c r="LJ94"/>
      <c r="LK94"/>
      <c r="LL94" s="4"/>
      <c r="LM94" s="4"/>
      <c r="LN94" s="6"/>
      <c r="LO94" s="4"/>
      <c r="LP94" s="5">
        <v>0</v>
      </c>
      <c r="LQ94" s="5"/>
      <c r="LR94" s="6"/>
      <c r="LS94" s="4"/>
      <c r="LT94" s="4"/>
      <c r="LU94" s="5">
        <v>0</v>
      </c>
      <c r="LV94" s="5">
        <v>0</v>
      </c>
      <c r="LW94" s="5"/>
      <c r="LX94" s="4"/>
      <c r="LY94" s="5">
        <v>0</v>
      </c>
      <c r="LZ94" s="4"/>
      <c r="MA94" s="4"/>
      <c r="MB94" s="4"/>
      <c r="MC94" s="4"/>
      <c r="MD94" s="6"/>
      <c r="ME94" s="6"/>
      <c r="MF94" s="6"/>
      <c r="MG94" s="9"/>
      <c r="MH94"/>
    </row>
    <row r="95">
      <c r="A95" s="8">
        <v>25343</v>
      </c>
      <c r="B95" s="8">
        <v>25344</v>
      </c>
      <c r="C95" s="9">
        <f>B95-A95</f>
        <v>1</v>
      </c>
      <c r="D95" s="8">
        <v>25343</v>
      </c>
      <c r="E95" t="inlineStr">
        <is>
          <t xml:space="preserve">neutral</t>
        </is>
      </c>
      <c r="F95" s="4">
        <v>1.302884132497017</v>
      </c>
      <c r="G95" s="6">
        <v>0.005710703572295594</v>
      </c>
      <c r="H95" s="7">
        <f>SUM(CP95,DR95,ET95,FV95,GX95,HZ95,JB95,KD95,LF95,MH95)</f>
        <v>0.005710703572295593</v>
      </c>
      <c r="I95" s="7">
        <f>G95-H95</f>
        <v>8.673617379884035e-19</v>
      </c>
      <c r="J95" s="5">
        <f>F95*(1+H95)</f>
        <v>1.310324517566755</v>
      </c>
      <c r="K95" s="4">
        <v>1.310324517566755</v>
      </c>
      <c r="L95" s="5">
        <f>K95-J95</f>
        <v>0</v>
      </c>
      <c r="M95" s="4">
        <v>1.749</v>
      </c>
      <c r="N95" s="4">
        <v>1.759</v>
      </c>
      <c r="O95" s="5">
        <f>M95/$M$3</f>
        <v>0.8932584269662922</v>
      </c>
      <c r="P95" s="5">
        <f>N95/$M$3</f>
        <v>0.8983656792645557</v>
      </c>
      <c r="Q95" s="7">
        <f>IFERROR(N95/M95-1,0)</f>
        <v>0.005717552887364086</v>
      </c>
      <c r="R95" s="5">
        <f>SUM(IF(BQ95="lease",CB95,0),IF(CS95="lease",DD95,0),IF(DU95="lease",EF95,0),IF(EW95="lease",FH95,0),IF(FY95="lease",GJ95,0),IF(HA95="lease",HL95,0),IF(IC95="lease",IN95,0),IF(JE95="lease",JP95,0),IF(KG95="lease",KR95,0),IF(LI95="lease",LT95,0))</f>
        <v>1.3028841324970186</v>
      </c>
      <c r="S95" s="5">
        <f>SUM(IF(BQ95="lease",CI95,0),IF(CS95="lease",DK95,0),IF(DU95="lease",EM95,0),IF(EW95="lease",FO95,0),IF(FY95="lease",GQ95,0),IF(HA95="lease",HS95,0),IF(IC95="lease",IU95,0),IF(JE95="lease",JW95,0),IF(KG95="lease",KY95,0),IF(LI95="lease",MA95,0))</f>
        <v>1.3103245175667566</v>
      </c>
      <c r="T95" s="5">
        <f>SUM(IF(BQ95="keep",CB95,0),IF(CS95="keep",DD95,0),IF(DU95="keep",EF95,0),IF(EW95="keep",FH95,0),IF(FY95="keep",GJ95,0),IF(HA95="keep",HL95,0),IF(IC95="keep",IN95,0),IF(JE95="keep",JP95,0),IF(KG95="keep",KR95,0),IF(LI95="keep",LT95,0))</f>
        <v>0</v>
      </c>
      <c r="U95" s="5">
        <f>SUM(IF(BQ95="keep",CI95,0),IF(CS95="keep",DK95,0),IF(DU95="keep",EM95,0),IF(EW95="keep",FO95,0),IF(FY95="keep",GQ95,0),IF(HA95="keep",HS95,0),IF(IC95="keep",IU95,0),IF(JE95="keep",JW95,0),IF(KG95="keep",KY95,0),IF(LI95="keep",MA95,0))</f>
        <v>0</v>
      </c>
      <c r="V95" s="5">
        <f>R95/O95</f>
        <v>1.4585746892104987</v>
      </c>
      <c r="W95" s="5">
        <f>S95/P95</f>
        <v>1.458564755767885</v>
      </c>
      <c r="X95" s="5">
        <f>T95/O95</f>
        <v>0</v>
      </c>
      <c r="Y95" s="5">
        <f>U95/P95</f>
        <v>0</v>
      </c>
      <c r="Z95" s="5">
        <f>V95+X95</f>
        <v>1.4585746892104987</v>
      </c>
      <c r="AA95" s="7">
        <f>IFERROR(W95/V95-1,0)</f>
        <v>-0.000006810376381283234</v>
      </c>
      <c r="AB95" s="7">
        <f>IFERROR((W95-V95)/Z95,0)</f>
        <v>-0.000006810376381324205</v>
      </c>
      <c r="AC95" s="7">
        <f>IFERROR(Y95/X95-1,0)</f>
        <v>0</v>
      </c>
      <c r="AD95" s="7">
        <f>IFERROR((Y95-X95)/Z95,0)</f>
        <v>0</v>
      </c>
      <c r="AE95" s="7">
        <f>AB95+AD95</f>
        <v>-0.000006810376381324205</v>
      </c>
      <c r="AF95" s="7">
        <f>(1+Q95)*(1+AE95)-1</f>
        <v>0.005710703572295639</v>
      </c>
      <c r="AG95" s="7">
        <f>G95-AF95</f>
        <v>-4.5102810375396984e-17</v>
      </c>
      <c r="AH95" s="5">
        <f>SUM(IF(BQ95="lease",CE95,0),IF(CS95="lease",DG95,0),IF(DU95="lease",EI95,0),IF(EW95="lease",FK95,0),IF(FY95="lease",GM95,0),IF(HA95="lease",HO95,0),IF(IC95="lease",IQ95,0),IF(JE95="lease",JS95,0),IF(KG95="lease",KU95,0),IF(LI95="lease",LW95,0))</f>
        <v>0.00744038506973796</v>
      </c>
      <c r="AI95" s="5">
        <f>SUM(IF(BQ95="keep",CE95,0),IF(CS95="keep",DG95,0),IF(DU95="keep",EI95,0),IF(EW95="keep",FK95,0),IF(FY95="keep",GM95,0),IF(HA95="keep",HO95,0),IF(IC95="keep",IQ95,0),IF(JE95="keep",JS95,0),IF(KG95="keep",KU95,0),IF(LI95="keep",LW95,0))</f>
        <v>0</v>
      </c>
      <c r="AJ95" s="5">
        <f>SUM(IF(BQ95="lease",CH95,0),IF(CS95="lease",DJ95,0),IF(DU95="lease",EL95,0),IF(EW95="lease",FN95,0),IF(FY95="lease",GP95,0),IF(HA95="lease",HR95,0),IF(IC95="lease",IT95,0),IF(JE95="lease",JV95,0),IF(KG95="lease",KX95,0),IF(LI95="lease",LZ95,0))</f>
        <v>0</v>
      </c>
      <c r="AK95" s="5">
        <f>SUM(IF(BQ95="keep",CH95,0),IF(CS95="keep",DJ95,0),IF(DU95="keep",EL95,0),IF(EW95="keep",FN95,0),IF(FY95="keep",GP95,0),IF(HA95="keep",HR95,0),IF(IC95="keep",IT95,0),IF(JE95="keep",JV95,0),IF(KG95="keep",KX95,0),IF(LI95="keep",LZ95,0))</f>
        <v>0</v>
      </c>
      <c r="AL95" s="5">
        <f>R95-S94</f>
        <v>2.220446049250313e-16</v>
      </c>
      <c r="AM95" s="5">
        <f>T95-U94</f>
        <v>0</v>
      </c>
      <c r="AN95" s="5">
        <f>AN94</f>
        <v>1</v>
      </c>
      <c r="AO95" s="5">
        <f>AO94+AH95</f>
        <v>0.3103245175667564</v>
      </c>
      <c r="AP95" s="5">
        <f>AP94+AL95</f>
        <v>-2.220446049250313e-16</v>
      </c>
      <c r="AQ95" s="5">
        <f>AN95+AO95+AP95</f>
        <v>1.3103245175667562</v>
      </c>
      <c r="AR95" s="5">
        <f>S95-AQ95</f>
        <v>4.440892098500626e-16</v>
      </c>
      <c r="AS95" s="5">
        <f>AS94</f>
        <v>0</v>
      </c>
      <c r="AT95" s="5">
        <f>AT94+AI95</f>
        <v>0</v>
      </c>
      <c r="AU95" s="5">
        <f>AU94+AM95</f>
        <v>0</v>
      </c>
      <c r="AV95" s="5">
        <f>AS95+AT95+AU95</f>
        <v>0</v>
      </c>
      <c r="AW95" s="5">
        <f>U95-AV95</f>
        <v>0</v>
      </c>
      <c r="AX95" s="4">
        <v>1.3028841324970186</v>
      </c>
      <c r="AY95" s="4">
        <v>1.3103245175667566</v>
      </c>
      <c r="AZ95" s="5">
        <f>S95-AY95</f>
        <v>0</v>
      </c>
      <c r="BA95" s="4">
        <v>0</v>
      </c>
      <c r="BB95" s="4">
        <v>0</v>
      </c>
      <c r="BC95" s="5">
        <f>U95-BB95</f>
        <v>0</v>
      </c>
      <c r="BD95" s="7">
        <f>SUM(IF(BP95="direct",CC95/F95,0),IF(CR95="direct",DE95/F95,0),IF(DT95="direct",EG95/F95,0),IF(EV95="direct",FI95/F95,0),IF(FX95="direct",GK95/F95,0),IF(GZ95="direct",HM95/F95,0),IF(IB95="direct",IO95/F95,0),IF(JD95="direct",JQ95/F95,0),IF(KF95="direct",KS95/F95,0),IF(LH95="direct",LU95/F95,0))</f>
        <v>0.005717552887364086</v>
      </c>
      <c r="BE95" s="7">
        <f>-SUM(IF(BP95="direct",CD95/F95,0),IF(CR95="direct",DF95/F95,0),IF(DT95="direct",EH95/F95,0),IF(EV95="direct",FJ95/F95,0),IF(FX95="direct",GL95/F95,0),IF(GZ95="direct",HN95/F95,0),IF(IB95="direct",IP95/F95,0),IF(JD95="direct",JR95/F95,0),IF(KF95="direct",KT95/F95,0),IF(LH95="direct",LV95/F95,0))</f>
        <v>-0.000006849315068493152</v>
      </c>
      <c r="BF95" s="7">
        <f>BD95+BE95</f>
        <v>0.005710703572295593</v>
      </c>
      <c r="BG95" s="7">
        <f>BF95-SUM(IF(BP95="direct",CP95,0),IF(CR95="direct",DR95,0),IF(DT95="direct",ET95,0),IF(EV95="direct",FV95,0),IF(FX95="direct",GX95,0),IF(GZ95="direct",HZ95,0),IF(IB95="direct",JB95,0),IF(JD95="direct",KD95,0),IF(KF95="direct",LF95,0),IF(LH95="direct",MH95,0))</f>
        <v>0</v>
      </c>
      <c r="BH95" s="7">
        <f>SUM(IF(BP95="treasury",CP95,0),IF(CR95="treasury",DR95,0),IF(DT95="treasury",ET95,0),IF(EV95="treasury",FV95,0),IF(FX95="treasury",GX95,0),IF(GZ95="treasury",HZ95,0),IF(IB95="treasury",JB95,0),IF(JD95="treasury",KD95,0),IF(KF95="treasury",LF95,0),IF(LH95="treasury",MH95,0))</f>
        <v>0</v>
      </c>
      <c r="BI95" s="7">
        <f>SUM(IF(BP95="future",CP95,0),IF(CR95="future",DR95,0),IF(DT95="future",ET95,0),IF(EV95="future",FV95,0),IF(FX95="future",GX95,0),IF(GZ95="future",HZ95,0),IF(IB95="future",JB95,0),IF(JD95="future",KD95,0),IF(KF95="future",LF95,0),IF(LH95="future",MH95,0))</f>
        <v>0</v>
      </c>
      <c r="BJ95" s="7">
        <f>SUM(IF(BP95="cash",CP95,0),IF(CR95="cash",DR95,0),IF(DT95="cash",ET95,0),IF(EV95="cash",FV95,0),IF(FX95="cash",GX95,0),IF(GZ95="cash",HZ95,0),IF(IB95="cash",JB95,0),IF(JD95="cash",KD95,0),IF(KF95="cash",LF95,0),IF(LH95="cash",MH95,0))</f>
        <v>0</v>
      </c>
      <c r="BK95" s="7">
        <f>SUM(BF95,BH95,BI95,BJ95)</f>
        <v>0.005710703572295593</v>
      </c>
      <c r="BL95" s="7">
        <f>G95-BK95</f>
        <v>8.673617379884035e-19</v>
      </c>
      <c r="BM95" s="5">
        <f>MAX(ABS(CG95),ABS(DI95),ABS(EK95),ABS(FM95),ABS(GO95),ABS(HQ95),ABS(IS95),ABS(JU95),ABS(KW95),ABS(LY95))</f>
        <v>1.0164395367051604e-20</v>
      </c>
      <c r="BN95" s="9">
        <f>COUNTA(BO95,CQ95,DS95,EU95,FW95,GY95,IA95,JC95,KE95,LG95)</f>
        <v>3</v>
      </c>
      <c r="BO95" t="inlineStr">
        <is>
          <t xml:space="preserve">Direct commodity holding</t>
        </is>
      </c>
      <c r="BP95" t="inlineStr">
        <is>
          <t xml:space="preserve">direct</t>
        </is>
      </c>
      <c r="BQ95" t="inlineStr">
        <is>
          <t xml:space="preserve">lease</t>
        </is>
      </c>
      <c r="BR95" t="inlineStr">
        <is>
          <t xml:space="preserve">long</t>
        </is>
      </c>
      <c r="BS95"/>
      <c r="BT95" s="4">
        <v>1.749</v>
      </c>
      <c r="BU95" s="4">
        <v>1.759</v>
      </c>
      <c r="BV95" s="6">
        <v>0.0025</v>
      </c>
      <c r="BW95" s="4">
        <v>0.7449308933659331</v>
      </c>
      <c r="BX95" s="5">
        <f>IF(BP95="direct",IFERROR(CD95/BU95,0),0)</f>
        <v>0.000005073259761917253</v>
      </c>
      <c r="BY95" s="5">
        <f>IF(BP95="direct",BW95-BX95,IF(BP95="cash",CI95,BW95))</f>
        <v>0.7449258201061711</v>
      </c>
      <c r="BZ95" s="6">
        <v>1</v>
      </c>
      <c r="CA95" s="4">
        <v>1.302884132497017</v>
      </c>
      <c r="CB95" s="4">
        <v>1.302884132497017</v>
      </c>
      <c r="CC95" s="5">
        <f>IF(BP95="direct",BW95*(BU95-BT95),CF95)</f>
        <v>0.0074493089336591725</v>
      </c>
      <c r="CD95" s="5">
        <f>IF(BP95="direct",CB95*BV95*C95/365,0)</f>
        <v>0.000008923863921212447</v>
      </c>
      <c r="CE95" s="5">
        <f>CC95-CD95</f>
        <v>0.00744038506973796</v>
      </c>
      <c r="CF95" s="4">
        <v>0.00744038506973796</v>
      </c>
      <c r="CG95" s="5">
        <f>CF95-CE95</f>
        <v>1.0164395367051604e-20</v>
      </c>
      <c r="CH95" s="4">
        <v>0</v>
      </c>
      <c r="CI95" s="4">
        <v>1.310324517566755</v>
      </c>
      <c r="CJ95" s="4">
        <v>1.749</v>
      </c>
      <c r="CK95" s="4">
        <v>1.759</v>
      </c>
      <c r="CL95" s="6"/>
      <c r="CM95" s="6"/>
      <c r="CN95" s="6"/>
      <c r="CO95" s="9"/>
      <c r="CP95" s="7">
        <f>IFERROR(CE95/F95,0)</f>
        <v>0.005710703572295593</v>
      </c>
      <c r="CQ95" t="inlineStr">
        <is>
          <t xml:space="preserve">Lease cash / margin / financing</t>
        </is>
      </c>
      <c r="CR95" t="inlineStr">
        <is>
          <t xml:space="preserve">cash</t>
        </is>
      </c>
      <c r="CS95" t="inlineStr">
        <is>
          <t xml:space="preserve">lease</t>
        </is>
      </c>
      <c r="CT95" t="inlineStr">
        <is>
          <t xml:space="preserve">cash</t>
        </is>
      </c>
      <c r="CU95"/>
      <c r="CV95" s="4">
        <v>1</v>
      </c>
      <c r="CW95" s="4">
        <v>1</v>
      </c>
      <c r="CX95" s="6"/>
      <c r="CY95" s="4">
        <v>1.5543122344752192e-15</v>
      </c>
      <c r="CZ95" s="5">
        <f>IF(CR95="direct",IFERROR(DF95/CW95,0),0)</f>
        <v>0</v>
      </c>
      <c r="DA95" s="5">
        <f>IF(CR95="direct",CY95-CZ95,IF(CR95="cash",DK95,CY95))</f>
        <v>1.5543122344752192e-15</v>
      </c>
      <c r="DB95" s="6"/>
      <c r="DC95" s="4">
        <v>1.5543122344752192e-15</v>
      </c>
      <c r="DD95" s="4">
        <v>1.5543122344752192e-15</v>
      </c>
      <c r="DE95" s="5">
        <f>IF(CR95="direct",CY95*(CW95-CV95),DH95)</f>
        <v>0</v>
      </c>
      <c r="DF95" s="5">
        <f>IF(CR95="direct",DD95*CX95*C95/365,0)</f>
        <v>0</v>
      </c>
      <c r="DG95" s="5">
        <f>DE95-DF95</f>
        <v>0</v>
      </c>
      <c r="DH95" s="4">
        <v>0</v>
      </c>
      <c r="DI95" s="5">
        <f>DH95-DG95</f>
        <v>0</v>
      </c>
      <c r="DJ95" s="4">
        <v>0</v>
      </c>
      <c r="DK95" s="4">
        <v>1.5543122344752192e-15</v>
      </c>
      <c r="DL95" s="4">
        <v>1.749</v>
      </c>
      <c r="DM95" s="4">
        <v>1.759</v>
      </c>
      <c r="DN95" s="6"/>
      <c r="DO95" s="6"/>
      <c r="DP95" s="6"/>
      <c r="DQ95" s="9"/>
      <c r="DR95" s="7">
        <f>IFERROR(DG95/F95,0)</f>
        <v>0</v>
      </c>
      <c r="DS95" t="inlineStr">
        <is>
          <t xml:space="preserve">Keep cash / margin / financing</t>
        </is>
      </c>
      <c r="DT95" t="inlineStr">
        <is>
          <t xml:space="preserve">cash</t>
        </is>
      </c>
      <c r="DU95" t="inlineStr">
        <is>
          <t xml:space="preserve">keep</t>
        </is>
      </c>
      <c r="DV95" t="inlineStr">
        <is>
          <t xml:space="preserve">cash</t>
        </is>
      </c>
      <c r="DW95"/>
      <c r="DX95" s="4">
        <v>1</v>
      </c>
      <c r="DY95" s="4">
        <v>1</v>
      </c>
      <c r="DZ95" s="6"/>
      <c r="EA95" s="4">
        <v>0</v>
      </c>
      <c r="EB95" s="5">
        <f>IF(DT95="direct",IFERROR(EH95/DY95,0),0)</f>
        <v>0</v>
      </c>
      <c r="EC95" s="5">
        <f>IF(DT95="direct",EA95-EB95,IF(DT95="cash",EM95,EA95))</f>
        <v>0</v>
      </c>
      <c r="ED95" s="6"/>
      <c r="EE95" s="4">
        <v>0</v>
      </c>
      <c r="EF95" s="4">
        <v>0</v>
      </c>
      <c r="EG95" s="5">
        <f>IF(DT95="direct",EA95*(DY95-DX95),EJ95)</f>
        <v>0</v>
      </c>
      <c r="EH95" s="5">
        <f>IF(DT95="direct",EF95*DZ95*C95/365,0)</f>
        <v>0</v>
      </c>
      <c r="EI95" s="5">
        <f>EG95-EH95</f>
        <v>0</v>
      </c>
      <c r="EJ95" s="4">
        <v>0</v>
      </c>
      <c r="EK95" s="5">
        <f>EJ95-EI95</f>
        <v>0</v>
      </c>
      <c r="EL95" s="4">
        <v>0</v>
      </c>
      <c r="EM95" s="4">
        <v>0</v>
      </c>
      <c r="EN95" s="4">
        <v>1.749</v>
      </c>
      <c r="EO95" s="4">
        <v>1.759</v>
      </c>
      <c r="EP95" s="6"/>
      <c r="EQ95" s="6"/>
      <c r="ER95" s="6"/>
      <c r="ES95" s="9"/>
      <c r="ET95" s="7">
        <f>IFERROR(EI95/F95,0)</f>
        <v>0</v>
      </c>
      <c r="EU95"/>
      <c r="EV95"/>
      <c r="EW95"/>
      <c r="EX95"/>
      <c r="EY95"/>
      <c r="EZ95" s="4"/>
      <c r="FA95" s="4"/>
      <c r="FB95" s="6"/>
      <c r="FC95" s="4"/>
      <c r="FD95" s="5">
        <v>0</v>
      </c>
      <c r="FE95" s="5"/>
      <c r="FF95" s="6"/>
      <c r="FG95" s="4"/>
      <c r="FH95" s="4"/>
      <c r="FI95" s="5">
        <v>0</v>
      </c>
      <c r="FJ95" s="5">
        <v>0</v>
      </c>
      <c r="FK95" s="5"/>
      <c r="FL95" s="4"/>
      <c r="FM95" s="5">
        <v>0</v>
      </c>
      <c r="FN95" s="4"/>
      <c r="FO95" s="4"/>
      <c r="FP95" s="4"/>
      <c r="FQ95" s="4"/>
      <c r="FR95" s="6"/>
      <c r="FS95" s="6"/>
      <c r="FT95" s="6"/>
      <c r="FU95" s="9"/>
      <c r="FV95"/>
      <c r="FW95"/>
      <c r="FX95"/>
      <c r="FY95"/>
      <c r="FZ95"/>
      <c r="GA95"/>
      <c r="GB95" s="4"/>
      <c r="GC95" s="4"/>
      <c r="GD95" s="6"/>
      <c r="GE95" s="4"/>
      <c r="GF95" s="5">
        <v>0</v>
      </c>
      <c r="GG95" s="5"/>
      <c r="GH95" s="6"/>
      <c r="GI95" s="4"/>
      <c r="GJ95" s="4"/>
      <c r="GK95" s="5">
        <v>0</v>
      </c>
      <c r="GL95" s="5">
        <v>0</v>
      </c>
      <c r="GM95" s="5"/>
      <c r="GN95" s="4"/>
      <c r="GO95" s="5">
        <v>0</v>
      </c>
      <c r="GP95" s="4"/>
      <c r="GQ95" s="4"/>
      <c r="GR95" s="4"/>
      <c r="GS95" s="4"/>
      <c r="GT95" s="6"/>
      <c r="GU95" s="6"/>
      <c r="GV95" s="6"/>
      <c r="GW95" s="9"/>
      <c r="GX95"/>
      <c r="GY95"/>
      <c r="GZ95"/>
      <c r="HA95"/>
      <c r="HB95"/>
      <c r="HC95"/>
      <c r="HD95" s="4"/>
      <c r="HE95" s="4"/>
      <c r="HF95" s="6"/>
      <c r="HG95" s="4"/>
      <c r="HH95" s="5">
        <v>0</v>
      </c>
      <c r="HI95" s="5"/>
      <c r="HJ95" s="6"/>
      <c r="HK95" s="4"/>
      <c r="HL95" s="4"/>
      <c r="HM95" s="5">
        <v>0</v>
      </c>
      <c r="HN95" s="5">
        <v>0</v>
      </c>
      <c r="HO95" s="5"/>
      <c r="HP95" s="4"/>
      <c r="HQ95" s="5">
        <v>0</v>
      </c>
      <c r="HR95" s="4"/>
      <c r="HS95" s="4"/>
      <c r="HT95" s="4"/>
      <c r="HU95" s="4"/>
      <c r="HV95" s="6"/>
      <c r="HW95" s="6"/>
      <c r="HX95" s="6"/>
      <c r="HY95" s="9"/>
      <c r="HZ95"/>
      <c r="IA95"/>
      <c r="IB95"/>
      <c r="IC95"/>
      <c r="ID95"/>
      <c r="IE95"/>
      <c r="IF95" s="4"/>
      <c r="IG95" s="4"/>
      <c r="IH95" s="6"/>
      <c r="II95" s="4"/>
      <c r="IJ95" s="5">
        <v>0</v>
      </c>
      <c r="IK95" s="5"/>
      <c r="IL95" s="6"/>
      <c r="IM95" s="4"/>
      <c r="IN95" s="4"/>
      <c r="IO95" s="5">
        <v>0</v>
      </c>
      <c r="IP95" s="5">
        <v>0</v>
      </c>
      <c r="IQ95" s="5"/>
      <c r="IR95" s="4"/>
      <c r="IS95" s="5">
        <v>0</v>
      </c>
      <c r="IT95" s="4"/>
      <c r="IU95" s="4"/>
      <c r="IV95" s="4"/>
      <c r="IW95" s="4"/>
      <c r="IX95" s="6"/>
      <c r="IY95" s="6"/>
      <c r="IZ95" s="6"/>
      <c r="JA95" s="9"/>
      <c r="JB95"/>
      <c r="JC95"/>
      <c r="JD95"/>
      <c r="JE95"/>
      <c r="JF95"/>
      <c r="JG95"/>
      <c r="JH95" s="4"/>
      <c r="JI95" s="4"/>
      <c r="JJ95" s="6"/>
      <c r="JK95" s="4"/>
      <c r="JL95" s="5">
        <v>0</v>
      </c>
      <c r="JM95" s="5"/>
      <c r="JN95" s="6"/>
      <c r="JO95" s="4"/>
      <c r="JP95" s="4"/>
      <c r="JQ95" s="5">
        <v>0</v>
      </c>
      <c r="JR95" s="5">
        <v>0</v>
      </c>
      <c r="JS95" s="5"/>
      <c r="JT95" s="4"/>
      <c r="JU95" s="5">
        <v>0</v>
      </c>
      <c r="JV95" s="4"/>
      <c r="JW95" s="4"/>
      <c r="JX95" s="4"/>
      <c r="JY95" s="4"/>
      <c r="JZ95" s="6"/>
      <c r="KA95" s="6"/>
      <c r="KB95" s="6"/>
      <c r="KC95" s="9"/>
      <c r="KD95"/>
      <c r="KE95"/>
      <c r="KF95"/>
      <c r="KG95"/>
      <c r="KH95"/>
      <c r="KI95"/>
      <c r="KJ95" s="4"/>
      <c r="KK95" s="4"/>
      <c r="KL95" s="6"/>
      <c r="KM95" s="4"/>
      <c r="KN95" s="5">
        <v>0</v>
      </c>
      <c r="KO95" s="5"/>
      <c r="KP95" s="6"/>
      <c r="KQ95" s="4"/>
      <c r="KR95" s="4"/>
      <c r="KS95" s="5">
        <v>0</v>
      </c>
      <c r="KT95" s="5">
        <v>0</v>
      </c>
      <c r="KU95" s="5"/>
      <c r="KV95" s="4"/>
      <c r="KW95" s="5">
        <v>0</v>
      </c>
      <c r="KX95" s="4"/>
      <c r="KY95" s="4"/>
      <c r="KZ95" s="4"/>
      <c r="LA95" s="4"/>
      <c r="LB95" s="6"/>
      <c r="LC95" s="6"/>
      <c r="LD95" s="6"/>
      <c r="LE95" s="9"/>
      <c r="LF95"/>
      <c r="LG95"/>
      <c r="LH95"/>
      <c r="LI95"/>
      <c r="LJ95"/>
      <c r="LK95"/>
      <c r="LL95" s="4"/>
      <c r="LM95" s="4"/>
      <c r="LN95" s="6"/>
      <c r="LO95" s="4"/>
      <c r="LP95" s="5">
        <v>0</v>
      </c>
      <c r="LQ95" s="5"/>
      <c r="LR95" s="6"/>
      <c r="LS95" s="4"/>
      <c r="LT95" s="4"/>
      <c r="LU95" s="5">
        <v>0</v>
      </c>
      <c r="LV95" s="5">
        <v>0</v>
      </c>
      <c r="LW95" s="5"/>
      <c r="LX95" s="4"/>
      <c r="LY95" s="5">
        <v>0</v>
      </c>
      <c r="LZ95" s="4"/>
      <c r="MA95" s="4"/>
      <c r="MB95" s="4"/>
      <c r="MC95" s="4"/>
      <c r="MD95" s="6"/>
      <c r="ME95" s="6"/>
      <c r="MF95" s="6"/>
      <c r="MG95" s="9"/>
      <c r="MH95"/>
    </row>
    <row r="96">
      <c r="A96" s="8">
        <v>25344</v>
      </c>
      <c r="B96" s="8">
        <v>25345</v>
      </c>
      <c r="C96" s="9">
        <f>B96-A96</f>
        <v>1</v>
      </c>
      <c r="D96" s="8">
        <v>25344</v>
      </c>
      <c r="E96" t="inlineStr">
        <is>
          <t xml:space="preserve">positive</t>
        </is>
      </c>
      <c r="F96" s="4">
        <v>1.310324517566755</v>
      </c>
      <c r="G96" s="6">
        <v>-0.004296440195126269</v>
      </c>
      <c r="H96" s="7">
        <f>SUM(CP96,DR96,ET96,FV96,GX96,HZ96,JB96,KD96,LF96,MH96)</f>
        <v>-0.004296440195126269</v>
      </c>
      <c r="I96" s="7">
        <f>G96-H96</f>
        <v>0</v>
      </c>
      <c r="J96" s="5">
        <f>F96*(1+H96)</f>
        <v>1.3046947866408218</v>
      </c>
      <c r="K96" s="4">
        <v>1.3046947866408218</v>
      </c>
      <c r="L96" s="5">
        <f>K96-J96</f>
        <v>0</v>
      </c>
      <c r="M96" s="4">
        <v>1.759</v>
      </c>
      <c r="N96" s="4">
        <v>1.751</v>
      </c>
      <c r="O96" s="5">
        <f>M96/$M$3</f>
        <v>0.8983656792645557</v>
      </c>
      <c r="P96" s="5">
        <f>N96/$M$3</f>
        <v>0.8942798774259448</v>
      </c>
      <c r="Q96" s="7">
        <f>IFERROR(N96/M96-1,0)</f>
        <v>-0.004548038658328646</v>
      </c>
      <c r="R96" s="5">
        <f>SUM(IF(BQ96="lease",CB96,0),IF(CS96="lease",DD96,0),IF(DU96="lease",EF96,0),IF(EW96="lease",FH96,0),IF(FY96="lease",GJ96,0),IF(HA96="lease",HL96,0),IF(IC96="lease",IN96,0),IF(JE96="lease",JP96,0),IF(KG96="lease",KR96,0),IF(LI96="lease",LT96,0))</f>
        <v>1.3103245175667566</v>
      </c>
      <c r="S96" s="5">
        <f>SUM(IF(BQ96="lease",CI96,0),IF(CS96="lease",DK96,0),IF(DU96="lease",EM96,0),IF(EW96="lease",FO96,0),IF(FY96="lease",GQ96,0),IF(HA96="lease",HS96,0),IF(IC96="lease",IU96,0),IF(JE96="lease",JW96,0),IF(KG96="lease",KY96,0),IF(LI96="lease",MA96,0))</f>
        <v>1.3046947866408234</v>
      </c>
      <c r="T96" s="5">
        <f>SUM(IF(BQ96="keep",CB96,0),IF(CS96="keep",DD96,0),IF(DU96="keep",EF96,0),IF(EW96="keep",FH96,0),IF(FY96="keep",GJ96,0),IF(HA96="keep",HL96,0),IF(IC96="keep",IN96,0),IF(JE96="keep",JP96,0),IF(KG96="keep",KR96,0),IF(LI96="keep",LT96,0))</f>
        <v>0</v>
      </c>
      <c r="U96" s="5">
        <f>SUM(IF(BQ96="keep",CI96,0),IF(CS96="keep",DK96,0),IF(DU96="keep",EM96,0),IF(EW96="keep",FO96,0),IF(FY96="keep",GQ96,0),IF(HA96="keep",HS96,0),IF(IC96="keep",IU96,0),IF(JE96="keep",JW96,0),IF(KG96="keep",KY96,0),IF(LI96="keep",MA96,0))</f>
        <v>0</v>
      </c>
      <c r="V96" s="5">
        <f>R96/O96</f>
        <v>1.458564755767885</v>
      </c>
      <c r="W96" s="5">
        <f>S96/P96</f>
        <v>1.4589334050501042</v>
      </c>
      <c r="X96" s="5">
        <f>T96/O96</f>
        <v>0</v>
      </c>
      <c r="Y96" s="5">
        <f>U96/P96</f>
        <v>0</v>
      </c>
      <c r="Z96" s="5">
        <f>V96+X96</f>
        <v>1.458564755767885</v>
      </c>
      <c r="AA96" s="7">
        <f>IFERROR(W96/V96-1,0)</f>
        <v>0.00025274797074414934</v>
      </c>
      <c r="AB96" s="7">
        <f>IFERROR((W96-V96)/Z96,0)</f>
        <v>0.0002527479707441342</v>
      </c>
      <c r="AC96" s="7">
        <f>IFERROR(Y96/X96-1,0)</f>
        <v>0</v>
      </c>
      <c r="AD96" s="7">
        <f>IFERROR((Y96-X96)/Z96,0)</f>
        <v>0</v>
      </c>
      <c r="AE96" s="7">
        <f>AB96+AD96</f>
        <v>0.0002527479707441342</v>
      </c>
      <c r="AF96" s="7">
        <f>(1+Q96)*(1+AE96)-1</f>
        <v>-0.0042964401951262055</v>
      </c>
      <c r="AG96" s="7">
        <f>G96-AF96</f>
        <v>-6.331740687315346e-17</v>
      </c>
      <c r="AH96" s="5">
        <f>SUM(IF(BQ96="lease",CE96,0),IF(CS96="lease",DG96,0),IF(DU96="lease",EI96,0),IF(EW96="lease",FK96,0),IF(FY96="lease",GM96,0),IF(HA96="lease",HO96,0),IF(IC96="lease",IQ96,0),IF(JE96="lease",JS96,0),IF(KG96="lease",KU96,0),IF(LI96="lease",LW96,0))</f>
        <v>-0.005629730925933243</v>
      </c>
      <c r="AI96" s="5">
        <f>SUM(IF(BQ96="keep",CE96,0),IF(CS96="keep",DG96,0),IF(DU96="keep",EI96,0),IF(EW96="keep",FK96,0),IF(FY96="keep",GM96,0),IF(HA96="keep",HO96,0),IF(IC96="keep",IQ96,0),IF(JE96="keep",JS96,0),IF(KG96="keep",KU96,0),IF(LI96="keep",LW96,0))</f>
        <v>0</v>
      </c>
      <c r="AJ96" s="5">
        <f>SUM(IF(BQ96="lease",CH96,0),IF(CS96="lease",DJ96,0),IF(DU96="lease",EL96,0),IF(EW96="lease",FN96,0),IF(FY96="lease",GP96,0),IF(HA96="lease",HR96,0),IF(IC96="lease",IT96,0),IF(JE96="lease",JV96,0),IF(KG96="lease",KX96,0),IF(LI96="lease",LZ96,0))</f>
        <v>0</v>
      </c>
      <c r="AK96" s="5">
        <f>SUM(IF(BQ96="keep",CH96,0),IF(CS96="keep",DJ96,0),IF(DU96="keep",EL96,0),IF(EW96="keep",FN96,0),IF(FY96="keep",GP96,0),IF(HA96="keep",HR96,0),IF(IC96="keep",IT96,0),IF(JE96="keep",JV96,0),IF(KG96="keep",KX96,0),IF(LI96="keep",LZ96,0))</f>
        <v>0</v>
      </c>
      <c r="AL96" s="5">
        <f>R96-S95</f>
        <v>0</v>
      </c>
      <c r="AM96" s="5">
        <f>T96-U95</f>
        <v>0</v>
      </c>
      <c r="AN96" s="5">
        <f>AN95</f>
        <v>1</v>
      </c>
      <c r="AO96" s="5">
        <f>AO95+AH96</f>
        <v>0.30469478664082317</v>
      </c>
      <c r="AP96" s="5">
        <f>AP95+AL96</f>
        <v>-2.220446049250313e-16</v>
      </c>
      <c r="AQ96" s="5">
        <f>AN96+AO96+AP96</f>
        <v>1.304694786640823</v>
      </c>
      <c r="AR96" s="5">
        <f>S96-AQ96</f>
        <v>4.440892098500626e-16</v>
      </c>
      <c r="AS96" s="5">
        <f>AS95</f>
        <v>0</v>
      </c>
      <c r="AT96" s="5">
        <f>AT95+AI96</f>
        <v>0</v>
      </c>
      <c r="AU96" s="5">
        <f>AU95+AM96</f>
        <v>0</v>
      </c>
      <c r="AV96" s="5">
        <f>AS96+AT96+AU96</f>
        <v>0</v>
      </c>
      <c r="AW96" s="5">
        <f>U96-AV96</f>
        <v>0</v>
      </c>
      <c r="AX96" s="4">
        <v>1.3103245175667566</v>
      </c>
      <c r="AY96" s="4">
        <v>1.3046947866408234</v>
      </c>
      <c r="AZ96" s="5">
        <f>S96-AY96</f>
        <v>0</v>
      </c>
      <c r="BA96" s="4">
        <v>0</v>
      </c>
      <c r="BB96" s="4">
        <v>0</v>
      </c>
      <c r="BC96" s="5">
        <f>U96-BB96</f>
        <v>0</v>
      </c>
      <c r="BD96" s="7">
        <f>SUM(IF(BP96="direct",CC96/F96,0),IF(CR96="direct",DE96/F96,0),IF(DT96="direct",EG96/F96,0),IF(EV96="direct",FI96/F96,0),IF(FX96="direct",GK96/F96,0),IF(GZ96="direct",HM96/F96,0),IF(IB96="direct",IO96/F96,0),IF(JD96="direct",JQ96/F96,0),IF(KF96="direct",KS96/F96,0),IF(LH96="direct",LU96/F96,0))</f>
        <v>-0.0029781140651868906</v>
      </c>
      <c r="BE96" s="7">
        <f>-SUM(IF(BP96="direct",CD96/F96,0),IF(CR96="direct",DF96/F96,0),IF(DT96="direct",EH96/F96,0),IF(EV96="direct",FJ96/F96,0),IF(FX96="direct",GL96/F96,0),IF(GZ96="direct",HN96/F96,0),IF(IB96="direct",IP96/F96,0),IF(JD96="direct",JR96/F96,0),IF(KF96="direct",KT96/F96,0),IF(LH96="direct",LV96/F96,0))</f>
        <v>-0.0000044850193841299106</v>
      </c>
      <c r="BF96" s="7">
        <f>BD96+BE96</f>
        <v>-0.0029825990845710206</v>
      </c>
      <c r="BG96" s="7">
        <f>BF96-SUM(IF(BP96="direct",CP96,0),IF(CR96="direct",DR96,0),IF(DT96="direct",ET96,0),IF(EV96="direct",FV96,0),IF(FX96="direct",GX96,0),IF(GZ96="direct",HZ96,0),IF(IB96="direct",JB96,0),IF(JD96="direct",KD96,0),IF(KF96="direct",LF96,0),IF(LH96="direct",MH96,0))</f>
        <v>2.949029909160572e-17</v>
      </c>
      <c r="BH96" s="7">
        <f>SUM(IF(BP96="treasury",CP96,0),IF(CR96="treasury",DR96,0),IF(DT96="treasury",ET96,0),IF(EV96="treasury",FV96,0),IF(FX96="treasury",GX96,0),IF(GZ96="treasury",HZ96,0),IF(IB96="treasury",JB96,0),IF(JD96="treasury",KD96,0),IF(KF96="treasury",LF96,0),IF(LH96="treasury",MH96,0))</f>
        <v>0.000057499671043714</v>
      </c>
      <c r="BI96" s="7">
        <f>SUM(IF(BP96="future",CP96,0),IF(CR96="future",DR96,0),IF(DT96="future",ET96,0),IF(EV96="future",FV96,0),IF(FX96="future",GX96,0),IF(GZ96="future",HZ96,0),IF(IB96="future",JB96,0),IF(JD96="future",KD96,0),IF(KF96="future",LF96,0),IF(LH96="future",MH96,0))</f>
        <v>-0.001371340781598932</v>
      </c>
      <c r="BJ96" s="7">
        <f>SUM(IF(BP96="cash",CP96,0),IF(CR96="cash",DR96,0),IF(DT96="cash",ET96,0),IF(EV96="cash",FV96,0),IF(FX96="cash",GX96,0),IF(GZ96="cash",HZ96,0),IF(IB96="cash",JB96,0),IF(JD96="cash",KD96,0),IF(KF96="cash",LF96,0),IF(LH96="cash",MH96,0))</f>
        <v>0</v>
      </c>
      <c r="BK96" s="7">
        <f>SUM(BF96,BH96,BI96,BJ96)</f>
        <v>-0.004296440195126268</v>
      </c>
      <c r="BL96" s="7">
        <f>G96-BK96</f>
        <v>-8.673617379884035e-19</v>
      </c>
      <c r="BM96" s="5">
        <f>MAX(ABS(CG96),ABS(DI96),ABS(EK96),ABS(FM96),ABS(GO96),ABS(HQ96),ABS(IS96),ABS(JU96),ABS(KW96),ABS(LY96))</f>
        <v>3.889490590497022e-17</v>
      </c>
      <c r="BN96" s="9">
        <f>COUNTA(BO96,CQ96,DS96,EU96,FW96,GY96,IA96,JC96,KE96,LG96)</f>
        <v>6</v>
      </c>
      <c r="BO96" t="inlineStr">
        <is>
          <t xml:space="preserve">Direct commodity holding</t>
        </is>
      </c>
      <c r="BP96" t="inlineStr">
        <is>
          <t xml:space="preserve">direct</t>
        </is>
      </c>
      <c r="BQ96" t="inlineStr">
        <is>
          <t xml:space="preserve">lease</t>
        </is>
      </c>
      <c r="BR96" t="inlineStr">
        <is>
          <t xml:space="preserve">long</t>
        </is>
      </c>
      <c r="BS96"/>
      <c r="BT96" s="4">
        <v>1.759</v>
      </c>
      <c r="BU96" s="4">
        <v>1.751</v>
      </c>
      <c r="BV96" s="6">
        <v>0.0025</v>
      </c>
      <c r="BW96" s="4">
        <v>0.4877869844655971</v>
      </c>
      <c r="BX96" s="5">
        <f>IF(BP96="direct",IFERROR(CD96/BU96,0),0)</f>
        <v>0.0000033562711940534383</v>
      </c>
      <c r="BY96" s="5">
        <f>IF(BP96="direct",BW96-BX96,IF(BP96="cash",CI96,BW96))</f>
        <v>0.487783628194403</v>
      </c>
      <c r="BZ96" s="6">
        <v>0.654812830082967</v>
      </c>
      <c r="CA96" s="4">
        <v>0.8580173056749852</v>
      </c>
      <c r="CB96" s="4">
        <v>0.8580173056749852</v>
      </c>
      <c r="CC96" s="5">
        <f>IF(BP96="direct",BW96*(BU96-BT96),CF96)</f>
        <v>-0.00390229587572478</v>
      </c>
      <c r="CD96" s="5">
        <f>IF(BP96="direct",CB96*BV96*C96/365,0)</f>
        <v>0.00000587683086078757</v>
      </c>
      <c r="CE96" s="5">
        <f>CC96-CD96</f>
        <v>-0.0039081727065856066</v>
      </c>
      <c r="CF96" s="4">
        <v>-0.0039081727065856066</v>
      </c>
      <c r="CG96" s="5">
        <f>CF96-CE96</f>
        <v>-3.889490590497022e-17</v>
      </c>
      <c r="CH96" s="4">
        <v>0</v>
      </c>
      <c r="CI96" s="4">
        <v>0.8541091329683996</v>
      </c>
      <c r="CJ96" s="4">
        <v>1.759</v>
      </c>
      <c r="CK96" s="4">
        <v>1.751</v>
      </c>
      <c r="CL96" s="6"/>
      <c r="CM96" s="6"/>
      <c r="CN96" s="6"/>
      <c r="CO96" s="9"/>
      <c r="CP96" s="7">
        <f>IFERROR(CE96/F96,0)</f>
        <v>-0.00298259908457105</v>
      </c>
      <c r="CQ96" t="inlineStr">
        <is>
          <t xml:space="preserve">Treasury collateral</t>
        </is>
      </c>
      <c r="CR96" t="inlineStr">
        <is>
          <t xml:space="preserve">treasury</t>
        </is>
      </c>
      <c r="CS96" t="inlineStr">
        <is>
          <t xml:space="preserve">lease</t>
        </is>
      </c>
      <c r="CT96" t="inlineStr">
        <is>
          <t xml:space="preserve">long</t>
        </is>
      </c>
      <c r="CU96"/>
      <c r="CV96" s="4">
        <v>102.34460164005998</v>
      </c>
      <c r="CW96" s="4">
        <v>102.36164972712768</v>
      </c>
      <c r="CX96" s="6"/>
      <c r="CY96" s="4">
        <v>0.0044194535387661</v>
      </c>
      <c r="CZ96" s="5">
        <f>IF(CR96="direct",IFERROR(DF96/CW96,0),0)</f>
        <v>0</v>
      </c>
      <c r="DA96" s="5">
        <f>IF(CR96="direct",CY96-CZ96,IF(CR96="cash",DK96,CY96))</f>
        <v>0.0044194535387661</v>
      </c>
      <c r="DB96" s="6">
        <v>0.345187169917033</v>
      </c>
      <c r="DC96" s="4">
        <v>0.4523072118917698</v>
      </c>
      <c r="DD96" s="4">
        <v>0.4523072118917698</v>
      </c>
      <c r="DE96" s="5">
        <f>IF(CR96="direct",CY96*(CW96-CV96),DH96)</f>
        <v>0.00007534322872056929</v>
      </c>
      <c r="DF96" s="5">
        <f>IF(CR96="direct",DD96*CX96*C96/365,0)</f>
        <v>0</v>
      </c>
      <c r="DG96" s="5">
        <f>DE96-DF96</f>
        <v>0.00007534322872060166</v>
      </c>
      <c r="DH96" s="4">
        <v>0.00007534322872060166</v>
      </c>
      <c r="DI96" s="5">
        <f>DH96-DG96</f>
        <v>3.2376987375848376e-17</v>
      </c>
      <c r="DJ96" s="4">
        <v>1.8431436932253575e-18</v>
      </c>
      <c r="DK96" s="4">
        <v>0.4523825551204904</v>
      </c>
      <c r="DL96" s="4">
        <v>1.759</v>
      </c>
      <c r="DM96" s="4">
        <v>1.751</v>
      </c>
      <c r="DN96" s="6"/>
      <c r="DO96" s="6"/>
      <c r="DP96" s="6"/>
      <c r="DQ96" s="9">
        <v>69</v>
      </c>
      <c r="DR96" s="7">
        <f>IFERROR(DG96/F96,0)</f>
        <v>0.000057499671043714</v>
      </c>
      <c r="DS96" t="inlineStr">
        <is>
          <t xml:space="preserve">SI69N</t>
        </is>
      </c>
      <c r="DT96" t="inlineStr">
        <is>
          <t xml:space="preserve">future</t>
        </is>
      </c>
      <c r="DU96" t="inlineStr">
        <is>
          <t xml:space="preserve">lease</t>
        </is>
      </c>
      <c r="DV96" t="inlineStr">
        <is>
          <t xml:space="preserve">long</t>
        </is>
      </c>
      <c r="DW96" t="inlineStr">
        <is>
          <t xml:space="preserve">regular</t>
        </is>
      </c>
      <c r="DX96" s="4">
        <v>1.7619999999999998</v>
      </c>
      <c r="DY96" s="4">
        <v>1.755</v>
      </c>
      <c r="DZ96" s="6"/>
      <c r="EA96" s="4">
        <v>0.25665497585732755</v>
      </c>
      <c r="EB96" s="5">
        <f>IF(DT96="direct",IFERROR(EH96/DY96,0),0)</f>
        <v>0</v>
      </c>
      <c r="EC96" s="5">
        <f>IF(DT96="direct",EA96-EB96,IF(DT96="cash",EM96,EA96))</f>
        <v>0.25665497585732755</v>
      </c>
      <c r="ED96" s="6">
        <v>0.3451252429439277</v>
      </c>
      <c r="EE96" s="4">
        <v>0.4522260674606111</v>
      </c>
      <c r="EF96" s="4">
        <v>0</v>
      </c>
      <c r="EG96" s="5">
        <f>IF(DT96="direct",EA96*(DY96-DX96),EJ96)</f>
        <v>-0.0017965848310012864</v>
      </c>
      <c r="EH96" s="5">
        <f>IF(DT96="direct",EF96*DZ96*C96/365,0)</f>
        <v>0</v>
      </c>
      <c r="EI96" s="5">
        <f>EG96-EH96</f>
        <v>-0.0017965848310012864</v>
      </c>
      <c r="EJ96" s="4">
        <v>-0.0017965848310012864</v>
      </c>
      <c r="EK96" s="5">
        <f>EJ96-EI96</f>
        <v>0</v>
      </c>
      <c r="EL96" s="4">
        <v>0.0017965848310012864</v>
      </c>
      <c r="EM96" s="4">
        <v>0</v>
      </c>
      <c r="EN96" s="4">
        <v>1.759</v>
      </c>
      <c r="EO96" s="4">
        <v>1.751</v>
      </c>
      <c r="EP96" s="6">
        <v>0.0017055144968731728</v>
      </c>
      <c r="EQ96" s="6">
        <v>0.0608</v>
      </c>
      <c r="ER96" s="6">
        <v>0.051778075487554955</v>
      </c>
      <c r="ES96" s="9">
        <v>69</v>
      </c>
      <c r="ET96" s="7">
        <f>IFERROR(EI96/F96,0)</f>
        <v>-0.0013710991490394353</v>
      </c>
      <c r="EU96" t="inlineStr">
        <is>
          <t xml:space="preserve">SI69U</t>
        </is>
      </c>
      <c r="EV96" t="inlineStr">
        <is>
          <t xml:space="preserve">future</t>
        </is>
      </c>
      <c r="EW96" t="inlineStr">
        <is>
          <t xml:space="preserve">lease</t>
        </is>
      </c>
      <c r="EX96" t="inlineStr">
        <is>
          <t xml:space="preserve">long</t>
        </is>
      </c>
      <c r="EY96" t="inlineStr">
        <is>
          <t xml:space="preserve">regular</t>
        </is>
      </c>
      <c r="EZ96" s="4">
        <v>1.794</v>
      </c>
      <c r="FA96" s="4">
        <v>1.787</v>
      </c>
      <c r="FB96" s="6"/>
      <c r="FC96" s="4">
        <v>0.00004523100956445785</v>
      </c>
      <c r="FD96" s="5">
        <f>IF(EV96="direct",IFERROR(FJ96/FA96,0),0)</f>
        <v>0</v>
      </c>
      <c r="FE96" s="5">
        <f>IF(EV96="direct",FC96-FD96,IF(EV96="cash",FO96,FC96))</f>
        <v>0.00004523100956445785</v>
      </c>
      <c r="FF96" s="6">
        <v>0.00006192697310535017</v>
      </c>
      <c r="FG96" s="4">
        <v>0.00008114443115863738</v>
      </c>
      <c r="FH96" s="4">
        <v>0</v>
      </c>
      <c r="FI96" s="5">
        <f>IF(EV96="direct",FC96*(FA96-EZ96),FL96)</f>
        <v>-3.1661706695120766e-7</v>
      </c>
      <c r="FJ96" s="5">
        <f>IF(EV96="direct",FH96*FB96*C96/365,0)</f>
        <v>0</v>
      </c>
      <c r="FK96" s="5">
        <f>FI96-FJ96</f>
        <v>-3.1661706695120766e-7</v>
      </c>
      <c r="FL96" s="4">
        <v>-3.1661706695120766e-7</v>
      </c>
      <c r="FM96" s="5">
        <f>FL96-FK96</f>
        <v>0</v>
      </c>
      <c r="FN96" s="4">
        <v>3.1661706695120766e-7</v>
      </c>
      <c r="FO96" s="4">
        <v>0</v>
      </c>
      <c r="FP96" s="4">
        <v>1.759</v>
      </c>
      <c r="FQ96" s="4">
        <v>1.751</v>
      </c>
      <c r="FR96" s="6">
        <v>0.019897669130187756</v>
      </c>
      <c r="FS96" s="6">
        <v>0.06096263736263738</v>
      </c>
      <c r="FT96" s="6">
        <v>0.0042231902335863394</v>
      </c>
      <c r="FU96" s="9">
        <v>128</v>
      </c>
      <c r="FV96" s="7">
        <f>IFERROR(FK96/F96,0)</f>
        <v>-2.416325594969091e-7</v>
      </c>
      <c r="FW96" t="inlineStr">
        <is>
          <t xml:space="preserve">Lease cash / margin / financing</t>
        </is>
      </c>
      <c r="FX96" t="inlineStr">
        <is>
          <t xml:space="preserve">cash</t>
        </is>
      </c>
      <c r="FY96" t="inlineStr">
        <is>
          <t xml:space="preserve">lease</t>
        </is>
      </c>
      <c r="FZ96" t="inlineStr">
        <is>
          <t xml:space="preserve">cash</t>
        </is>
      </c>
      <c r="GA96"/>
      <c r="GB96" s="4">
        <v>1</v>
      </c>
      <c r="GC96" s="4">
        <v>1</v>
      </c>
      <c r="GD96" s="6"/>
      <c r="GE96" s="4">
        <v>1.5543122344752192e-15</v>
      </c>
      <c r="GF96" s="5">
        <f>IF(FX96="direct",IFERROR(GL96/GC96,0),0)</f>
        <v>0</v>
      </c>
      <c r="GG96" s="5">
        <f>IF(FX96="direct",GE96-GF96,IF(FX96="cash",GQ96,GE96))</f>
        <v>-0.001796901448066685</v>
      </c>
      <c r="GH96" s="6"/>
      <c r="GI96" s="4">
        <v>1.5543122344752192e-15</v>
      </c>
      <c r="GJ96" s="4">
        <v>1.5543122344752192e-15</v>
      </c>
      <c r="GK96" s="5">
        <f>IF(FX96="direct",GE96*(GC96-GB96),GN96)</f>
        <v>0</v>
      </c>
      <c r="GL96" s="5">
        <f>IF(FX96="direct",GJ96*GD96*C96/365,0)</f>
        <v>0</v>
      </c>
      <c r="GM96" s="5">
        <f>GK96-GL96</f>
        <v>0</v>
      </c>
      <c r="GN96" s="4">
        <v>0</v>
      </c>
      <c r="GO96" s="5">
        <f>GN96-GM96</f>
        <v>0</v>
      </c>
      <c r="GP96" s="4">
        <v>-0.0017969014480682392</v>
      </c>
      <c r="GQ96" s="4">
        <v>-0.001796901448066685</v>
      </c>
      <c r="GR96" s="4">
        <v>1.759</v>
      </c>
      <c r="GS96" s="4">
        <v>1.751</v>
      </c>
      <c r="GT96" s="6"/>
      <c r="GU96" s="6"/>
      <c r="GV96" s="6"/>
      <c r="GW96" s="9"/>
      <c r="GX96" s="7">
        <f>IFERROR(GM96/F96,0)</f>
        <v>0</v>
      </c>
      <c r="GY96" t="inlineStr">
        <is>
          <t xml:space="preserve">Keep cash / margin / financing</t>
        </is>
      </c>
      <c r="GZ96" t="inlineStr">
        <is>
          <t xml:space="preserve">cash</t>
        </is>
      </c>
      <c r="HA96" t="inlineStr">
        <is>
          <t xml:space="preserve">keep</t>
        </is>
      </c>
      <c r="HB96" t="inlineStr">
        <is>
          <t xml:space="preserve">cash</t>
        </is>
      </c>
      <c r="HC96"/>
      <c r="HD96" s="4">
        <v>1</v>
      </c>
      <c r="HE96" s="4">
        <v>1</v>
      </c>
      <c r="HF96" s="6"/>
      <c r="HG96" s="4">
        <v>0</v>
      </c>
      <c r="HH96" s="5">
        <f>IF(GZ96="direct",IFERROR(HN96/HE96,0),0)</f>
        <v>0</v>
      </c>
      <c r="HI96" s="5">
        <f>IF(GZ96="direct",HG96-HH96,IF(GZ96="cash",HS96,HG96))</f>
        <v>0</v>
      </c>
      <c r="HJ96" s="6"/>
      <c r="HK96" s="4">
        <v>0</v>
      </c>
      <c r="HL96" s="4">
        <v>0</v>
      </c>
      <c r="HM96" s="5">
        <f>IF(GZ96="direct",HG96*(HE96-HD96),HP96)</f>
        <v>0</v>
      </c>
      <c r="HN96" s="5">
        <f>IF(GZ96="direct",HL96*HF96*C96/365,0)</f>
        <v>0</v>
      </c>
      <c r="HO96" s="5">
        <f>HM96-HN96</f>
        <v>0</v>
      </c>
      <c r="HP96" s="4">
        <v>0</v>
      </c>
      <c r="HQ96" s="5">
        <f>HP96-HO96</f>
        <v>0</v>
      </c>
      <c r="HR96" s="4">
        <v>0</v>
      </c>
      <c r="HS96" s="4">
        <v>0</v>
      </c>
      <c r="HT96" s="4">
        <v>1.759</v>
      </c>
      <c r="HU96" s="4">
        <v>1.751</v>
      </c>
      <c r="HV96" s="6"/>
      <c r="HW96" s="6"/>
      <c r="HX96" s="6"/>
      <c r="HY96" s="9"/>
      <c r="HZ96" s="7">
        <f>IFERROR(HO96/F96,0)</f>
        <v>0</v>
      </c>
      <c r="IA96"/>
      <c r="IB96"/>
      <c r="IC96"/>
      <c r="ID96"/>
      <c r="IE96"/>
      <c r="IF96" s="4"/>
      <c r="IG96" s="4"/>
      <c r="IH96" s="6"/>
      <c r="II96" s="4"/>
      <c r="IJ96" s="5">
        <v>0</v>
      </c>
      <c r="IK96" s="5"/>
      <c r="IL96" s="6"/>
      <c r="IM96" s="4"/>
      <c r="IN96" s="4"/>
      <c r="IO96" s="5">
        <v>0</v>
      </c>
      <c r="IP96" s="5">
        <v>0</v>
      </c>
      <c r="IQ96" s="5"/>
      <c r="IR96" s="4"/>
      <c r="IS96" s="5">
        <v>0</v>
      </c>
      <c r="IT96" s="4"/>
      <c r="IU96" s="4"/>
      <c r="IV96" s="4"/>
      <c r="IW96" s="4"/>
      <c r="IX96" s="6"/>
      <c r="IY96" s="6"/>
      <c r="IZ96" s="6"/>
      <c r="JA96" s="9"/>
      <c r="JB96"/>
      <c r="JC96"/>
      <c r="JD96"/>
      <c r="JE96"/>
      <c r="JF96"/>
      <c r="JG96"/>
      <c r="JH96" s="4"/>
      <c r="JI96" s="4"/>
      <c r="JJ96" s="6"/>
      <c r="JK96" s="4"/>
      <c r="JL96" s="5">
        <v>0</v>
      </c>
      <c r="JM96" s="5"/>
      <c r="JN96" s="6"/>
      <c r="JO96" s="4"/>
      <c r="JP96" s="4"/>
      <c r="JQ96" s="5">
        <v>0</v>
      </c>
      <c r="JR96" s="5">
        <v>0</v>
      </c>
      <c r="JS96" s="5"/>
      <c r="JT96" s="4"/>
      <c r="JU96" s="5">
        <v>0</v>
      </c>
      <c r="JV96" s="4"/>
      <c r="JW96" s="4"/>
      <c r="JX96" s="4"/>
      <c r="JY96" s="4"/>
      <c r="JZ96" s="6"/>
      <c r="KA96" s="6"/>
      <c r="KB96" s="6"/>
      <c r="KC96" s="9"/>
      <c r="KD96"/>
      <c r="KE96"/>
      <c r="KF96"/>
      <c r="KG96"/>
      <c r="KH96"/>
      <c r="KI96"/>
      <c r="KJ96" s="4"/>
      <c r="KK96" s="4"/>
      <c r="KL96" s="6"/>
      <c r="KM96" s="4"/>
      <c r="KN96" s="5">
        <v>0</v>
      </c>
      <c r="KO96" s="5"/>
      <c r="KP96" s="6"/>
      <c r="KQ96" s="4"/>
      <c r="KR96" s="4"/>
      <c r="KS96" s="5">
        <v>0</v>
      </c>
      <c r="KT96" s="5">
        <v>0</v>
      </c>
      <c r="KU96" s="5"/>
      <c r="KV96" s="4"/>
      <c r="KW96" s="5">
        <v>0</v>
      </c>
      <c r="KX96" s="4"/>
      <c r="KY96" s="4"/>
      <c r="KZ96" s="4"/>
      <c r="LA96" s="4"/>
      <c r="LB96" s="6"/>
      <c r="LC96" s="6"/>
      <c r="LD96" s="6"/>
      <c r="LE96" s="9"/>
      <c r="LF96"/>
      <c r="LG96"/>
      <c r="LH96"/>
      <c r="LI96"/>
      <c r="LJ96"/>
      <c r="LK96"/>
      <c r="LL96" s="4"/>
      <c r="LM96" s="4"/>
      <c r="LN96" s="6"/>
      <c r="LO96" s="4"/>
      <c r="LP96" s="5">
        <v>0</v>
      </c>
      <c r="LQ96" s="5"/>
      <c r="LR96" s="6"/>
      <c r="LS96" s="4"/>
      <c r="LT96" s="4"/>
      <c r="LU96" s="5">
        <v>0</v>
      </c>
      <c r="LV96" s="5">
        <v>0</v>
      </c>
      <c r="LW96" s="5"/>
      <c r="LX96" s="4"/>
      <c r="LY96" s="5">
        <v>0</v>
      </c>
      <c r="LZ96" s="4"/>
      <c r="MA96" s="4"/>
      <c r="MB96" s="4"/>
      <c r="MC96" s="4"/>
      <c r="MD96" s="6"/>
      <c r="ME96" s="6"/>
      <c r="MF96" s="6"/>
      <c r="MG96" s="9"/>
      <c r="MH96"/>
    </row>
    <row r="97">
      <c r="A97" s="8">
        <v>25345</v>
      </c>
      <c r="B97" s="8">
        <v>25346</v>
      </c>
      <c r="C97" s="9">
        <f>B97-A97</f>
        <v>1</v>
      </c>
      <c r="D97" s="8">
        <v>25345</v>
      </c>
      <c r="E97" t="inlineStr">
        <is>
          <t xml:space="preserve">positive</t>
        </is>
      </c>
      <c r="F97" s="4">
        <v>1.3046947866408218</v>
      </c>
      <c r="G97" s="6">
        <v>0.0038607493236937265</v>
      </c>
      <c r="H97" s="7">
        <f>SUM(CP97,DR97,ET97,FV97,GX97,HZ97,JB97,KD97,LF97,MH97)</f>
        <v>0.003860749323693727</v>
      </c>
      <c r="I97" s="7">
        <f>G97-H97</f>
        <v>-4.336808689942018e-19</v>
      </c>
      <c r="J97" s="5">
        <f>F97*(1+H97)</f>
        <v>1.3097318861559721</v>
      </c>
      <c r="K97" s="4">
        <v>1.3097318861559721</v>
      </c>
      <c r="L97" s="5">
        <f>K97-J97</f>
        <v>0</v>
      </c>
      <c r="M97" s="4">
        <v>1.751</v>
      </c>
      <c r="N97" s="4">
        <v>1.758</v>
      </c>
      <c r="O97" s="5">
        <f>M97/$M$3</f>
        <v>0.8942798774259448</v>
      </c>
      <c r="P97" s="5">
        <f>N97/$M$3</f>
        <v>0.8978549540347294</v>
      </c>
      <c r="Q97" s="7">
        <f>IFERROR(N97/M97-1,0)</f>
        <v>0.003997715591090856</v>
      </c>
      <c r="R97" s="5">
        <f>SUM(IF(BQ97="lease",CB97,0),IF(CS97="lease",DD97,0),IF(DU97="lease",EF97,0),IF(EW97="lease",FH97,0),IF(FY97="lease",GJ97,0),IF(HA97="lease",HL97,0),IF(IC97="lease",IN97,0),IF(JE97="lease",JP97,0),IF(KG97="lease",KR97,0),IF(LI97="lease",LT97,0))</f>
        <v>1.3046947866408234</v>
      </c>
      <c r="S97" s="5">
        <f>SUM(IF(BQ97="lease",CI97,0),IF(CS97="lease",DK97,0),IF(DU97="lease",EM97,0),IF(EW97="lease",FO97,0),IF(FY97="lease",GQ97,0),IF(HA97="lease",HS97,0),IF(IC97="lease",IU97,0),IF(JE97="lease",JW97,0),IF(KG97="lease",KY97,0),IF(LI97="lease",MA97,0))</f>
        <v>1.309731886155974</v>
      </c>
      <c r="T97" s="5">
        <f>SUM(IF(BQ97="keep",CB97,0),IF(CS97="keep",DD97,0),IF(DU97="keep",EF97,0),IF(EW97="keep",FH97,0),IF(FY97="keep",GJ97,0),IF(HA97="keep",HL97,0),IF(IC97="keep",IN97,0),IF(JE97="keep",JP97,0),IF(KG97="keep",KR97,0),IF(LI97="keep",LT97,0))</f>
        <v>0</v>
      </c>
      <c r="U97" s="5">
        <f>SUM(IF(BQ97="keep",CI97,0),IF(CS97="keep",DK97,0),IF(DU97="keep",EM97,0),IF(EW97="keep",FO97,0),IF(FY97="keep",GQ97,0),IF(HA97="keep",HS97,0),IF(IC97="keep",IU97,0),IF(JE97="keep",JW97,0),IF(KG97="keep",KY97,0),IF(LI97="keep",MA97,0))</f>
        <v>0</v>
      </c>
      <c r="V97" s="5">
        <f>R97/O97</f>
        <v>1.4589334050501042</v>
      </c>
      <c r="W97" s="5">
        <f>S97/P97</f>
        <v>1.458734376048576</v>
      </c>
      <c r="X97" s="5">
        <f>T97/O97</f>
        <v>0</v>
      </c>
      <c r="Y97" s="5">
        <f>U97/P97</f>
        <v>0</v>
      </c>
      <c r="Z97" s="5">
        <f>V97+X97</f>
        <v>1.4589334050501042</v>
      </c>
      <c r="AA97" s="7">
        <f>IFERROR(W97/V97-1,0)</f>
        <v>-0.00013642089545640168</v>
      </c>
      <c r="AB97" s="7">
        <f>IFERROR((W97-V97)/Z97,0)</f>
        <v>-0.0001364208954563577</v>
      </c>
      <c r="AC97" s="7">
        <f>IFERROR(Y97/X97-1,0)</f>
        <v>0</v>
      </c>
      <c r="AD97" s="7">
        <f>IFERROR((Y97-X97)/Z97,0)</f>
        <v>0</v>
      </c>
      <c r="AE97" s="7">
        <f>AB97+AD97</f>
        <v>-0.0001364208954563577</v>
      </c>
      <c r="AF97" s="7">
        <f>(1+Q97)*(1+AE97)-1</f>
        <v>0.003860749323693735</v>
      </c>
      <c r="AG97" s="7">
        <f>G97-AF97</f>
        <v>-8.673617379884035e-18</v>
      </c>
      <c r="AH97" s="5">
        <f>SUM(IF(BQ97="lease",CE97,0),IF(CS97="lease",DG97,0),IF(DU97="lease",EI97,0),IF(EW97="lease",FK97,0),IF(FY97="lease",GM97,0),IF(HA97="lease",HO97,0),IF(IC97="lease",IQ97,0),IF(JE97="lease",JS97,0),IF(KG97="lease",KU97,0),IF(LI97="lease",LW97,0))</f>
        <v>0.005037099515150284</v>
      </c>
      <c r="AI97" s="5">
        <f>SUM(IF(BQ97="keep",CE97,0),IF(CS97="keep",DG97,0),IF(DU97="keep",EI97,0),IF(EW97="keep",FK97,0),IF(FY97="keep",GM97,0),IF(HA97="keep",HO97,0),IF(IC97="keep",IQ97,0),IF(JE97="keep",JS97,0),IF(KG97="keep",KU97,0),IF(LI97="keep",LW97,0))</f>
        <v>0</v>
      </c>
      <c r="AJ97" s="5">
        <f>SUM(IF(BQ97="lease",CH97,0),IF(CS97="lease",DJ97,0),IF(DU97="lease",EL97,0),IF(EW97="lease",FN97,0),IF(FY97="lease",GP97,0),IF(HA97="lease",HR97,0),IF(IC97="lease",IT97,0),IF(JE97="lease",JV97,0),IF(KG97="lease",KX97,0),IF(LI97="lease",LZ97,0))</f>
        <v>0</v>
      </c>
      <c r="AK97" s="5">
        <f>SUM(IF(BQ97="keep",CH97,0),IF(CS97="keep",DJ97,0),IF(DU97="keep",EL97,0),IF(EW97="keep",FN97,0),IF(FY97="keep",GP97,0),IF(HA97="keep",HR97,0),IF(IC97="keep",IT97,0),IF(JE97="keep",JV97,0),IF(KG97="keep",KX97,0),IF(LI97="keep",LZ97,0))</f>
        <v>0</v>
      </c>
      <c r="AL97" s="5">
        <f>R97-S96</f>
        <v>0</v>
      </c>
      <c r="AM97" s="5">
        <f>T97-U96</f>
        <v>0</v>
      </c>
      <c r="AN97" s="5">
        <f>AN96</f>
        <v>1</v>
      </c>
      <c r="AO97" s="5">
        <f>AO96+AH97</f>
        <v>0.30973188615597347</v>
      </c>
      <c r="AP97" s="5">
        <f>AP96+AL97</f>
        <v>-2.220446049250313e-16</v>
      </c>
      <c r="AQ97" s="5">
        <f>AN97+AO97+AP97</f>
        <v>1.3097318861559732</v>
      </c>
      <c r="AR97" s="5">
        <f>S97-AQ97</f>
        <v>6.661338147750939e-16</v>
      </c>
      <c r="AS97" s="5">
        <f>AS96</f>
        <v>0</v>
      </c>
      <c r="AT97" s="5">
        <f>AT96+AI97</f>
        <v>0</v>
      </c>
      <c r="AU97" s="5">
        <f>AU96+AM97</f>
        <v>0</v>
      </c>
      <c r="AV97" s="5">
        <f>AS97+AT97+AU97</f>
        <v>0</v>
      </c>
      <c r="AW97" s="5">
        <f>U97-AV97</f>
        <v>0</v>
      </c>
      <c r="AX97" s="4">
        <v>1.3046947866408234</v>
      </c>
      <c r="AY97" s="4">
        <v>1.3097318861559737</v>
      </c>
      <c r="AZ97" s="5">
        <f>S97-AY97</f>
        <v>2.220446049250313e-16</v>
      </c>
      <c r="BA97" s="4">
        <v>0</v>
      </c>
      <c r="BB97" s="4">
        <v>0</v>
      </c>
      <c r="BC97" s="5">
        <f>U97-BB97</f>
        <v>0</v>
      </c>
      <c r="BD97" s="7">
        <f>SUM(IF(BP97="direct",CC97/F97,0),IF(CR97="direct",DE97/F97,0),IF(DT97="direct",EG97/F97,0),IF(EV97="direct",FI97/F97,0),IF(FX97="direct",GK97/F97,0),IF(GZ97="direct",HM97/F97,0),IF(IB97="direct",IO97/F97,0),IF(JD97="direct",JQ97/F97,0),IF(KF97="direct",KS97/F97,0),IF(LH97="direct",LU97/F97,0))</f>
        <v>0.002720096346233146</v>
      </c>
      <c r="BE97" s="7">
        <f>-SUM(IF(BP97="direct",CD97/F97,0),IF(CR97="direct",DF97/F97,0),IF(DT97="direct",EH97/F97,0),IF(EV97="direct",FJ97/F97,0),IF(FX97="direct",GL97/F97,0),IF(GZ97="direct",HN97/F97,0),IF(IB97="direct",IP97/F97,0),IF(JD97="direct",JR97/F97,0),IF(KF97="direct",KT97/F97,0),IF(LH97="direct",LV97/F97,0))</f>
        <v>-0.000004660360765415027</v>
      </c>
      <c r="BF97" s="7">
        <f>BD97+BE97</f>
        <v>0.002715435985467731</v>
      </c>
      <c r="BG97" s="7">
        <f>BF97-SUM(IF(BP97="direct",CP97,0),IF(CR97="direct",DR97,0),IF(DT97="direct",ET97,0),IF(EV97="direct",FV97,0),IF(FX97="direct",GX97,0),IF(GZ97="direct",HZ97,0),IF(IB97="direct",JB97,0),IF(JD97="direct",KD97,0),IF(KF97="direct",LF97,0),IF(LH97="direct",MH97,0))</f>
        <v>1.1709383462843448e-17</v>
      </c>
      <c r="BH97" s="7">
        <f>SUM(IF(BP97="treasury",CP97,0),IF(CR97="treasury",DR97,0),IF(DT97="treasury",ET97,0),IF(EV97="treasury",FV97,0),IF(FX97="treasury",GX97,0),IF(GZ97="treasury",HZ97,0),IF(IB97="treasury",JB97,0),IF(JD97="treasury",KD97,0),IF(KF97="treasury",LF97,0),IF(LH97="treasury",MH97,0))</f>
        <v>0.000052710019618121216</v>
      </c>
      <c r="BI97" s="7">
        <f>SUM(IF(BP97="future",CP97,0),IF(CR97="future",DR97,0),IF(DT97="future",ET97,0),IF(EV97="future",FV97,0),IF(FX97="future",GX97,0),IF(GZ97="future",HZ97,0),IF(IB97="future",JB97,0),IF(JD97="future",KD97,0),IF(KF97="future",LF97,0),IF(LH97="future",MH97,0))</f>
        <v>0.001092603318607886</v>
      </c>
      <c r="BJ97" s="7">
        <f>SUM(IF(BP97="cash",CP97,0),IF(CR97="cash",DR97,0),IF(DT97="cash",ET97,0),IF(EV97="cash",FV97,0),IF(FX97="cash",GX97,0),IF(GZ97="cash",HZ97,0),IF(IB97="cash",JB97,0),IF(JD97="cash",KD97,0),IF(KF97="cash",LF97,0),IF(LH97="cash",MH97,0))</f>
        <v>0</v>
      </c>
      <c r="BK97" s="7">
        <f>SUM(BF97,BH97,BI97,BJ97)</f>
        <v>0.0038607493236937265</v>
      </c>
      <c r="BL97" s="7">
        <f>G97-BK97</f>
        <v>0</v>
      </c>
      <c r="BM97" s="5">
        <f>MAX(ABS(CG97),ABS(DI97),ABS(EK97),ABS(FM97),ABS(GO97),ABS(HQ97),ABS(IS97),ABS(JU97),ABS(KW97),ABS(LY97))</f>
        <v>3.9519169187096637e-17</v>
      </c>
      <c r="BN97" s="9">
        <f>COUNTA(BO97,CQ97,DS97,EU97,FW97,GY97,IA97,JC97,KE97,LG97)</f>
        <v>6</v>
      </c>
      <c r="BO97" t="inlineStr">
        <is>
          <t xml:space="preserve">Direct commodity holding</t>
        </is>
      </c>
      <c r="BP97" t="inlineStr">
        <is>
          <t xml:space="preserve">direct</t>
        </is>
      </c>
      <c r="BQ97" t="inlineStr">
        <is>
          <t xml:space="preserve">lease</t>
        </is>
      </c>
      <c r="BR97" t="inlineStr">
        <is>
          <t xml:space="preserve">long</t>
        </is>
      </c>
      <c r="BS97"/>
      <c r="BT97" s="4">
        <v>1.751</v>
      </c>
      <c r="BU97" s="4">
        <v>1.758</v>
      </c>
      <c r="BV97" s="6">
        <v>0.0025</v>
      </c>
      <c r="BW97" s="4">
        <v>0.5069850745844391</v>
      </c>
      <c r="BX97" s="5">
        <f>IF(BP97="direct",IFERROR(CD97/BU97,0),0)</f>
        <v>0.000003458673717009338</v>
      </c>
      <c r="BY97" s="5">
        <f>IF(BP97="direct",BW97-BX97,IF(BP97="cash",CI97,BW97))</f>
        <v>0.5069816159107221</v>
      </c>
      <c r="BZ97" s="6">
        <v>0.6804126717505938</v>
      </c>
      <c r="CA97" s="4">
        <v>0.8877308655973527</v>
      </c>
      <c r="CB97" s="4">
        <v>0.8877308655973527</v>
      </c>
      <c r="CC97" s="5">
        <f>IF(BP97="direct",BW97*(BU97-BT97),CF97)</f>
        <v>0.003548895522091133</v>
      </c>
      <c r="CD97" s="5">
        <f>IF(BP97="direct",CB97*BV97*C97/365,0)</f>
        <v>0.000006080348394502416</v>
      </c>
      <c r="CE97" s="5">
        <f>CC97-CD97</f>
        <v>0.0035428151736966156</v>
      </c>
      <c r="CF97" s="4">
        <v>0.0035428151736966156</v>
      </c>
      <c r="CG97" s="5">
        <f>CF97-CE97</f>
        <v>-1.5133937668592584e-17</v>
      </c>
      <c r="CH97" s="4">
        <v>0</v>
      </c>
      <c r="CI97" s="4">
        <v>0.8912736807710495</v>
      </c>
      <c r="CJ97" s="4">
        <v>1.751</v>
      </c>
      <c r="CK97" s="4">
        <v>1.758</v>
      </c>
      <c r="CL97" s="6"/>
      <c r="CM97" s="6"/>
      <c r="CN97" s="6"/>
      <c r="CO97" s="9"/>
      <c r="CP97" s="7">
        <f>IFERROR(CE97/F97,0)</f>
        <v>0.002715435985467719</v>
      </c>
      <c r="CQ97" t="inlineStr">
        <is>
          <t xml:space="preserve">Treasury collateral</t>
        </is>
      </c>
      <c r="CR97" t="inlineStr">
        <is>
          <t xml:space="preserve">treasury</t>
        </is>
      </c>
      <c r="CS97" t="inlineStr">
        <is>
          <t xml:space="preserve">lease</t>
        </is>
      </c>
      <c r="CT97" t="inlineStr">
        <is>
          <t xml:space="preserve">long</t>
        </is>
      </c>
      <c r="CU97"/>
      <c r="CV97" s="4">
        <v>102.36164972712768</v>
      </c>
      <c r="CW97" s="4">
        <v>102.37853238826075</v>
      </c>
      <c r="CX97" s="6"/>
      <c r="CY97" s="4">
        <v>0.0040734388528809165</v>
      </c>
      <c r="CZ97" s="5">
        <f>IF(CR97="direct",IFERROR(DF97/CW97,0),0)</f>
        <v>0</v>
      </c>
      <c r="DA97" s="5">
        <f>IF(CR97="direct",CY97-CZ97,IF(CR97="cash",DK97,CY97))</f>
        <v>0.0040734388528809165</v>
      </c>
      <c r="DB97" s="6">
        <v>0.31958732824940606</v>
      </c>
      <c r="DC97" s="4">
        <v>0.41696392104346913</v>
      </c>
      <c r="DD97" s="4">
        <v>0.41696392104346913</v>
      </c>
      <c r="DE97" s="5">
        <f>IF(CR97="direct",CY97*(CW97-CV97),DH97)</f>
        <v>0.00006877048779945867</v>
      </c>
      <c r="DF97" s="5">
        <f>IF(CR97="direct",DD97*CX97*C97/365,0)</f>
        <v>0</v>
      </c>
      <c r="DG97" s="5">
        <f>DE97-DF97</f>
        <v>0.00006877048779949819</v>
      </c>
      <c r="DH97" s="4">
        <v>0.00006877048779949819</v>
      </c>
      <c r="DI97" s="5">
        <f>DH97-DG97</f>
        <v>3.9519169187096637e-17</v>
      </c>
      <c r="DJ97" s="4">
        <v>2.0586288750068515e-17</v>
      </c>
      <c r="DK97" s="4">
        <v>0.41703269153126865</v>
      </c>
      <c r="DL97" s="4">
        <v>1.751</v>
      </c>
      <c r="DM97" s="4">
        <v>1.758</v>
      </c>
      <c r="DN97" s="6"/>
      <c r="DO97" s="6"/>
      <c r="DP97" s="6"/>
      <c r="DQ97" s="9">
        <v>68</v>
      </c>
      <c r="DR97" s="7">
        <f>IFERROR(DG97/F97,0)</f>
        <v>0.000052710019618121216</v>
      </c>
      <c r="DS97" t="inlineStr">
        <is>
          <t xml:space="preserve">SI69N</t>
        </is>
      </c>
      <c r="DT97" t="inlineStr">
        <is>
          <t xml:space="preserve">future</t>
        </is>
      </c>
      <c r="DU97" t="inlineStr">
        <is>
          <t xml:space="preserve">lease</t>
        </is>
      </c>
      <c r="DV97" t="inlineStr">
        <is>
          <t xml:space="preserve">long</t>
        </is>
      </c>
      <c r="DW97" t="inlineStr">
        <is>
          <t xml:space="preserve">regular</t>
        </is>
      </c>
      <c r="DX97" s="4">
        <v>1.755</v>
      </c>
      <c r="DY97" s="4">
        <v>1.761</v>
      </c>
      <c r="DZ97" s="6"/>
      <c r="EA97" s="4">
        <v>0.23755067822497666</v>
      </c>
      <c r="EB97" s="5">
        <f>IF(DT97="direct",IFERROR(EH97/DY97,0),0)</f>
        <v>0</v>
      </c>
      <c r="EC97" s="5">
        <f>IF(DT97="direct",EA97-EB97,IF(DT97="cash",EM97,EA97))</f>
        <v>0.23755067822497666</v>
      </c>
      <c r="ED97" s="6">
        <v>0.3195394390731214</v>
      </c>
      <c r="EE97" s="4">
        <v>0.416901440284834</v>
      </c>
      <c r="EF97" s="4">
        <v>0</v>
      </c>
      <c r="EG97" s="5">
        <f>IF(DT97="direct",EA97*(DY97-DX97),EJ97)</f>
        <v>0.001425304069349855</v>
      </c>
      <c r="EH97" s="5">
        <f>IF(DT97="direct",EF97*DZ97*C97/365,0)</f>
        <v>0</v>
      </c>
      <c r="EI97" s="5">
        <f>EG97-EH97</f>
        <v>0.001425304069349855</v>
      </c>
      <c r="EJ97" s="4">
        <v>0.001425304069349855</v>
      </c>
      <c r="EK97" s="5">
        <f>EJ97-EI97</f>
        <v>0</v>
      </c>
      <c r="EL97" s="4">
        <v>-0.001425304069349855</v>
      </c>
      <c r="EM97" s="4">
        <v>0</v>
      </c>
      <c r="EN97" s="4">
        <v>1.751</v>
      </c>
      <c r="EO97" s="4">
        <v>1.758</v>
      </c>
      <c r="EP97" s="6">
        <v>0.0022844089091946795</v>
      </c>
      <c r="EQ97" s="6">
        <v>0.0602</v>
      </c>
      <c r="ER97" s="6">
        <v>0.04793809923741091</v>
      </c>
      <c r="ES97" s="9">
        <v>68</v>
      </c>
      <c r="ET97" s="7">
        <f>IFERROR(EI97/F97,0)</f>
        <v>0.0010924425267457103</v>
      </c>
      <c r="EU97" t="inlineStr">
        <is>
          <t xml:space="preserve">SI69U</t>
        </is>
      </c>
      <c r="EV97" t="inlineStr">
        <is>
          <t xml:space="preserve">future</t>
        </is>
      </c>
      <c r="EW97" t="inlineStr">
        <is>
          <t xml:space="preserve">lease</t>
        </is>
      </c>
      <c r="EX97" t="inlineStr">
        <is>
          <t xml:space="preserve">long</t>
        </is>
      </c>
      <c r="EY97" t="inlineStr">
        <is>
          <t xml:space="preserve">regular</t>
        </is>
      </c>
      <c r="EZ97" s="4">
        <v>1.787</v>
      </c>
      <c r="FA97" s="4">
        <v>1.7930000000000001</v>
      </c>
      <c r="FB97" s="6"/>
      <c r="FC97" s="4">
        <v>0.000034964050719142786</v>
      </c>
      <c r="FD97" s="5">
        <f>IF(EV97="direct",IFERROR(FJ97/FA97,0),0)</f>
        <v>0</v>
      </c>
      <c r="FE97" s="5">
        <f>IF(EV97="direct",FC97-FD97,IF(EV97="cash",FO97,FC97))</f>
        <v>0.000034964050719142786</v>
      </c>
      <c r="FF97" s="6">
        <v>0.00004788917628465155</v>
      </c>
      <c r="FG97" s="4">
        <v>0.00006248075863510815</v>
      </c>
      <c r="FH97" s="4">
        <v>0</v>
      </c>
      <c r="FI97" s="5">
        <f>IF(EV97="direct",FC97*(FA97-EZ97),FL97)</f>
        <v>2.097843043148666e-7</v>
      </c>
      <c r="FJ97" s="5">
        <f>IF(EV97="direct",FH97*FB97*C97/365,0)</f>
        <v>0</v>
      </c>
      <c r="FK97" s="5">
        <f>FI97-FJ97</f>
        <v>2.097843043148666e-7</v>
      </c>
      <c r="FL97" s="4">
        <v>2.097843043148666e-7</v>
      </c>
      <c r="FM97" s="5">
        <f>FL97-FK97</f>
        <v>0</v>
      </c>
      <c r="FN97" s="4">
        <v>-2.097843043148666e-7</v>
      </c>
      <c r="FO97" s="4">
        <v>0</v>
      </c>
      <c r="FP97" s="4">
        <v>1.751</v>
      </c>
      <c r="FQ97" s="4">
        <v>1.758</v>
      </c>
      <c r="FR97" s="6">
        <v>0.020559680182752782</v>
      </c>
      <c r="FS97" s="6">
        <v>0.060476923076923074</v>
      </c>
      <c r="FT97" s="6">
        <v>0.0013880784572005075</v>
      </c>
      <c r="FU97" s="9">
        <v>127</v>
      </c>
      <c r="FV97" s="7">
        <f>IFERROR(FK97/F97,0)</f>
        <v>1.607918621756703e-7</v>
      </c>
      <c r="FW97" t="inlineStr">
        <is>
          <t xml:space="preserve">Lease cash / margin / financing</t>
        </is>
      </c>
      <c r="FX97" t="inlineStr">
        <is>
          <t xml:space="preserve">cash</t>
        </is>
      </c>
      <c r="FY97" t="inlineStr">
        <is>
          <t xml:space="preserve">lease</t>
        </is>
      </c>
      <c r="FZ97" t="inlineStr">
        <is>
          <t xml:space="preserve">cash</t>
        </is>
      </c>
      <c r="GA97"/>
      <c r="GB97" s="4">
        <v>1</v>
      </c>
      <c r="GC97" s="4">
        <v>1</v>
      </c>
      <c r="GD97" s="6"/>
      <c r="GE97" s="4">
        <v>1.5543122344752192e-15</v>
      </c>
      <c r="GF97" s="5">
        <f>IF(FX97="direct",IFERROR(GL97/GC97,0),0)</f>
        <v>0</v>
      </c>
      <c r="GG97" s="5">
        <f>IF(FX97="direct",GE97-GF97,IF(FX97="cash",GQ97,GE97))</f>
        <v>0.0014255138536557034</v>
      </c>
      <c r="GH97" s="6"/>
      <c r="GI97" s="4">
        <v>1.5543122344752192e-15</v>
      </c>
      <c r="GJ97" s="4">
        <v>1.5543122344752192e-15</v>
      </c>
      <c r="GK97" s="5">
        <f>IF(FX97="direct",GE97*(GC97-GB97),GN97)</f>
        <v>0</v>
      </c>
      <c r="GL97" s="5">
        <f>IF(FX97="direct",GJ97*GD97*C97/365,0)</f>
        <v>0</v>
      </c>
      <c r="GM97" s="5">
        <f>GK97-GL97</f>
        <v>0</v>
      </c>
      <c r="GN97" s="4">
        <v>0</v>
      </c>
      <c r="GO97" s="5">
        <f>GN97-GM97</f>
        <v>0</v>
      </c>
      <c r="GP97" s="4">
        <v>0.001425513853654149</v>
      </c>
      <c r="GQ97" s="4">
        <v>0.0014255138536557034</v>
      </c>
      <c r="GR97" s="4">
        <v>1.751</v>
      </c>
      <c r="GS97" s="4">
        <v>1.758</v>
      </c>
      <c r="GT97" s="6"/>
      <c r="GU97" s="6"/>
      <c r="GV97" s="6"/>
      <c r="GW97" s="9"/>
      <c r="GX97" s="7">
        <f>IFERROR(GM97/F97,0)</f>
        <v>0</v>
      </c>
      <c r="GY97" t="inlineStr">
        <is>
          <t xml:space="preserve">Keep cash / margin / financing</t>
        </is>
      </c>
      <c r="GZ97" t="inlineStr">
        <is>
          <t xml:space="preserve">cash</t>
        </is>
      </c>
      <c r="HA97" t="inlineStr">
        <is>
          <t xml:space="preserve">keep</t>
        </is>
      </c>
      <c r="HB97" t="inlineStr">
        <is>
          <t xml:space="preserve">cash</t>
        </is>
      </c>
      <c r="HC97"/>
      <c r="HD97" s="4">
        <v>1</v>
      </c>
      <c r="HE97" s="4">
        <v>1</v>
      </c>
      <c r="HF97" s="6"/>
      <c r="HG97" s="4">
        <v>0</v>
      </c>
      <c r="HH97" s="5">
        <f>IF(GZ97="direct",IFERROR(HN97/HE97,0),0)</f>
        <v>0</v>
      </c>
      <c r="HI97" s="5">
        <f>IF(GZ97="direct",HG97-HH97,IF(GZ97="cash",HS97,HG97))</f>
        <v>0</v>
      </c>
      <c r="HJ97" s="6"/>
      <c r="HK97" s="4">
        <v>0</v>
      </c>
      <c r="HL97" s="4">
        <v>0</v>
      </c>
      <c r="HM97" s="5">
        <f>IF(GZ97="direct",HG97*(HE97-HD97),HP97)</f>
        <v>0</v>
      </c>
      <c r="HN97" s="5">
        <f>IF(GZ97="direct",HL97*HF97*C97/365,0)</f>
        <v>0</v>
      </c>
      <c r="HO97" s="5">
        <f>HM97-HN97</f>
        <v>0</v>
      </c>
      <c r="HP97" s="4">
        <v>0</v>
      </c>
      <c r="HQ97" s="5">
        <f>HP97-HO97</f>
        <v>0</v>
      </c>
      <c r="HR97" s="4">
        <v>0</v>
      </c>
      <c r="HS97" s="4">
        <v>0</v>
      </c>
      <c r="HT97" s="4">
        <v>1.751</v>
      </c>
      <c r="HU97" s="4">
        <v>1.758</v>
      </c>
      <c r="HV97" s="6"/>
      <c r="HW97" s="6"/>
      <c r="HX97" s="6"/>
      <c r="HY97" s="9"/>
      <c r="HZ97" s="7">
        <f>IFERROR(HO97/F97,0)</f>
        <v>0</v>
      </c>
      <c r="IA97"/>
      <c r="IB97"/>
      <c r="IC97"/>
      <c r="ID97"/>
      <c r="IE97"/>
      <c r="IF97" s="4"/>
      <c r="IG97" s="4"/>
      <c r="IH97" s="6"/>
      <c r="II97" s="4"/>
      <c r="IJ97" s="5">
        <v>0</v>
      </c>
      <c r="IK97" s="5"/>
      <c r="IL97" s="6"/>
      <c r="IM97" s="4"/>
      <c r="IN97" s="4"/>
      <c r="IO97" s="5">
        <v>0</v>
      </c>
      <c r="IP97" s="5">
        <v>0</v>
      </c>
      <c r="IQ97" s="5"/>
      <c r="IR97" s="4"/>
      <c r="IS97" s="5">
        <v>0</v>
      </c>
      <c r="IT97" s="4"/>
      <c r="IU97" s="4"/>
      <c r="IV97" s="4"/>
      <c r="IW97" s="4"/>
      <c r="IX97" s="6"/>
      <c r="IY97" s="6"/>
      <c r="IZ97" s="6"/>
      <c r="JA97" s="9"/>
      <c r="JB97"/>
      <c r="JC97"/>
      <c r="JD97"/>
      <c r="JE97"/>
      <c r="JF97"/>
      <c r="JG97"/>
      <c r="JH97" s="4"/>
      <c r="JI97" s="4"/>
      <c r="JJ97" s="6"/>
      <c r="JK97" s="4"/>
      <c r="JL97" s="5">
        <v>0</v>
      </c>
      <c r="JM97" s="5"/>
      <c r="JN97" s="6"/>
      <c r="JO97" s="4"/>
      <c r="JP97" s="4"/>
      <c r="JQ97" s="5">
        <v>0</v>
      </c>
      <c r="JR97" s="5">
        <v>0</v>
      </c>
      <c r="JS97" s="5"/>
      <c r="JT97" s="4"/>
      <c r="JU97" s="5">
        <v>0</v>
      </c>
      <c r="JV97" s="4"/>
      <c r="JW97" s="4"/>
      <c r="JX97" s="4"/>
      <c r="JY97" s="4"/>
      <c r="JZ97" s="6"/>
      <c r="KA97" s="6"/>
      <c r="KB97" s="6"/>
      <c r="KC97" s="9"/>
      <c r="KD97"/>
      <c r="KE97"/>
      <c r="KF97"/>
      <c r="KG97"/>
      <c r="KH97"/>
      <c r="KI97"/>
      <c r="KJ97" s="4"/>
      <c r="KK97" s="4"/>
      <c r="KL97" s="6"/>
      <c r="KM97" s="4"/>
      <c r="KN97" s="5">
        <v>0</v>
      </c>
      <c r="KO97" s="5"/>
      <c r="KP97" s="6"/>
      <c r="KQ97" s="4"/>
      <c r="KR97" s="4"/>
      <c r="KS97" s="5">
        <v>0</v>
      </c>
      <c r="KT97" s="5">
        <v>0</v>
      </c>
      <c r="KU97" s="5"/>
      <c r="KV97" s="4"/>
      <c r="KW97" s="5">
        <v>0</v>
      </c>
      <c r="KX97" s="4"/>
      <c r="KY97" s="4"/>
      <c r="KZ97" s="4"/>
      <c r="LA97" s="4"/>
      <c r="LB97" s="6"/>
      <c r="LC97" s="6"/>
      <c r="LD97" s="6"/>
      <c r="LE97" s="9"/>
      <c r="LF97"/>
      <c r="LG97"/>
      <c r="LH97"/>
      <c r="LI97"/>
      <c r="LJ97"/>
      <c r="LK97"/>
      <c r="LL97" s="4"/>
      <c r="LM97" s="4"/>
      <c r="LN97" s="6"/>
      <c r="LO97" s="4"/>
      <c r="LP97" s="5">
        <v>0</v>
      </c>
      <c r="LQ97" s="5"/>
      <c r="LR97" s="6"/>
      <c r="LS97" s="4"/>
      <c r="LT97" s="4"/>
      <c r="LU97" s="5">
        <v>0</v>
      </c>
      <c r="LV97" s="5">
        <v>0</v>
      </c>
      <c r="LW97" s="5"/>
      <c r="LX97" s="4"/>
      <c r="LY97" s="5">
        <v>0</v>
      </c>
      <c r="LZ97" s="4"/>
      <c r="MA97" s="4"/>
      <c r="MB97" s="4"/>
      <c r="MC97" s="4"/>
      <c r="MD97" s="6"/>
      <c r="ME97" s="6"/>
      <c r="MF97" s="6"/>
      <c r="MG97" s="9"/>
      <c r="MH97"/>
    </row>
    <row r="98">
      <c r="A98" s="8">
        <v>25346</v>
      </c>
      <c r="B98" s="8">
        <v>25350</v>
      </c>
      <c r="C98" s="9">
        <f>B98-A98</f>
        <v>4</v>
      </c>
      <c r="D98" s="8">
        <v>25346</v>
      </c>
      <c r="E98" t="inlineStr">
        <is>
          <t xml:space="preserve">positive</t>
        </is>
      </c>
      <c r="F98" s="4">
        <v>1.3097318861559721</v>
      </c>
      <c r="G98" s="6">
        <v>0.011724825728645426</v>
      </c>
      <c r="H98" s="7">
        <f>SUM(CP98,DR98,ET98,FV98,GX98,HZ98,JB98,KD98,LF98,MH98)</f>
        <v>0.01172482572864543</v>
      </c>
      <c r="I98" s="7">
        <f>G98-H98</f>
        <v>-3.469446951953614e-18</v>
      </c>
      <c r="J98" s="5">
        <f>F98*(1+H98)</f>
        <v>1.3250882642724011</v>
      </c>
      <c r="K98" s="4">
        <v>1.3250882642724011</v>
      </c>
      <c r="L98" s="5">
        <f>K98-J98</f>
        <v>0</v>
      </c>
      <c r="M98" s="4">
        <v>1.758</v>
      </c>
      <c r="N98" s="4">
        <v>1.783</v>
      </c>
      <c r="O98" s="5">
        <f>M98/$M$3</f>
        <v>0.8978549540347294</v>
      </c>
      <c r="P98" s="5">
        <f>N98/$M$3</f>
        <v>0.9106230847803881</v>
      </c>
      <c r="Q98" s="7">
        <f>IFERROR(N98/M98-1,0)</f>
        <v>0.014220705346985163</v>
      </c>
      <c r="R98" s="5">
        <f>SUM(IF(BQ98="lease",CB98,0),IF(CS98="lease",DD98,0),IF(DU98="lease",EF98,0),IF(EW98="lease",FH98,0),IF(FY98="lease",GJ98,0),IF(HA98="lease",HL98,0),IF(IC98="lease",IN98,0),IF(JE98="lease",JP98,0),IF(KG98="lease",KR98,0),IF(LI98="lease",LT98,0))</f>
        <v>1.3097318861559737</v>
      </c>
      <c r="S98" s="5">
        <f>SUM(IF(BQ98="lease",CI98,0),IF(CS98="lease",DK98,0),IF(DU98="lease",EM98,0),IF(EW98="lease",FO98,0),IF(FY98="lease",GQ98,0),IF(HA98="lease",HS98,0),IF(IC98="lease",IU98,0),IF(JE98="lease",JW98,0),IF(KG98="lease",KY98,0),IF(LI98="lease",MA98,0))</f>
        <v>1.3250882642724024</v>
      </c>
      <c r="T98" s="5">
        <f>SUM(IF(BQ98="keep",CB98,0),IF(CS98="keep",DD98,0),IF(DU98="keep",EF98,0),IF(EW98="keep",FH98,0),IF(FY98="keep",GJ98,0),IF(HA98="keep",HL98,0),IF(IC98="keep",IN98,0),IF(JE98="keep",JP98,0),IF(KG98="keep",KR98,0),IF(LI98="keep",LT98,0))</f>
        <v>0</v>
      </c>
      <c r="U98" s="5">
        <f>SUM(IF(BQ98="keep",CI98,0),IF(CS98="keep",DK98,0),IF(DU98="keep",EM98,0),IF(EW98="keep",FO98,0),IF(FY98="keep",GQ98,0),IF(HA98="keep",HS98,0),IF(IC98="keep",IU98,0),IF(JE98="keep",JW98,0),IF(KG98="keep",KY98,0),IF(LI98="keep",MA98,0))</f>
        <v>0</v>
      </c>
      <c r="V98" s="5">
        <f>R98/O98</f>
        <v>1.4587343760485758</v>
      </c>
      <c r="W98" s="5">
        <f>S98/P98</f>
        <v>1.4551445998011017</v>
      </c>
      <c r="X98" s="5">
        <f>T98/O98</f>
        <v>0</v>
      </c>
      <c r="Y98" s="5">
        <f>U98/P98</f>
        <v>0</v>
      </c>
      <c r="Z98" s="5">
        <f>V98+X98</f>
        <v>1.4587343760485758</v>
      </c>
      <c r="AA98" s="7">
        <f>IFERROR(W98/V98-1,0)</f>
        <v>-0.0024608841105110413</v>
      </c>
      <c r="AB98" s="7">
        <f>IFERROR((W98-V98)/Z98,0)</f>
        <v>-0.0024608841105110157</v>
      </c>
      <c r="AC98" s="7">
        <f>IFERROR(Y98/X98-1,0)</f>
        <v>0</v>
      </c>
      <c r="AD98" s="7">
        <f>IFERROR((Y98-X98)/Z98,0)</f>
        <v>0</v>
      </c>
      <c r="AE98" s="7">
        <f>AB98+AD98</f>
        <v>-0.0024608841105110157</v>
      </c>
      <c r="AF98" s="7">
        <f>(1+Q98)*(1+AE98)-1</f>
        <v>0.011724825728645527</v>
      </c>
      <c r="AG98" s="7">
        <f>G98-AF98</f>
        <v>-1.0061396160665481e-16</v>
      </c>
      <c r="AH98" s="5">
        <f>SUM(IF(BQ98="lease",CE98,0),IF(CS98="lease",DG98,0),IF(DU98="lease",EI98,0),IF(EW98="lease",FK98,0),IF(FY98="lease",GM98,0),IF(HA98="lease",HO98,0),IF(IC98="lease",IQ98,0),IF(JE98="lease",JS98,0),IF(KG98="lease",KU98,0),IF(LI98="lease",LW98,0))</f>
        <v>0.01535637811642885</v>
      </c>
      <c r="AI98" s="5">
        <f>SUM(IF(BQ98="keep",CE98,0),IF(CS98="keep",DG98,0),IF(DU98="keep",EI98,0),IF(EW98="keep",FK98,0),IF(FY98="keep",GM98,0),IF(HA98="keep",HO98,0),IF(IC98="keep",IQ98,0),IF(JE98="keep",JS98,0),IF(KG98="keep",KU98,0),IF(LI98="keep",LW98,0))</f>
        <v>0</v>
      </c>
      <c r="AJ98" s="5">
        <f>SUM(IF(BQ98="lease",CH98,0),IF(CS98="lease",DJ98,0),IF(DU98="lease",EL98,0),IF(EW98="lease",FN98,0),IF(FY98="lease",GP98,0),IF(HA98="lease",HR98,0),IF(IC98="lease",IT98,0),IF(JE98="lease",JV98,0),IF(KG98="lease",KX98,0),IF(LI98="lease",LZ98,0))</f>
        <v>0</v>
      </c>
      <c r="AK98" s="5">
        <f>SUM(IF(BQ98="keep",CH98,0),IF(CS98="keep",DJ98,0),IF(DU98="keep",EL98,0),IF(EW98="keep",FN98,0),IF(FY98="keep",GP98,0),IF(HA98="keep",HR98,0),IF(IC98="keep",IT98,0),IF(JE98="keep",JV98,0),IF(KG98="keep",KX98,0),IF(LI98="keep",LZ98,0))</f>
        <v>0</v>
      </c>
      <c r="AL98" s="5">
        <f>R98-S97</f>
        <v>-2.220446049250313e-16</v>
      </c>
      <c r="AM98" s="5">
        <f>T98-U97</f>
        <v>0</v>
      </c>
      <c r="AN98" s="5">
        <f>AN97</f>
        <v>1</v>
      </c>
      <c r="AO98" s="5">
        <f>AO97+AH98</f>
        <v>0.32508826427240234</v>
      </c>
      <c r="AP98" s="5">
        <f>AP97+AL98</f>
        <v>-4.440892098500626e-16</v>
      </c>
      <c r="AQ98" s="5">
        <f>AN98+AO98+AP98</f>
        <v>1.3250882642724018</v>
      </c>
      <c r="AR98" s="5">
        <f>S98-AQ98</f>
        <v>6.661338147750939e-16</v>
      </c>
      <c r="AS98" s="5">
        <f>AS97</f>
        <v>0</v>
      </c>
      <c r="AT98" s="5">
        <f>AT97+AI98</f>
        <v>0</v>
      </c>
      <c r="AU98" s="5">
        <f>AU97+AM98</f>
        <v>0</v>
      </c>
      <c r="AV98" s="5">
        <f>AS98+AT98+AU98</f>
        <v>0</v>
      </c>
      <c r="AW98" s="5">
        <f>U98-AV98</f>
        <v>0</v>
      </c>
      <c r="AX98" s="4">
        <v>1.3097318861559737</v>
      </c>
      <c r="AY98" s="4">
        <v>1.3250882642724024</v>
      </c>
      <c r="AZ98" s="5">
        <f>S98-AY98</f>
        <v>0</v>
      </c>
      <c r="BA98" s="4">
        <v>0</v>
      </c>
      <c r="BB98" s="4">
        <v>0</v>
      </c>
      <c r="BC98" s="5">
        <f>U98-BB98</f>
        <v>0</v>
      </c>
      <c r="BD98" s="7">
        <f>SUM(IF(BP98="direct",CC98/F98,0),IF(CR98="direct",DE98/F98,0),IF(DT98="direct",EG98/F98,0),IF(EV98="direct",FI98/F98,0),IF(FX98="direct",GK98/F98,0),IF(GZ98="direct",HM98/F98,0),IF(IB98="direct",IO98/F98,0),IF(JD98="direct",JQ98/F98,0),IF(KF98="direct",KS98/F98,0),IF(LH98="direct",LU98/F98,0))</f>
        <v>0.009404296625798619</v>
      </c>
      <c r="BE98" s="7">
        <f>-SUM(IF(BP98="direct",CD98/F98,0),IF(CR98="direct",DF98/F98,0),IF(DT98="direct",EH98/F98,0),IF(EV98="direct",FJ98/F98,0),IF(FX98="direct",GL98/F98,0),IF(GZ98="direct",HN98/F98,0),IF(IB98="direct",IP98/F98,0),IF(JD98="direct",JR98/F98,0),IF(KF98="direct",KT98/F98,0),IF(LH98="direct",LV98/F98,0))</f>
        <v>-0.000018118085992497572</v>
      </c>
      <c r="BF98" s="7">
        <f>BD98+BE98</f>
        <v>0.009386178539806122</v>
      </c>
      <c r="BG98" s="7">
        <f>BF98-SUM(IF(BP98="direct",CP98,0),IF(CR98="direct",DR98,0),IF(DT98="direct",ET98,0),IF(EV98="direct",FV98,0),IF(FX98="direct",GX98,0),IF(GZ98="direct",HZ98,0),IF(IB98="direct",JB98,0),IF(JD98="direct",KD98,0),IF(KF98="direct",LF98,0),IF(LH98="direct",MH98,0))</f>
        <v>-3.469446951953614e-18</v>
      </c>
      <c r="BH98" s="7">
        <f>SUM(IF(BP98="treasury",CP98,0),IF(CR98="treasury",DR98,0),IF(DT98="treasury",ET98,0),IF(EV98="treasury",FV98,0),IF(FX98="treasury",GX98,0),IF(GZ98="treasury",HZ98,0),IF(IB98="treasury",JB98,0),IF(JD98="treasury",KD98,0),IF(KF98="treasury",LF98,0),IF(LH98="treasury",MH98,0))</f>
        <v>0.0002230713497266598</v>
      </c>
      <c r="BI98" s="7">
        <f>SUM(IF(BP98="future",CP98,0),IF(CR98="future",DR98,0),IF(DT98="future",ET98,0),IF(EV98="future",FV98,0),IF(FX98="future",GX98,0),IF(GZ98="future",HZ98,0),IF(IB98="future",JB98,0),IF(JD98="future",KD98,0),IF(KF98="future",LF98,0),IF(LH98="future",MH98,0))</f>
        <v>0.002115575839112646</v>
      </c>
      <c r="BJ98" s="7">
        <f>SUM(IF(BP98="cash",CP98,0),IF(CR98="cash",DR98,0),IF(DT98="cash",ET98,0),IF(EV98="cash",FV98,0),IF(FX98="cash",GX98,0),IF(GZ98="cash",HZ98,0),IF(IB98="cash",JB98,0),IF(JD98="cash",KD98,0),IF(KF98="cash",LF98,0),IF(LH98="cash",MH98,0))</f>
        <v>0</v>
      </c>
      <c r="BK98" s="7">
        <f>SUM(BF98,BH98,BI98,BJ98)</f>
        <v>0.01172482572864543</v>
      </c>
      <c r="BL98" s="7">
        <f>G98-BK98</f>
        <v>-3.469446951953614e-18</v>
      </c>
      <c r="BM98" s="5">
        <f>MAX(ABS(CG98),ABS(DI98),ABS(EK98),ABS(FM98),ABS(GO98),ABS(HQ98),ABS(IS98),ABS(JU98),ABS(KW98),ABS(LY98))</f>
        <v>3.301395615218361e-17</v>
      </c>
      <c r="BN98" s="9">
        <f>COUNTA(BO98,CQ98,DS98,EU98,FW98,GY98,IA98,JC98,KE98,LG98)</f>
        <v>6</v>
      </c>
      <c r="BO98" t="inlineStr">
        <is>
          <t xml:space="preserve">Direct commodity holding</t>
        </is>
      </c>
      <c r="BP98" t="inlineStr">
        <is>
          <t xml:space="preserve">direct</t>
        </is>
      </c>
      <c r="BQ98" t="inlineStr">
        <is>
          <t xml:space="preserve">lease</t>
        </is>
      </c>
      <c r="BR98" t="inlineStr">
        <is>
          <t xml:space="preserve">long</t>
        </is>
      </c>
      <c r="BS98"/>
      <c r="BT98" s="4">
        <v>1.758</v>
      </c>
      <c r="BU98" s="4">
        <v>1.783</v>
      </c>
      <c r="BV98" s="6">
        <v>0.0025</v>
      </c>
      <c r="BW98" s="4">
        <v>0.4926842863071006</v>
      </c>
      <c r="BX98" s="5">
        <f>IF(BP98="direct",IFERROR(CD98/BU98,0),0)</f>
        <v>0.000013308937151144107</v>
      </c>
      <c r="BY98" s="5">
        <f>IF(BP98="direct",BW98-BX98,IF(BP98="cash",CI98,BW98))</f>
        <v>0.49267097736994947</v>
      </c>
      <c r="BZ98" s="6">
        <v>0.6613101387261612</v>
      </c>
      <c r="CA98" s="4">
        <v>0.8661389753278829</v>
      </c>
      <c r="CB98" s="4">
        <v>0.8661389753278829</v>
      </c>
      <c r="CC98" s="5">
        <f>IF(BP98="direct",BW98*(BU98-BT98),CF98)</f>
        <v>0.01231710715767747</v>
      </c>
      <c r="CD98" s="5">
        <f>IF(BP98="direct",CB98*BV98*C98/365,0)</f>
        <v>0.000023729834940489942</v>
      </c>
      <c r="CE98" s="5">
        <f>CC98-CD98</f>
        <v>0.012293377322736984</v>
      </c>
      <c r="CF98" s="4">
        <v>0.012293377322736984</v>
      </c>
      <c r="CG98" s="5">
        <f>CF98-CE98</f>
        <v>3.2898759671357025e-18</v>
      </c>
      <c r="CH98" s="4">
        <v>0</v>
      </c>
      <c r="CI98" s="4">
        <v>0.8784323526506199</v>
      </c>
      <c r="CJ98" s="4">
        <v>1.758</v>
      </c>
      <c r="CK98" s="4">
        <v>1.783</v>
      </c>
      <c r="CL98" s="6"/>
      <c r="CM98" s="6"/>
      <c r="CN98" s="6"/>
      <c r="CO98" s="9"/>
      <c r="CP98" s="7">
        <f>IFERROR(CE98/F98,0)</f>
        <v>0.009386178539806125</v>
      </c>
      <c r="CQ98" t="inlineStr">
        <is>
          <t xml:space="preserve">Treasury collateral</t>
        </is>
      </c>
      <c r="CR98" t="inlineStr">
        <is>
          <t xml:space="preserve">treasury</t>
        </is>
      </c>
      <c r="CS98" t="inlineStr">
        <is>
          <t xml:space="preserve">lease</t>
        </is>
      </c>
      <c r="CT98" t="inlineStr">
        <is>
          <t xml:space="preserve">long</t>
        </is>
      </c>
      <c r="CU98"/>
      <c r="CV98" s="4">
        <v>102.37853238826075</v>
      </c>
      <c r="CW98" s="4">
        <v>102.44596197507208</v>
      </c>
      <c r="CX98" s="6"/>
      <c r="CY98" s="4">
        <v>0.004332870382882672</v>
      </c>
      <c r="CZ98" s="5">
        <f>IF(CR98="direct",IFERROR(DF98/CW98,0),0)</f>
        <v>0</v>
      </c>
      <c r="DA98" s="5">
        <f>IF(CR98="direct",CY98-CZ98,IF(CR98="cash",DK98,CY98))</f>
        <v>0.004332870382882672</v>
      </c>
      <c r="DB98" s="6">
        <v>0.3386898612738387</v>
      </c>
      <c r="DC98" s="4">
        <v>0.4435929108280893</v>
      </c>
      <c r="DD98" s="4">
        <v>0.4435929108280893</v>
      </c>
      <c r="DE98" s="5">
        <f>IF(CR98="direct",CY98*(CW98-CV98),DH98)</f>
        <v>0.00029216365962482364</v>
      </c>
      <c r="DF98" s="5">
        <f>IF(CR98="direct",DD98*CX98*C98/365,0)</f>
        <v>0</v>
      </c>
      <c r="DG98" s="5">
        <f>DE98-DF98</f>
        <v>0.00029216365962485665</v>
      </c>
      <c r="DH98" s="4">
        <v>0.00029216365962485665</v>
      </c>
      <c r="DI98" s="5">
        <f>DH98-DG98</f>
        <v>3.301395615218361e-17</v>
      </c>
      <c r="DJ98" s="4">
        <v>1.0028870095490916e-17</v>
      </c>
      <c r="DK98" s="4">
        <v>0.4438850744877142</v>
      </c>
      <c r="DL98" s="4">
        <v>1.758</v>
      </c>
      <c r="DM98" s="4">
        <v>1.783</v>
      </c>
      <c r="DN98" s="6"/>
      <c r="DO98" s="6"/>
      <c r="DP98" s="6"/>
      <c r="DQ98" s="9">
        <v>67</v>
      </c>
      <c r="DR98" s="7">
        <f>IFERROR(DG98/F98,0)</f>
        <v>0.0002230713497266598</v>
      </c>
      <c r="DS98" t="inlineStr">
        <is>
          <t xml:space="preserve">SI69N</t>
        </is>
      </c>
      <c r="DT98" t="inlineStr">
        <is>
          <t xml:space="preserve">future</t>
        </is>
      </c>
      <c r="DU98" t="inlineStr">
        <is>
          <t xml:space="preserve">lease</t>
        </is>
      </c>
      <c r="DV98" t="inlineStr">
        <is>
          <t xml:space="preserve">long</t>
        </is>
      </c>
      <c r="DW98" t="inlineStr">
        <is>
          <t xml:space="preserve">regular</t>
        </is>
      </c>
      <c r="DX98" s="4">
        <v>1.761</v>
      </c>
      <c r="DY98" s="4">
        <v>1.7719999999999998</v>
      </c>
      <c r="DZ98" s="6"/>
      <c r="EA98" s="4">
        <v>0.2518608012784377</v>
      </c>
      <c r="EB98" s="5">
        <f>IF(DT98="direct",IFERROR(EH98/DY98,0),0)</f>
        <v>0</v>
      </c>
      <c r="EC98" s="5">
        <f>IF(DT98="direct",EA98-EB98,IF(DT98="cash",EM98,EA98))</f>
        <v>0.2518608012784377</v>
      </c>
      <c r="ED98" s="6">
        <v>0.33863943891071335</v>
      </c>
      <c r="EE98" s="4">
        <v>0.4435268710513287</v>
      </c>
      <c r="EF98" s="4">
        <v>0</v>
      </c>
      <c r="EG98" s="5">
        <f>IF(DT98="direct",EA98*(DY98-DX98),EJ98)</f>
        <v>0.002770468814062767</v>
      </c>
      <c r="EH98" s="5">
        <f>IF(DT98="direct",EF98*DZ98*C98/365,0)</f>
        <v>0</v>
      </c>
      <c r="EI98" s="5">
        <f>EG98-EH98</f>
        <v>0.002770468814062767</v>
      </c>
      <c r="EJ98" s="4">
        <v>0.002770468814062767</v>
      </c>
      <c r="EK98" s="5">
        <f>EJ98-EI98</f>
        <v>0</v>
      </c>
      <c r="EL98" s="4">
        <v>-0.002770468814062767</v>
      </c>
      <c r="EM98" s="4">
        <v>0</v>
      </c>
      <c r="EN98" s="4">
        <v>1.758</v>
      </c>
      <c r="EO98" s="4">
        <v>1.783</v>
      </c>
      <c r="EP98" s="6">
        <v>0.0017064846416381396</v>
      </c>
      <c r="EQ98" s="6">
        <v>0.0601</v>
      </c>
      <c r="ER98" s="6">
        <v>0.05080347919107581</v>
      </c>
      <c r="ES98" s="9">
        <v>67</v>
      </c>
      <c r="ET98" s="7">
        <f>IFERROR(EI98/F98,0)</f>
        <v>0.0021152946212480315</v>
      </c>
      <c r="EU98" t="inlineStr">
        <is>
          <t xml:space="preserve">SI69U</t>
        </is>
      </c>
      <c r="EV98" t="inlineStr">
        <is>
          <t xml:space="preserve">future</t>
        </is>
      </c>
      <c r="EW98" t="inlineStr">
        <is>
          <t xml:space="preserve">lease</t>
        </is>
      </c>
      <c r="EX98" t="inlineStr">
        <is>
          <t xml:space="preserve">long</t>
        </is>
      </c>
      <c r="EY98" t="inlineStr">
        <is>
          <t xml:space="preserve">regular</t>
        </is>
      </c>
      <c r="EZ98" s="4">
        <v>1.7930000000000001</v>
      </c>
      <c r="FA98" s="4">
        <v>1.8030000000000002</v>
      </c>
      <c r="FB98" s="6"/>
      <c r="FC98" s="4">
        <v>0.00003683200042420563</v>
      </c>
      <c r="FD98" s="5">
        <f>IF(EV98="direct",IFERROR(FJ98/FA98,0),0)</f>
        <v>0</v>
      </c>
      <c r="FE98" s="5">
        <f>IF(EV98="direct",FC98-FD98,IF(EV98="cash",FO98,FC98))</f>
        <v>0.00003683200042420563</v>
      </c>
      <c r="FF98" s="6">
        <v>0.000050422363125345954</v>
      </c>
      <c r="FG98" s="4">
        <v>0.0000660397767606007</v>
      </c>
      <c r="FH98" s="4">
        <v>0</v>
      </c>
      <c r="FI98" s="5">
        <f>IF(EV98="direct",FC98*(FA98-EZ98),FL98)</f>
        <v>3.683200042420542e-7</v>
      </c>
      <c r="FJ98" s="5">
        <f>IF(EV98="direct",FH98*FB98*C98/365,0)</f>
        <v>0</v>
      </c>
      <c r="FK98" s="5">
        <f>FI98-FJ98</f>
        <v>3.683200042420542e-7</v>
      </c>
      <c r="FL98" s="4">
        <v>3.683200042420542e-7</v>
      </c>
      <c r="FM98" s="5">
        <f>FL98-FK98</f>
        <v>0</v>
      </c>
      <c r="FN98" s="4">
        <v>-3.683200042420542e-7</v>
      </c>
      <c r="FO98" s="4">
        <v>0</v>
      </c>
      <c r="FP98" s="4">
        <v>1.758</v>
      </c>
      <c r="FQ98" s="4">
        <v>1.783</v>
      </c>
      <c r="FR98" s="6">
        <v>0.019908987485779406</v>
      </c>
      <c r="FS98" s="6">
        <v>0.06044615384615386</v>
      </c>
      <c r="FT98" s="6">
        <v>0.002773293272269057</v>
      </c>
      <c r="FU98" s="9">
        <v>126</v>
      </c>
      <c r="FV98" s="7">
        <f>IFERROR(FK98/F98,0)</f>
        <v>2.8121786461430933e-7</v>
      </c>
      <c r="FW98" t="inlineStr">
        <is>
          <t xml:space="preserve">Lease cash / margin / financing</t>
        </is>
      </c>
      <c r="FX98" t="inlineStr">
        <is>
          <t xml:space="preserve">cash</t>
        </is>
      </c>
      <c r="FY98" t="inlineStr">
        <is>
          <t xml:space="preserve">lease</t>
        </is>
      </c>
      <c r="FZ98" t="inlineStr">
        <is>
          <t xml:space="preserve">cash</t>
        </is>
      </c>
      <c r="GA98"/>
      <c r="GB98" s="4">
        <v>1</v>
      </c>
      <c r="GC98" s="4">
        <v>1</v>
      </c>
      <c r="GD98" s="6"/>
      <c r="GE98" s="4">
        <v>1.5543122344752192e-15</v>
      </c>
      <c r="GF98" s="5">
        <f>IF(FX98="direct",IFERROR(GL98/GC98,0),0)</f>
        <v>0</v>
      </c>
      <c r="GG98" s="5">
        <f>IF(FX98="direct",GE98-GF98,IF(FX98="cash",GQ98,GE98))</f>
        <v>0.0027708371340685535</v>
      </c>
      <c r="GH98" s="6"/>
      <c r="GI98" s="4">
        <v>1.5543122344752192e-15</v>
      </c>
      <c r="GJ98" s="4">
        <v>1.5543122344752192e-15</v>
      </c>
      <c r="GK98" s="5">
        <f>IF(FX98="direct",GE98*(GC98-GB98),GN98)</f>
        <v>0</v>
      </c>
      <c r="GL98" s="5">
        <f>IF(FX98="direct",GJ98*GD98*C98/365,0)</f>
        <v>0</v>
      </c>
      <c r="GM98" s="5">
        <f>GK98-GL98</f>
        <v>0</v>
      </c>
      <c r="GN98" s="4">
        <v>0</v>
      </c>
      <c r="GO98" s="5">
        <f>GN98-GM98</f>
        <v>0</v>
      </c>
      <c r="GP98" s="4">
        <v>0.002770837134066999</v>
      </c>
      <c r="GQ98" s="4">
        <v>0.0027708371340685535</v>
      </c>
      <c r="GR98" s="4">
        <v>1.758</v>
      </c>
      <c r="GS98" s="4">
        <v>1.783</v>
      </c>
      <c r="GT98" s="6"/>
      <c r="GU98" s="6"/>
      <c r="GV98" s="6"/>
      <c r="GW98" s="9"/>
      <c r="GX98" s="7">
        <f>IFERROR(GM98/F98,0)</f>
        <v>0</v>
      </c>
      <c r="GY98" t="inlineStr">
        <is>
          <t xml:space="preserve">Keep cash / margin / financing</t>
        </is>
      </c>
      <c r="GZ98" t="inlineStr">
        <is>
          <t xml:space="preserve">cash</t>
        </is>
      </c>
      <c r="HA98" t="inlineStr">
        <is>
          <t xml:space="preserve">keep</t>
        </is>
      </c>
      <c r="HB98" t="inlineStr">
        <is>
          <t xml:space="preserve">cash</t>
        </is>
      </c>
      <c r="HC98"/>
      <c r="HD98" s="4">
        <v>1</v>
      </c>
      <c r="HE98" s="4">
        <v>1</v>
      </c>
      <c r="HF98" s="6"/>
      <c r="HG98" s="4">
        <v>0</v>
      </c>
      <c r="HH98" s="5">
        <f>IF(GZ98="direct",IFERROR(HN98/HE98,0),0)</f>
        <v>0</v>
      </c>
      <c r="HI98" s="5">
        <f>IF(GZ98="direct",HG98-HH98,IF(GZ98="cash",HS98,HG98))</f>
        <v>0</v>
      </c>
      <c r="HJ98" s="6"/>
      <c r="HK98" s="4">
        <v>0</v>
      </c>
      <c r="HL98" s="4">
        <v>0</v>
      </c>
      <c r="HM98" s="5">
        <f>IF(GZ98="direct",HG98*(HE98-HD98),HP98)</f>
        <v>0</v>
      </c>
      <c r="HN98" s="5">
        <f>IF(GZ98="direct",HL98*HF98*C98/365,0)</f>
        <v>0</v>
      </c>
      <c r="HO98" s="5">
        <f>HM98-HN98</f>
        <v>0</v>
      </c>
      <c r="HP98" s="4">
        <v>0</v>
      </c>
      <c r="HQ98" s="5">
        <f>HP98-HO98</f>
        <v>0</v>
      </c>
      <c r="HR98" s="4">
        <v>0</v>
      </c>
      <c r="HS98" s="4">
        <v>0</v>
      </c>
      <c r="HT98" s="4">
        <v>1.758</v>
      </c>
      <c r="HU98" s="4">
        <v>1.783</v>
      </c>
      <c r="HV98" s="6"/>
      <c r="HW98" s="6"/>
      <c r="HX98" s="6"/>
      <c r="HY98" s="9"/>
      <c r="HZ98" s="7">
        <f>IFERROR(HO98/F98,0)</f>
        <v>0</v>
      </c>
      <c r="IA98"/>
      <c r="IB98"/>
      <c r="IC98"/>
      <c r="ID98"/>
      <c r="IE98"/>
      <c r="IF98" s="4"/>
      <c r="IG98" s="4"/>
      <c r="IH98" s="6"/>
      <c r="II98" s="4"/>
      <c r="IJ98" s="5">
        <v>0</v>
      </c>
      <c r="IK98" s="5"/>
      <c r="IL98" s="6"/>
      <c r="IM98" s="4"/>
      <c r="IN98" s="4"/>
      <c r="IO98" s="5">
        <v>0</v>
      </c>
      <c r="IP98" s="5">
        <v>0</v>
      </c>
      <c r="IQ98" s="5"/>
      <c r="IR98" s="4"/>
      <c r="IS98" s="5">
        <v>0</v>
      </c>
      <c r="IT98" s="4"/>
      <c r="IU98" s="4"/>
      <c r="IV98" s="4"/>
      <c r="IW98" s="4"/>
      <c r="IX98" s="6"/>
      <c r="IY98" s="6"/>
      <c r="IZ98" s="6"/>
      <c r="JA98" s="9"/>
      <c r="JB98"/>
      <c r="JC98"/>
      <c r="JD98"/>
      <c r="JE98"/>
      <c r="JF98"/>
      <c r="JG98"/>
      <c r="JH98" s="4"/>
      <c r="JI98" s="4"/>
      <c r="JJ98" s="6"/>
      <c r="JK98" s="4"/>
      <c r="JL98" s="5">
        <v>0</v>
      </c>
      <c r="JM98" s="5"/>
      <c r="JN98" s="6"/>
      <c r="JO98" s="4"/>
      <c r="JP98" s="4"/>
      <c r="JQ98" s="5">
        <v>0</v>
      </c>
      <c r="JR98" s="5">
        <v>0</v>
      </c>
      <c r="JS98" s="5"/>
      <c r="JT98" s="4"/>
      <c r="JU98" s="5">
        <v>0</v>
      </c>
      <c r="JV98" s="4"/>
      <c r="JW98" s="4"/>
      <c r="JX98" s="4"/>
      <c r="JY98" s="4"/>
      <c r="JZ98" s="6"/>
      <c r="KA98" s="6"/>
      <c r="KB98" s="6"/>
      <c r="KC98" s="9"/>
      <c r="KD98"/>
      <c r="KE98"/>
      <c r="KF98"/>
      <c r="KG98"/>
      <c r="KH98"/>
      <c r="KI98"/>
      <c r="KJ98" s="4"/>
      <c r="KK98" s="4"/>
      <c r="KL98" s="6"/>
      <c r="KM98" s="4"/>
      <c r="KN98" s="5">
        <v>0</v>
      </c>
      <c r="KO98" s="5"/>
      <c r="KP98" s="6"/>
      <c r="KQ98" s="4"/>
      <c r="KR98" s="4"/>
      <c r="KS98" s="5">
        <v>0</v>
      </c>
      <c r="KT98" s="5">
        <v>0</v>
      </c>
      <c r="KU98" s="5"/>
      <c r="KV98" s="4"/>
      <c r="KW98" s="5">
        <v>0</v>
      </c>
      <c r="KX98" s="4"/>
      <c r="KY98" s="4"/>
      <c r="KZ98" s="4"/>
      <c r="LA98" s="4"/>
      <c r="LB98" s="6"/>
      <c r="LC98" s="6"/>
      <c r="LD98" s="6"/>
      <c r="LE98" s="9"/>
      <c r="LF98"/>
      <c r="LG98"/>
      <c r="LH98"/>
      <c r="LI98"/>
      <c r="LJ98"/>
      <c r="LK98"/>
      <c r="LL98" s="4"/>
      <c r="LM98" s="4"/>
      <c r="LN98" s="6"/>
      <c r="LO98" s="4"/>
      <c r="LP98" s="5">
        <v>0</v>
      </c>
      <c r="LQ98" s="5"/>
      <c r="LR98" s="6"/>
      <c r="LS98" s="4"/>
      <c r="LT98" s="4"/>
      <c r="LU98" s="5">
        <v>0</v>
      </c>
      <c r="LV98" s="5">
        <v>0</v>
      </c>
      <c r="LW98" s="5"/>
      <c r="LX98" s="4"/>
      <c r="LY98" s="5">
        <v>0</v>
      </c>
      <c r="LZ98" s="4"/>
      <c r="MA98" s="4"/>
      <c r="MB98" s="4"/>
      <c r="MC98" s="4"/>
      <c r="MD98" s="6"/>
      <c r="ME98" s="6"/>
      <c r="MF98" s="6"/>
      <c r="MG98" s="9"/>
      <c r="MH98"/>
    </row>
    <row r="99">
      <c r="A99" s="8">
        <v>25350</v>
      </c>
      <c r="B99" s="8">
        <v>25351</v>
      </c>
      <c r="C99" s="9">
        <f>B99-A99</f>
        <v>1</v>
      </c>
      <c r="D99" s="8">
        <v>25350</v>
      </c>
      <c r="E99" t="inlineStr">
        <is>
          <t xml:space="preserve">positive</t>
        </is>
      </c>
      <c r="F99" s="4">
        <v>1.3250882642724011</v>
      </c>
      <c r="G99" s="6">
        <v>-0.0030555893654512895</v>
      </c>
      <c r="H99" s="7">
        <f>SUM(CP99,DR99,ET99,FV99,GX99,HZ99,JB99,KD99,LF99,MH99)</f>
        <v>-0.00305558936545129</v>
      </c>
      <c r="I99" s="7">
        <f>G99-H99</f>
        <v>4.336808689942018e-19</v>
      </c>
      <c r="J99" s="5">
        <f>F99*(1+H99)</f>
        <v>1.3210393386638062</v>
      </c>
      <c r="K99" s="4">
        <v>1.3210393386638062</v>
      </c>
      <c r="L99" s="5">
        <f>K99-J99</f>
        <v>0</v>
      </c>
      <c r="M99" s="4">
        <v>1.783</v>
      </c>
      <c r="N99" s="4">
        <v>1.767</v>
      </c>
      <c r="O99" s="5">
        <f>M99/$M$3</f>
        <v>0.9106230847803881</v>
      </c>
      <c r="P99" s="5">
        <f>N99/$M$3</f>
        <v>0.9024514811031664</v>
      </c>
      <c r="Q99" s="7">
        <f>IFERROR(N99/M99-1,0)</f>
        <v>-0.00897363993269773</v>
      </c>
      <c r="R99" s="5">
        <f>SUM(IF(BQ99="lease",CB99,0),IF(CS99="lease",DD99,0),IF(DU99="lease",EF99,0),IF(EW99="lease",FH99,0),IF(FY99="lease",GJ99,0),IF(HA99="lease",HL99,0),IF(IC99="lease",IN99,0),IF(JE99="lease",JP99,0),IF(KG99="lease",KR99,0),IF(LI99="lease",LT99,0))</f>
        <v>1.3250882642724024</v>
      </c>
      <c r="S99" s="5">
        <f>SUM(IF(BQ99="lease",CI99,0),IF(CS99="lease",DK99,0),IF(DU99="lease",EM99,0),IF(EW99="lease",FO99,0),IF(FY99="lease",GQ99,0),IF(HA99="lease",HS99,0),IF(IC99="lease",IU99,0),IF(JE99="lease",JW99,0),IF(KG99="lease",KY99,0),IF(LI99="lease",MA99,0))</f>
        <v>1.3210393386638073</v>
      </c>
      <c r="T99" s="5">
        <f>SUM(IF(BQ99="keep",CB99,0),IF(CS99="keep",DD99,0),IF(DU99="keep",EF99,0),IF(EW99="keep",FH99,0),IF(FY99="keep",GJ99,0),IF(HA99="keep",HL99,0),IF(IC99="keep",IN99,0),IF(JE99="keep",JP99,0),IF(KG99="keep",KR99,0),IF(LI99="keep",LT99,0))</f>
        <v>0</v>
      </c>
      <c r="U99" s="5">
        <f>SUM(IF(BQ99="keep",CI99,0),IF(CS99="keep",DK99,0),IF(DU99="keep",EM99,0),IF(EW99="keep",FO99,0),IF(FY99="keep",GQ99,0),IF(HA99="keep",HS99,0),IF(IC99="keep",IU99,0),IF(JE99="keep",JW99,0),IF(KG99="keep",KY99,0),IF(LI99="keep",MA99,0))</f>
        <v>0</v>
      </c>
      <c r="V99" s="5">
        <f>R99/O99</f>
        <v>1.4551445998011017</v>
      </c>
      <c r="W99" s="5">
        <f>S99/P99</f>
        <v>1.4638341964367487</v>
      </c>
      <c r="X99" s="5">
        <f>T99/O99</f>
        <v>0</v>
      </c>
      <c r="Y99" s="5">
        <f>U99/P99</f>
        <v>0</v>
      </c>
      <c r="Z99" s="5">
        <f>V99+X99</f>
        <v>1.4551445998011017</v>
      </c>
      <c r="AA99" s="7">
        <f>IFERROR(W99/V99-1,0)</f>
        <v>0.005971637895529236</v>
      </c>
      <c r="AB99" s="7">
        <f>IFERROR((W99-V99)/Z99,0)</f>
        <v>0.005971637895529286</v>
      </c>
      <c r="AC99" s="7">
        <f>IFERROR(Y99/X99-1,0)</f>
        <v>0</v>
      </c>
      <c r="AD99" s="7">
        <f>IFERROR((Y99-X99)/Z99,0)</f>
        <v>0</v>
      </c>
      <c r="AE99" s="7">
        <f>AB99+AD99</f>
        <v>0.005971637895529286</v>
      </c>
      <c r="AF99" s="7">
        <f>(1+Q99)*(1+AE99)-1</f>
        <v>-0.003055589365451472</v>
      </c>
      <c r="AG99" s="7">
        <f>G99-AF99</f>
        <v>1.8257964584655895e-16</v>
      </c>
      <c r="AH99" s="5">
        <f>SUM(IF(BQ99="lease",CE99,0),IF(CS99="lease",DG99,0),IF(DU99="lease",EI99,0),IF(EW99="lease",FK99,0),IF(FY99="lease",GM99,0),IF(HA99="lease",HO99,0),IF(IC99="lease",IQ99,0),IF(JE99="lease",JS99,0),IF(KG99="lease",KU99,0),IF(LI99="lease",LW99,0))</f>
        <v>-0.004048925608595057</v>
      </c>
      <c r="AI99" s="5">
        <f>SUM(IF(BQ99="keep",CE99,0),IF(CS99="keep",DG99,0),IF(DU99="keep",EI99,0),IF(EW99="keep",FK99,0),IF(FY99="keep",GM99,0),IF(HA99="keep",HO99,0),IF(IC99="keep",IQ99,0),IF(JE99="keep",JS99,0),IF(KG99="keep",KU99,0),IF(LI99="keep",LW99,0))</f>
        <v>0</v>
      </c>
      <c r="AJ99" s="5">
        <f>SUM(IF(BQ99="lease",CH99,0),IF(CS99="lease",DJ99,0),IF(DU99="lease",EL99,0),IF(EW99="lease",FN99,0),IF(FY99="lease",GP99,0),IF(HA99="lease",HR99,0),IF(IC99="lease",IT99,0),IF(JE99="lease",JV99,0),IF(KG99="lease",KX99,0),IF(LI99="lease",LZ99,0))</f>
        <v>0</v>
      </c>
      <c r="AK99" s="5">
        <f>SUM(IF(BQ99="keep",CH99,0),IF(CS99="keep",DJ99,0),IF(DU99="keep",EL99,0),IF(EW99="keep",FN99,0),IF(FY99="keep",GP99,0),IF(HA99="keep",HR99,0),IF(IC99="keep",IT99,0),IF(JE99="keep",JV99,0),IF(KG99="keep",KX99,0),IF(LI99="keep",LZ99,0))</f>
        <v>0</v>
      </c>
      <c r="AL99" s="5">
        <f>R99-S98</f>
        <v>0</v>
      </c>
      <c r="AM99" s="5">
        <f>T99-U98</f>
        <v>0</v>
      </c>
      <c r="AN99" s="5">
        <f>AN98</f>
        <v>1</v>
      </c>
      <c r="AO99" s="5">
        <f>AO98+AH99</f>
        <v>0.3210393386638073</v>
      </c>
      <c r="AP99" s="5">
        <f>AP98+AL99</f>
        <v>-4.440892098500626e-16</v>
      </c>
      <c r="AQ99" s="5">
        <f>AN99+AO99+AP99</f>
        <v>1.3210393386638069</v>
      </c>
      <c r="AR99" s="5">
        <f>S99-AQ99</f>
        <v>4.440892098500626e-16</v>
      </c>
      <c r="AS99" s="5">
        <f>AS98</f>
        <v>0</v>
      </c>
      <c r="AT99" s="5">
        <f>AT98+AI99</f>
        <v>0</v>
      </c>
      <c r="AU99" s="5">
        <f>AU98+AM99</f>
        <v>0</v>
      </c>
      <c r="AV99" s="5">
        <f>AS99+AT99+AU99</f>
        <v>0</v>
      </c>
      <c r="AW99" s="5">
        <f>U99-AV99</f>
        <v>0</v>
      </c>
      <c r="AX99" s="4">
        <v>1.3250882642724024</v>
      </c>
      <c r="AY99" s="4">
        <v>1.3210393386638073</v>
      </c>
      <c r="AZ99" s="5">
        <f>S99-AY99</f>
        <v>0</v>
      </c>
      <c r="BA99" s="4">
        <v>0</v>
      </c>
      <c r="BB99" s="4">
        <v>0</v>
      </c>
      <c r="BC99" s="5">
        <f>U99-BB99</f>
        <v>0</v>
      </c>
      <c r="BD99" s="7">
        <f>SUM(IF(BP99="direct",CC99/F99,0),IF(CR99="direct",DE99/F99,0),IF(DT99="direct",EG99/F99,0),IF(EV99="direct",FI99/F99,0),IF(FX99="direct",GK99/F99,0),IF(GZ99="direct",HM99/F99,0),IF(IB99="direct",IO99/F99,0),IF(JD99="direct",JQ99/F99,0),IF(KF99="direct",KS99/F99,0),IF(LH99="direct",LU99/F99,0))</f>
        <v>-0.003162118163028165</v>
      </c>
      <c r="BE99" s="7">
        <f>-SUM(IF(BP99="direct",CD99/F99,0),IF(CR99="direct",DF99/F99,0),IF(DT99="direct",EH99/F99,0),IF(EV99="direct",FJ99/F99,0),IF(FX99="direct",GL99/F99,0),IF(GZ99="direct",HN99/F99,0),IF(IB99="direct",IP99/F99,0),IF(JD99="direct",JR99/F99,0),IF(KF99="direct",KT99/F99,0),IF(LH99="direct",LV99/F99,0))</f>
        <v>-0.0000024135516629619917</v>
      </c>
      <c r="BF99" s="7">
        <f>BD99+BE99</f>
        <v>-0.003164531714691127</v>
      </c>
      <c r="BG99" s="7">
        <f>BF99-SUM(IF(BP99="direct",CP99,0),IF(CR99="direct",DR99,0),IF(DT99="direct",ET99,0),IF(EV99="direct",FV99,0),IF(FX99="direct",GX99,0),IF(GZ99="direct",HZ99,0),IF(IB99="direct",JB99,0),IF(JD99="direct",KD99,0),IF(KF99="direct",LF99,0),IF(LH99="direct",MH99,0))</f>
        <v>8.239936510889834e-18</v>
      </c>
      <c r="BH99" s="7">
        <f>SUM(IF(BP99="treasury",CP99,0),IF(CR99="treasury",DR99,0),IF(DT99="treasury",ET99,0),IF(EV99="treasury",FV99,0),IF(FX99="treasury",GX99,0),IF(GZ99="treasury",HZ99,0),IF(IB99="treasury",JB99,0),IF(JD99="treasury",KD99,0),IF(KF99="treasury",LF99,0),IF(LH99="treasury",MH99,0))</f>
        <v>0.00010894234923984523</v>
      </c>
      <c r="BI99" s="7">
        <f>SUM(IF(BP99="future",CP99,0),IF(CR99="future",DR99,0),IF(DT99="future",ET99,0),IF(EV99="future",FV99,0),IF(FX99="future",GX99,0),IF(GZ99="future",HZ99,0),IF(IB99="future",JB99,0),IF(JD99="future",KD99,0),IF(KF99="future",LF99,0),IF(LH99="future",MH99,0))</f>
        <v>0</v>
      </c>
      <c r="BJ99" s="7">
        <f>SUM(IF(BP99="cash",CP99,0),IF(CR99="cash",DR99,0),IF(DT99="cash",ET99,0),IF(EV99="cash",FV99,0),IF(FX99="cash",GX99,0),IF(GZ99="cash",HZ99,0),IF(IB99="cash",JB99,0),IF(JD99="cash",KD99,0),IF(KF99="cash",LF99,0),IF(LH99="cash",MH99,0))</f>
        <v>0</v>
      </c>
      <c r="BK99" s="7">
        <f>SUM(BF99,BH99,BI99,BJ99)</f>
        <v>-0.00305558936545129</v>
      </c>
      <c r="BL99" s="7">
        <f>G99-BK99</f>
        <v>4.336808689942018e-19</v>
      </c>
      <c r="BM99" s="5">
        <f>MAX(ABS(CG99),ABS(DI99),ABS(EK99),ABS(FM99),ABS(GO99),ABS(HQ99),ABS(IS99),ABS(JU99),ABS(KW99),ABS(LY99))</f>
        <v>1.071327271687239e-17</v>
      </c>
      <c r="BN99" s="9">
        <f>COUNTA(BO99,CQ99,DS99,EU99,FW99,GY99,IA99,JC99,KE99,LG99)</f>
        <v>6</v>
      </c>
      <c r="BO99" t="inlineStr">
        <is>
          <t xml:space="preserve">Direct commodity holding</t>
        </is>
      </c>
      <c r="BP99" t="inlineStr">
        <is>
          <t xml:space="preserve">direct</t>
        </is>
      </c>
      <c r="BQ99" t="inlineStr">
        <is>
          <t xml:space="preserve">lease</t>
        </is>
      </c>
      <c r="BR99" t="inlineStr">
        <is>
          <t xml:space="preserve">long</t>
        </is>
      </c>
      <c r="BS99"/>
      <c r="BT99" s="4">
        <v>1.783</v>
      </c>
      <c r="BU99" s="4">
        <v>1.767</v>
      </c>
      <c r="BV99" s="6">
        <v>0.0025</v>
      </c>
      <c r="BW99" s="4">
        <v>0.26188035425445133</v>
      </c>
      <c r="BX99" s="5">
        <f>IF(BP99="direct",IFERROR(CD99/BU99,0),0)</f>
        <v>0.0000018099428318087567</v>
      </c>
      <c r="BY99" s="5">
        <f>IF(BP99="direct",BW99-BX99,IF(BP99="cash",CI99,BW99))</f>
        <v>0.2618785443116195</v>
      </c>
      <c r="BZ99" s="6">
        <v>0.35237854279245084</v>
      </c>
      <c r="CA99" s="4">
        <v>0.4669326716356867</v>
      </c>
      <c r="CB99" s="4">
        <v>0.4669326716356867</v>
      </c>
      <c r="CC99" s="5">
        <f>IF(BP99="direct",BW99*(BU99-BT99),CF99)</f>
        <v>-0.004190085668071225</v>
      </c>
      <c r="CD99" s="5">
        <f>IF(BP99="direct",CB99*BV99*C99/365,0)</f>
        <v>0.000003198168983806073</v>
      </c>
      <c r="CE99" s="5">
        <f>CC99-CD99</f>
        <v>-0.0041932838370550415</v>
      </c>
      <c r="CF99" s="4">
        <v>-0.0041932838370550415</v>
      </c>
      <c r="CG99" s="5">
        <f>CF99-CE99</f>
        <v>-1.071327271687239e-17</v>
      </c>
      <c r="CH99" s="4">
        <v>0</v>
      </c>
      <c r="CI99" s="4">
        <v>0.4627393877986316</v>
      </c>
      <c r="CJ99" s="4">
        <v>1.783</v>
      </c>
      <c r="CK99" s="4">
        <v>1.767</v>
      </c>
      <c r="CL99" s="6"/>
      <c r="CM99" s="6"/>
      <c r="CN99" s="6"/>
      <c r="CO99" s="9"/>
      <c r="CP99" s="7">
        <f>IFERROR(CE99/F99,0)</f>
        <v>-0.003164531714691135</v>
      </c>
      <c r="CQ99" t="inlineStr">
        <is>
          <t xml:space="preserve">Treasury collateral</t>
        </is>
      </c>
      <c r="CR99" t="inlineStr">
        <is>
          <t xml:space="preserve">treasury</t>
        </is>
      </c>
      <c r="CS99" t="inlineStr">
        <is>
          <t xml:space="preserve">lease</t>
        </is>
      </c>
      <c r="CT99" t="inlineStr">
        <is>
          <t xml:space="preserve">long</t>
        </is>
      </c>
      <c r="CU99"/>
      <c r="CV99" s="4">
        <v>102.44596197507208</v>
      </c>
      <c r="CW99" s="4">
        <v>102.46319535059337</v>
      </c>
      <c r="CX99" s="6"/>
      <c r="CY99" s="4">
        <v>0.008376665864541612</v>
      </c>
      <c r="CZ99" s="5">
        <f>IF(CR99="direct",IFERROR(DF99/CW99,0),0)</f>
        <v>0</v>
      </c>
      <c r="DA99" s="5">
        <f>IF(CR99="direct",CY99-CZ99,IF(CR99="cash",DK99,CY99))</f>
        <v>0.008376665864541612</v>
      </c>
      <c r="DB99" s="6">
        <v>0.6476214572075492</v>
      </c>
      <c r="DC99" s="4">
        <v>0.8581555926367144</v>
      </c>
      <c r="DD99" s="4">
        <v>0.8581555926367144</v>
      </c>
      <c r="DE99" s="5">
        <f>IF(CR99="direct",CY99*(CW99-CV99),DH99)</f>
        <v>0.00014435822845998447</v>
      </c>
      <c r="DF99" s="5">
        <f>IF(CR99="direct",DD99*CX99*C99/365,0)</f>
        <v>0</v>
      </c>
      <c r="DG99" s="5">
        <f>DE99-DF99</f>
        <v>0.00014435822845998425</v>
      </c>
      <c r="DH99" s="4">
        <v>0.00014435822845998425</v>
      </c>
      <c r="DI99" s="5">
        <f>DH99-DG99</f>
        <v>-2.168404344971009e-19</v>
      </c>
      <c r="DJ99" s="4">
        <v>-5.551115123125783e-17</v>
      </c>
      <c r="DK99" s="4">
        <v>0.8582999508651743</v>
      </c>
      <c r="DL99" s="4">
        <v>1.783</v>
      </c>
      <c r="DM99" s="4">
        <v>1.767</v>
      </c>
      <c r="DN99" s="6"/>
      <c r="DO99" s="6"/>
      <c r="DP99" s="6"/>
      <c r="DQ99" s="9">
        <v>63</v>
      </c>
      <c r="DR99" s="7">
        <f>IFERROR(DG99/F99,0)</f>
        <v>0.00010894234923984523</v>
      </c>
      <c r="DS99" t="inlineStr">
        <is>
          <t xml:space="preserve">SI69N</t>
        </is>
      </c>
      <c r="DT99" t="inlineStr">
        <is>
          <t xml:space="preserve">future</t>
        </is>
      </c>
      <c r="DU99" t="inlineStr">
        <is>
          <t xml:space="preserve">lease</t>
        </is>
      </c>
      <c r="DV99" t="inlineStr">
        <is>
          <t xml:space="preserve">long</t>
        </is>
      </c>
      <c r="DW99" t="inlineStr">
        <is>
          <t xml:space="preserve">regular</t>
        </is>
      </c>
      <c r="DX99" s="4">
        <v>1.7719999999999998</v>
      </c>
      <c r="DY99" s="4">
        <v>1.7719999999999998</v>
      </c>
      <c r="DZ99" s="6"/>
      <c r="EA99" s="4">
        <v>0.48421435380972166</v>
      </c>
      <c r="EB99" s="5">
        <f>IF(DT99="direct",IFERROR(EH99/DY99,0),0)</f>
        <v>0</v>
      </c>
      <c r="EC99" s="5">
        <f>IF(DT99="direct",EA99-EB99,IF(DT99="cash",EM99,EA99))</f>
        <v>0.48421435380972166</v>
      </c>
      <c r="ED99" s="6">
        <v>0.6475250427351458</v>
      </c>
      <c r="EE99" s="4">
        <v>0.8580278349508267</v>
      </c>
      <c r="EF99" s="4">
        <v>0</v>
      </c>
      <c r="EG99" s="5">
        <f>IF(DT99="direct",EA99*(DY99-DX99),EJ99)</f>
        <v>0</v>
      </c>
      <c r="EH99" s="5">
        <f>IF(DT99="direct",EF99*DZ99*C99/365,0)</f>
        <v>0</v>
      </c>
      <c r="EI99" s="5">
        <f>EG99-EH99</f>
        <v>0</v>
      </c>
      <c r="EJ99" s="4">
        <v>0</v>
      </c>
      <c r="EK99" s="5">
        <f>EJ99-EI99</f>
        <v>0</v>
      </c>
      <c r="EL99" s="4">
        <v>0</v>
      </c>
      <c r="EM99" s="4">
        <v>0</v>
      </c>
      <c r="EN99" s="4">
        <v>1.783</v>
      </c>
      <c r="EO99" s="4">
        <v>1.767</v>
      </c>
      <c r="EP99" s="6">
        <v>-0.006169377453729696</v>
      </c>
      <c r="EQ99" s="6">
        <v>0.0614</v>
      </c>
      <c r="ER99" s="6">
        <v>0.09714321858113237</v>
      </c>
      <c r="ES99" s="9">
        <v>63</v>
      </c>
      <c r="ET99" s="7">
        <f>IFERROR(EI99/F99,0)</f>
        <v>0</v>
      </c>
      <c r="EU99" t="inlineStr">
        <is>
          <t xml:space="preserve">SI69U</t>
        </is>
      </c>
      <c r="EV99" t="inlineStr">
        <is>
          <t xml:space="preserve">future</t>
        </is>
      </c>
      <c r="EW99" t="inlineStr">
        <is>
          <t xml:space="preserve">lease</t>
        </is>
      </c>
      <c r="EX99" t="inlineStr">
        <is>
          <t xml:space="preserve">long</t>
        </is>
      </c>
      <c r="EY99" t="inlineStr">
        <is>
          <t xml:space="preserve">regular</t>
        </is>
      </c>
      <c r="EZ99" s="4">
        <v>1.8030000000000002</v>
      </c>
      <c r="FA99" s="4">
        <v>1.8030000000000002</v>
      </c>
      <c r="FB99" s="6"/>
      <c r="FC99" s="4">
        <v>0.00007085839483511322</v>
      </c>
      <c r="FD99" s="5">
        <f>IF(EV99="direct",IFERROR(FJ99/FA99,0),0)</f>
        <v>0</v>
      </c>
      <c r="FE99" s="5">
        <f>IF(EV99="direct",FC99-FD99,IF(EV99="cash",FO99,FC99))</f>
        <v>0.00007085839483511322</v>
      </c>
      <c r="FF99" s="6">
        <v>0.00009641447240336114</v>
      </c>
      <c r="FG99" s="4">
        <v>0.00012775768588770914</v>
      </c>
      <c r="FH99" s="4">
        <v>0</v>
      </c>
      <c r="FI99" s="5">
        <f>IF(EV99="direct",FC99*(FA99-EZ99),FL99)</f>
        <v>0</v>
      </c>
      <c r="FJ99" s="5">
        <f>IF(EV99="direct",FH99*FB99*C99/365,0)</f>
        <v>0</v>
      </c>
      <c r="FK99" s="5">
        <f>FI99-FJ99</f>
        <v>0</v>
      </c>
      <c r="FL99" s="4">
        <v>0</v>
      </c>
      <c r="FM99" s="5">
        <f>FL99-FK99</f>
        <v>0</v>
      </c>
      <c r="FN99" s="4">
        <v>0</v>
      </c>
      <c r="FO99" s="4">
        <v>0</v>
      </c>
      <c r="FP99" s="4">
        <v>1.783</v>
      </c>
      <c r="FQ99" s="4">
        <v>1.767</v>
      </c>
      <c r="FR99" s="6">
        <v>0.011217049915872357</v>
      </c>
      <c r="FS99" s="6">
        <v>0.061945054945054936</v>
      </c>
      <c r="FT99" s="6">
        <v>0.028385848229535188</v>
      </c>
      <c r="FU99" s="9">
        <v>122</v>
      </c>
      <c r="FV99" s="7">
        <f>IFERROR(FK99/F99,0)</f>
        <v>0</v>
      </c>
      <c r="FW99" t="inlineStr">
        <is>
          <t xml:space="preserve">Lease cash / margin / financing</t>
        </is>
      </c>
      <c r="FX99" t="inlineStr">
        <is>
          <t xml:space="preserve">cash</t>
        </is>
      </c>
      <c r="FY99" t="inlineStr">
        <is>
          <t xml:space="preserve">lease</t>
        </is>
      </c>
      <c r="FZ99" t="inlineStr">
        <is>
          <t xml:space="preserve">cash</t>
        </is>
      </c>
      <c r="GA99"/>
      <c r="GB99" s="4">
        <v>1</v>
      </c>
      <c r="GC99" s="4">
        <v>1</v>
      </c>
      <c r="GD99" s="6"/>
      <c r="GE99" s="4">
        <v>1.3322676295501878e-15</v>
      </c>
      <c r="GF99" s="5">
        <f>IF(FX99="direct",IFERROR(GL99/GC99,0),0)</f>
        <v>0</v>
      </c>
      <c r="GG99" s="5">
        <f>IF(FX99="direct",GE99-GF99,IF(FX99="cash",GQ99,GE99))</f>
        <v>1.3877787807814457e-15</v>
      </c>
      <c r="GH99" s="6"/>
      <c r="GI99" s="4">
        <v>1.3322676295501878e-15</v>
      </c>
      <c r="GJ99" s="4">
        <v>1.3322676295501878e-15</v>
      </c>
      <c r="GK99" s="5">
        <f>IF(FX99="direct",GE99*(GC99-GB99),GN99)</f>
        <v>0</v>
      </c>
      <c r="GL99" s="5">
        <f>IF(FX99="direct",GJ99*GD99*C99/365,0)</f>
        <v>0</v>
      </c>
      <c r="GM99" s="5">
        <f>GK99-GL99</f>
        <v>0</v>
      </c>
      <c r="GN99" s="4">
        <v>0</v>
      </c>
      <c r="GO99" s="5">
        <f>GN99-GM99</f>
        <v>0</v>
      </c>
      <c r="GP99" s="4">
        <v>5.551115123125783e-17</v>
      </c>
      <c r="GQ99" s="4">
        <v>1.3877787807814457e-15</v>
      </c>
      <c r="GR99" s="4">
        <v>1.783</v>
      </c>
      <c r="GS99" s="4">
        <v>1.767</v>
      </c>
      <c r="GT99" s="6"/>
      <c r="GU99" s="6"/>
      <c r="GV99" s="6"/>
      <c r="GW99" s="9"/>
      <c r="GX99" s="7">
        <f>IFERROR(GM99/F99,0)</f>
        <v>0</v>
      </c>
      <c r="GY99" t="inlineStr">
        <is>
          <t xml:space="preserve">Keep cash / margin / financing</t>
        </is>
      </c>
      <c r="GZ99" t="inlineStr">
        <is>
          <t xml:space="preserve">cash</t>
        </is>
      </c>
      <c r="HA99" t="inlineStr">
        <is>
          <t xml:space="preserve">keep</t>
        </is>
      </c>
      <c r="HB99" t="inlineStr">
        <is>
          <t xml:space="preserve">cash</t>
        </is>
      </c>
      <c r="HC99"/>
      <c r="HD99" s="4">
        <v>1</v>
      </c>
      <c r="HE99" s="4">
        <v>1</v>
      </c>
      <c r="HF99" s="6"/>
      <c r="HG99" s="4">
        <v>0</v>
      </c>
      <c r="HH99" s="5">
        <f>IF(GZ99="direct",IFERROR(HN99/HE99,0),0)</f>
        <v>0</v>
      </c>
      <c r="HI99" s="5">
        <f>IF(GZ99="direct",HG99-HH99,IF(GZ99="cash",HS99,HG99))</f>
        <v>0</v>
      </c>
      <c r="HJ99" s="6"/>
      <c r="HK99" s="4">
        <v>0</v>
      </c>
      <c r="HL99" s="4">
        <v>0</v>
      </c>
      <c r="HM99" s="5">
        <f>IF(GZ99="direct",HG99*(HE99-HD99),HP99)</f>
        <v>0</v>
      </c>
      <c r="HN99" s="5">
        <f>IF(GZ99="direct",HL99*HF99*C99/365,0)</f>
        <v>0</v>
      </c>
      <c r="HO99" s="5">
        <f>HM99-HN99</f>
        <v>0</v>
      </c>
      <c r="HP99" s="4">
        <v>0</v>
      </c>
      <c r="HQ99" s="5">
        <f>HP99-HO99</f>
        <v>0</v>
      </c>
      <c r="HR99" s="4">
        <v>0</v>
      </c>
      <c r="HS99" s="4">
        <v>0</v>
      </c>
      <c r="HT99" s="4">
        <v>1.783</v>
      </c>
      <c r="HU99" s="4">
        <v>1.767</v>
      </c>
      <c r="HV99" s="6"/>
      <c r="HW99" s="6"/>
      <c r="HX99" s="6"/>
      <c r="HY99" s="9"/>
      <c r="HZ99" s="7">
        <f>IFERROR(HO99/F99,0)</f>
        <v>0</v>
      </c>
      <c r="IA99"/>
      <c r="IB99"/>
      <c r="IC99"/>
      <c r="ID99"/>
      <c r="IE99"/>
      <c r="IF99" s="4"/>
      <c r="IG99" s="4"/>
      <c r="IH99" s="6"/>
      <c r="II99" s="4"/>
      <c r="IJ99" s="5">
        <v>0</v>
      </c>
      <c r="IK99" s="5"/>
      <c r="IL99" s="6"/>
      <c r="IM99" s="4"/>
      <c r="IN99" s="4"/>
      <c r="IO99" s="5">
        <v>0</v>
      </c>
      <c r="IP99" s="5">
        <v>0</v>
      </c>
      <c r="IQ99" s="5"/>
      <c r="IR99" s="4"/>
      <c r="IS99" s="5">
        <v>0</v>
      </c>
      <c r="IT99" s="4"/>
      <c r="IU99" s="4"/>
      <c r="IV99" s="4"/>
      <c r="IW99" s="4"/>
      <c r="IX99" s="6"/>
      <c r="IY99" s="6"/>
      <c r="IZ99" s="6"/>
      <c r="JA99" s="9"/>
      <c r="JB99"/>
      <c r="JC99"/>
      <c r="JD99"/>
      <c r="JE99"/>
      <c r="JF99"/>
      <c r="JG99"/>
      <c r="JH99" s="4"/>
      <c r="JI99" s="4"/>
      <c r="JJ99" s="6"/>
      <c r="JK99" s="4"/>
      <c r="JL99" s="5">
        <v>0</v>
      </c>
      <c r="JM99" s="5"/>
      <c r="JN99" s="6"/>
      <c r="JO99" s="4"/>
      <c r="JP99" s="4"/>
      <c r="JQ99" s="5">
        <v>0</v>
      </c>
      <c r="JR99" s="5">
        <v>0</v>
      </c>
      <c r="JS99" s="5"/>
      <c r="JT99" s="4"/>
      <c r="JU99" s="5">
        <v>0</v>
      </c>
      <c r="JV99" s="4"/>
      <c r="JW99" s="4"/>
      <c r="JX99" s="4"/>
      <c r="JY99" s="4"/>
      <c r="JZ99" s="6"/>
      <c r="KA99" s="6"/>
      <c r="KB99" s="6"/>
      <c r="KC99" s="9"/>
      <c r="KD99"/>
      <c r="KE99"/>
      <c r="KF99"/>
      <c r="KG99"/>
      <c r="KH99"/>
      <c r="KI99"/>
      <c r="KJ99" s="4"/>
      <c r="KK99" s="4"/>
      <c r="KL99" s="6"/>
      <c r="KM99" s="4"/>
      <c r="KN99" s="5">
        <v>0</v>
      </c>
      <c r="KO99" s="5"/>
      <c r="KP99" s="6"/>
      <c r="KQ99" s="4"/>
      <c r="KR99" s="4"/>
      <c r="KS99" s="5">
        <v>0</v>
      </c>
      <c r="KT99" s="5">
        <v>0</v>
      </c>
      <c r="KU99" s="5"/>
      <c r="KV99" s="4"/>
      <c r="KW99" s="5">
        <v>0</v>
      </c>
      <c r="KX99" s="4"/>
      <c r="KY99" s="4"/>
      <c r="KZ99" s="4"/>
      <c r="LA99" s="4"/>
      <c r="LB99" s="6"/>
      <c r="LC99" s="6"/>
      <c r="LD99" s="6"/>
      <c r="LE99" s="9"/>
      <c r="LF99"/>
      <c r="LG99"/>
      <c r="LH99"/>
      <c r="LI99"/>
      <c r="LJ99"/>
      <c r="LK99"/>
      <c r="LL99" s="4"/>
      <c r="LM99" s="4"/>
      <c r="LN99" s="6"/>
      <c r="LO99" s="4"/>
      <c r="LP99" s="5">
        <v>0</v>
      </c>
      <c r="LQ99" s="5"/>
      <c r="LR99" s="6"/>
      <c r="LS99" s="4"/>
      <c r="LT99" s="4"/>
      <c r="LU99" s="5">
        <v>0</v>
      </c>
      <c r="LV99" s="5">
        <v>0</v>
      </c>
      <c r="LW99" s="5"/>
      <c r="LX99" s="4"/>
      <c r="LY99" s="5">
        <v>0</v>
      </c>
      <c r="LZ99" s="4"/>
      <c r="MA99" s="4"/>
      <c r="MB99" s="4"/>
      <c r="MC99" s="4"/>
      <c r="MD99" s="6"/>
      <c r="ME99" s="6"/>
      <c r="MF99" s="6"/>
      <c r="MG99" s="9"/>
      <c r="MH99"/>
    </row>
    <row r="100">
      <c r="A100" s="8">
        <v>25351</v>
      </c>
      <c r="B100" s="8">
        <v>25352</v>
      </c>
      <c r="C100" s="9">
        <f>B100-A100</f>
        <v>1</v>
      </c>
      <c r="D100" s="8">
        <v>25351</v>
      </c>
      <c r="E100" t="inlineStr">
        <is>
          <t xml:space="preserve">positive</t>
        </is>
      </c>
      <c r="F100" s="4">
        <v>1.3210393386638062</v>
      </c>
      <c r="G100" s="6">
        <v>0.002977098833741876</v>
      </c>
      <c r="H100" s="7">
        <f>SUM(CP100,DR100,ET100,FV100,GX100,HZ100,JB100,KD100,LF100,MH100)</f>
        <v>0.002977098833741876</v>
      </c>
      <c r="I100" s="7">
        <f>G100-H100</f>
        <v>0</v>
      </c>
      <c r="J100" s="5">
        <f>F100*(1+H100)</f>
        <v>1.3249722033382694</v>
      </c>
      <c r="K100" s="4">
        <v>1.3249722033382694</v>
      </c>
      <c r="L100" s="5">
        <f>K100-J100</f>
        <v>0</v>
      </c>
      <c r="M100" s="4">
        <v>1.767</v>
      </c>
      <c r="N100" s="4">
        <v>1.771</v>
      </c>
      <c r="O100" s="5">
        <f>M100/$M$3</f>
        <v>0.9024514811031664</v>
      </c>
      <c r="P100" s="5">
        <f>N100/$M$3</f>
        <v>0.9044943820224719</v>
      </c>
      <c r="Q100" s="7">
        <f>IFERROR(N100/M100-1,0)</f>
        <v>0.002263723825693287</v>
      </c>
      <c r="R100" s="5">
        <f>SUM(IF(BQ100="lease",CB100,0),IF(CS100="lease",DD100,0),IF(DU100="lease",EF100,0),IF(EW100="lease",FH100,0),IF(FY100="lease",GJ100,0),IF(HA100="lease",HL100,0),IF(IC100="lease",IN100,0),IF(JE100="lease",JP100,0),IF(KG100="lease",KR100,0),IF(LI100="lease",LT100,0))</f>
        <v>1.3210393386638073</v>
      </c>
      <c r="S100" s="5">
        <f>SUM(IF(BQ100="lease",CI100,0),IF(CS100="lease",DK100,0),IF(DU100="lease",EM100,0),IF(EW100="lease",FO100,0),IF(FY100="lease",GQ100,0),IF(HA100="lease",HS100,0),IF(IC100="lease",IU100,0),IF(JE100="lease",JW100,0),IF(KG100="lease",KY100,0),IF(LI100="lease",MA100,0))</f>
        <v>1.3249722033382705</v>
      </c>
      <c r="T100" s="5">
        <f>SUM(IF(BQ100="keep",CB100,0),IF(CS100="keep",DD100,0),IF(DU100="keep",EF100,0),IF(EW100="keep",FH100,0),IF(FY100="keep",GJ100,0),IF(HA100="keep",HL100,0),IF(IC100="keep",IN100,0),IF(JE100="keep",JP100,0),IF(KG100="keep",KR100,0),IF(LI100="keep",LT100,0))</f>
        <v>0</v>
      </c>
      <c r="U100" s="5">
        <f>SUM(IF(BQ100="keep",CI100,0),IF(CS100="keep",DK100,0),IF(DU100="keep",EM100,0),IF(EW100="keep",FO100,0),IF(FY100="keep",GQ100,0),IF(HA100="keep",HS100,0),IF(IC100="keep",IU100,0),IF(JE100="keep",JW100,0),IF(KG100="keep",KY100,0),IF(LI100="keep",MA100,0))</f>
        <v>0</v>
      </c>
      <c r="V100" s="5">
        <f>R100/O100</f>
        <v>1.4638341964367487</v>
      </c>
      <c r="W100" s="5">
        <f>S100/P100</f>
        <v>1.4648761005851687</v>
      </c>
      <c r="X100" s="5">
        <f>T100/O100</f>
        <v>0</v>
      </c>
      <c r="Y100" s="5">
        <f>U100/P100</f>
        <v>0</v>
      </c>
      <c r="Z100" s="5">
        <f>V100+X100</f>
        <v>1.4638341964367487</v>
      </c>
      <c r="AA100" s="7">
        <f>IFERROR(W100/V100-1,0)</f>
        <v>0.0007117637714408875</v>
      </c>
      <c r="AB100" s="7">
        <f>IFERROR((W100-V100)/Z100,0)</f>
        <v>0.000711763771440901</v>
      </c>
      <c r="AC100" s="7">
        <f>IFERROR(Y100/X100-1,0)</f>
        <v>0</v>
      </c>
      <c r="AD100" s="7">
        <f>IFERROR((Y100-X100)/Z100,0)</f>
        <v>0</v>
      </c>
      <c r="AE100" s="7">
        <f>AB100+AD100</f>
        <v>0.000711763771440901</v>
      </c>
      <c r="AF100" s="7">
        <f>(1+Q100)*(1+AE100)-1</f>
        <v>0.0029770988337418647</v>
      </c>
      <c r="AG100" s="7">
        <f>G100-AF100</f>
        <v>1.1275702593849246e-17</v>
      </c>
      <c r="AH100" s="5">
        <f>SUM(IF(BQ100="lease",CE100,0),IF(CS100="lease",DG100,0),IF(DU100="lease",EI100,0),IF(EW100="lease",FK100,0),IF(FY100="lease",GM100,0),IF(HA100="lease",HO100,0),IF(IC100="lease",IQ100,0),IF(JE100="lease",JS100,0),IF(KG100="lease",KU100,0),IF(LI100="lease",LW100,0))</f>
        <v>0.003932864674463157</v>
      </c>
      <c r="AI100" s="5">
        <f>SUM(IF(BQ100="keep",CE100,0),IF(CS100="keep",DG100,0),IF(DU100="keep",EI100,0),IF(EW100="keep",FK100,0),IF(FY100="keep",GM100,0),IF(HA100="keep",HO100,0),IF(IC100="keep",IQ100,0),IF(JE100="keep",JS100,0),IF(KG100="keep",KU100,0),IF(LI100="keep",LW100,0))</f>
        <v>0</v>
      </c>
      <c r="AJ100" s="5">
        <f>SUM(IF(BQ100="lease",CH100,0),IF(CS100="lease",DJ100,0),IF(DU100="lease",EL100,0),IF(EW100="lease",FN100,0),IF(FY100="lease",GP100,0),IF(HA100="lease",HR100,0),IF(IC100="lease",IT100,0),IF(JE100="lease",JV100,0),IF(KG100="lease",KX100,0),IF(LI100="lease",LZ100,0))</f>
        <v>0</v>
      </c>
      <c r="AK100" s="5">
        <f>SUM(IF(BQ100="keep",CH100,0),IF(CS100="keep",DJ100,0),IF(DU100="keep",EL100,0),IF(EW100="keep",FN100,0),IF(FY100="keep",GP100,0),IF(HA100="keep",HR100,0),IF(IC100="keep",IT100,0),IF(JE100="keep",JV100,0),IF(KG100="keep",KX100,0),IF(LI100="keep",LZ100,0))</f>
        <v>0</v>
      </c>
      <c r="AL100" s="5">
        <f>R100-S99</f>
        <v>0</v>
      </c>
      <c r="AM100" s="5">
        <f>T100-U99</f>
        <v>0</v>
      </c>
      <c r="AN100" s="5">
        <f>AN99</f>
        <v>1</v>
      </c>
      <c r="AO100" s="5">
        <f>AO99+AH100</f>
        <v>0.3249722033382704</v>
      </c>
      <c r="AP100" s="5">
        <f>AP99+AL100</f>
        <v>-4.440892098500626e-16</v>
      </c>
      <c r="AQ100" s="5">
        <f>AN100+AO100+AP100</f>
        <v>1.32497220333827</v>
      </c>
      <c r="AR100" s="5">
        <f>S100-AQ100</f>
        <v>4.440892098500626e-16</v>
      </c>
      <c r="AS100" s="5">
        <f>AS99</f>
        <v>0</v>
      </c>
      <c r="AT100" s="5">
        <f>AT99+AI100</f>
        <v>0</v>
      </c>
      <c r="AU100" s="5">
        <f>AU99+AM100</f>
        <v>0</v>
      </c>
      <c r="AV100" s="5">
        <f>AS100+AT100+AU100</f>
        <v>0</v>
      </c>
      <c r="AW100" s="5">
        <f>U100-AV100</f>
        <v>0</v>
      </c>
      <c r="AX100" s="4">
        <v>1.3210393386638073</v>
      </c>
      <c r="AY100" s="4">
        <v>1.3249722033382705</v>
      </c>
      <c r="AZ100" s="5">
        <f>S100-AY100</f>
        <v>0</v>
      </c>
      <c r="BA100" s="4">
        <v>0</v>
      </c>
      <c r="BB100" s="4">
        <v>0</v>
      </c>
      <c r="BC100" s="5">
        <f>U100-BB100</f>
        <v>0</v>
      </c>
      <c r="BD100" s="7">
        <f>SUM(IF(BP100="direct",CC100/F100,0),IF(CR100="direct",DE100/F100,0),IF(DT100="direct",EG100/F100,0),IF(EV100="direct",FI100/F100,0),IF(FX100="direct",GK100/F100,0),IF(GZ100="direct",HM100/F100,0),IF(IB100="direct",IO100/F100,0),IF(JD100="direct",JQ100/F100,0),IF(KF100="direct",KS100/F100,0),IF(LH100="direct",LU100/F100,0))</f>
        <v>0.001591525395810292</v>
      </c>
      <c r="BE100" s="7">
        <f>-SUM(IF(BP100="direct",CD100/F100,0),IF(CR100="direct",DF100/F100,0),IF(DT100="direct",EH100/F100,0),IF(EV100="direct",FJ100/F100,0),IF(FX100="direct",GL100/F100,0),IF(GZ100="direct",HN100/F100,0),IF(IB100="direct",IP100/F100,0),IF(JD100="direct",JR100/F100,0),IF(KF100="direct",KT100/F100,0),IF(LH100="direct",LV100/F100,0))</f>
        <v>-0.0000048154544082136705</v>
      </c>
      <c r="BF100" s="7">
        <f>BD100+BE100</f>
        <v>0.0015867099414020782</v>
      </c>
      <c r="BG100" s="7">
        <f>BF100-SUM(IF(BP100="direct",CP100,0),IF(CR100="direct",DR100,0),IF(DT100="direct",ET100,0),IF(EV100="direct",FV100,0),IF(FX100="direct",GX100,0),IF(GZ100="direct",HZ100,0),IF(IB100="direct",JB100,0),IF(JD100="direct",KD100,0),IF(KF100="direct",LF100,0),IF(LH100="direct",MH100,0))</f>
        <v>-1.3877787807814457e-17</v>
      </c>
      <c r="BH100" s="7">
        <f>SUM(IF(BP100="treasury",CP100,0),IF(CR100="treasury",DR100,0),IF(DT100="treasury",ET100,0),IF(EV100="treasury",FV100,0),IF(FX100="treasury",GX100,0),IF(GZ100="treasury",HZ100,0),IF(IB100="treasury",JB100,0),IF(JD100="treasury",KD100,0),IF(KF100="treasury",LF100,0),IF(LH100="treasury",MH100,0))</f>
        <v>0.00004978890896364169</v>
      </c>
      <c r="BI100" s="7">
        <f>SUM(IF(BP100="future",CP100,0),IF(CR100="future",DR100,0),IF(DT100="future",ET100,0),IF(EV100="future",FV100,0),IF(FX100="future",GX100,0),IF(GZ100="future",HZ100,0),IF(IB100="future",JB100,0),IF(JD100="future",KD100,0),IF(KF100="future",LF100,0),IF(LH100="future",MH100,0))</f>
        <v>0.0013405999833761423</v>
      </c>
      <c r="BJ100" s="7">
        <f>SUM(IF(BP100="cash",CP100,0),IF(CR100="cash",DR100,0),IF(DT100="cash",ET100,0),IF(EV100="cash",FV100,0),IF(FX100="cash",GX100,0),IF(GZ100="cash",HZ100,0),IF(IB100="cash",JB100,0),IF(JD100="cash",KD100,0),IF(KF100="cash",LF100,0),IF(LH100="cash",MH100,0))</f>
        <v>0</v>
      </c>
      <c r="BK100" s="7">
        <f>SUM(BF100,BH100,BI100,BJ100)</f>
        <v>0.002977098833741876</v>
      </c>
      <c r="BL100" s="7">
        <f>G100-BK100</f>
        <v>0</v>
      </c>
      <c r="BM100" s="5">
        <f>MAX(ABS(CG100),ABS(DI100),ABS(EK100),ABS(FM100),ABS(GO100),ABS(HQ100),ABS(IS100),ABS(JU100),ABS(KW100),ABS(LY100))</f>
        <v>5.698837669126933e-17</v>
      </c>
      <c r="BN100" s="9">
        <f>COUNTA(BO100,CQ100,DS100,EU100,FW100,GY100,IA100,JC100,KE100,LG100)</f>
        <v>6</v>
      </c>
      <c r="BO100" t="inlineStr">
        <is>
          <t xml:space="preserve">Direct commodity holding</t>
        </is>
      </c>
      <c r="BP100" t="inlineStr">
        <is>
          <t xml:space="preserve">direct</t>
        </is>
      </c>
      <c r="BQ100" t="inlineStr">
        <is>
          <t xml:space="preserve">lease</t>
        </is>
      </c>
      <c r="BR100" t="inlineStr">
        <is>
          <t xml:space="preserve">long</t>
        </is>
      </c>
      <c r="BS100"/>
      <c r="BT100" s="4">
        <v>1.767</v>
      </c>
      <c r="BU100" s="4">
        <v>1.771</v>
      </c>
      <c r="BV100" s="6">
        <v>0.0025</v>
      </c>
      <c r="BW100" s="4">
        <v>0.5256169140869696</v>
      </c>
      <c r="BX100" s="5">
        <f>IF(BP100="direct",IFERROR(CD100/BU100,0),0)</f>
        <v>0.000003591984588815527</v>
      </c>
      <c r="BY100" s="5">
        <f>IF(BP100="direct",BW100-BX100,IF(BP100="cash",CI100,BW100))</f>
        <v>0.5256133221023809</v>
      </c>
      <c r="BZ100" s="6">
        <v>0.7030563435991959</v>
      </c>
      <c r="CA100" s="4">
        <v>0.9287650871916754</v>
      </c>
      <c r="CB100" s="4">
        <v>0.9287650871916754</v>
      </c>
      <c r="CC100" s="5">
        <f>IF(BP100="direct",BW100*(BU100-BT100),CF100)</f>
        <v>0.0021024676563478804</v>
      </c>
      <c r="CD100" s="5">
        <f>IF(BP100="direct",CB100*BV100*C100/365,0)</f>
        <v>0.000006361404706792297</v>
      </c>
      <c r="CE100" s="5">
        <f>CC100-CD100</f>
        <v>0.0020961062516411063</v>
      </c>
      <c r="CF100" s="4">
        <v>0.0020961062516411063</v>
      </c>
      <c r="CG100" s="5">
        <f>CF100-CE100</f>
        <v>1.826118330985546e-17</v>
      </c>
      <c r="CH100" s="4">
        <v>0</v>
      </c>
      <c r="CI100" s="4">
        <v>0.9308611934433165</v>
      </c>
      <c r="CJ100" s="4">
        <v>1.767</v>
      </c>
      <c r="CK100" s="4">
        <v>1.771</v>
      </c>
      <c r="CL100" s="6"/>
      <c r="CM100" s="6"/>
      <c r="CN100" s="6"/>
      <c r="CO100" s="9"/>
      <c r="CP100" s="7">
        <f>IFERROR(CE100/F100,0)</f>
        <v>0.001586709941402092</v>
      </c>
      <c r="CQ100" t="inlineStr">
        <is>
          <t xml:space="preserve">Treasury collateral</t>
        </is>
      </c>
      <c r="CR100" t="inlineStr">
        <is>
          <t xml:space="preserve">treasury</t>
        </is>
      </c>
      <c r="CS100" t="inlineStr">
        <is>
          <t xml:space="preserve">lease</t>
        </is>
      </c>
      <c r="CT100" t="inlineStr">
        <is>
          <t xml:space="preserve">long</t>
        </is>
      </c>
      <c r="CU100"/>
      <c r="CV100" s="4">
        <v>102.46319535059337</v>
      </c>
      <c r="CW100" s="4">
        <v>102.48037548088227</v>
      </c>
      <c r="CX100" s="6"/>
      <c r="CY100" s="4">
        <v>0.003828440545211429</v>
      </c>
      <c r="CZ100" s="5">
        <f>IF(CR100="direct",IFERROR(DF100/CW100,0),0)</f>
        <v>0</v>
      </c>
      <c r="DA100" s="5">
        <f>IF(CR100="direct",CY100-CZ100,IF(CR100="cash",DK100,CY100))</f>
        <v>0.003828440545211429</v>
      </c>
      <c r="DB100" s="6">
        <v>0.29694365640080417</v>
      </c>
      <c r="DC100" s="4">
        <v>0.39227425147213085</v>
      </c>
      <c r="DD100" s="4">
        <v>0.39227425147213085</v>
      </c>
      <c r="DE100" s="5">
        <f>IF(CR100="direct",CY100*(CW100-CV100),DH100)</f>
        <v>0.00006577310737006468</v>
      </c>
      <c r="DF100" s="5">
        <f>IF(CR100="direct",DD100*CX100*C100/365,0)</f>
        <v>0</v>
      </c>
      <c r="DG100" s="5">
        <f>DE100-DF100</f>
        <v>0.00006577310737012167</v>
      </c>
      <c r="DH100" s="4">
        <v>0.00006577310737012167</v>
      </c>
      <c r="DI100" s="5">
        <f>DH100-DG100</f>
        <v>5.698837669126933e-17</v>
      </c>
      <c r="DJ100" s="4">
        <v>-7.318364664277155e-17</v>
      </c>
      <c r="DK100" s="4">
        <v>0.3923400245795009</v>
      </c>
      <c r="DL100" s="4">
        <v>1.767</v>
      </c>
      <c r="DM100" s="4">
        <v>1.771</v>
      </c>
      <c r="DN100" s="6"/>
      <c r="DO100" s="6"/>
      <c r="DP100" s="6"/>
      <c r="DQ100" s="9">
        <v>62</v>
      </c>
      <c r="DR100" s="7">
        <f>IFERROR(DG100/F100,0)</f>
        <v>0.00004978890896364169</v>
      </c>
      <c r="DS100" t="inlineStr">
        <is>
          <t xml:space="preserve">SI69N</t>
        </is>
      </c>
      <c r="DT100" t="inlineStr">
        <is>
          <t xml:space="preserve">future</t>
        </is>
      </c>
      <c r="DU100" t="inlineStr">
        <is>
          <t xml:space="preserve">lease</t>
        </is>
      </c>
      <c r="DV100" t="inlineStr">
        <is>
          <t xml:space="preserve">long</t>
        </is>
      </c>
      <c r="DW100" t="inlineStr">
        <is>
          <t xml:space="preserve">regular</t>
        </is>
      </c>
      <c r="DX100" s="4">
        <v>1.7719999999999998</v>
      </c>
      <c r="DY100" s="4">
        <v>1.78</v>
      </c>
      <c r="DZ100" s="6"/>
      <c r="EA100" s="4">
        <v>0.22134077412367337</v>
      </c>
      <c r="EB100" s="5">
        <f>IF(DT100="direct",IFERROR(EH100/DY100,0),0)</f>
        <v>0</v>
      </c>
      <c r="EC100" s="5">
        <f>IF(DT100="direct",EA100-EB100,IF(DT100="cash",EM100,EA100))</f>
        <v>0.22134077412367337</v>
      </c>
      <c r="ED100" s="6">
        <v>0.29689944899283954</v>
      </c>
      <c r="EE100" s="4">
        <v>0.3922158517471492</v>
      </c>
      <c r="EF100" s="4">
        <v>0</v>
      </c>
      <c r="EG100" s="5">
        <f>IF(DT100="direct",EA100*(DY100-DX100),EJ100)</f>
        <v>0.0017707261929894478</v>
      </c>
      <c r="EH100" s="5">
        <f>IF(DT100="direct",EF100*DZ100*C100/365,0)</f>
        <v>0</v>
      </c>
      <c r="EI100" s="5">
        <f>EG100-EH100</f>
        <v>0.0017707261929894478</v>
      </c>
      <c r="EJ100" s="4">
        <v>0.0017707261929894478</v>
      </c>
      <c r="EK100" s="5">
        <f>EJ100-EI100</f>
        <v>0</v>
      </c>
      <c r="EL100" s="4">
        <v>-0.0017707261929894478</v>
      </c>
      <c r="EM100" s="4">
        <v>0</v>
      </c>
      <c r="EN100" s="4">
        <v>1.767</v>
      </c>
      <c r="EO100" s="4">
        <v>1.771</v>
      </c>
      <c r="EP100" s="6">
        <v>0.0028296547821164975</v>
      </c>
      <c r="EQ100" s="6">
        <v>0.061200000000000004</v>
      </c>
      <c r="ER100" s="6">
        <v>0.04454154846012062</v>
      </c>
      <c r="ES100" s="9">
        <v>62</v>
      </c>
      <c r="ET100" s="7">
        <f>IFERROR(EI100/F100,0)</f>
        <v>0.0013404038329248296</v>
      </c>
      <c r="EU100" t="inlineStr">
        <is>
          <t xml:space="preserve">SI69U</t>
        </is>
      </c>
      <c r="EV100" t="inlineStr">
        <is>
          <t xml:space="preserve">future</t>
        </is>
      </c>
      <c r="EW100" t="inlineStr">
        <is>
          <t xml:space="preserve">lease</t>
        </is>
      </c>
      <c r="EX100" t="inlineStr">
        <is>
          <t xml:space="preserve">long</t>
        </is>
      </c>
      <c r="EY100" t="inlineStr">
        <is>
          <t xml:space="preserve">regular</t>
        </is>
      </c>
      <c r="EZ100" s="4">
        <v>1.8030000000000002</v>
      </c>
      <c r="FA100" s="4">
        <v>1.811</v>
      </c>
      <c r="FB100" s="6"/>
      <c r="FC100" s="4">
        <v>0.00003239030781009857</v>
      </c>
      <c r="FD100" s="5">
        <f>IF(EV100="direct",IFERROR(FJ100/FA100,0),0)</f>
        <v>0</v>
      </c>
      <c r="FE100" s="5">
        <f>IF(EV100="direct",FC100-FD100,IF(EV100="cash",FO100,FC100))</f>
        <v>0.00003239030781009857</v>
      </c>
      <c r="FF100" s="6">
        <v>0.00004420740796460868</v>
      </c>
      <c r="FG100" s="4">
        <v>0.00005839972498160773</v>
      </c>
      <c r="FH100" s="4">
        <v>0</v>
      </c>
      <c r="FI100" s="5">
        <f>IF(EV100="direct",FC100*(FA100-EZ100),FL100)</f>
        <v>2.591224624807754e-7</v>
      </c>
      <c r="FJ100" s="5">
        <f>IF(EV100="direct",FH100*FB100*C100/365,0)</f>
        <v>0</v>
      </c>
      <c r="FK100" s="5">
        <f>FI100-FJ100</f>
        <v>2.591224624807754e-7</v>
      </c>
      <c r="FL100" s="4">
        <v>2.591224624807754e-7</v>
      </c>
      <c r="FM100" s="5">
        <f>FL100-FK100</f>
        <v>0</v>
      </c>
      <c r="FN100" s="4">
        <v>-2.591224624807754e-7</v>
      </c>
      <c r="FO100" s="4">
        <v>0</v>
      </c>
      <c r="FP100" s="4">
        <v>1.767</v>
      </c>
      <c r="FQ100" s="4">
        <v>1.771</v>
      </c>
      <c r="FR100" s="6">
        <v>0.02037351443123958</v>
      </c>
      <c r="FS100" s="6">
        <v>0.06182637362637364</v>
      </c>
      <c r="FT100" s="6">
        <v>0.00036907802800628664</v>
      </c>
      <c r="FU100" s="9">
        <v>121</v>
      </c>
      <c r="FV100" s="7">
        <f>IFERROR(FK100/F100,0)</f>
        <v>1.9615045131272958e-7</v>
      </c>
      <c r="FW100" t="inlineStr">
        <is>
          <t xml:space="preserve">Lease cash / margin / financing</t>
        </is>
      </c>
      <c r="FX100" t="inlineStr">
        <is>
          <t xml:space="preserve">cash</t>
        </is>
      </c>
      <c r="FY100" t="inlineStr">
        <is>
          <t xml:space="preserve">lease</t>
        </is>
      </c>
      <c r="FZ100" t="inlineStr">
        <is>
          <t xml:space="preserve">cash</t>
        </is>
      </c>
      <c r="GA100"/>
      <c r="GB100" s="4">
        <v>1</v>
      </c>
      <c r="GC100" s="4">
        <v>1</v>
      </c>
      <c r="GD100" s="6"/>
      <c r="GE100" s="4">
        <v>1.1102230246251565e-15</v>
      </c>
      <c r="GF100" s="5">
        <f>IF(FX100="direct",IFERROR(GL100/GC100,0),0)</f>
        <v>0</v>
      </c>
      <c r="GG100" s="5">
        <f>IF(FX100="direct",GE100-GF100,IF(FX100="cash",GQ100,GE100))</f>
        <v>0.0017709853154531119</v>
      </c>
      <c r="GH100" s="6"/>
      <c r="GI100" s="4">
        <v>1.1102230246251565e-15</v>
      </c>
      <c r="GJ100" s="4">
        <v>1.1102230246251565e-15</v>
      </c>
      <c r="GK100" s="5">
        <f>IF(FX100="direct",GE100*(GC100-GB100),GN100)</f>
        <v>0</v>
      </c>
      <c r="GL100" s="5">
        <f>IF(FX100="direct",GJ100*GD100*C100/365,0)</f>
        <v>0</v>
      </c>
      <c r="GM100" s="5">
        <f>GK100-GL100</f>
        <v>0</v>
      </c>
      <c r="GN100" s="4">
        <v>0</v>
      </c>
      <c r="GO100" s="5">
        <f>GN100-GM100</f>
        <v>0</v>
      </c>
      <c r="GP100" s="4">
        <v>0.0017709853154520016</v>
      </c>
      <c r="GQ100" s="4">
        <v>0.0017709853154531119</v>
      </c>
      <c r="GR100" s="4">
        <v>1.767</v>
      </c>
      <c r="GS100" s="4">
        <v>1.771</v>
      </c>
      <c r="GT100" s="6"/>
      <c r="GU100" s="6"/>
      <c r="GV100" s="6"/>
      <c r="GW100" s="9"/>
      <c r="GX100" s="7">
        <f>IFERROR(GM100/F100,0)</f>
        <v>0</v>
      </c>
      <c r="GY100" t="inlineStr">
        <is>
          <t xml:space="preserve">Keep cash / margin / financing</t>
        </is>
      </c>
      <c r="GZ100" t="inlineStr">
        <is>
          <t xml:space="preserve">cash</t>
        </is>
      </c>
      <c r="HA100" t="inlineStr">
        <is>
          <t xml:space="preserve">keep</t>
        </is>
      </c>
      <c r="HB100" t="inlineStr">
        <is>
          <t xml:space="preserve">cash</t>
        </is>
      </c>
      <c r="HC100"/>
      <c r="HD100" s="4">
        <v>1</v>
      </c>
      <c r="HE100" s="4">
        <v>1</v>
      </c>
      <c r="HF100" s="6"/>
      <c r="HG100" s="4">
        <v>0</v>
      </c>
      <c r="HH100" s="5">
        <f>IF(GZ100="direct",IFERROR(HN100/HE100,0),0)</f>
        <v>0</v>
      </c>
      <c r="HI100" s="5">
        <f>IF(GZ100="direct",HG100-HH100,IF(GZ100="cash",HS100,HG100))</f>
        <v>0</v>
      </c>
      <c r="HJ100" s="6"/>
      <c r="HK100" s="4">
        <v>0</v>
      </c>
      <c r="HL100" s="4">
        <v>0</v>
      </c>
      <c r="HM100" s="5">
        <f>IF(GZ100="direct",HG100*(HE100-HD100),HP100)</f>
        <v>0</v>
      </c>
      <c r="HN100" s="5">
        <f>IF(GZ100="direct",HL100*HF100*C100/365,0)</f>
        <v>0</v>
      </c>
      <c r="HO100" s="5">
        <f>HM100-HN100</f>
        <v>0</v>
      </c>
      <c r="HP100" s="4">
        <v>0</v>
      </c>
      <c r="HQ100" s="5">
        <f>HP100-HO100</f>
        <v>0</v>
      </c>
      <c r="HR100" s="4">
        <v>0</v>
      </c>
      <c r="HS100" s="4">
        <v>0</v>
      </c>
      <c r="HT100" s="4">
        <v>1.767</v>
      </c>
      <c r="HU100" s="4">
        <v>1.771</v>
      </c>
      <c r="HV100" s="6"/>
      <c r="HW100" s="6"/>
      <c r="HX100" s="6"/>
      <c r="HY100" s="9"/>
      <c r="HZ100" s="7">
        <f>IFERROR(HO100/F100,0)</f>
        <v>0</v>
      </c>
      <c r="IA100"/>
      <c r="IB100"/>
      <c r="IC100"/>
      <c r="ID100"/>
      <c r="IE100"/>
      <c r="IF100" s="4"/>
      <c r="IG100" s="4"/>
      <c r="IH100" s="6"/>
      <c r="II100" s="4"/>
      <c r="IJ100" s="5">
        <v>0</v>
      </c>
      <c r="IK100" s="5"/>
      <c r="IL100" s="6"/>
      <c r="IM100" s="4"/>
      <c r="IN100" s="4"/>
      <c r="IO100" s="5">
        <v>0</v>
      </c>
      <c r="IP100" s="5">
        <v>0</v>
      </c>
      <c r="IQ100" s="5"/>
      <c r="IR100" s="4"/>
      <c r="IS100" s="5">
        <v>0</v>
      </c>
      <c r="IT100" s="4"/>
      <c r="IU100" s="4"/>
      <c r="IV100" s="4"/>
      <c r="IW100" s="4"/>
      <c r="IX100" s="6"/>
      <c r="IY100" s="6"/>
      <c r="IZ100" s="6"/>
      <c r="JA100" s="9"/>
      <c r="JB100"/>
      <c r="JC100"/>
      <c r="JD100"/>
      <c r="JE100"/>
      <c r="JF100"/>
      <c r="JG100"/>
      <c r="JH100" s="4"/>
      <c r="JI100" s="4"/>
      <c r="JJ100" s="6"/>
      <c r="JK100" s="4"/>
      <c r="JL100" s="5">
        <v>0</v>
      </c>
      <c r="JM100" s="5"/>
      <c r="JN100" s="6"/>
      <c r="JO100" s="4"/>
      <c r="JP100" s="4"/>
      <c r="JQ100" s="5">
        <v>0</v>
      </c>
      <c r="JR100" s="5">
        <v>0</v>
      </c>
      <c r="JS100" s="5"/>
      <c r="JT100" s="4"/>
      <c r="JU100" s="5">
        <v>0</v>
      </c>
      <c r="JV100" s="4"/>
      <c r="JW100" s="4"/>
      <c r="JX100" s="4"/>
      <c r="JY100" s="4"/>
      <c r="JZ100" s="6"/>
      <c r="KA100" s="6"/>
      <c r="KB100" s="6"/>
      <c r="KC100" s="9"/>
      <c r="KD100"/>
      <c r="KE100"/>
      <c r="KF100"/>
      <c r="KG100"/>
      <c r="KH100"/>
      <c r="KI100"/>
      <c r="KJ100" s="4"/>
      <c r="KK100" s="4"/>
      <c r="KL100" s="6"/>
      <c r="KM100" s="4"/>
      <c r="KN100" s="5">
        <v>0</v>
      </c>
      <c r="KO100" s="5"/>
      <c r="KP100" s="6"/>
      <c r="KQ100" s="4"/>
      <c r="KR100" s="4"/>
      <c r="KS100" s="5">
        <v>0</v>
      </c>
      <c r="KT100" s="5">
        <v>0</v>
      </c>
      <c r="KU100" s="5"/>
      <c r="KV100" s="4"/>
      <c r="KW100" s="5">
        <v>0</v>
      </c>
      <c r="KX100" s="4"/>
      <c r="KY100" s="4"/>
      <c r="KZ100" s="4"/>
      <c r="LA100" s="4"/>
      <c r="LB100" s="6"/>
      <c r="LC100" s="6"/>
      <c r="LD100" s="6"/>
      <c r="LE100" s="9"/>
      <c r="LF100"/>
      <c r="LG100"/>
      <c r="LH100"/>
      <c r="LI100"/>
      <c r="LJ100"/>
      <c r="LK100"/>
      <c r="LL100" s="4"/>
      <c r="LM100" s="4"/>
      <c r="LN100" s="6"/>
      <c r="LO100" s="4"/>
      <c r="LP100" s="5">
        <v>0</v>
      </c>
      <c r="LQ100" s="5"/>
      <c r="LR100" s="6"/>
      <c r="LS100" s="4"/>
      <c r="LT100" s="4"/>
      <c r="LU100" s="5">
        <v>0</v>
      </c>
      <c r="LV100" s="5">
        <v>0</v>
      </c>
      <c r="LW100" s="5"/>
      <c r="LX100" s="4"/>
      <c r="LY100" s="5">
        <v>0</v>
      </c>
      <c r="LZ100" s="4"/>
      <c r="MA100" s="4"/>
      <c r="MB100" s="4"/>
      <c r="MC100" s="4"/>
      <c r="MD100" s="6"/>
      <c r="ME100" s="6"/>
      <c r="MF100" s="6"/>
      <c r="MG100" s="9"/>
      <c r="MH100"/>
    </row>
    <row r="101">
      <c r="A101" s="8">
        <v>25352</v>
      </c>
      <c r="B101" s="8">
        <v>25356</v>
      </c>
      <c r="C101" s="9">
        <f>B101-A101</f>
        <v>4</v>
      </c>
      <c r="D101" s="8">
        <v>25352</v>
      </c>
      <c r="E101" t="inlineStr">
        <is>
          <t xml:space="preserve">positive</t>
        </is>
      </c>
      <c r="F101" s="4">
        <v>1.3249722033382694</v>
      </c>
      <c r="G101" s="6">
        <v>0.0008998203370215309</v>
      </c>
      <c r="H101" s="7">
        <f>SUM(CP101,DR101,ET101,FV101,GX101,HZ101,JB101,KD101,LF101,MH101)</f>
        <v>0.0008998203370215308</v>
      </c>
      <c r="I101" s="7">
        <f>G101-H101</f>
        <v>1.0842021724855044e-19</v>
      </c>
      <c r="J101" s="5">
        <f>F101*(1+H101)</f>
        <v>1.3261644402728214</v>
      </c>
      <c r="K101" s="4">
        <v>1.3261644402728214</v>
      </c>
      <c r="L101" s="5">
        <f>K101-J101</f>
        <v>0</v>
      </c>
      <c r="M101" s="4">
        <v>1.771</v>
      </c>
      <c r="N101" s="4">
        <v>1.773</v>
      </c>
      <c r="O101" s="5">
        <f>M101/$M$3</f>
        <v>0.9044943820224719</v>
      </c>
      <c r="P101" s="5">
        <f>N101/$M$3</f>
        <v>0.9055158324821246</v>
      </c>
      <c r="Q101" s="7">
        <f>IFERROR(N101/M101-1,0)</f>
        <v>0.0011293054771315258</v>
      </c>
      <c r="R101" s="5">
        <f>SUM(IF(BQ101="lease",CB101,0),IF(CS101="lease",DD101,0),IF(DU101="lease",EF101,0),IF(EW101="lease",FH101,0),IF(FY101="lease",GJ101,0),IF(HA101="lease",HL101,0),IF(IC101="lease",IN101,0),IF(JE101="lease",JP101,0),IF(KG101="lease",KR101,0),IF(LI101="lease",LT101,0))</f>
        <v>1.3249722033382705</v>
      </c>
      <c r="S101" s="5">
        <f>SUM(IF(BQ101="lease",CI101,0),IF(CS101="lease",DK101,0),IF(DU101="lease",EM101,0),IF(EW101="lease",FO101,0),IF(FY101="lease",GQ101,0),IF(HA101="lease",HS101,0),IF(IC101="lease",IU101,0),IF(JE101="lease",JW101,0),IF(KG101="lease",KY101,0),IF(LI101="lease",MA101,0))</f>
        <v>1.3261644402728225</v>
      </c>
      <c r="T101" s="5">
        <f>SUM(IF(BQ101="keep",CB101,0),IF(CS101="keep",DD101,0),IF(DU101="keep",EF101,0),IF(EW101="keep",FH101,0),IF(FY101="keep",GJ101,0),IF(HA101="keep",HL101,0),IF(IC101="keep",IN101,0),IF(JE101="keep",JP101,0),IF(KG101="keep",KR101,0),IF(LI101="keep",LT101,0))</f>
        <v>0</v>
      </c>
      <c r="U101" s="5">
        <f>SUM(IF(BQ101="keep",CI101,0),IF(CS101="keep",DK101,0),IF(DU101="keep",EM101,0),IF(EW101="keep",FO101,0),IF(FY101="keep",GQ101,0),IF(HA101="keep",HS101,0),IF(IC101="keep",IU101,0),IF(JE101="keep",JW101,0),IF(KG101="keep",KY101,0),IF(LI101="keep",MA101,0))</f>
        <v>0</v>
      </c>
      <c r="V101" s="5">
        <f>R101/O101</f>
        <v>1.4648761005851687</v>
      </c>
      <c r="W101" s="5">
        <f>S101/P101</f>
        <v>1.4645403124953111</v>
      </c>
      <c r="X101" s="5">
        <f>T101/O101</f>
        <v>0</v>
      </c>
      <c r="Y101" s="5">
        <f>U101/P101</f>
        <v>0</v>
      </c>
      <c r="Z101" s="5">
        <f>V101+X101</f>
        <v>1.4648761005851687</v>
      </c>
      <c r="AA101" s="7">
        <f>IFERROR(W101/V101-1,0)</f>
        <v>-0.00022922627362376158</v>
      </c>
      <c r="AB101" s="7">
        <f>IFERROR((W101-V101)/Z101,0)</f>
        <v>-0.0002292262736237101</v>
      </c>
      <c r="AC101" s="7">
        <f>IFERROR(Y101/X101-1,0)</f>
        <v>0</v>
      </c>
      <c r="AD101" s="7">
        <f>IFERROR((Y101-X101)/Z101,0)</f>
        <v>0</v>
      </c>
      <c r="AE101" s="7">
        <f>AB101+AD101</f>
        <v>-0.0002292262736237101</v>
      </c>
      <c r="AF101" s="7">
        <f>(1+Q101)*(1+AE101)-1</f>
        <v>0.0008998203370214064</v>
      </c>
      <c r="AG101" s="7">
        <f>G101-AF101</f>
        <v>1.244664094013359e-16</v>
      </c>
      <c r="AH101" s="5">
        <f>SUM(IF(BQ101="lease",CE101,0),IF(CS101="lease",DG101,0),IF(DU101="lease",EI101,0),IF(EW101="lease",FK101,0),IF(FY101="lease",GM101,0),IF(HA101="lease",HO101,0),IF(IC101="lease",IQ101,0),IF(JE101="lease",JS101,0),IF(KG101="lease",KU101,0),IF(LI101="lease",LW101,0))</f>
        <v>0.0011922369345520017</v>
      </c>
      <c r="AI101" s="5">
        <f>SUM(IF(BQ101="keep",CE101,0),IF(CS101="keep",DG101,0),IF(DU101="keep",EI101,0),IF(EW101="keep",FK101,0),IF(FY101="keep",GM101,0),IF(HA101="keep",HO101,0),IF(IC101="keep",IQ101,0),IF(JE101="keep",JS101,0),IF(KG101="keep",KU101,0),IF(LI101="keep",LW101,0))</f>
        <v>0</v>
      </c>
      <c r="AJ101" s="5">
        <f>SUM(IF(BQ101="lease",CH101,0),IF(CS101="lease",DJ101,0),IF(DU101="lease",EL101,0),IF(EW101="lease",FN101,0),IF(FY101="lease",GP101,0),IF(HA101="lease",HR101,0),IF(IC101="lease",IT101,0),IF(JE101="lease",JV101,0),IF(KG101="lease",KX101,0),IF(LI101="lease",LZ101,0))</f>
        <v>0</v>
      </c>
      <c r="AK101" s="5">
        <f>SUM(IF(BQ101="keep",CH101,0),IF(CS101="keep",DJ101,0),IF(DU101="keep",EL101,0),IF(EW101="keep",FN101,0),IF(FY101="keep",GP101,0),IF(HA101="keep",HR101,0),IF(IC101="keep",IT101,0),IF(JE101="keep",JV101,0),IF(KG101="keep",KX101,0),IF(LI101="keep",LZ101,0))</f>
        <v>0</v>
      </c>
      <c r="AL101" s="5">
        <f>R101-S100</f>
        <v>0</v>
      </c>
      <c r="AM101" s="5">
        <f>T101-U100</f>
        <v>0</v>
      </c>
      <c r="AN101" s="5">
        <f>AN100</f>
        <v>1</v>
      </c>
      <c r="AO101" s="5">
        <f>AO100+AH101</f>
        <v>0.32616444027282243</v>
      </c>
      <c r="AP101" s="5">
        <f>AP100+AL101</f>
        <v>-4.440892098500626e-16</v>
      </c>
      <c r="AQ101" s="5">
        <f>AN101+AO101+AP101</f>
        <v>1.326164440272822</v>
      </c>
      <c r="AR101" s="5">
        <f>S101-AQ101</f>
        <v>4.440892098500626e-16</v>
      </c>
      <c r="AS101" s="5">
        <f>AS100</f>
        <v>0</v>
      </c>
      <c r="AT101" s="5">
        <f>AT100+AI101</f>
        <v>0</v>
      </c>
      <c r="AU101" s="5">
        <f>AU100+AM101</f>
        <v>0</v>
      </c>
      <c r="AV101" s="5">
        <f>AS101+AT101+AU101</f>
        <v>0</v>
      </c>
      <c r="AW101" s="5">
        <f>U101-AV101</f>
        <v>0</v>
      </c>
      <c r="AX101" s="4">
        <v>1.3249722033382705</v>
      </c>
      <c r="AY101" s="4">
        <v>1.3261644402728225</v>
      </c>
      <c r="AZ101" s="5">
        <f>S101-AY101</f>
        <v>0</v>
      </c>
      <c r="BA101" s="4">
        <v>0</v>
      </c>
      <c r="BB101" s="4">
        <v>0</v>
      </c>
      <c r="BC101" s="5">
        <f>U101-BB101</f>
        <v>0</v>
      </c>
      <c r="BD101" s="7">
        <f>SUM(IF(BP101="direct",CC101/F101,0),IF(CR101="direct",DE101/F101,0),IF(DT101="direct",EG101/F101,0),IF(EV101="direct",FI101/F101,0),IF(FX101="direct",GK101/F101,0),IF(GZ101="direct",HM101/F101,0),IF(IB101="direct",IO101/F101,0),IF(JD101="direct",JQ101/F101,0),IF(KF101="direct",KS101/F101,0),IF(LH101="direct",LU101/F101,0))</f>
        <v>0.000900492666757833</v>
      </c>
      <c r="BE101" s="7">
        <f>-SUM(IF(BP101="direct",CD101/F101,0),IF(CR101="direct",DF101/F101,0),IF(DT101="direct",EH101/F101,0),IF(EV101="direct",FJ101/F101,0),IF(FX101="direct",GL101/F101,0),IF(GZ101="direct",HN101/F101,0),IF(IB101="direct",IP101/F101,0),IF(JD101="direct",JR101/F101,0),IF(KF101="direct",KT101/F101,0),IF(LH101="direct",LV101/F101,0))</f>
        <v>-0.000021846198805864668</v>
      </c>
      <c r="BF101" s="7">
        <f>BD101+BE101</f>
        <v>0.0008786464679519684</v>
      </c>
      <c r="BG101" s="7">
        <f>BF101-SUM(IF(BP101="direct",CP101,0),IF(CR101="direct",DR101,0),IF(DT101="direct",ET101,0),IF(EV101="direct",FV101,0),IF(FX101="direct",GX101,0),IF(GZ101="direct",HZ101,0),IF(IB101="direct",JB101,0),IF(JD101="direct",KD101,0),IF(KF101="direct",LF101,0),IF(LH101="direct",MH101,0))</f>
        <v>3.144186300207963e-17</v>
      </c>
      <c r="BH101" s="7">
        <f>SUM(IF(BP101="treasury",CP101,0),IF(CR101="treasury",DR101,0),IF(DT101="treasury",ET101,0),IF(EV101="treasury",FV101,0),IF(FX101="treasury",GX101,0),IF(GZ101="treasury",HZ101,0),IF(IB101="treasury",JB101,0),IF(JD101="treasury",KD101,0),IF(KF101="treasury",LF101,0),IF(LH101="treasury",MH101,0))</f>
        <v>0.00013500181490438493</v>
      </c>
      <c r="BI101" s="7">
        <f>SUM(IF(BP101="future",CP101,0),IF(CR101="future",DR101,0),IF(DT101="future",ET101,0),IF(EV101="future",FV101,0),IF(FX101="future",GX101,0),IF(GZ101="future",HZ101,0),IF(IB101="future",JB101,0),IF(JD101="future",KD101,0),IF(KF101="future",LF101,0),IF(LH101="future",MH101,0))</f>
        <v>-0.00011382794583479107</v>
      </c>
      <c r="BJ101" s="7">
        <f>SUM(IF(BP101="cash",CP101,0),IF(CR101="cash",DR101,0),IF(DT101="cash",ET101,0),IF(EV101="cash",FV101,0),IF(FX101="cash",GX101,0),IF(GZ101="cash",HZ101,0),IF(IB101="cash",JB101,0),IF(JD101="cash",KD101,0),IF(KF101="cash",LF101,0),IF(LH101="cash",MH101,0))</f>
        <v>0</v>
      </c>
      <c r="BK101" s="7">
        <f>SUM(BF101,BH101,BI101,BJ101)</f>
        <v>0.0008998203370215309</v>
      </c>
      <c r="BL101" s="7">
        <f>G101-BK101</f>
        <v>0</v>
      </c>
      <c r="BM101" s="5">
        <f>MAX(ABS(CG101),ABS(DI101),ABS(EK101),ABS(FM101),ABS(GO101),ABS(HQ101),ABS(IS101),ABS(JU101),ABS(KW101),ABS(LY101))</f>
        <v>4.1616422764498284e-17</v>
      </c>
      <c r="BN101" s="9">
        <f>COUNTA(BO101,CQ101,DS101,EU101,FW101,GY101,IA101,JC101,KE101,LG101)</f>
        <v>5</v>
      </c>
      <c r="BO101" t="inlineStr">
        <is>
          <t xml:space="preserve">Direct commodity holding</t>
        </is>
      </c>
      <c r="BP101" t="inlineStr">
        <is>
          <t xml:space="preserve">direct</t>
        </is>
      </c>
      <c r="BQ101" t="inlineStr">
        <is>
          <t xml:space="preserve">lease</t>
        </is>
      </c>
      <c r="BR101" t="inlineStr">
        <is>
          <t xml:space="preserve">long</t>
        </is>
      </c>
      <c r="BS101"/>
      <c r="BT101" s="4">
        <v>1.771</v>
      </c>
      <c r="BU101" s="4">
        <v>1.773</v>
      </c>
      <c r="BV101" s="6">
        <v>0.0025</v>
      </c>
      <c r="BW101" s="4">
        <v>0.5965638763820394</v>
      </c>
      <c r="BX101" s="5">
        <f>IF(BP101="direct",IFERROR(CD101/BU101,0),0)</f>
        <v>0.000016325778999646013</v>
      </c>
      <c r="BY101" s="5">
        <f>IF(BP101="direct",BW101-BX101,IF(BP101="cash",CI101,BW101))</f>
        <v>0.5965475506030398</v>
      </c>
      <c r="BZ101" s="6">
        <v>0.7973862564140604</v>
      </c>
      <c r="CA101" s="4">
        <v>1.0565146250725919</v>
      </c>
      <c r="CB101" s="4">
        <v>1.0565146250725919</v>
      </c>
      <c r="CC101" s="5">
        <f>IF(BP101="direct",BW101*(BU101-BT101),CF101)</f>
        <v>0.00119312775276408</v>
      </c>
      <c r="CD101" s="5">
        <f>IF(BP101="direct",CB101*BV101*C101/365,0)</f>
        <v>0.000028945606166372378</v>
      </c>
      <c r="CE101" s="5">
        <f>CC101-CD101</f>
        <v>0.001164182146597666</v>
      </c>
      <c r="CF101" s="4">
        <v>0.001164182146597666</v>
      </c>
      <c r="CG101" s="5">
        <f>CF101-CE101</f>
        <v>-4.1616422764498284e-17</v>
      </c>
      <c r="CH101" s="4">
        <v>0</v>
      </c>
      <c r="CI101" s="4">
        <v>1.0576788072191894</v>
      </c>
      <c r="CJ101" s="4">
        <v>1.771</v>
      </c>
      <c r="CK101" s="4">
        <v>1.773</v>
      </c>
      <c r="CL101" s="6"/>
      <c r="CM101" s="6"/>
      <c r="CN101" s="6"/>
      <c r="CO101" s="9"/>
      <c r="CP101" s="7">
        <f>IFERROR(CE101/F101,0)</f>
        <v>0.0008786464679519369</v>
      </c>
      <c r="CQ101" t="inlineStr">
        <is>
          <t xml:space="preserve">Treasury collateral</t>
        </is>
      </c>
      <c r="CR101" t="inlineStr">
        <is>
          <t xml:space="preserve">treasury</t>
        </is>
      </c>
      <c r="CS101" t="inlineStr">
        <is>
          <t xml:space="preserve">lease</t>
        </is>
      </c>
      <c r="CT101" t="inlineStr">
        <is>
          <t xml:space="preserve">long</t>
        </is>
      </c>
      <c r="CU101"/>
      <c r="CV101" s="4">
        <v>102.48037548088227</v>
      </c>
      <c r="CW101" s="4">
        <v>102.54865829544926</v>
      </c>
      <c r="CX101" s="6"/>
      <c r="CY101" s="4">
        <v>0.0026195998697892972</v>
      </c>
      <c r="CZ101" s="5">
        <f>IF(CR101="direct",IFERROR(DF101/CW101,0),0)</f>
        <v>0</v>
      </c>
      <c r="DA101" s="5">
        <f>IF(CR101="direct",CY101-CZ101,IF(CR101="cash",DK101,CY101))</f>
        <v>0.0026195998697892972</v>
      </c>
      <c r="DB101" s="6">
        <v>0.2026137435859396</v>
      </c>
      <c r="DC101" s="4">
        <v>0.2684575782656775</v>
      </c>
      <c r="DD101" s="4">
        <v>0.2684575782656775</v>
      </c>
      <c r="DE101" s="5">
        <f>IF(CR101="direct",CY101*(CW101-CV101),DH101)</f>
        <v>0.0001788736521485193</v>
      </c>
      <c r="DF101" s="5">
        <f>IF(CR101="direct",DD101*CX101*C101/365,0)</f>
        <v>0</v>
      </c>
      <c r="DG101" s="5">
        <f>DE101-DF101</f>
        <v>0.00017887365214852813</v>
      </c>
      <c r="DH101" s="4">
        <v>0.00017887365214852813</v>
      </c>
      <c r="DI101" s="5">
        <f>DH101-DG101</f>
        <v>8.836247705756861e-18</v>
      </c>
      <c r="DJ101" s="4">
        <v>-2.439454888092385e-18</v>
      </c>
      <c r="DK101" s="4">
        <v>0.26863645191782604</v>
      </c>
      <c r="DL101" s="4">
        <v>1.771</v>
      </c>
      <c r="DM101" s="4">
        <v>1.773</v>
      </c>
      <c r="DN101" s="6"/>
      <c r="DO101" s="6"/>
      <c r="DP101" s="6"/>
      <c r="DQ101" s="9">
        <v>61</v>
      </c>
      <c r="DR101" s="7">
        <f>IFERROR(DG101/F101,0)</f>
        <v>0.00013500181490438493</v>
      </c>
      <c r="DS101" t="inlineStr">
        <is>
          <t xml:space="preserve">SI69N</t>
        </is>
      </c>
      <c r="DT101" t="inlineStr">
        <is>
          <t xml:space="preserve">future</t>
        </is>
      </c>
      <c r="DU101" t="inlineStr">
        <is>
          <t xml:space="preserve">lease</t>
        </is>
      </c>
      <c r="DV101" t="inlineStr">
        <is>
          <t xml:space="preserve">long</t>
        </is>
      </c>
      <c r="DW101" t="inlineStr">
        <is>
          <t xml:space="preserve">regular</t>
        </is>
      </c>
      <c r="DX101" s="4">
        <v>1.78</v>
      </c>
      <c r="DY101" s="4">
        <v>1.7790000000000001</v>
      </c>
      <c r="DZ101" s="6"/>
      <c r="EA101" s="4">
        <v>0.15081886419420085</v>
      </c>
      <c r="EB101" s="5">
        <f>IF(DT101="direct",IFERROR(EH101/DY101,0),0)</f>
        <v>0</v>
      </c>
      <c r="EC101" s="5">
        <f>IF(DT101="direct",EA101-EB101,IF(DT101="cash",EM101,EA101))</f>
        <v>0.15081886419420085</v>
      </c>
      <c r="ED101" s="6">
        <v>0.2026137435859396</v>
      </c>
      <c r="EE101" s="4">
        <v>0.2684575782656775</v>
      </c>
      <c r="EF101" s="4">
        <v>0</v>
      </c>
      <c r="EG101" s="5">
        <f>IF(DT101="direct",EA101*(DY101-DX101),EJ101)</f>
        <v>-0.0001508188641941923</v>
      </c>
      <c r="EH101" s="5">
        <f>IF(DT101="direct",EF101*DZ101*C101/365,0)</f>
        <v>0</v>
      </c>
      <c r="EI101" s="5">
        <f>EG101-EH101</f>
        <v>-0.0001508188641941923</v>
      </c>
      <c r="EJ101" s="4">
        <v>-0.0001508188641941923</v>
      </c>
      <c r="EK101" s="5">
        <f>EJ101-EI101</f>
        <v>0</v>
      </c>
      <c r="EL101" s="4">
        <v>0.0001508188641941923</v>
      </c>
      <c r="EM101" s="4">
        <v>0</v>
      </c>
      <c r="EN101" s="4">
        <v>1.771</v>
      </c>
      <c r="EO101" s="4">
        <v>1.773</v>
      </c>
      <c r="EP101" s="6">
        <v>0.005081874647092199</v>
      </c>
      <c r="EQ101" s="6">
        <v>0.0608</v>
      </c>
      <c r="ER101" s="6">
        <v>0.030392061537890938</v>
      </c>
      <c r="ES101" s="9">
        <v>61</v>
      </c>
      <c r="ET101" s="7">
        <f>IFERROR(EI101/F101,0)</f>
        <v>-0.00011382794583479107</v>
      </c>
      <c r="EU101" t="inlineStr">
        <is>
          <t xml:space="preserve">Lease cash / margin / financing</t>
        </is>
      </c>
      <c r="EV101" t="inlineStr">
        <is>
          <t xml:space="preserve">cash</t>
        </is>
      </c>
      <c r="EW101" t="inlineStr">
        <is>
          <t xml:space="preserve">lease</t>
        </is>
      </c>
      <c r="EX101" t="inlineStr">
        <is>
          <t xml:space="preserve">cash</t>
        </is>
      </c>
      <c r="EY101"/>
      <c r="EZ101" s="4">
        <v>1</v>
      </c>
      <c r="FA101" s="4">
        <v>1</v>
      </c>
      <c r="FB101" s="6"/>
      <c r="FC101" s="4">
        <v>1.1102230246251565e-15</v>
      </c>
      <c r="FD101" s="5">
        <f>IF(EV101="direct",IFERROR(FJ101/FA101,0),0)</f>
        <v>0</v>
      </c>
      <c r="FE101" s="5">
        <f>IF(EV101="direct",FC101-FD101,IF(EV101="cash",FO101,FC101))</f>
        <v>-0.00015081886419307964</v>
      </c>
      <c r="FF101" s="6"/>
      <c r="FG101" s="4">
        <v>1.1102230246251565e-15</v>
      </c>
      <c r="FH101" s="4">
        <v>1.1102230246251565e-15</v>
      </c>
      <c r="FI101" s="5">
        <f>IF(EV101="direct",FC101*(FA101-EZ101),FL101)</f>
        <v>0</v>
      </c>
      <c r="FJ101" s="5">
        <f>IF(EV101="direct",FH101*FB101*C101/365,0)</f>
        <v>0</v>
      </c>
      <c r="FK101" s="5">
        <f>FI101-FJ101</f>
        <v>0</v>
      </c>
      <c r="FL101" s="4">
        <v>0</v>
      </c>
      <c r="FM101" s="5">
        <f>FL101-FK101</f>
        <v>0</v>
      </c>
      <c r="FN101" s="4">
        <v>-0.00015081886419418986</v>
      </c>
      <c r="FO101" s="4">
        <v>-0.00015081886419307964</v>
      </c>
      <c r="FP101" s="4">
        <v>1.771</v>
      </c>
      <c r="FQ101" s="4">
        <v>1.773</v>
      </c>
      <c r="FR101" s="6"/>
      <c r="FS101" s="6"/>
      <c r="FT101" s="6"/>
      <c r="FU101" s="9"/>
      <c r="FV101" s="7">
        <f>IFERROR(FK101/F101,0)</f>
        <v>0</v>
      </c>
      <c r="FW101" t="inlineStr">
        <is>
          <t xml:space="preserve">Keep cash / margin / financing</t>
        </is>
      </c>
      <c r="FX101" t="inlineStr">
        <is>
          <t xml:space="preserve">cash</t>
        </is>
      </c>
      <c r="FY101" t="inlineStr">
        <is>
          <t xml:space="preserve">keep</t>
        </is>
      </c>
      <c r="FZ101" t="inlineStr">
        <is>
          <t xml:space="preserve">cash</t>
        </is>
      </c>
      <c r="GA101"/>
      <c r="GB101" s="4">
        <v>1</v>
      </c>
      <c r="GC101" s="4">
        <v>1</v>
      </c>
      <c r="GD101" s="6"/>
      <c r="GE101" s="4">
        <v>0</v>
      </c>
      <c r="GF101" s="5">
        <f>IF(FX101="direct",IFERROR(GL101/GC101,0),0)</f>
        <v>0</v>
      </c>
      <c r="GG101" s="5">
        <f>IF(FX101="direct",GE101-GF101,IF(FX101="cash",GQ101,GE101))</f>
        <v>0</v>
      </c>
      <c r="GH101" s="6"/>
      <c r="GI101" s="4">
        <v>0</v>
      </c>
      <c r="GJ101" s="4">
        <v>0</v>
      </c>
      <c r="GK101" s="5">
        <f>IF(FX101="direct",GE101*(GC101-GB101),GN101)</f>
        <v>0</v>
      </c>
      <c r="GL101" s="5">
        <f>IF(FX101="direct",GJ101*GD101*C101/365,0)</f>
        <v>0</v>
      </c>
      <c r="GM101" s="5">
        <f>GK101-GL101</f>
        <v>0</v>
      </c>
      <c r="GN101" s="4">
        <v>0</v>
      </c>
      <c r="GO101" s="5">
        <f>GN101-GM101</f>
        <v>0</v>
      </c>
      <c r="GP101" s="4">
        <v>0</v>
      </c>
      <c r="GQ101" s="4">
        <v>0</v>
      </c>
      <c r="GR101" s="4">
        <v>1.771</v>
      </c>
      <c r="GS101" s="4">
        <v>1.773</v>
      </c>
      <c r="GT101" s="6"/>
      <c r="GU101" s="6"/>
      <c r="GV101" s="6"/>
      <c r="GW101" s="9"/>
      <c r="GX101" s="7">
        <f>IFERROR(GM101/F101,0)</f>
        <v>0</v>
      </c>
      <c r="GY101"/>
      <c r="GZ101"/>
      <c r="HA101"/>
      <c r="HB101"/>
      <c r="HC101"/>
      <c r="HD101" s="4"/>
      <c r="HE101" s="4"/>
      <c r="HF101" s="6"/>
      <c r="HG101" s="4"/>
      <c r="HH101" s="5">
        <v>0</v>
      </c>
      <c r="HI101" s="5"/>
      <c r="HJ101" s="6"/>
      <c r="HK101" s="4"/>
      <c r="HL101" s="4"/>
      <c r="HM101" s="5">
        <v>0</v>
      </c>
      <c r="HN101" s="5">
        <v>0</v>
      </c>
      <c r="HO101" s="5"/>
      <c r="HP101" s="4"/>
      <c r="HQ101" s="5">
        <v>0</v>
      </c>
      <c r="HR101" s="4"/>
      <c r="HS101" s="4"/>
      <c r="HT101" s="4"/>
      <c r="HU101" s="4"/>
      <c r="HV101" s="6"/>
      <c r="HW101" s="6"/>
      <c r="HX101" s="6"/>
      <c r="HY101" s="9"/>
      <c r="HZ101"/>
      <c r="IA101"/>
      <c r="IB101"/>
      <c r="IC101"/>
      <c r="ID101"/>
      <c r="IE101"/>
      <c r="IF101" s="4"/>
      <c r="IG101" s="4"/>
      <c r="IH101" s="6"/>
      <c r="II101" s="4"/>
      <c r="IJ101" s="5">
        <v>0</v>
      </c>
      <c r="IK101" s="5"/>
      <c r="IL101" s="6"/>
      <c r="IM101" s="4"/>
      <c r="IN101" s="4"/>
      <c r="IO101" s="5">
        <v>0</v>
      </c>
      <c r="IP101" s="5">
        <v>0</v>
      </c>
      <c r="IQ101" s="5"/>
      <c r="IR101" s="4"/>
      <c r="IS101" s="5">
        <v>0</v>
      </c>
      <c r="IT101" s="4"/>
      <c r="IU101" s="4"/>
      <c r="IV101" s="4"/>
      <c r="IW101" s="4"/>
      <c r="IX101" s="6"/>
      <c r="IY101" s="6"/>
      <c r="IZ101" s="6"/>
      <c r="JA101" s="9"/>
      <c r="JB101"/>
      <c r="JC101"/>
      <c r="JD101"/>
      <c r="JE101"/>
      <c r="JF101"/>
      <c r="JG101"/>
      <c r="JH101" s="4"/>
      <c r="JI101" s="4"/>
      <c r="JJ101" s="6"/>
      <c r="JK101" s="4"/>
      <c r="JL101" s="5">
        <v>0</v>
      </c>
      <c r="JM101" s="5"/>
      <c r="JN101" s="6"/>
      <c r="JO101" s="4"/>
      <c r="JP101" s="4"/>
      <c r="JQ101" s="5">
        <v>0</v>
      </c>
      <c r="JR101" s="5">
        <v>0</v>
      </c>
      <c r="JS101" s="5"/>
      <c r="JT101" s="4"/>
      <c r="JU101" s="5">
        <v>0</v>
      </c>
      <c r="JV101" s="4"/>
      <c r="JW101" s="4"/>
      <c r="JX101" s="4"/>
      <c r="JY101" s="4"/>
      <c r="JZ101" s="6"/>
      <c r="KA101" s="6"/>
      <c r="KB101" s="6"/>
      <c r="KC101" s="9"/>
      <c r="KD101"/>
      <c r="KE101"/>
      <c r="KF101"/>
      <c r="KG101"/>
      <c r="KH101"/>
      <c r="KI101"/>
      <c r="KJ101" s="4"/>
      <c r="KK101" s="4"/>
      <c r="KL101" s="6"/>
      <c r="KM101" s="4"/>
      <c r="KN101" s="5">
        <v>0</v>
      </c>
      <c r="KO101" s="5"/>
      <c r="KP101" s="6"/>
      <c r="KQ101" s="4"/>
      <c r="KR101" s="4"/>
      <c r="KS101" s="5">
        <v>0</v>
      </c>
      <c r="KT101" s="5">
        <v>0</v>
      </c>
      <c r="KU101" s="5"/>
      <c r="KV101" s="4"/>
      <c r="KW101" s="5">
        <v>0</v>
      </c>
      <c r="KX101" s="4"/>
      <c r="KY101" s="4"/>
      <c r="KZ101" s="4"/>
      <c r="LA101" s="4"/>
      <c r="LB101" s="6"/>
      <c r="LC101" s="6"/>
      <c r="LD101" s="6"/>
      <c r="LE101" s="9"/>
      <c r="LF101"/>
      <c r="LG101"/>
      <c r="LH101"/>
      <c r="LI101"/>
      <c r="LJ101"/>
      <c r="LK101"/>
      <c r="LL101" s="4"/>
      <c r="LM101" s="4"/>
      <c r="LN101" s="6"/>
      <c r="LO101" s="4"/>
      <c r="LP101" s="5">
        <v>0</v>
      </c>
      <c r="LQ101" s="5"/>
      <c r="LR101" s="6"/>
      <c r="LS101" s="4"/>
      <c r="LT101" s="4"/>
      <c r="LU101" s="5">
        <v>0</v>
      </c>
      <c r="LV101" s="5">
        <v>0</v>
      </c>
      <c r="LW101" s="5"/>
      <c r="LX101" s="4"/>
      <c r="LY101" s="5">
        <v>0</v>
      </c>
      <c r="LZ101" s="4"/>
      <c r="MA101" s="4"/>
      <c r="MB101" s="4"/>
      <c r="MC101" s="4"/>
      <c r="MD101" s="6"/>
      <c r="ME101" s="6"/>
      <c r="MF101" s="6"/>
      <c r="MG101" s="9"/>
      <c r="MH101"/>
    </row>
    <row r="102">
      <c r="A102" s="8">
        <v>25356</v>
      </c>
      <c r="B102" s="8">
        <v>25357</v>
      </c>
      <c r="C102" s="9">
        <f>B102-A102</f>
        <v>1</v>
      </c>
      <c r="D102" s="8">
        <v>25356</v>
      </c>
      <c r="E102" t="inlineStr">
        <is>
          <t xml:space="preserve">positive</t>
        </is>
      </c>
      <c r="F102" s="4">
        <v>1.3261644402728214</v>
      </c>
      <c r="G102" s="6">
        <v>-0.004849324150807848</v>
      </c>
      <c r="H102" s="7">
        <f>SUM(CP102,DR102,ET102,FV102,GX102,HZ102,JB102,KD102,LF102,MH102)</f>
        <v>-0.004849324150807848</v>
      </c>
      <c r="I102" s="7">
        <f>G102-H102</f>
        <v>0</v>
      </c>
      <c r="J102" s="5">
        <f>F102*(1+H102)</f>
        <v>1.3197334390246638</v>
      </c>
      <c r="K102" s="4">
        <v>1.3197334390246638</v>
      </c>
      <c r="L102" s="5">
        <f>K102-J102</f>
        <v>0</v>
      </c>
      <c r="M102" s="4">
        <v>1.773</v>
      </c>
      <c r="N102" s="4">
        <v>1.773</v>
      </c>
      <c r="O102" s="5">
        <f>M102/$M$3</f>
        <v>0.9055158324821246</v>
      </c>
      <c r="P102" s="5">
        <f>N102/$M$3</f>
        <v>0.9055158324821246</v>
      </c>
      <c r="Q102" s="7">
        <f>IFERROR(N102/M102-1,0)</f>
        <v>0</v>
      </c>
      <c r="R102" s="5">
        <f>SUM(IF(BQ102="lease",CB102,0),IF(CS102="lease",DD102,0),IF(DU102="lease",EF102,0),IF(EW102="lease",FH102,0),IF(FY102="lease",GJ102,0),IF(HA102="lease",HL102,0),IF(IC102="lease",IN102,0),IF(JE102="lease",JP102,0),IF(KG102="lease",KR102,0),IF(LI102="lease",LT102,0))</f>
        <v>1.3261644402728225</v>
      </c>
      <c r="S102" s="5">
        <f>SUM(IF(BQ102="lease",CI102,0),IF(CS102="lease",DK102,0),IF(DU102="lease",EM102,0),IF(EW102="lease",FO102,0),IF(FY102="lease",GQ102,0),IF(HA102="lease",HS102,0),IF(IC102="lease",IU102,0),IF(JE102="lease",JW102,0),IF(KG102="lease",KY102,0),IF(LI102="lease",MA102,0))</f>
        <v>1.319733439024665</v>
      </c>
      <c r="T102" s="5">
        <f>SUM(IF(BQ102="keep",CB102,0),IF(CS102="keep",DD102,0),IF(DU102="keep",EF102,0),IF(EW102="keep",FH102,0),IF(FY102="keep",GJ102,0),IF(HA102="keep",HL102,0),IF(IC102="keep",IN102,0),IF(JE102="keep",JP102,0),IF(KG102="keep",KR102,0),IF(LI102="keep",LT102,0))</f>
        <v>0</v>
      </c>
      <c r="U102" s="5">
        <f>SUM(IF(BQ102="keep",CI102,0),IF(CS102="keep",DK102,0),IF(DU102="keep",EM102,0),IF(EW102="keep",FO102,0),IF(FY102="keep",GQ102,0),IF(HA102="keep",HS102,0),IF(IC102="keep",IU102,0),IF(JE102="keep",JW102,0),IF(KG102="keep",KY102,0),IF(LI102="keep",MA102,0))</f>
        <v>0</v>
      </c>
      <c r="V102" s="5">
        <f>R102/O102</f>
        <v>1.4645403124953111</v>
      </c>
      <c r="W102" s="5">
        <f>S102/P102</f>
        <v>1.4574382817880958</v>
      </c>
      <c r="X102" s="5">
        <f>T102/O102</f>
        <v>0</v>
      </c>
      <c r="Y102" s="5">
        <f>U102/P102</f>
        <v>0</v>
      </c>
      <c r="Z102" s="5">
        <f>V102+X102</f>
        <v>1.4645403124953111</v>
      </c>
      <c r="AA102" s="7">
        <f>IFERROR(W102/V102-1,0)</f>
        <v>-0.004849324150807965</v>
      </c>
      <c r="AB102" s="7">
        <f>IFERROR((W102-V102)/Z102,0)</f>
        <v>-0.00484932415080798</v>
      </c>
      <c r="AC102" s="7">
        <f>IFERROR(Y102/X102-1,0)</f>
        <v>0</v>
      </c>
      <c r="AD102" s="7">
        <f>IFERROR((Y102-X102)/Z102,0)</f>
        <v>0</v>
      </c>
      <c r="AE102" s="7">
        <f>AB102+AD102</f>
        <v>-0.00484932415080798</v>
      </c>
      <c r="AF102" s="7">
        <f>(1+Q102)*(1+AE102)-1</f>
        <v>-0.004849324150807965</v>
      </c>
      <c r="AG102" s="7">
        <f>G102-AF102</f>
        <v>1.1709383462843448e-16</v>
      </c>
      <c r="AH102" s="5">
        <f>SUM(IF(BQ102="lease",CE102,0),IF(CS102="lease",DG102,0),IF(DU102="lease",EI102,0),IF(EW102="lease",FK102,0),IF(FY102="lease",GM102,0),IF(HA102="lease",HO102,0),IF(IC102="lease",IQ102,0),IF(JE102="lease",JS102,0),IF(KG102="lease",KU102,0),IF(LI102="lease",LW102,0))</f>
        <v>-0.006431001248157565</v>
      </c>
      <c r="AI102" s="5">
        <f>SUM(IF(BQ102="keep",CE102,0),IF(CS102="keep",DG102,0),IF(DU102="keep",EI102,0),IF(EW102="keep",FK102,0),IF(FY102="keep",GM102,0),IF(HA102="keep",HO102,0),IF(IC102="keep",IQ102,0),IF(JE102="keep",JS102,0),IF(KG102="keep",KU102,0),IF(LI102="keep",LW102,0))</f>
        <v>0</v>
      </c>
      <c r="AJ102" s="5">
        <f>SUM(IF(BQ102="lease",CH102,0),IF(CS102="lease",DJ102,0),IF(DU102="lease",EL102,0),IF(EW102="lease",FN102,0),IF(FY102="lease",GP102,0),IF(HA102="lease",HR102,0),IF(IC102="lease",IT102,0),IF(JE102="lease",JV102,0),IF(KG102="lease",KX102,0),IF(LI102="lease",LZ102,0))</f>
        <v>0</v>
      </c>
      <c r="AK102" s="5">
        <f>SUM(IF(BQ102="keep",CH102,0),IF(CS102="keep",DJ102,0),IF(DU102="keep",EL102,0),IF(EW102="keep",FN102,0),IF(FY102="keep",GP102,0),IF(HA102="keep",HR102,0),IF(IC102="keep",IT102,0),IF(JE102="keep",JV102,0),IF(KG102="keep",KX102,0),IF(LI102="keep",LZ102,0))</f>
        <v>0</v>
      </c>
      <c r="AL102" s="5">
        <f>R102-S101</f>
        <v>0</v>
      </c>
      <c r="AM102" s="5">
        <f>T102-U101</f>
        <v>0</v>
      </c>
      <c r="AN102" s="5">
        <f>AN101</f>
        <v>1</v>
      </c>
      <c r="AO102" s="5">
        <f>AO101+AH102</f>
        <v>0.3197334390246649</v>
      </c>
      <c r="AP102" s="5">
        <f>AP101+AL102</f>
        <v>-4.440892098500626e-16</v>
      </c>
      <c r="AQ102" s="5">
        <f>AN102+AO102+AP102</f>
        <v>1.3197334390246644</v>
      </c>
      <c r="AR102" s="5">
        <f>S102-AQ102</f>
        <v>4.440892098500626e-16</v>
      </c>
      <c r="AS102" s="5">
        <f>AS101</f>
        <v>0</v>
      </c>
      <c r="AT102" s="5">
        <f>AT101+AI102</f>
        <v>0</v>
      </c>
      <c r="AU102" s="5">
        <f>AU101+AM102</f>
        <v>0</v>
      </c>
      <c r="AV102" s="5">
        <f>AS102+AT102+AU102</f>
        <v>0</v>
      </c>
      <c r="AW102" s="5">
        <f>U102-AV102</f>
        <v>0</v>
      </c>
      <c r="AX102" s="4">
        <v>1.3261644402728225</v>
      </c>
      <c r="AY102" s="4">
        <v>1.319733439024665</v>
      </c>
      <c r="AZ102" s="5">
        <f>S102-AY102</f>
        <v>0</v>
      </c>
      <c r="BA102" s="4">
        <v>0</v>
      </c>
      <c r="BB102" s="4">
        <v>0</v>
      </c>
      <c r="BC102" s="5">
        <f>U102-BB102</f>
        <v>0</v>
      </c>
      <c r="BD102" s="7">
        <f>SUM(IF(BP102="direct",CC102/F102,0),IF(CR102="direct",DE102/F102,0),IF(DT102="direct",EG102/F102,0),IF(EV102="direct",FI102/F102,0),IF(FX102="direct",GK102/F102,0),IF(GZ102="direct",HM102/F102,0),IF(IB102="direct",IO102/F102,0),IF(JD102="direct",JQ102/F102,0),IF(KF102="direct",KS102/F102,0),IF(LH102="direct",LU102/F102,0))</f>
        <v>0</v>
      </c>
      <c r="BE102" s="7">
        <f>-SUM(IF(BP102="direct",CD102/F102,0),IF(CR102="direct",DF102/F102,0),IF(DT102="direct",EH102/F102,0),IF(EV102="direct",FJ102/F102,0),IF(FX102="direct",GL102/F102,0),IF(GZ102="direct",HN102/F102,0),IF(IB102="direct",IP102/F102,0),IF(JD102="direct",JR102/F102,0),IF(KF102="direct",KT102/F102,0),IF(LH102="direct",LV102/F102,0))</f>
        <v>-0.000005044295910797444</v>
      </c>
      <c r="BF102" s="7">
        <f>BD102+BE102</f>
        <v>-0.000005044295910797444</v>
      </c>
      <c r="BG102" s="7">
        <f>BF102-SUM(IF(BP102="direct",CP102,0),IF(CR102="direct",DR102,0),IF(DT102="direct",ET102,0),IF(EV102="direct",FV102,0),IF(FX102="direct",GX102,0),IF(GZ102="direct",HZ102,0),IF(IB102="direct",JB102,0),IF(JD102="direct",KD102,0),IF(KF102="direct",LF102,0),IF(LH102="direct",MH102,0))</f>
        <v>0</v>
      </c>
      <c r="BH102" s="7">
        <f>SUM(IF(BP102="treasury",CP102,0),IF(CR102="treasury",DR102,0),IF(DT102="treasury",ET102,0),IF(EV102="treasury",FV102,0),IF(FX102="treasury",GX102,0),IF(GZ102="treasury",HZ102,0),IF(IB102="treasury",JB102,0),IF(JD102="treasury",KD102,0),IF(KF102="treasury",LF102,0),IF(LH102="treasury",MH102,0))</f>
        <v>0.0000441868689803909</v>
      </c>
      <c r="BI102" s="7">
        <f>SUM(IF(BP102="future",CP102,0),IF(CR102="future",DR102,0),IF(DT102="future",ET102,0),IF(EV102="future",FV102,0),IF(FX102="future",GX102,0),IF(GZ102="future",HZ102,0),IF(IB102="future",JB102,0),IF(JD102="future",KD102,0),IF(KF102="future",LF102,0),IF(LH102="future",MH102,0))</f>
        <v>-0.004888466723877442</v>
      </c>
      <c r="BJ102" s="7">
        <f>SUM(IF(BP102="cash",CP102,0),IF(CR102="cash",DR102,0),IF(DT102="cash",ET102,0),IF(EV102="cash",FV102,0),IF(FX102="cash",GX102,0),IF(GZ102="cash",HZ102,0),IF(IB102="cash",JB102,0),IF(JD102="cash",KD102,0),IF(KF102="cash",LF102,0),IF(LH102="cash",MH102,0))</f>
        <v>0</v>
      </c>
      <c r="BK102" s="7">
        <f>SUM(BF102,BH102,BI102,BJ102)</f>
        <v>-0.004849324150807848</v>
      </c>
      <c r="BL102" s="7">
        <f>G102-BK102</f>
        <v>0</v>
      </c>
      <c r="BM102" s="5">
        <f>MAX(ABS(CG102),ABS(DI102),ABS(EK102),ABS(FM102),ABS(GO102),ABS(HQ102),ABS(IS102),ABS(JU102),ABS(KW102),ABS(LY102))</f>
        <v>8.653288589149932e-18</v>
      </c>
      <c r="BN102" s="9">
        <f>COUNTA(BO102,CQ102,DS102,EU102,FW102,GY102,IA102,JC102,KE102,LG102)</f>
        <v>5</v>
      </c>
      <c r="BO102" t="inlineStr">
        <is>
          <t xml:space="preserve">Direct commodity holding</t>
        </is>
      </c>
      <c r="BP102" t="inlineStr">
        <is>
          <t xml:space="preserve">direct</t>
        </is>
      </c>
      <c r="BQ102" t="inlineStr">
        <is>
          <t xml:space="preserve">lease</t>
        </is>
      </c>
      <c r="BR102" t="inlineStr">
        <is>
          <t xml:space="preserve">long</t>
        </is>
      </c>
      <c r="BS102"/>
      <c r="BT102" s="4">
        <v>1.773</v>
      </c>
      <c r="BU102" s="4">
        <v>1.773</v>
      </c>
      <c r="BV102" s="6">
        <v>0.0025</v>
      </c>
      <c r="BW102" s="4">
        <v>0.5508610355411865</v>
      </c>
      <c r="BX102" s="5">
        <f>IF(BP102="direct",IFERROR(CD102/BU102,0),0)</f>
        <v>0.000003773020791377989</v>
      </c>
      <c r="BY102" s="5">
        <f>IF(BP102="direct",BW102-BX102,IF(BP102="cash",CI102,BW102))</f>
        <v>0.5508572625203951</v>
      </c>
      <c r="BZ102" s="6">
        <v>0.7364672029764269</v>
      </c>
      <c r="CA102" s="4">
        <v>0.9766766160145235</v>
      </c>
      <c r="CB102" s="4">
        <v>0.9766766160145235</v>
      </c>
      <c r="CC102" s="5">
        <f>IF(BP102="direct",BW102*(BU102-BT102),CF102)</f>
        <v>0</v>
      </c>
      <c r="CD102" s="5">
        <f>IF(BP102="direct",CB102*BV102*C102/365,0)</f>
        <v>0.000006689565863113174</v>
      </c>
      <c r="CE102" s="5">
        <f>CC102-CD102</f>
        <v>-0.000006689565863113174</v>
      </c>
      <c r="CF102" s="4">
        <v>-0.000006689565863113174</v>
      </c>
      <c r="CG102" s="5">
        <f>CF102-CE102</f>
        <v>0</v>
      </c>
      <c r="CH102" s="4">
        <v>0</v>
      </c>
      <c r="CI102" s="4">
        <v>0.9766699264486605</v>
      </c>
      <c r="CJ102" s="4">
        <v>1.773</v>
      </c>
      <c r="CK102" s="4">
        <v>1.773</v>
      </c>
      <c r="CL102" s="6"/>
      <c r="CM102" s="6"/>
      <c r="CN102" s="6"/>
      <c r="CO102" s="9"/>
      <c r="CP102" s="7">
        <f>IFERROR(CE102/F102,0)</f>
        <v>-0.000005044295910797444</v>
      </c>
      <c r="CQ102" t="inlineStr">
        <is>
          <t xml:space="preserve">Treasury collateral</t>
        </is>
      </c>
      <c r="CR102" t="inlineStr">
        <is>
          <t xml:space="preserve">treasury</t>
        </is>
      </c>
      <c r="CS102" t="inlineStr">
        <is>
          <t xml:space="preserve">lease</t>
        </is>
      </c>
      <c r="CT102" t="inlineStr">
        <is>
          <t xml:space="preserve">long</t>
        </is>
      </c>
      <c r="CU102"/>
      <c r="CV102" s="4">
        <v>102.54865829544926</v>
      </c>
      <c r="CW102" s="4">
        <v>102.5658527554155</v>
      </c>
      <c r="CX102" s="6"/>
      <c r="CY102" s="4">
        <v>0.0034080194716092833</v>
      </c>
      <c r="CZ102" s="5">
        <f>IF(CR102="direct",IFERROR(DF102/CW102,0),0)</f>
        <v>0</v>
      </c>
      <c r="DA102" s="5">
        <f>IF(CR102="direct",CY102-CZ102,IF(CR102="cash",DK102,CY102))</f>
        <v>0.0034080194716092833</v>
      </c>
      <c r="DB102" s="6">
        <v>0.26353279702357313</v>
      </c>
      <c r="DC102" s="4">
        <v>0.34948782425829794</v>
      </c>
      <c r="DD102" s="4">
        <v>0.34948782425829794</v>
      </c>
      <c r="DE102" s="5">
        <f>IF(CR102="direct",CY102*(CW102-CV102),DH102)</f>
        <v>0.00005859905436877994</v>
      </c>
      <c r="DF102" s="5">
        <f>IF(CR102="direct",DD102*CX102*C102/365,0)</f>
        <v>0</v>
      </c>
      <c r="DG102" s="5">
        <f>DE102-DF102</f>
        <v>0.00005859905436878859</v>
      </c>
      <c r="DH102" s="4">
        <v>0.00005859905436878859</v>
      </c>
      <c r="DI102" s="5">
        <f>DH102-DG102</f>
        <v>8.653288589149932e-18</v>
      </c>
      <c r="DJ102" s="4">
        <v>-8.822695178600792e-18</v>
      </c>
      <c r="DK102" s="4">
        <v>0.3495464233126667</v>
      </c>
      <c r="DL102" s="4">
        <v>1.773</v>
      </c>
      <c r="DM102" s="4">
        <v>1.773</v>
      </c>
      <c r="DN102" s="6"/>
      <c r="DO102" s="6"/>
      <c r="DP102" s="6"/>
      <c r="DQ102" s="9">
        <v>57</v>
      </c>
      <c r="DR102" s="7">
        <f>IFERROR(DG102/F102,0)</f>
        <v>0.0000441868689803909</v>
      </c>
      <c r="DS102" t="inlineStr">
        <is>
          <t xml:space="preserve">SI69N</t>
        </is>
      </c>
      <c r="DT102" t="inlineStr">
        <is>
          <t xml:space="preserve">future</t>
        </is>
      </c>
      <c r="DU102" t="inlineStr">
        <is>
          <t xml:space="preserve">lease</t>
        </is>
      </c>
      <c r="DV102" t="inlineStr">
        <is>
          <t xml:space="preserve">long</t>
        </is>
      </c>
      <c r="DW102" t="inlineStr">
        <is>
          <t xml:space="preserve">regular</t>
        </is>
      </c>
      <c r="DX102" s="4">
        <v>1.7790000000000001</v>
      </c>
      <c r="DY102" s="4">
        <v>1.746</v>
      </c>
      <c r="DZ102" s="6"/>
      <c r="EA102" s="4">
        <v>0.19645184050494544</v>
      </c>
      <c r="EB102" s="5">
        <f>IF(DT102="direct",IFERROR(EH102/DY102,0),0)</f>
        <v>0</v>
      </c>
      <c r="EC102" s="5">
        <f>IF(DT102="direct",EA102-EB102,IF(DT102="cash",EM102,EA102))</f>
        <v>0.19645184050494544</v>
      </c>
      <c r="ED102" s="6">
        <v>0.26353279702357313</v>
      </c>
      <c r="EE102" s="4">
        <v>0.34948782425829794</v>
      </c>
      <c r="EF102" s="4">
        <v>0</v>
      </c>
      <c r="EG102" s="5">
        <f>IF(DT102="direct",EA102*(DY102-DX102),EJ102)</f>
        <v>-0.0064829107366632405</v>
      </c>
      <c r="EH102" s="5">
        <f>IF(DT102="direct",EF102*DZ102*C102/365,0)</f>
        <v>0</v>
      </c>
      <c r="EI102" s="5">
        <f>EG102-EH102</f>
        <v>-0.0064829107366632405</v>
      </c>
      <c r="EJ102" s="4">
        <v>-0.0064829107366632405</v>
      </c>
      <c r="EK102" s="5">
        <f>EJ102-EI102</f>
        <v>0</v>
      </c>
      <c r="EL102" s="4">
        <v>0.0064829107366632405</v>
      </c>
      <c r="EM102" s="4">
        <v>0</v>
      </c>
      <c r="EN102" s="4">
        <v>1.773</v>
      </c>
      <c r="EO102" s="4">
        <v>1.773</v>
      </c>
      <c r="EP102" s="6">
        <v>0.0033840947546532885</v>
      </c>
      <c r="EQ102" s="6">
        <v>0.061200000000000004</v>
      </c>
      <c r="ER102" s="6">
        <v>0.039529919553535964</v>
      </c>
      <c r="ES102" s="9">
        <v>57</v>
      </c>
      <c r="ET102" s="7">
        <f>IFERROR(EI102/F102,0)</f>
        <v>-0.004888466723877442</v>
      </c>
      <c r="EU102" t="inlineStr">
        <is>
          <t xml:space="preserve">Lease cash / margin / financing</t>
        </is>
      </c>
      <c r="EV102" t="inlineStr">
        <is>
          <t xml:space="preserve">cash</t>
        </is>
      </c>
      <c r="EW102" t="inlineStr">
        <is>
          <t xml:space="preserve">lease</t>
        </is>
      </c>
      <c r="EX102" t="inlineStr">
        <is>
          <t xml:space="preserve">cash</t>
        </is>
      </c>
      <c r="EY102"/>
      <c r="EZ102" s="4">
        <v>1</v>
      </c>
      <c r="FA102" s="4">
        <v>1</v>
      </c>
      <c r="FB102" s="6"/>
      <c r="FC102" s="4">
        <v>1.1102230246251565e-15</v>
      </c>
      <c r="FD102" s="5">
        <f>IF(EV102="direct",IFERROR(FJ102/FA102,0),0)</f>
        <v>0</v>
      </c>
      <c r="FE102" s="5">
        <f>IF(EV102="direct",FC102-FD102,IF(EV102="cash",FO102,FC102))</f>
        <v>-0.006482910736662122</v>
      </c>
      <c r="FF102" s="6"/>
      <c r="FG102" s="4">
        <v>1.1102230246251565e-15</v>
      </c>
      <c r="FH102" s="4">
        <v>1.1102230246251565e-15</v>
      </c>
      <c r="FI102" s="5">
        <f>IF(EV102="direct",FC102*(FA102-EZ102),FL102)</f>
        <v>0</v>
      </c>
      <c r="FJ102" s="5">
        <f>IF(EV102="direct",FH102*FB102*C102/365,0)</f>
        <v>0</v>
      </c>
      <c r="FK102" s="5">
        <f>FI102-FJ102</f>
        <v>0</v>
      </c>
      <c r="FL102" s="4">
        <v>0</v>
      </c>
      <c r="FM102" s="5">
        <f>FL102-FK102</f>
        <v>0</v>
      </c>
      <c r="FN102" s="4">
        <v>-0.006482910736663232</v>
      </c>
      <c r="FO102" s="4">
        <v>-0.006482910736662122</v>
      </c>
      <c r="FP102" s="4">
        <v>1.773</v>
      </c>
      <c r="FQ102" s="4">
        <v>1.773</v>
      </c>
      <c r="FR102" s="6"/>
      <c r="FS102" s="6"/>
      <c r="FT102" s="6"/>
      <c r="FU102" s="9"/>
      <c r="FV102" s="7">
        <f>IFERROR(FK102/F102,0)</f>
        <v>0</v>
      </c>
      <c r="FW102" t="inlineStr">
        <is>
          <t xml:space="preserve">Keep cash / margin / financing</t>
        </is>
      </c>
      <c r="FX102" t="inlineStr">
        <is>
          <t xml:space="preserve">cash</t>
        </is>
      </c>
      <c r="FY102" t="inlineStr">
        <is>
          <t xml:space="preserve">keep</t>
        </is>
      </c>
      <c r="FZ102" t="inlineStr">
        <is>
          <t xml:space="preserve">cash</t>
        </is>
      </c>
      <c r="GA102"/>
      <c r="GB102" s="4">
        <v>1</v>
      </c>
      <c r="GC102" s="4">
        <v>1</v>
      </c>
      <c r="GD102" s="6"/>
      <c r="GE102" s="4">
        <v>0</v>
      </c>
      <c r="GF102" s="5">
        <f>IF(FX102="direct",IFERROR(GL102/GC102,0),0)</f>
        <v>0</v>
      </c>
      <c r="GG102" s="5">
        <f>IF(FX102="direct",GE102-GF102,IF(FX102="cash",GQ102,GE102))</f>
        <v>0</v>
      </c>
      <c r="GH102" s="6"/>
      <c r="GI102" s="4">
        <v>0</v>
      </c>
      <c r="GJ102" s="4">
        <v>0</v>
      </c>
      <c r="GK102" s="5">
        <f>IF(FX102="direct",GE102*(GC102-GB102),GN102)</f>
        <v>0</v>
      </c>
      <c r="GL102" s="5">
        <f>IF(FX102="direct",GJ102*GD102*C102/365,0)</f>
        <v>0</v>
      </c>
      <c r="GM102" s="5">
        <f>GK102-GL102</f>
        <v>0</v>
      </c>
      <c r="GN102" s="4">
        <v>0</v>
      </c>
      <c r="GO102" s="5">
        <f>GN102-GM102</f>
        <v>0</v>
      </c>
      <c r="GP102" s="4">
        <v>0</v>
      </c>
      <c r="GQ102" s="4">
        <v>0</v>
      </c>
      <c r="GR102" s="4">
        <v>1.773</v>
      </c>
      <c r="GS102" s="4">
        <v>1.773</v>
      </c>
      <c r="GT102" s="6"/>
      <c r="GU102" s="6"/>
      <c r="GV102" s="6"/>
      <c r="GW102" s="9"/>
      <c r="GX102" s="7">
        <f>IFERROR(GM102/F102,0)</f>
        <v>0</v>
      </c>
      <c r="GY102"/>
      <c r="GZ102"/>
      <c r="HA102"/>
      <c r="HB102"/>
      <c r="HC102"/>
      <c r="HD102" s="4"/>
      <c r="HE102" s="4"/>
      <c r="HF102" s="6"/>
      <c r="HG102" s="4"/>
      <c r="HH102" s="5">
        <v>0</v>
      </c>
      <c r="HI102" s="5"/>
      <c r="HJ102" s="6"/>
      <c r="HK102" s="4"/>
      <c r="HL102" s="4"/>
      <c r="HM102" s="5">
        <v>0</v>
      </c>
      <c r="HN102" s="5">
        <v>0</v>
      </c>
      <c r="HO102" s="5"/>
      <c r="HP102" s="4"/>
      <c r="HQ102" s="5">
        <v>0</v>
      </c>
      <c r="HR102" s="4"/>
      <c r="HS102" s="4"/>
      <c r="HT102" s="4"/>
      <c r="HU102" s="4"/>
      <c r="HV102" s="6"/>
      <c r="HW102" s="6"/>
      <c r="HX102" s="6"/>
      <c r="HY102" s="9"/>
      <c r="HZ102"/>
      <c r="IA102"/>
      <c r="IB102"/>
      <c r="IC102"/>
      <c r="ID102"/>
      <c r="IE102"/>
      <c r="IF102" s="4"/>
      <c r="IG102" s="4"/>
      <c r="IH102" s="6"/>
      <c r="II102" s="4"/>
      <c r="IJ102" s="5">
        <v>0</v>
      </c>
      <c r="IK102" s="5"/>
      <c r="IL102" s="6"/>
      <c r="IM102" s="4"/>
      <c r="IN102" s="4"/>
      <c r="IO102" s="5">
        <v>0</v>
      </c>
      <c r="IP102" s="5">
        <v>0</v>
      </c>
      <c r="IQ102" s="5"/>
      <c r="IR102" s="4"/>
      <c r="IS102" s="5">
        <v>0</v>
      </c>
      <c r="IT102" s="4"/>
      <c r="IU102" s="4"/>
      <c r="IV102" s="4"/>
      <c r="IW102" s="4"/>
      <c r="IX102" s="6"/>
      <c r="IY102" s="6"/>
      <c r="IZ102" s="6"/>
      <c r="JA102" s="9"/>
      <c r="JB102"/>
      <c r="JC102"/>
      <c r="JD102"/>
      <c r="JE102"/>
      <c r="JF102"/>
      <c r="JG102"/>
      <c r="JH102" s="4"/>
      <c r="JI102" s="4"/>
      <c r="JJ102" s="6"/>
      <c r="JK102" s="4"/>
      <c r="JL102" s="5">
        <v>0</v>
      </c>
      <c r="JM102" s="5"/>
      <c r="JN102" s="6"/>
      <c r="JO102" s="4"/>
      <c r="JP102" s="4"/>
      <c r="JQ102" s="5">
        <v>0</v>
      </c>
      <c r="JR102" s="5">
        <v>0</v>
      </c>
      <c r="JS102" s="5"/>
      <c r="JT102" s="4"/>
      <c r="JU102" s="5">
        <v>0</v>
      </c>
      <c r="JV102" s="4"/>
      <c r="JW102" s="4"/>
      <c r="JX102" s="4"/>
      <c r="JY102" s="4"/>
      <c r="JZ102" s="6"/>
      <c r="KA102" s="6"/>
      <c r="KB102" s="6"/>
      <c r="KC102" s="9"/>
      <c r="KD102"/>
      <c r="KE102"/>
      <c r="KF102"/>
      <c r="KG102"/>
      <c r="KH102"/>
      <c r="KI102"/>
      <c r="KJ102" s="4"/>
      <c r="KK102" s="4"/>
      <c r="KL102" s="6"/>
      <c r="KM102" s="4"/>
      <c r="KN102" s="5">
        <v>0</v>
      </c>
      <c r="KO102" s="5"/>
      <c r="KP102" s="6"/>
      <c r="KQ102" s="4"/>
      <c r="KR102" s="4"/>
      <c r="KS102" s="5">
        <v>0</v>
      </c>
      <c r="KT102" s="5">
        <v>0</v>
      </c>
      <c r="KU102" s="5"/>
      <c r="KV102" s="4"/>
      <c r="KW102" s="5">
        <v>0</v>
      </c>
      <c r="KX102" s="4"/>
      <c r="KY102" s="4"/>
      <c r="KZ102" s="4"/>
      <c r="LA102" s="4"/>
      <c r="LB102" s="6"/>
      <c r="LC102" s="6"/>
      <c r="LD102" s="6"/>
      <c r="LE102" s="9"/>
      <c r="LF102"/>
      <c r="LG102"/>
      <c r="LH102"/>
      <c r="LI102"/>
      <c r="LJ102"/>
      <c r="LK102"/>
      <c r="LL102" s="4"/>
      <c r="LM102" s="4"/>
      <c r="LN102" s="6"/>
      <c r="LO102" s="4"/>
      <c r="LP102" s="5">
        <v>0</v>
      </c>
      <c r="LQ102" s="5"/>
      <c r="LR102" s="6"/>
      <c r="LS102" s="4"/>
      <c r="LT102" s="4"/>
      <c r="LU102" s="5">
        <v>0</v>
      </c>
      <c r="LV102" s="5">
        <v>0</v>
      </c>
      <c r="LW102" s="5"/>
      <c r="LX102" s="4"/>
      <c r="LY102" s="5">
        <v>0</v>
      </c>
      <c r="LZ102" s="4"/>
      <c r="MA102" s="4"/>
      <c r="MB102" s="4"/>
      <c r="MC102" s="4"/>
      <c r="MD102" s="6"/>
      <c r="ME102" s="6"/>
      <c r="MF102" s="6"/>
      <c r="MG102" s="9"/>
      <c r="MH102"/>
    </row>
    <row r="103">
      <c r="A103" s="8">
        <v>25357</v>
      </c>
      <c r="B103" s="8">
        <v>25358</v>
      </c>
      <c r="C103" s="9">
        <f>B103-A103</f>
        <v>1</v>
      </c>
      <c r="D103" s="8">
        <v>25357</v>
      </c>
      <c r="E103" t="inlineStr">
        <is>
          <t xml:space="preserve">positive</t>
        </is>
      </c>
      <c r="F103" s="4">
        <v>1.3197334390246638</v>
      </c>
      <c r="G103" s="6">
        <v>0.009333118046729086</v>
      </c>
      <c r="H103" s="7">
        <f>SUM(CP103,DR103,ET103,FV103,GX103,HZ103,JB103,KD103,LF103,MH103)</f>
        <v>0.009333118046729086</v>
      </c>
      <c r="I103" s="7">
        <f>G103-H103</f>
        <v>0</v>
      </c>
      <c r="J103" s="5">
        <f>F103*(1+H103)</f>
        <v>1.3320506670012968</v>
      </c>
      <c r="K103" s="4">
        <v>1.3320506670012968</v>
      </c>
      <c r="L103" s="5">
        <f>K103-J103</f>
        <v>0</v>
      </c>
      <c r="M103" s="4">
        <v>1.773</v>
      </c>
      <c r="N103" s="4">
        <v>1.758</v>
      </c>
      <c r="O103" s="5">
        <f>M103/$M$3</f>
        <v>0.9055158324821246</v>
      </c>
      <c r="P103" s="5">
        <f>N103/$M$3</f>
        <v>0.8978549540347294</v>
      </c>
      <c r="Q103" s="7">
        <f>IFERROR(N103/M103-1,0)</f>
        <v>-0.008460236886632777</v>
      </c>
      <c r="R103" s="5">
        <f>SUM(IF(BQ103="lease",CB103,0),IF(CS103="lease",DD103,0),IF(DU103="lease",EF103,0),IF(EW103="lease",FH103,0),IF(FY103="lease",GJ103,0),IF(HA103="lease",HL103,0),IF(IC103="lease",IN103,0),IF(JE103="lease",JP103,0),IF(KG103="lease",KR103,0),IF(LI103="lease",LT103,0))</f>
        <v>1.319733439024665</v>
      </c>
      <c r="S103" s="5">
        <f>SUM(IF(BQ103="lease",CI103,0),IF(CS103="lease",DK103,0),IF(DU103="lease",EM103,0),IF(EW103="lease",FO103,0),IF(FY103="lease",GQ103,0),IF(HA103="lease",HS103,0),IF(IC103="lease",IU103,0),IF(JE103="lease",JW103,0),IF(KG103="lease",KY103,0),IF(LI103="lease",MA103,0))</f>
        <v>1.332050667001298</v>
      </c>
      <c r="T103" s="5">
        <f>SUM(IF(BQ103="keep",CB103,0),IF(CS103="keep",DD103,0),IF(DU103="keep",EF103,0),IF(EW103="keep",FH103,0),IF(FY103="keep",GJ103,0),IF(HA103="keep",HL103,0),IF(IC103="keep",IN103,0),IF(JE103="keep",JP103,0),IF(KG103="keep",KR103,0),IF(LI103="keep",LT103,0))</f>
        <v>0</v>
      </c>
      <c r="U103" s="5">
        <f>SUM(IF(BQ103="keep",CI103,0),IF(CS103="keep",DK103,0),IF(DU103="keep",EM103,0),IF(EW103="keep",FO103,0),IF(FY103="keep",GQ103,0),IF(HA103="keep",HS103,0),IF(IC103="keep",IU103,0),IF(JE103="keep",JW103,0),IF(KG103="keep",KY103,0),IF(LI103="keep",MA103,0))</f>
        <v>0</v>
      </c>
      <c r="V103" s="5">
        <f>R103/O103</f>
        <v>1.4574382817880958</v>
      </c>
      <c r="W103" s="5">
        <f>S103/P103</f>
        <v>1.4835922673427424</v>
      </c>
      <c r="X103" s="5">
        <f>T103/O103</f>
        <v>0</v>
      </c>
      <c r="Y103" s="5">
        <f>U103/P103</f>
        <v>0</v>
      </c>
      <c r="Z103" s="5">
        <f>V103+X103</f>
        <v>1.4574382817880958</v>
      </c>
      <c r="AA103" s="7">
        <f>IFERROR(W103/V103-1,0)</f>
        <v>0.01794517536794693</v>
      </c>
      <c r="AB103" s="7">
        <f>IFERROR((W103-V103)/Z103,0)</f>
        <v>0.017945175367946944</v>
      </c>
      <c r="AC103" s="7">
        <f>IFERROR(Y103/X103-1,0)</f>
        <v>0</v>
      </c>
      <c r="AD103" s="7">
        <f>IFERROR((Y103-X103)/Z103,0)</f>
        <v>0</v>
      </c>
      <c r="AE103" s="7">
        <f>AB103+AD103</f>
        <v>0.017945175367946944</v>
      </c>
      <c r="AF103" s="7">
        <f>(1+Q103)*(1+AE103)-1</f>
        <v>0.009333118046729094</v>
      </c>
      <c r="AG103" s="7">
        <f>G103-AF103</f>
        <v>-8.673617379884035e-18</v>
      </c>
      <c r="AH103" s="5">
        <f>SUM(IF(BQ103="lease",CE103,0),IF(CS103="lease",DG103,0),IF(DU103="lease",EI103,0),IF(EW103="lease",FK103,0),IF(FY103="lease",GM103,0),IF(HA103="lease",HO103,0),IF(IC103="lease",IQ103,0),IF(JE103="lease",JS103,0),IF(KG103="lease",KU103,0),IF(LI103="lease",LW103,0))</f>
        <v>0.012317227976632929</v>
      </c>
      <c r="AI103" s="5">
        <f>SUM(IF(BQ103="keep",CE103,0),IF(CS103="keep",DG103,0),IF(DU103="keep",EI103,0),IF(EW103="keep",FK103,0),IF(FY103="keep",GM103,0),IF(HA103="keep",HO103,0),IF(IC103="keep",IQ103,0),IF(JE103="keep",JS103,0),IF(KG103="keep",KU103,0),IF(LI103="keep",LW103,0))</f>
        <v>0</v>
      </c>
      <c r="AJ103" s="5">
        <f>SUM(IF(BQ103="lease",CH103,0),IF(CS103="lease",DJ103,0),IF(DU103="lease",EL103,0),IF(EW103="lease",FN103,0),IF(FY103="lease",GP103,0),IF(HA103="lease",HR103,0),IF(IC103="lease",IT103,0),IF(JE103="lease",JV103,0),IF(KG103="lease",KX103,0),IF(LI103="lease",LZ103,0))</f>
        <v>0</v>
      </c>
      <c r="AK103" s="5">
        <f>SUM(IF(BQ103="keep",CH103,0),IF(CS103="keep",DJ103,0),IF(DU103="keep",EL103,0),IF(EW103="keep",FN103,0),IF(FY103="keep",GP103,0),IF(HA103="keep",HR103,0),IF(IC103="keep",IT103,0),IF(JE103="keep",JV103,0),IF(KG103="keep",KX103,0),IF(LI103="keep",LZ103,0))</f>
        <v>0</v>
      </c>
      <c r="AL103" s="5">
        <f>R103-S102</f>
        <v>0</v>
      </c>
      <c r="AM103" s="5">
        <f>T103-U102</f>
        <v>0</v>
      </c>
      <c r="AN103" s="5">
        <f>AN102</f>
        <v>1</v>
      </c>
      <c r="AO103" s="5">
        <f>AO102+AH103</f>
        <v>0.3320506670012978</v>
      </c>
      <c r="AP103" s="5">
        <f>AP102+AL103</f>
        <v>-4.440892098500626e-16</v>
      </c>
      <c r="AQ103" s="5">
        <f>AN103+AO103+AP103</f>
        <v>1.3320506670012975</v>
      </c>
      <c r="AR103" s="5">
        <f>S103-AQ103</f>
        <v>4.440892098500626e-16</v>
      </c>
      <c r="AS103" s="5">
        <f>AS102</f>
        <v>0</v>
      </c>
      <c r="AT103" s="5">
        <f>AT102+AI103</f>
        <v>0</v>
      </c>
      <c r="AU103" s="5">
        <f>AU102+AM103</f>
        <v>0</v>
      </c>
      <c r="AV103" s="5">
        <f>AS103+AT103+AU103</f>
        <v>0</v>
      </c>
      <c r="AW103" s="5">
        <f>U103-AV103</f>
        <v>0</v>
      </c>
      <c r="AX103" s="4">
        <v>1.319733439024665</v>
      </c>
      <c r="AY103" s="4">
        <v>1.332050667001298</v>
      </c>
      <c r="AZ103" s="5">
        <f>S103-AY103</f>
        <v>0</v>
      </c>
      <c r="BA103" s="4">
        <v>0</v>
      </c>
      <c r="BB103" s="4">
        <v>0</v>
      </c>
      <c r="BC103" s="5">
        <f>U103-BB103</f>
        <v>0</v>
      </c>
      <c r="BD103" s="7">
        <f>SUM(IF(BP103="direct",CC103/F103,0),IF(CR103="direct",DE103/F103,0),IF(DT103="direct",EG103/F103,0),IF(EV103="direct",FI103/F103,0),IF(FX103="direct",GK103/F103,0),IF(GZ103="direct",HM103/F103,0),IF(IB103="direct",IO103/F103,0),IF(JD103="direct",JQ103/F103,0),IF(KF103="direct",KS103/F103,0),IF(LH103="direct",LU103/F103,0))</f>
        <v>0</v>
      </c>
      <c r="BE103" s="7">
        <f>-SUM(IF(BP103="direct",CD103/F103,0),IF(CR103="direct",DF103/F103,0),IF(DT103="direct",EH103/F103,0),IF(EV103="direct",FJ103/F103,0),IF(FX103="direct",GL103/F103,0),IF(GZ103="direct",HN103/F103,0),IF(IB103="direct",IP103/F103,0),IF(JD103="direct",JR103/F103,0),IF(KF103="direct",KT103/F103,0),IF(LH103="direct",LV103/F103,0))</f>
        <v>0</v>
      </c>
      <c r="BF103" s="7">
        <f>BD103+BE103</f>
        <v>0</v>
      </c>
      <c r="BG103" s="7">
        <f>BF103-SUM(IF(BP103="direct",CP103,0),IF(CR103="direct",DR103,0),IF(DT103="direct",ET103,0),IF(EV103="direct",FV103,0),IF(FX103="direct",GX103,0),IF(GZ103="direct",HZ103,0),IF(IB103="direct",JB103,0),IF(JD103="direct",KD103,0),IF(KF103="direct",LF103,0),IF(LH103="direct",MH103,0))</f>
        <v>0</v>
      </c>
      <c r="BH103" s="7">
        <f>SUM(IF(BP103="treasury",CP103,0),IF(CR103="treasury",DR103,0),IF(DT103="treasury",ET103,0),IF(EV103="treasury",FV103,0),IF(FX103="treasury",GX103,0),IF(GZ103="treasury",HZ103,0),IF(IB103="treasury",JB103,0),IF(JD103="treasury",KD103,0),IF(KF103="treasury",LF103,0),IF(LH103="treasury",MH103,0))</f>
        <v>0.00016931506849315067</v>
      </c>
      <c r="BI103" s="7">
        <f>SUM(IF(BP103="future",CP103,0),IF(CR103="future",DR103,0),IF(DT103="future",ET103,0),IF(EV103="future",FV103,0),IF(FX103="future",GX103,0),IF(GZ103="future",HZ103,0),IF(IB103="future",JB103,0),IF(JD103="future",KD103,0),IF(KF103="future",LF103,0),IF(LH103="future",MH103,0))</f>
        <v>0.009163802978235935</v>
      </c>
      <c r="BJ103" s="7">
        <f>SUM(IF(BP103="cash",CP103,0),IF(CR103="cash",DR103,0),IF(DT103="cash",ET103,0),IF(EV103="cash",FV103,0),IF(FX103="cash",GX103,0),IF(GZ103="cash",HZ103,0),IF(IB103="cash",JB103,0),IF(JD103="cash",KD103,0),IF(KF103="cash",LF103,0),IF(LH103="cash",MH103,0))</f>
        <v>0</v>
      </c>
      <c r="BK103" s="7">
        <f>SUM(BF103,BH103,BI103,BJ103)</f>
        <v>0.009333118046729086</v>
      </c>
      <c r="BL103" s="7">
        <f>G103-BK103</f>
        <v>0</v>
      </c>
      <c r="BM103" s="5">
        <f>MAX(ABS(CG103),ABS(DI103),ABS(EK103),ABS(FM103),ABS(GO103),ABS(HQ103),ABS(IS103),ABS(JU103),ABS(KW103),ABS(LY103))</f>
        <v>5.003593026020603e-17</v>
      </c>
      <c r="BN103" s="9">
        <f>COUNTA(BO103,CQ103,DS103,EU103,FW103,GY103,IA103,JC103,KE103,LG103)</f>
        <v>4</v>
      </c>
      <c r="BO103" t="inlineStr">
        <is>
          <t xml:space="preserve">Treasury collateral</t>
        </is>
      </c>
      <c r="BP103" t="inlineStr">
        <is>
          <t xml:space="preserve">treasury</t>
        </is>
      </c>
      <c r="BQ103" t="inlineStr">
        <is>
          <t xml:space="preserve">lease</t>
        </is>
      </c>
      <c r="BR103" t="inlineStr">
        <is>
          <t xml:space="preserve">long</t>
        </is>
      </c>
      <c r="BS103"/>
      <c r="BT103" s="4">
        <v>102.5658527554155</v>
      </c>
      <c r="BU103" s="4">
        <v>102.58321869979984</v>
      </c>
      <c r="BV103" s="6"/>
      <c r="BW103" s="4">
        <v>0.012867181460205638</v>
      </c>
      <c r="BX103" s="5">
        <f>IF(BP103="direct",IFERROR(CD103/BU103,0),0)</f>
        <v>0</v>
      </c>
      <c r="BY103" s="5">
        <f>IF(BP103="direct",BW103-BX103,IF(BP103="cash",CI103,BW103))</f>
        <v>0.012867181460205638</v>
      </c>
      <c r="BZ103" s="6">
        <v>1</v>
      </c>
      <c r="CA103" s="4">
        <v>1.3197334390246638</v>
      </c>
      <c r="CB103" s="4">
        <v>1.3197334390246638</v>
      </c>
      <c r="CC103" s="5">
        <f>IF(BP103="direct",BW103*(BU103-BT103),CF103)</f>
        <v>0.0002234507576211122</v>
      </c>
      <c r="CD103" s="5">
        <f>IF(BP103="direct",CB103*BV103*C103/365,0)</f>
        <v>0</v>
      </c>
      <c r="CE103" s="5">
        <f>CC103-CD103</f>
        <v>0.00022345075762116224</v>
      </c>
      <c r="CF103" s="4">
        <v>0.00022345075762116224</v>
      </c>
      <c r="CG103" s="5">
        <f>CF103-CE103</f>
        <v>5.003593026020603e-17</v>
      </c>
      <c r="CH103" s="4">
        <v>-7.134050294954619e-17</v>
      </c>
      <c r="CI103" s="4">
        <v>1.3199568897822849</v>
      </c>
      <c r="CJ103" s="4">
        <v>1.773</v>
      </c>
      <c r="CK103" s="4">
        <v>1.758</v>
      </c>
      <c r="CL103" s="6"/>
      <c r="CM103" s="6"/>
      <c r="CN103" s="6"/>
      <c r="CO103" s="9">
        <v>56</v>
      </c>
      <c r="CP103" s="7">
        <f>IFERROR(CE103/F103,0)</f>
        <v>0.00016931506849315067</v>
      </c>
      <c r="CQ103" t="inlineStr">
        <is>
          <t xml:space="preserve">SI69N</t>
        </is>
      </c>
      <c r="CR103" t="inlineStr">
        <is>
          <t xml:space="preserve">future</t>
        </is>
      </c>
      <c r="CS103" t="inlineStr">
        <is>
          <t xml:space="preserve">lease</t>
        </is>
      </c>
      <c r="CT103" t="inlineStr">
        <is>
          <t xml:space="preserve">long</t>
        </is>
      </c>
      <c r="CU103" t="inlineStr">
        <is>
          <t xml:space="preserve">regular</t>
        </is>
      </c>
      <c r="CV103" s="4">
        <v>1.746</v>
      </c>
      <c r="CW103" s="4">
        <v>1.7619999999999998</v>
      </c>
      <c r="CX103" s="6"/>
      <c r="CY103" s="4">
        <v>0.7558610761882382</v>
      </c>
      <c r="CZ103" s="5">
        <f>IF(CR103="direct",IFERROR(DF103/CW103,0),0)</f>
        <v>0</v>
      </c>
      <c r="DA103" s="5">
        <f>IF(CR103="direct",CY103-CZ103,IF(CR103="cash",DK103,CY103))</f>
        <v>0.7558610761882382</v>
      </c>
      <c r="DB103" s="6">
        <v>1</v>
      </c>
      <c r="DC103" s="4">
        <v>1.3197334390246638</v>
      </c>
      <c r="DD103" s="4">
        <v>0</v>
      </c>
      <c r="DE103" s="5">
        <f>IF(CR103="direct",CY103*(CW103-CV103),DH103)</f>
        <v>0.012093777219011767</v>
      </c>
      <c r="DF103" s="5">
        <f>IF(CR103="direct",DD103*CX103*C103/365,0)</f>
        <v>0</v>
      </c>
      <c r="DG103" s="5">
        <f>DE103-DF103</f>
        <v>0.012093777219011767</v>
      </c>
      <c r="DH103" s="4">
        <v>0.012093777219011767</v>
      </c>
      <c r="DI103" s="5">
        <f>DH103-DG103</f>
        <v>0</v>
      </c>
      <c r="DJ103" s="4">
        <v>-0.012093777219011767</v>
      </c>
      <c r="DK103" s="4">
        <v>0</v>
      </c>
      <c r="DL103" s="4">
        <v>1.773</v>
      </c>
      <c r="DM103" s="4">
        <v>1.758</v>
      </c>
      <c r="DN103" s="6">
        <v>-0.015228426395939021</v>
      </c>
      <c r="DO103" s="6">
        <v>0.061799999999999994</v>
      </c>
      <c r="DP103" s="6">
        <v>0.1610567077592454</v>
      </c>
      <c r="DQ103" s="9">
        <v>56</v>
      </c>
      <c r="DR103" s="7">
        <f>IFERROR(DG103/F103,0)</f>
        <v>0.009163802978235935</v>
      </c>
      <c r="DS103" t="inlineStr">
        <is>
          <t xml:space="preserve">Lease cash / margin / financing</t>
        </is>
      </c>
      <c r="DT103" t="inlineStr">
        <is>
          <t xml:space="preserve">cash</t>
        </is>
      </c>
      <c r="DU103" t="inlineStr">
        <is>
          <t xml:space="preserve">lease</t>
        </is>
      </c>
      <c r="DV103" t="inlineStr">
        <is>
          <t xml:space="preserve">cash</t>
        </is>
      </c>
      <c r="DW103"/>
      <c r="DX103" s="4">
        <v>1</v>
      </c>
      <c r="DY103" s="4">
        <v>1</v>
      </c>
      <c r="DZ103" s="6"/>
      <c r="EA103" s="4">
        <v>1.1102230246251565e-15</v>
      </c>
      <c r="EB103" s="5">
        <f>IF(DT103="direct",IFERROR(EH103/DY103,0),0)</f>
        <v>0</v>
      </c>
      <c r="EC103" s="5">
        <f>IF(DT103="direct",EA103-EB103,IF(DT103="cash",EM103,EA103))</f>
        <v>0.012093777219012948</v>
      </c>
      <c r="ED103" s="6"/>
      <c r="EE103" s="4">
        <v>1.1102230246251565e-15</v>
      </c>
      <c r="EF103" s="4">
        <v>1.1102230246251565e-15</v>
      </c>
      <c r="EG103" s="5">
        <f>IF(DT103="direct",EA103*(DY103-DX103),EJ103)</f>
        <v>0</v>
      </c>
      <c r="EH103" s="5">
        <f>IF(DT103="direct",EF103*DZ103*C103/365,0)</f>
        <v>0</v>
      </c>
      <c r="EI103" s="5">
        <f>EG103-EH103</f>
        <v>0</v>
      </c>
      <c r="EJ103" s="4">
        <v>0</v>
      </c>
      <c r="EK103" s="5">
        <f>EJ103-EI103</f>
        <v>0</v>
      </c>
      <c r="EL103" s="4">
        <v>0.012093777219011838</v>
      </c>
      <c r="EM103" s="4">
        <v>0.012093777219012948</v>
      </c>
      <c r="EN103" s="4">
        <v>1.773</v>
      </c>
      <c r="EO103" s="4">
        <v>1.758</v>
      </c>
      <c r="EP103" s="6"/>
      <c r="EQ103" s="6"/>
      <c r="ER103" s="6"/>
      <c r="ES103" s="9"/>
      <c r="ET103" s="7">
        <f>IFERROR(EI103/F103,0)</f>
        <v>0</v>
      </c>
      <c r="EU103" t="inlineStr">
        <is>
          <t xml:space="preserve">Keep cash / margin / financing</t>
        </is>
      </c>
      <c r="EV103" t="inlineStr">
        <is>
          <t xml:space="preserve">cash</t>
        </is>
      </c>
      <c r="EW103" t="inlineStr">
        <is>
          <t xml:space="preserve">keep</t>
        </is>
      </c>
      <c r="EX103" t="inlineStr">
        <is>
          <t xml:space="preserve">cash</t>
        </is>
      </c>
      <c r="EY103"/>
      <c r="EZ103" s="4">
        <v>1</v>
      </c>
      <c r="FA103" s="4">
        <v>1</v>
      </c>
      <c r="FB103" s="6"/>
      <c r="FC103" s="4">
        <v>0</v>
      </c>
      <c r="FD103" s="5">
        <f>IF(EV103="direct",IFERROR(FJ103/FA103,0),0)</f>
        <v>0</v>
      </c>
      <c r="FE103" s="5">
        <f>IF(EV103="direct",FC103-FD103,IF(EV103="cash",FO103,FC103))</f>
        <v>0</v>
      </c>
      <c r="FF103" s="6"/>
      <c r="FG103" s="4">
        <v>0</v>
      </c>
      <c r="FH103" s="4">
        <v>0</v>
      </c>
      <c r="FI103" s="5">
        <f>IF(EV103="direct",FC103*(FA103-EZ103),FL103)</f>
        <v>0</v>
      </c>
      <c r="FJ103" s="5">
        <f>IF(EV103="direct",FH103*FB103*C103/365,0)</f>
        <v>0</v>
      </c>
      <c r="FK103" s="5">
        <f>FI103-FJ103</f>
        <v>0</v>
      </c>
      <c r="FL103" s="4">
        <v>0</v>
      </c>
      <c r="FM103" s="5">
        <f>FL103-FK103</f>
        <v>0</v>
      </c>
      <c r="FN103" s="4">
        <v>0</v>
      </c>
      <c r="FO103" s="4">
        <v>0</v>
      </c>
      <c r="FP103" s="4">
        <v>1.773</v>
      </c>
      <c r="FQ103" s="4">
        <v>1.758</v>
      </c>
      <c r="FR103" s="6"/>
      <c r="FS103" s="6"/>
      <c r="FT103" s="6"/>
      <c r="FU103" s="9"/>
      <c r="FV103" s="7">
        <f>IFERROR(FK103/F103,0)</f>
        <v>0</v>
      </c>
      <c r="FW103"/>
      <c r="FX103"/>
      <c r="FY103"/>
      <c r="FZ103"/>
      <c r="GA103"/>
      <c r="GB103" s="4"/>
      <c r="GC103" s="4"/>
      <c r="GD103" s="6"/>
      <c r="GE103" s="4"/>
      <c r="GF103" s="5">
        <v>0</v>
      </c>
      <c r="GG103" s="5"/>
      <c r="GH103" s="6"/>
      <c r="GI103" s="4"/>
      <c r="GJ103" s="4"/>
      <c r="GK103" s="5">
        <v>0</v>
      </c>
      <c r="GL103" s="5">
        <v>0</v>
      </c>
      <c r="GM103" s="5"/>
      <c r="GN103" s="4"/>
      <c r="GO103" s="5">
        <v>0</v>
      </c>
      <c r="GP103" s="4"/>
      <c r="GQ103" s="4"/>
      <c r="GR103" s="4"/>
      <c r="GS103" s="4"/>
      <c r="GT103" s="6"/>
      <c r="GU103" s="6"/>
      <c r="GV103" s="6"/>
      <c r="GW103" s="9"/>
      <c r="GX103"/>
      <c r="GY103"/>
      <c r="GZ103"/>
      <c r="HA103"/>
      <c r="HB103"/>
      <c r="HC103"/>
      <c r="HD103" s="4"/>
      <c r="HE103" s="4"/>
      <c r="HF103" s="6"/>
      <c r="HG103" s="4"/>
      <c r="HH103" s="5">
        <v>0</v>
      </c>
      <c r="HI103" s="5"/>
      <c r="HJ103" s="6"/>
      <c r="HK103" s="4"/>
      <c r="HL103" s="4"/>
      <c r="HM103" s="5">
        <v>0</v>
      </c>
      <c r="HN103" s="5">
        <v>0</v>
      </c>
      <c r="HO103" s="5"/>
      <c r="HP103" s="4"/>
      <c r="HQ103" s="5">
        <v>0</v>
      </c>
      <c r="HR103" s="4"/>
      <c r="HS103" s="4"/>
      <c r="HT103" s="4"/>
      <c r="HU103" s="4"/>
      <c r="HV103" s="6"/>
      <c r="HW103" s="6"/>
      <c r="HX103" s="6"/>
      <c r="HY103" s="9"/>
      <c r="HZ103"/>
      <c r="IA103"/>
      <c r="IB103"/>
      <c r="IC103"/>
      <c r="ID103"/>
      <c r="IE103"/>
      <c r="IF103" s="4"/>
      <c r="IG103" s="4"/>
      <c r="IH103" s="6"/>
      <c r="II103" s="4"/>
      <c r="IJ103" s="5">
        <v>0</v>
      </c>
      <c r="IK103" s="5"/>
      <c r="IL103" s="6"/>
      <c r="IM103" s="4"/>
      <c r="IN103" s="4"/>
      <c r="IO103" s="5">
        <v>0</v>
      </c>
      <c r="IP103" s="5">
        <v>0</v>
      </c>
      <c r="IQ103" s="5"/>
      <c r="IR103" s="4"/>
      <c r="IS103" s="5">
        <v>0</v>
      </c>
      <c r="IT103" s="4"/>
      <c r="IU103" s="4"/>
      <c r="IV103" s="4"/>
      <c r="IW103" s="4"/>
      <c r="IX103" s="6"/>
      <c r="IY103" s="6"/>
      <c r="IZ103" s="6"/>
      <c r="JA103" s="9"/>
      <c r="JB103"/>
      <c r="JC103"/>
      <c r="JD103"/>
      <c r="JE103"/>
      <c r="JF103"/>
      <c r="JG103"/>
      <c r="JH103" s="4"/>
      <c r="JI103" s="4"/>
      <c r="JJ103" s="6"/>
      <c r="JK103" s="4"/>
      <c r="JL103" s="5">
        <v>0</v>
      </c>
      <c r="JM103" s="5"/>
      <c r="JN103" s="6"/>
      <c r="JO103" s="4"/>
      <c r="JP103" s="4"/>
      <c r="JQ103" s="5">
        <v>0</v>
      </c>
      <c r="JR103" s="5">
        <v>0</v>
      </c>
      <c r="JS103" s="5"/>
      <c r="JT103" s="4"/>
      <c r="JU103" s="5">
        <v>0</v>
      </c>
      <c r="JV103" s="4"/>
      <c r="JW103" s="4"/>
      <c r="JX103" s="4"/>
      <c r="JY103" s="4"/>
      <c r="JZ103" s="6"/>
      <c r="KA103" s="6"/>
      <c r="KB103" s="6"/>
      <c r="KC103" s="9"/>
      <c r="KD103"/>
      <c r="KE103"/>
      <c r="KF103"/>
      <c r="KG103"/>
      <c r="KH103"/>
      <c r="KI103"/>
      <c r="KJ103" s="4"/>
      <c r="KK103" s="4"/>
      <c r="KL103" s="6"/>
      <c r="KM103" s="4"/>
      <c r="KN103" s="5">
        <v>0</v>
      </c>
      <c r="KO103" s="5"/>
      <c r="KP103" s="6"/>
      <c r="KQ103" s="4"/>
      <c r="KR103" s="4"/>
      <c r="KS103" s="5">
        <v>0</v>
      </c>
      <c r="KT103" s="5">
        <v>0</v>
      </c>
      <c r="KU103" s="5"/>
      <c r="KV103" s="4"/>
      <c r="KW103" s="5">
        <v>0</v>
      </c>
      <c r="KX103" s="4"/>
      <c r="KY103" s="4"/>
      <c r="KZ103" s="4"/>
      <c r="LA103" s="4"/>
      <c r="LB103" s="6"/>
      <c r="LC103" s="6"/>
      <c r="LD103" s="6"/>
      <c r="LE103" s="9"/>
      <c r="LF103"/>
      <c r="LG103"/>
      <c r="LH103"/>
      <c r="LI103"/>
      <c r="LJ103"/>
      <c r="LK103"/>
      <c r="LL103" s="4"/>
      <c r="LM103" s="4"/>
      <c r="LN103" s="6"/>
      <c r="LO103" s="4"/>
      <c r="LP103" s="5">
        <v>0</v>
      </c>
      <c r="LQ103" s="5"/>
      <c r="LR103" s="6"/>
      <c r="LS103" s="4"/>
      <c r="LT103" s="4"/>
      <c r="LU103" s="5">
        <v>0</v>
      </c>
      <c r="LV103" s="5">
        <v>0</v>
      </c>
      <c r="LW103" s="5"/>
      <c r="LX103" s="4"/>
      <c r="LY103" s="5">
        <v>0</v>
      </c>
      <c r="LZ103" s="4"/>
      <c r="MA103" s="4"/>
      <c r="MB103" s="4"/>
      <c r="MC103" s="4"/>
      <c r="MD103" s="6"/>
      <c r="ME103" s="6"/>
      <c r="MF103" s="6"/>
      <c r="MG103" s="9"/>
      <c r="MH103"/>
    </row>
    <row r="104">
      <c r="A104" s="8">
        <v>25358</v>
      </c>
      <c r="B104" s="8">
        <v>25359</v>
      </c>
      <c r="C104" s="9">
        <f>B104-A104</f>
        <v>1</v>
      </c>
      <c r="D104" s="8">
        <v>25358</v>
      </c>
      <c r="E104" t="inlineStr">
        <is>
          <t xml:space="preserve">positive</t>
        </is>
      </c>
      <c r="F104" s="4">
        <v>1.3320506670012968</v>
      </c>
      <c r="G104" s="6">
        <v>0.00010396574845618041</v>
      </c>
      <c r="H104" s="7">
        <f>SUM(CP104,DR104,ET104,FV104,GX104,HZ104,JB104,KD104,LF104,MH104)</f>
        <v>0.00010396574845618044</v>
      </c>
      <c r="I104" s="7">
        <f>G104-H104</f>
        <v>-2.710505431213761e-20</v>
      </c>
      <c r="J104" s="5">
        <f>F104*(1+H104)</f>
        <v>1.3321891546458733</v>
      </c>
      <c r="K104" s="4">
        <v>1.3321891546458733</v>
      </c>
      <c r="L104" s="5">
        <f>K104-J104</f>
        <v>0</v>
      </c>
      <c r="M104" s="4">
        <v>1.758</v>
      </c>
      <c r="N104" s="4">
        <v>1.766</v>
      </c>
      <c r="O104" s="5">
        <f>M104/$M$3</f>
        <v>0.8978549540347294</v>
      </c>
      <c r="P104" s="5">
        <f>N104/$M$3</f>
        <v>0.9019407558733402</v>
      </c>
      <c r="Q104" s="7">
        <f>IFERROR(N104/M104-1,0)</f>
        <v>0.004550625711035261</v>
      </c>
      <c r="R104" s="5">
        <f>SUM(IF(BQ104="lease",CB104,0),IF(CS104="lease",DD104,0),IF(DU104="lease",EF104,0),IF(EW104="lease",FH104,0),IF(FY104="lease",GJ104,0),IF(HA104="lease",HL104,0),IF(IC104="lease",IN104,0),IF(JE104="lease",JP104,0),IF(KG104="lease",KR104,0),IF(LI104="lease",LT104,0))</f>
        <v>1.332050667001298</v>
      </c>
      <c r="S104" s="5">
        <f>SUM(IF(BQ104="lease",CI104,0),IF(CS104="lease",DK104,0),IF(DU104="lease",EM104,0),IF(EW104="lease",FO104,0),IF(FY104="lease",GQ104,0),IF(HA104="lease",HS104,0),IF(IC104="lease",IU104,0),IF(JE104="lease",JW104,0),IF(KG104="lease",KY104,0),IF(LI104="lease",MA104,0))</f>
        <v>1.3321891546458742</v>
      </c>
      <c r="T104" s="5">
        <f>SUM(IF(BQ104="keep",CB104,0),IF(CS104="keep",DD104,0),IF(DU104="keep",EF104,0),IF(EW104="keep",FH104,0),IF(FY104="keep",GJ104,0),IF(HA104="keep",HL104,0),IF(IC104="keep",IN104,0),IF(JE104="keep",JP104,0),IF(KG104="keep",KR104,0),IF(LI104="keep",LT104,0))</f>
        <v>0</v>
      </c>
      <c r="U104" s="5">
        <f>SUM(IF(BQ104="keep",CI104,0),IF(CS104="keep",DK104,0),IF(DU104="keep",EM104,0),IF(EW104="keep",FO104,0),IF(FY104="keep",GQ104,0),IF(HA104="keep",HS104,0),IF(IC104="keep",IU104,0),IF(JE104="keep",JW104,0),IF(KG104="keep",KY104,0),IF(LI104="keep",MA104,0))</f>
        <v>0</v>
      </c>
      <c r="V104" s="5">
        <f>R104/O104</f>
        <v>1.4835922673427424</v>
      </c>
      <c r="W104" s="5">
        <f>S104/P104</f>
        <v>1.477025121628891</v>
      </c>
      <c r="X104" s="5">
        <f>T104/O104</f>
        <v>0</v>
      </c>
      <c r="Y104" s="5">
        <f>U104/P104</f>
        <v>0</v>
      </c>
      <c r="Z104" s="5">
        <f>V104+X104</f>
        <v>1.4835922673427424</v>
      </c>
      <c r="AA104" s="7">
        <f>IFERROR(W104/V104-1,0)</f>
        <v>-0.004426516542590075</v>
      </c>
      <c r="AB104" s="7">
        <f>IFERROR((W104-V104)/Z104,0)</f>
        <v>-0.00442651654259011</v>
      </c>
      <c r="AC104" s="7">
        <f>IFERROR(Y104/X104-1,0)</f>
        <v>0</v>
      </c>
      <c r="AD104" s="7">
        <f>IFERROR((Y104-X104)/Z104,0)</f>
        <v>0</v>
      </c>
      <c r="AE104" s="7">
        <f>AB104+AD104</f>
        <v>-0.00442651654259011</v>
      </c>
      <c r="AF104" s="7">
        <f>(1+Q104)*(1+AE104)-1</f>
        <v>0.00010396574845605855</v>
      </c>
      <c r="AG104" s="7">
        <f>G104-AF104</f>
        <v>1.218643241873707e-16</v>
      </c>
      <c r="AH104" s="5">
        <f>SUM(IF(BQ104="lease",CE104,0),IF(CS104="lease",DG104,0),IF(DU104="lease",EI104,0),IF(EW104="lease",FK104,0),IF(FY104="lease",GM104,0),IF(HA104="lease",HO104,0),IF(IC104="lease",IQ104,0),IF(JE104="lease",JS104,0),IF(KG104="lease",KU104,0),IF(LI104="lease",LW104,0))</f>
        <v>0.0001384876445763442</v>
      </c>
      <c r="AI104" s="5">
        <f>SUM(IF(BQ104="keep",CE104,0),IF(CS104="keep",DG104,0),IF(DU104="keep",EI104,0),IF(EW104="keep",FK104,0),IF(FY104="keep",GM104,0),IF(HA104="keep",HO104,0),IF(IC104="keep",IQ104,0),IF(JE104="keep",JS104,0),IF(KG104="keep",KU104,0),IF(LI104="keep",LW104,0))</f>
        <v>0</v>
      </c>
      <c r="AJ104" s="5">
        <f>SUM(IF(BQ104="lease",CH104,0),IF(CS104="lease",DJ104,0),IF(DU104="lease",EL104,0),IF(EW104="lease",FN104,0),IF(FY104="lease",GP104,0),IF(HA104="lease",HR104,0),IF(IC104="lease",IT104,0),IF(JE104="lease",JV104,0),IF(KG104="lease",KX104,0),IF(LI104="lease",LZ104,0))</f>
        <v>0</v>
      </c>
      <c r="AK104" s="5">
        <f>SUM(IF(BQ104="keep",CH104,0),IF(CS104="keep",DJ104,0),IF(DU104="keep",EL104,0),IF(EW104="keep",FN104,0),IF(FY104="keep",GP104,0),IF(HA104="keep",HR104,0),IF(IC104="keep",IT104,0),IF(JE104="keep",JV104,0),IF(KG104="keep",KX104,0),IF(LI104="keep",LZ104,0))</f>
        <v>0</v>
      </c>
      <c r="AL104" s="5">
        <f>R104-S103</f>
        <v>0</v>
      </c>
      <c r="AM104" s="5">
        <f>T104-U103</f>
        <v>0</v>
      </c>
      <c r="AN104" s="5">
        <f>AN103</f>
        <v>1</v>
      </c>
      <c r="AO104" s="5">
        <f>AO103+AH104</f>
        <v>0.3321891546458742</v>
      </c>
      <c r="AP104" s="5">
        <f>AP103+AL104</f>
        <v>-4.440892098500626e-16</v>
      </c>
      <c r="AQ104" s="5">
        <f>AN104+AO104+AP104</f>
        <v>1.3321891546458737</v>
      </c>
      <c r="AR104" s="5">
        <f>S104-AQ104</f>
        <v>4.440892098500626e-16</v>
      </c>
      <c r="AS104" s="5">
        <f>AS103</f>
        <v>0</v>
      </c>
      <c r="AT104" s="5">
        <f>AT103+AI104</f>
        <v>0</v>
      </c>
      <c r="AU104" s="5">
        <f>AU103+AM104</f>
        <v>0</v>
      </c>
      <c r="AV104" s="5">
        <f>AS104+AT104+AU104</f>
        <v>0</v>
      </c>
      <c r="AW104" s="5">
        <f>U104-AV104</f>
        <v>0</v>
      </c>
      <c r="AX104" s="4">
        <v>1.332050667001298</v>
      </c>
      <c r="AY104" s="4">
        <v>1.3321891546458742</v>
      </c>
      <c r="AZ104" s="5">
        <f>S104-AY104</f>
        <v>0</v>
      </c>
      <c r="BA104" s="4">
        <v>0</v>
      </c>
      <c r="BB104" s="4">
        <v>0</v>
      </c>
      <c r="BC104" s="5">
        <f>U104-BB104</f>
        <v>0</v>
      </c>
      <c r="BD104" s="7">
        <f>SUM(IF(BP104="direct",CC104/F104,0),IF(CR104="direct",DE104/F104,0),IF(DT104="direct",EG104/F104,0),IF(EV104="direct",FI104/F104,0),IF(FX104="direct",GK104/F104,0),IF(GZ104="direct",HM104/F104,0),IF(IB104="direct",IO104/F104,0),IF(JD104="direct",JQ104/F104,0),IF(KF104="direct",KS104/F104,0),IF(LH104="direct",LU104/F104,0))</f>
        <v>0.0031095882744241864</v>
      </c>
      <c r="BE104" s="7">
        <f>-SUM(IF(BP104="direct",CD104/F104,0),IF(CR104="direct",DF104/F104,0),IF(DT104="direct",EH104/F104,0),IF(EV104="direct",FJ104/F104,0),IF(FX104="direct",GL104/F104,0),IF(GZ104="direct",HN104/F104,0),IF(IB104="direct",IP104/F104,0),IF(JD104="direct",JR104/F104,0),IF(KF104="direct",KT104/F104,0),IF(LH104="direct",LV104/F104,0))</f>
        <v>-0.000004680356324004894</v>
      </c>
      <c r="BF104" s="7">
        <f>BD104+BE104</f>
        <v>0.0031049079181001814</v>
      </c>
      <c r="BG104" s="7">
        <f>BF104-SUM(IF(BP104="direct",CP104,0),IF(CR104="direct",DR104,0),IF(DT104="direct",ET104,0),IF(EV104="direct",FV104,0),IF(FX104="direct",GX104,0),IF(GZ104="direct",HZ104,0),IF(IB104="direct",JB104,0),IF(JD104="direct",KD104,0),IF(KF104="direct",LF104,0),IF(LH104="direct",MH104,0))</f>
        <v>6.5052130349130266e-18</v>
      </c>
      <c r="BH104" s="7">
        <f>SUM(IF(BP104="treasury",CP104,0),IF(CR104="treasury",DR104,0),IF(DT104="treasury",ET104,0),IF(EV104="treasury",FV104,0),IF(FX104="treasury",GX104,0),IF(GZ104="treasury",HZ104,0),IF(IB104="treasury",JB104,0),IF(JD104="treasury",KD104,0),IF(KF104="treasury",LF104,0),IF(LH104="treasury",MH104,0))</f>
        <v>0.000054310726961985956</v>
      </c>
      <c r="BI104" s="7">
        <f>SUM(IF(BP104="future",CP104,0),IF(CR104="future",DR104,0),IF(DT104="future",ET104,0),IF(EV104="future",FV104,0),IF(FX104="future",GX104,0),IF(GZ104="future",HZ104,0),IF(IB104="future",JB104,0),IF(JD104="future",KD104,0),IF(KF104="future",LF104,0),IF(LH104="future",MH104,0))</f>
        <v>-0.0030552528966059805</v>
      </c>
      <c r="BJ104" s="7">
        <f>SUM(IF(BP104="cash",CP104,0),IF(CR104="cash",DR104,0),IF(DT104="cash",ET104,0),IF(EV104="cash",FV104,0),IF(FX104="cash",GX104,0),IF(GZ104="cash",HZ104,0),IF(IB104="cash",JB104,0),IF(JD104="cash",KD104,0),IF(KF104="cash",LF104,0),IF(LH104="cash",MH104,0))</f>
        <v>0</v>
      </c>
      <c r="BK104" s="7">
        <f>SUM(BF104,BH104,BI104,BJ104)</f>
        <v>0.00010396574845618041</v>
      </c>
      <c r="BL104" s="7">
        <f>G104-BK104</f>
        <v>0</v>
      </c>
      <c r="BM104" s="5">
        <f>MAX(ABS(CG104),ABS(DI104),ABS(EK104),ABS(FM104),ABS(GO104),ABS(HQ104),ABS(IS104),ABS(JU104),ABS(KW104),ABS(LY104))</f>
        <v>8.818629420453972e-17</v>
      </c>
      <c r="BN104" s="9">
        <f>COUNTA(BO104,CQ104,DS104,EU104,FW104,GY104,IA104,JC104,KE104,LG104)</f>
        <v>5</v>
      </c>
      <c r="BO104" t="inlineStr">
        <is>
          <t xml:space="preserve">Direct commodity holding</t>
        </is>
      </c>
      <c r="BP104" t="inlineStr">
        <is>
          <t xml:space="preserve">direct</t>
        </is>
      </c>
      <c r="BQ104" t="inlineStr">
        <is>
          <t xml:space="preserve">lease</t>
        </is>
      </c>
      <c r="BR104" t="inlineStr">
        <is>
          <t xml:space="preserve">long</t>
        </is>
      </c>
      <c r="BS104"/>
      <c r="BT104" s="4">
        <v>1.758</v>
      </c>
      <c r="BU104" s="4">
        <v>1.766</v>
      </c>
      <c r="BV104" s="6">
        <v>0.0025</v>
      </c>
      <c r="BW104" s="4">
        <v>0.5177661418807682</v>
      </c>
      <c r="BX104" s="5">
        <f>IF(BP104="direct",IFERROR(CD104/BU104,0),0)</f>
        <v>0.000003530278461605015</v>
      </c>
      <c r="BY104" s="5">
        <f>IF(BP104="direct",BW104-BX104,IF(BP104="cash",CI104,BW104))</f>
        <v>0.5177626116023066</v>
      </c>
      <c r="BZ104" s="6">
        <v>0.6833320233047143</v>
      </c>
      <c r="CA104" s="4">
        <v>0.9102328774263906</v>
      </c>
      <c r="CB104" s="4">
        <v>0.9102328774263906</v>
      </c>
      <c r="CC104" s="5">
        <f>IF(BP104="direct",BW104*(BU104-BT104),CF104)</f>
        <v>0.004142129135046149</v>
      </c>
      <c r="CD104" s="5">
        <f>IF(BP104="direct",CB104*BV104*C104/365,0)</f>
        <v>0.000006234471763194456</v>
      </c>
      <c r="CE104" s="5">
        <f>CC104-CD104</f>
        <v>0.004135894663282946</v>
      </c>
      <c r="CF104" s="4">
        <v>0.004135894663282946</v>
      </c>
      <c r="CG104" s="5">
        <f>CF104-CE104</f>
        <v>-8.626183534837795e-18</v>
      </c>
      <c r="CH104" s="4">
        <v>0</v>
      </c>
      <c r="CI104" s="4">
        <v>0.9143687720896735</v>
      </c>
      <c r="CJ104" s="4">
        <v>1.758</v>
      </c>
      <c r="CK104" s="4">
        <v>1.766</v>
      </c>
      <c r="CL104" s="6"/>
      <c r="CM104" s="6"/>
      <c r="CN104" s="6"/>
      <c r="CO104" s="9"/>
      <c r="CP104" s="7">
        <f>IFERROR(CE104/F104,0)</f>
        <v>0.003104907918100175</v>
      </c>
      <c r="CQ104" t="inlineStr">
        <is>
          <t xml:space="preserve">Treasury collateral</t>
        </is>
      </c>
      <c r="CR104" t="inlineStr">
        <is>
          <t xml:space="preserve">treasury</t>
        </is>
      </c>
      <c r="CS104" t="inlineStr">
        <is>
          <t xml:space="preserve">lease</t>
        </is>
      </c>
      <c r="CT104" t="inlineStr">
        <is>
          <t xml:space="preserve">long</t>
        </is>
      </c>
      <c r="CU104"/>
      <c r="CV104" s="4">
        <v>102.58321869979984</v>
      </c>
      <c r="CW104" s="4">
        <v>102.60081242443167</v>
      </c>
      <c r="CX104" s="6"/>
      <c r="CY104" s="4">
        <v>0.004111957052247661</v>
      </c>
      <c r="CZ104" s="5">
        <f>IF(CR104="direct",IFERROR(DF104/CW104,0),0)</f>
        <v>0</v>
      </c>
      <c r="DA104" s="5">
        <f>IF(CR104="direct",CY104-CZ104,IF(CR104="cash",DK104,CY104))</f>
        <v>0.004111957052247661</v>
      </c>
      <c r="DB104" s="6">
        <v>0.3166679766952855</v>
      </c>
      <c r="DC104" s="4">
        <v>0.4218177895749062</v>
      </c>
      <c r="DD104" s="4">
        <v>0.4218177895749062</v>
      </c>
      <c r="DE104" s="5">
        <f>IF(CR104="direct",CY104*(CW104-CV104),DH104)</f>
        <v>0.00007234464007512689</v>
      </c>
      <c r="DF104" s="5">
        <f>IF(CR104="direct",DD104*CX104*C104/365,0)</f>
        <v>0</v>
      </c>
      <c r="DG104" s="5">
        <f>DE104-DF104</f>
        <v>0.0000723446400750387</v>
      </c>
      <c r="DH104" s="4">
        <v>0.0000723446400750387</v>
      </c>
      <c r="DI104" s="5">
        <f>DH104-DG104</f>
        <v>-8.818629420453972e-17</v>
      </c>
      <c r="DJ104" s="4">
        <v>6.728829732988162e-17</v>
      </c>
      <c r="DK104" s="4">
        <v>0.4218901342149813</v>
      </c>
      <c r="DL104" s="4">
        <v>1.758</v>
      </c>
      <c r="DM104" s="4">
        <v>1.766</v>
      </c>
      <c r="DN104" s="6"/>
      <c r="DO104" s="6"/>
      <c r="DP104" s="6"/>
      <c r="DQ104" s="9">
        <v>55</v>
      </c>
      <c r="DR104" s="7">
        <f>IFERROR(DG104/F104,0)</f>
        <v>0.000054310726961985956</v>
      </c>
      <c r="DS104" t="inlineStr">
        <is>
          <t xml:space="preserve">SI69N</t>
        </is>
      </c>
      <c r="DT104" t="inlineStr">
        <is>
          <t xml:space="preserve">future</t>
        </is>
      </c>
      <c r="DU104" t="inlineStr">
        <is>
          <t xml:space="preserve">lease</t>
        </is>
      </c>
      <c r="DV104" t="inlineStr">
        <is>
          <t xml:space="preserve">long</t>
        </is>
      </c>
      <c r="DW104" t="inlineStr">
        <is>
          <t xml:space="preserve">regular</t>
        </is>
      </c>
      <c r="DX104" s="4">
        <v>1.7619999999999998</v>
      </c>
      <c r="DY104" s="4">
        <v>1.745</v>
      </c>
      <c r="DZ104" s="6"/>
      <c r="EA104" s="4">
        <v>0.23939715639892523</v>
      </c>
      <c r="EB104" s="5">
        <f>IF(DT104="direct",IFERROR(EH104/DY104,0),0)</f>
        <v>0</v>
      </c>
      <c r="EC104" s="5">
        <f>IF(DT104="direct",EA104-EB104,IF(DT104="cash",EM104,EA104))</f>
        <v>0.23939715639892523</v>
      </c>
      <c r="ED104" s="6">
        <v>0.3166679766952855</v>
      </c>
      <c r="EE104" s="4">
        <v>0.4218177895749062</v>
      </c>
      <c r="EF104" s="4">
        <v>0</v>
      </c>
      <c r="EG104" s="5">
        <f>IF(DT104="direct",EA104*(DY104-DX104),EJ104)</f>
        <v>-0.00406975165878164</v>
      </c>
      <c r="EH104" s="5">
        <f>IF(DT104="direct",EF104*DZ104*C104/365,0)</f>
        <v>0</v>
      </c>
      <c r="EI104" s="5">
        <f>EG104-EH104</f>
        <v>-0.00406975165878164</v>
      </c>
      <c r="EJ104" s="4">
        <v>-0.00406975165878164</v>
      </c>
      <c r="EK104" s="5">
        <f>EJ104-EI104</f>
        <v>0</v>
      </c>
      <c r="EL104" s="4">
        <v>0.00406975165878164</v>
      </c>
      <c r="EM104" s="4">
        <v>0</v>
      </c>
      <c r="EN104" s="4">
        <v>1.758</v>
      </c>
      <c r="EO104" s="4">
        <v>1.766</v>
      </c>
      <c r="EP104" s="6">
        <v>0.0022753128555175195</v>
      </c>
      <c r="EQ104" s="6">
        <v>0.06260000000000002</v>
      </c>
      <c r="ER104" s="6">
        <v>0.04750019650429282</v>
      </c>
      <c r="ES104" s="9">
        <v>55</v>
      </c>
      <c r="ET104" s="7">
        <f>IFERROR(EI104/F104,0)</f>
        <v>-0.0030552528966059805</v>
      </c>
      <c r="EU104" t="inlineStr">
        <is>
          <t xml:space="preserve">Lease cash / margin / financing</t>
        </is>
      </c>
      <c r="EV104" t="inlineStr">
        <is>
          <t xml:space="preserve">cash</t>
        </is>
      </c>
      <c r="EW104" t="inlineStr">
        <is>
          <t xml:space="preserve">lease</t>
        </is>
      </c>
      <c r="EX104" t="inlineStr">
        <is>
          <t xml:space="preserve">cash</t>
        </is>
      </c>
      <c r="EY104"/>
      <c r="EZ104" s="4">
        <v>1</v>
      </c>
      <c r="FA104" s="4">
        <v>1</v>
      </c>
      <c r="FB104" s="6"/>
      <c r="FC104" s="4">
        <v>1.1102230246251565e-15</v>
      </c>
      <c r="FD104" s="5">
        <f>IF(EV104="direct",IFERROR(FJ104/FA104,0),0)</f>
        <v>0</v>
      </c>
      <c r="FE104" s="5">
        <f>IF(EV104="direct",FC104-FD104,IF(EV104="cash",FO104,FC104))</f>
        <v>-0.004069751658780598</v>
      </c>
      <c r="FF104" s="6"/>
      <c r="FG104" s="4">
        <v>1.1102230246251565e-15</v>
      </c>
      <c r="FH104" s="4">
        <v>1.1102230246251565e-15</v>
      </c>
      <c r="FI104" s="5">
        <f>IF(EV104="direct",FC104*(FA104-EZ104),FL104)</f>
        <v>0</v>
      </c>
      <c r="FJ104" s="5">
        <f>IF(EV104="direct",FH104*FB104*C104/365,0)</f>
        <v>0</v>
      </c>
      <c r="FK104" s="5">
        <f>FI104-FJ104</f>
        <v>0</v>
      </c>
      <c r="FL104" s="4">
        <v>0</v>
      </c>
      <c r="FM104" s="5">
        <f>FL104-FK104</f>
        <v>0</v>
      </c>
      <c r="FN104" s="4">
        <v>-0.004069751658781708</v>
      </c>
      <c r="FO104" s="4">
        <v>-0.004069751658780598</v>
      </c>
      <c r="FP104" s="4">
        <v>1.758</v>
      </c>
      <c r="FQ104" s="4">
        <v>1.766</v>
      </c>
      <c r="FR104" s="6"/>
      <c r="FS104" s="6"/>
      <c r="FT104" s="6"/>
      <c r="FU104" s="9"/>
      <c r="FV104" s="7">
        <f>IFERROR(FK104/F104,0)</f>
        <v>0</v>
      </c>
      <c r="FW104" t="inlineStr">
        <is>
          <t xml:space="preserve">Keep cash / margin / financing</t>
        </is>
      </c>
      <c r="FX104" t="inlineStr">
        <is>
          <t xml:space="preserve">cash</t>
        </is>
      </c>
      <c r="FY104" t="inlineStr">
        <is>
          <t xml:space="preserve">keep</t>
        </is>
      </c>
      <c r="FZ104" t="inlineStr">
        <is>
          <t xml:space="preserve">cash</t>
        </is>
      </c>
      <c r="GA104"/>
      <c r="GB104" s="4">
        <v>1</v>
      </c>
      <c r="GC104" s="4">
        <v>1</v>
      </c>
      <c r="GD104" s="6"/>
      <c r="GE104" s="4">
        <v>0</v>
      </c>
      <c r="GF104" s="5">
        <f>IF(FX104="direct",IFERROR(GL104/GC104,0),0)</f>
        <v>0</v>
      </c>
      <c r="GG104" s="5">
        <f>IF(FX104="direct",GE104-GF104,IF(FX104="cash",GQ104,GE104))</f>
        <v>0</v>
      </c>
      <c r="GH104" s="6"/>
      <c r="GI104" s="4">
        <v>0</v>
      </c>
      <c r="GJ104" s="4">
        <v>0</v>
      </c>
      <c r="GK104" s="5">
        <f>IF(FX104="direct",GE104*(GC104-GB104),GN104)</f>
        <v>0</v>
      </c>
      <c r="GL104" s="5">
        <f>IF(FX104="direct",GJ104*GD104*C104/365,0)</f>
        <v>0</v>
      </c>
      <c r="GM104" s="5">
        <f>GK104-GL104</f>
        <v>0</v>
      </c>
      <c r="GN104" s="4">
        <v>0</v>
      </c>
      <c r="GO104" s="5">
        <f>GN104-GM104</f>
        <v>0</v>
      </c>
      <c r="GP104" s="4">
        <v>0</v>
      </c>
      <c r="GQ104" s="4">
        <v>0</v>
      </c>
      <c r="GR104" s="4">
        <v>1.758</v>
      </c>
      <c r="GS104" s="4">
        <v>1.766</v>
      </c>
      <c r="GT104" s="6"/>
      <c r="GU104" s="6"/>
      <c r="GV104" s="6"/>
      <c r="GW104" s="9"/>
      <c r="GX104" s="7">
        <f>IFERROR(GM104/F104,0)</f>
        <v>0</v>
      </c>
      <c r="GY104"/>
      <c r="GZ104"/>
      <c r="HA104"/>
      <c r="HB104"/>
      <c r="HC104"/>
      <c r="HD104" s="4"/>
      <c r="HE104" s="4"/>
      <c r="HF104" s="6"/>
      <c r="HG104" s="4"/>
      <c r="HH104" s="5">
        <v>0</v>
      </c>
      <c r="HI104" s="5"/>
      <c r="HJ104" s="6"/>
      <c r="HK104" s="4"/>
      <c r="HL104" s="4"/>
      <c r="HM104" s="5">
        <v>0</v>
      </c>
      <c r="HN104" s="5">
        <v>0</v>
      </c>
      <c r="HO104" s="5"/>
      <c r="HP104" s="4"/>
      <c r="HQ104" s="5">
        <v>0</v>
      </c>
      <c r="HR104" s="4"/>
      <c r="HS104" s="4"/>
      <c r="HT104" s="4"/>
      <c r="HU104" s="4"/>
      <c r="HV104" s="6"/>
      <c r="HW104" s="6"/>
      <c r="HX104" s="6"/>
      <c r="HY104" s="9"/>
      <c r="HZ104"/>
      <c r="IA104"/>
      <c r="IB104"/>
      <c r="IC104"/>
      <c r="ID104"/>
      <c r="IE104"/>
      <c r="IF104" s="4"/>
      <c r="IG104" s="4"/>
      <c r="IH104" s="6"/>
      <c r="II104" s="4"/>
      <c r="IJ104" s="5">
        <v>0</v>
      </c>
      <c r="IK104" s="5"/>
      <c r="IL104" s="6"/>
      <c r="IM104" s="4"/>
      <c r="IN104" s="4"/>
      <c r="IO104" s="5">
        <v>0</v>
      </c>
      <c r="IP104" s="5">
        <v>0</v>
      </c>
      <c r="IQ104" s="5"/>
      <c r="IR104" s="4"/>
      <c r="IS104" s="5">
        <v>0</v>
      </c>
      <c r="IT104" s="4"/>
      <c r="IU104" s="4"/>
      <c r="IV104" s="4"/>
      <c r="IW104" s="4"/>
      <c r="IX104" s="6"/>
      <c r="IY104" s="6"/>
      <c r="IZ104" s="6"/>
      <c r="JA104" s="9"/>
      <c r="JB104"/>
      <c r="JC104"/>
      <c r="JD104"/>
      <c r="JE104"/>
      <c r="JF104"/>
      <c r="JG104"/>
      <c r="JH104" s="4"/>
      <c r="JI104" s="4"/>
      <c r="JJ104" s="6"/>
      <c r="JK104" s="4"/>
      <c r="JL104" s="5">
        <v>0</v>
      </c>
      <c r="JM104" s="5"/>
      <c r="JN104" s="6"/>
      <c r="JO104" s="4"/>
      <c r="JP104" s="4"/>
      <c r="JQ104" s="5">
        <v>0</v>
      </c>
      <c r="JR104" s="5">
        <v>0</v>
      </c>
      <c r="JS104" s="5"/>
      <c r="JT104" s="4"/>
      <c r="JU104" s="5">
        <v>0</v>
      </c>
      <c r="JV104" s="4"/>
      <c r="JW104" s="4"/>
      <c r="JX104" s="4"/>
      <c r="JY104" s="4"/>
      <c r="JZ104" s="6"/>
      <c r="KA104" s="6"/>
      <c r="KB104" s="6"/>
      <c r="KC104" s="9"/>
      <c r="KD104"/>
      <c r="KE104"/>
      <c r="KF104"/>
      <c r="KG104"/>
      <c r="KH104"/>
      <c r="KI104"/>
      <c r="KJ104" s="4"/>
      <c r="KK104" s="4"/>
      <c r="KL104" s="6"/>
      <c r="KM104" s="4"/>
      <c r="KN104" s="5">
        <v>0</v>
      </c>
      <c r="KO104" s="5"/>
      <c r="KP104" s="6"/>
      <c r="KQ104" s="4"/>
      <c r="KR104" s="4"/>
      <c r="KS104" s="5">
        <v>0</v>
      </c>
      <c r="KT104" s="5">
        <v>0</v>
      </c>
      <c r="KU104" s="5"/>
      <c r="KV104" s="4"/>
      <c r="KW104" s="5">
        <v>0</v>
      </c>
      <c r="KX104" s="4"/>
      <c r="KY104" s="4"/>
      <c r="KZ104" s="4"/>
      <c r="LA104" s="4"/>
      <c r="LB104" s="6"/>
      <c r="LC104" s="6"/>
      <c r="LD104" s="6"/>
      <c r="LE104" s="9"/>
      <c r="LF104"/>
      <c r="LG104"/>
      <c r="LH104"/>
      <c r="LI104"/>
      <c r="LJ104"/>
      <c r="LK104"/>
      <c r="LL104" s="4"/>
      <c r="LM104" s="4"/>
      <c r="LN104" s="6"/>
      <c r="LO104" s="4"/>
      <c r="LP104" s="5">
        <v>0</v>
      </c>
      <c r="LQ104" s="5"/>
      <c r="LR104" s="6"/>
      <c r="LS104" s="4"/>
      <c r="LT104" s="4"/>
      <c r="LU104" s="5">
        <v>0</v>
      </c>
      <c r="LV104" s="5">
        <v>0</v>
      </c>
      <c r="LW104" s="5"/>
      <c r="LX104" s="4"/>
      <c r="LY104" s="5">
        <v>0</v>
      </c>
      <c r="LZ104" s="4"/>
      <c r="MA104" s="4"/>
      <c r="MB104" s="4"/>
      <c r="MC104" s="4"/>
      <c r="MD104" s="6"/>
      <c r="ME104" s="6"/>
      <c r="MF104" s="6"/>
      <c r="MG104" s="9"/>
      <c r="MH104"/>
    </row>
    <row r="105">
      <c r="A105" s="8">
        <v>25359</v>
      </c>
      <c r="B105" s="8">
        <v>25360</v>
      </c>
      <c r="C105" s="9">
        <f>B105-A105</f>
        <v>1</v>
      </c>
      <c r="D105" s="8">
        <v>25359</v>
      </c>
      <c r="E105" t="inlineStr">
        <is>
          <t xml:space="preserve">positive</t>
        </is>
      </c>
      <c r="F105" s="4">
        <v>1.3321891546458733</v>
      </c>
      <c r="G105" s="6">
        <v>-0.009569573033413175</v>
      </c>
      <c r="H105" s="7">
        <f>SUM(CP105,DR105,ET105,FV105,GX105,HZ105,JB105,KD105,LF105,MH105)</f>
        <v>-0.009569573033413175</v>
      </c>
      <c r="I105" s="7">
        <f>G105-H105</f>
        <v>0</v>
      </c>
      <c r="J105" s="5">
        <f>F105*(1+H105)</f>
        <v>1.3194406732361685</v>
      </c>
      <c r="K105" s="4">
        <v>1.3194406732361685</v>
      </c>
      <c r="L105" s="5">
        <f>K105-J105</f>
        <v>0</v>
      </c>
      <c r="M105" s="4">
        <v>1.766</v>
      </c>
      <c r="N105" s="4">
        <v>1.749</v>
      </c>
      <c r="O105" s="5">
        <f>M105/$M$3</f>
        <v>0.9019407558733402</v>
      </c>
      <c r="P105" s="5">
        <f>N105/$M$3</f>
        <v>0.8932584269662922</v>
      </c>
      <c r="Q105" s="7">
        <f>IFERROR(N105/M105-1,0)</f>
        <v>-0.009626274065685059</v>
      </c>
      <c r="R105" s="5">
        <f>SUM(IF(BQ105="lease",CB105,0),IF(CS105="lease",DD105,0),IF(DU105="lease",EF105,0),IF(EW105="lease",FH105,0),IF(FY105="lease",GJ105,0),IF(HA105="lease",HL105,0),IF(IC105="lease",IN105,0),IF(JE105="lease",JP105,0),IF(KG105="lease",KR105,0),IF(LI105="lease",LT105,0))</f>
        <v>1.3321891546458742</v>
      </c>
      <c r="S105" s="5">
        <f>SUM(IF(BQ105="lease",CI105,0),IF(CS105="lease",DK105,0),IF(DU105="lease",EM105,0),IF(EW105="lease",FO105,0),IF(FY105="lease",GQ105,0),IF(HA105="lease",HS105,0),IF(IC105="lease",IU105,0),IF(JE105="lease",JW105,0),IF(KG105="lease",KY105,0),IF(LI105="lease",MA105,0))</f>
        <v>1.3194406732361694</v>
      </c>
      <c r="T105" s="5">
        <f>SUM(IF(BQ105="keep",CB105,0),IF(CS105="keep",DD105,0),IF(DU105="keep",EF105,0),IF(EW105="keep",FH105,0),IF(FY105="keep",GJ105,0),IF(HA105="keep",HL105,0),IF(IC105="keep",IN105,0),IF(JE105="keep",JP105,0),IF(KG105="keep",KR105,0),IF(LI105="keep",LT105,0))</f>
        <v>0</v>
      </c>
      <c r="U105" s="5">
        <f>SUM(IF(BQ105="keep",CI105,0),IF(CS105="keep",DK105,0),IF(DU105="keep",EM105,0),IF(EW105="keep",FO105,0),IF(FY105="keep",GQ105,0),IF(HA105="keep",HS105,0),IF(IC105="keep",IU105,0),IF(JE105="keep",JW105,0),IF(KG105="keep",KY105,0),IF(LI105="keep",MA105,0))</f>
        <v>0</v>
      </c>
      <c r="V105" s="5">
        <f>R105/O105</f>
        <v>1.477025121628891</v>
      </c>
      <c r="W105" s="5">
        <f>S105/P105</f>
        <v>1.4771096845033844</v>
      </c>
      <c r="X105" s="5">
        <f>T105/O105</f>
        <v>0</v>
      </c>
      <c r="Y105" s="5">
        <f>U105/P105</f>
        <v>0</v>
      </c>
      <c r="Z105" s="5">
        <f>V105+X105</f>
        <v>1.477025121628891</v>
      </c>
      <c r="AA105" s="7">
        <f>IFERROR(W105/V105-1,0)</f>
        <v>0.000057252157228182554</v>
      </c>
      <c r="AB105" s="7">
        <f>IFERROR((W105-V105)/Z105,0)</f>
        <v>0.000057252157228155225</v>
      </c>
      <c r="AC105" s="7">
        <f>IFERROR(Y105/X105-1,0)</f>
        <v>0</v>
      </c>
      <c r="AD105" s="7">
        <f>IFERROR((Y105-X105)/Z105,0)</f>
        <v>0</v>
      </c>
      <c r="AE105" s="7">
        <f>AB105+AD105</f>
        <v>0.000057252157228155225</v>
      </c>
      <c r="AF105" s="7">
        <f>(1+Q105)*(1+AE105)-1</f>
        <v>-0.009569573033413215</v>
      </c>
      <c r="AG105" s="7">
        <f>G105-AF105</f>
        <v>3.9898639947466563e-17</v>
      </c>
      <c r="AH105" s="5">
        <f>SUM(IF(BQ105="lease",CE105,0),IF(CS105="lease",DG105,0),IF(DU105="lease",EI105,0),IF(EW105="lease",FK105,0),IF(FY105="lease",GM105,0),IF(HA105="lease",HO105,0),IF(IC105="lease",IQ105,0),IF(JE105="lease",JS105,0),IF(KG105="lease",KU105,0),IF(LI105="lease",LW105,0))</f>
        <v>-0.012748481409704642</v>
      </c>
      <c r="AI105" s="5">
        <f>SUM(IF(BQ105="keep",CE105,0),IF(CS105="keep",DG105,0),IF(DU105="keep",EI105,0),IF(EW105="keep",FK105,0),IF(FY105="keep",GM105,0),IF(HA105="keep",HO105,0),IF(IC105="keep",IQ105,0),IF(JE105="keep",JS105,0),IF(KG105="keep",KU105,0),IF(LI105="keep",LW105,0))</f>
        <v>0</v>
      </c>
      <c r="AJ105" s="5">
        <f>SUM(IF(BQ105="lease",CH105,0),IF(CS105="lease",DJ105,0),IF(DU105="lease",EL105,0),IF(EW105="lease",FN105,0),IF(FY105="lease",GP105,0),IF(HA105="lease",HR105,0),IF(IC105="lease",IT105,0),IF(JE105="lease",JV105,0),IF(KG105="lease",KX105,0),IF(LI105="lease",LZ105,0))</f>
        <v>0</v>
      </c>
      <c r="AK105" s="5">
        <f>SUM(IF(BQ105="keep",CH105,0),IF(CS105="keep",DJ105,0),IF(DU105="keep",EL105,0),IF(EW105="keep",FN105,0),IF(FY105="keep",GP105,0),IF(HA105="keep",HR105,0),IF(IC105="keep",IT105,0),IF(JE105="keep",JV105,0),IF(KG105="keep",KX105,0),IF(LI105="keep",LZ105,0))</f>
        <v>0</v>
      </c>
      <c r="AL105" s="5">
        <f>R105-S104</f>
        <v>0</v>
      </c>
      <c r="AM105" s="5">
        <f>T105-U104</f>
        <v>0</v>
      </c>
      <c r="AN105" s="5">
        <f>AN104</f>
        <v>1</v>
      </c>
      <c r="AO105" s="5">
        <f>AO104+AH105</f>
        <v>0.31944067323616954</v>
      </c>
      <c r="AP105" s="5">
        <f>AP104+AL105</f>
        <v>-4.440892098500626e-16</v>
      </c>
      <c r="AQ105" s="5">
        <f>AN105+AO105+AP105</f>
        <v>1.3194406732361692</v>
      </c>
      <c r="AR105" s="5">
        <f>S105-AQ105</f>
        <v>2.220446049250313e-16</v>
      </c>
      <c r="AS105" s="5">
        <f>AS104</f>
        <v>0</v>
      </c>
      <c r="AT105" s="5">
        <f>AT104+AI105</f>
        <v>0</v>
      </c>
      <c r="AU105" s="5">
        <f>AU104+AM105</f>
        <v>0</v>
      </c>
      <c r="AV105" s="5">
        <f>AS105+AT105+AU105</f>
        <v>0</v>
      </c>
      <c r="AW105" s="5">
        <f>U105-AV105</f>
        <v>0</v>
      </c>
      <c r="AX105" s="4">
        <v>1.3321891546458742</v>
      </c>
      <c r="AY105" s="4">
        <v>1.3194406732361694</v>
      </c>
      <c r="AZ105" s="5">
        <f>S105-AY105</f>
        <v>0</v>
      </c>
      <c r="BA105" s="4">
        <v>0</v>
      </c>
      <c r="BB105" s="4">
        <v>0</v>
      </c>
      <c r="BC105" s="5">
        <f>U105-BB105</f>
        <v>0</v>
      </c>
      <c r="BD105" s="7">
        <f>SUM(IF(BP105="direct",CC105/F105,0),IF(CR105="direct",DE105/F105,0),IF(DT105="direct",EG105/F105,0),IF(EV105="direct",FI105/F105,0),IF(FX105="direct",GK105/F105,0),IF(GZ105="direct",HM105/F105,0),IF(IB105="direct",IO105/F105,0),IF(JD105="direct",JQ105/F105,0),IF(KF105="direct",KS105/F105,0),IF(LH105="direct",LU105/F105,0))</f>
        <v>-0.00036732304898589213</v>
      </c>
      <c r="BE105" s="7">
        <f>-SUM(IF(BP105="direct",CD105/F105,0),IF(CR105="direct",DF105/F105,0),IF(DT105="direct",EH105/F105,0),IF(EV105="direct",FJ105/F105,0),IF(FX105="direct",GL105/F105,0),IF(GZ105="direct",HN105/F105,0),IF(IB105="direct",IP105/F105,0),IF(JD105="direct",JR105/F105,0),IF(KF105="direct",KT105/F105,0),IF(LH105="direct",LV105/F105,0))</f>
        <v>-2.613587850560392e-7</v>
      </c>
      <c r="BF105" s="7">
        <f>BD105+BE105</f>
        <v>-0.00036758440777094815</v>
      </c>
      <c r="BG105" s="7">
        <f>BF105-SUM(IF(BP105="direct",CP105,0),IF(CR105="direct",DR105,0),IF(DT105="direct",ET105,0),IF(EV105="direct",FV105,0),IF(FX105="direct",GX105,0),IF(GZ105="direct",HZ105,0),IF(IB105="direct",JB105,0),IF(JD105="direct",KD105,0),IF(KF105="direct",LF105,0),IF(LH105="direct",MH105,0))</f>
        <v>-1.8973538018496328e-18</v>
      </c>
      <c r="BH105" s="7">
        <f>SUM(IF(BP105="treasury",CP105,0),IF(CR105="treasury",DR105,0),IF(DT105="treasury",ET105,0),IF(EV105="treasury",FV105,0),IF(FX105="treasury",GX105,0),IF(GZ105="treasury",HZ105,0),IF(IB105="treasury",JB105,0),IF(JD105="treasury",KD105,0),IF(KF105="treasury",LF105,0),IF(LH105="treasury",MH105,0))</f>
        <v>0.00016838816260465256</v>
      </c>
      <c r="BI105" s="7">
        <f>SUM(IF(BP105="future",CP105,0),IF(CR105="future",DR105,0),IF(DT105="future",ET105,0),IF(EV105="future",FV105,0),IF(FX105="future",GX105,0),IF(GZ105="future",HZ105,0),IF(IB105="future",JB105,0),IF(JD105="future",KD105,0),IF(KF105="future",LF105,0),IF(LH105="future",MH105,0))</f>
        <v>-0.00937037678824688</v>
      </c>
      <c r="BJ105" s="7">
        <f>SUM(IF(BP105="cash",CP105,0),IF(CR105="cash",DR105,0),IF(DT105="cash",ET105,0),IF(EV105="cash",FV105,0),IF(FX105="cash",GX105,0),IF(GZ105="cash",HZ105,0),IF(IB105="cash",JB105,0),IF(JD105="cash",KD105,0),IF(KF105="cash",LF105,0),IF(LH105="cash",MH105,0))</f>
        <v>0</v>
      </c>
      <c r="BK105" s="7">
        <f>SUM(BF105,BH105,BI105,BJ105)</f>
        <v>-0.009569573033413175</v>
      </c>
      <c r="BL105" s="7">
        <f>G105-BK105</f>
        <v>0</v>
      </c>
      <c r="BM105" s="5">
        <f>MAX(ABS(CG105),ABS(DI105),ABS(EK105),ABS(FM105),ABS(GO105),ABS(HQ105),ABS(IS105),ABS(JU105),ABS(KW105),ABS(LY105))</f>
        <v>1.9008774589102106e-16</v>
      </c>
      <c r="BN105" s="9">
        <f>COUNTA(BO105,CQ105,DS105,EU105,FW105,GY105,IA105,JC105,KE105,LG105)</f>
        <v>5</v>
      </c>
      <c r="BO105" t="inlineStr">
        <is>
          <t xml:space="preserve">Direct commodity holding</t>
        </is>
      </c>
      <c r="BP105" t="inlineStr">
        <is>
          <t xml:space="preserve">direct</t>
        </is>
      </c>
      <c r="BQ105" t="inlineStr">
        <is>
          <t xml:space="preserve">lease</t>
        </is>
      </c>
      <c r="BR105" t="inlineStr">
        <is>
          <t xml:space="preserve">long</t>
        </is>
      </c>
      <c r="BS105"/>
      <c r="BT105" s="4">
        <v>1.766</v>
      </c>
      <c r="BU105" s="4">
        <v>1.749</v>
      </c>
      <c r="BV105" s="6">
        <v>0.0025</v>
      </c>
      <c r="BW105" s="4">
        <v>0.028784928359439008</v>
      </c>
      <c r="BX105" s="5">
        <f>IF(BP105="direct",IFERROR(CD105/BU105,0),0)</f>
        <v>1.990733784580202e-7</v>
      </c>
      <c r="BY105" s="5">
        <f>IF(BP105="direct",BW105-BX105,IF(BP105="cash",CI105,BW105))</f>
        <v>0.02878472928606055</v>
      </c>
      <c r="BZ105" s="6">
        <v>0.03815838261818172</v>
      </c>
      <c r="CA105" s="4">
        <v>0.05083418348276929</v>
      </c>
      <c r="CB105" s="4">
        <v>0.05083418348276929</v>
      </c>
      <c r="CC105" s="5">
        <f>IF(BP105="direct",BW105*(BU105-BT105),CF105)</f>
        <v>-0.0004893437821104603</v>
      </c>
      <c r="CD105" s="5">
        <f>IF(BP105="direct",CB105*BV105*C105/365,0)</f>
        <v>3.4817933892307736e-7</v>
      </c>
      <c r="CE105" s="5">
        <f>CC105-CD105</f>
        <v>-0.0004896919614493808</v>
      </c>
      <c r="CF105" s="4">
        <v>-0.0004896919614493808</v>
      </c>
      <c r="CG105" s="5">
        <f>CF105-CE105</f>
        <v>2.5688391707854794e-18</v>
      </c>
      <c r="CH105" s="4">
        <v>0</v>
      </c>
      <c r="CI105" s="4">
        <v>0.0503444915213199</v>
      </c>
      <c r="CJ105" s="4">
        <v>1.766</v>
      </c>
      <c r="CK105" s="4">
        <v>1.749</v>
      </c>
      <c r="CL105" s="6"/>
      <c r="CM105" s="6"/>
      <c r="CN105" s="6"/>
      <c r="CO105" s="9"/>
      <c r="CP105" s="7">
        <f>IFERROR(CE105/F105,0)</f>
        <v>-0.00036758440777094625</v>
      </c>
      <c r="CQ105" t="inlineStr">
        <is>
          <t xml:space="preserve">Treasury collateral</t>
        </is>
      </c>
      <c r="CR105" t="inlineStr">
        <is>
          <t xml:space="preserve">treasury</t>
        </is>
      </c>
      <c r="CS105" t="inlineStr">
        <is>
          <t xml:space="preserve">lease</t>
        </is>
      </c>
      <c r="CT105" t="inlineStr">
        <is>
          <t xml:space="preserve">long</t>
        </is>
      </c>
      <c r="CU105"/>
      <c r="CV105" s="4">
        <v>102.60081242443167</v>
      </c>
      <c r="CW105" s="4">
        <v>102.61877459405886</v>
      </c>
      <c r="CX105" s="6"/>
      <c r="CY105" s="4">
        <v>0.012488740984452315</v>
      </c>
      <c r="CZ105" s="5">
        <f>IF(CR105="direct",IFERROR(DF105/CW105,0),0)</f>
        <v>0</v>
      </c>
      <c r="DA105" s="5">
        <f>IF(CR105="direct",CY105-CZ105,IF(CR105="cash",DK105,CY105))</f>
        <v>0.012488740984452315</v>
      </c>
      <c r="DB105" s="6">
        <v>0.9618416173818183</v>
      </c>
      <c r="DC105" s="4">
        <v>1.281354971163104</v>
      </c>
      <c r="DD105" s="4">
        <v>1.281354971163104</v>
      </c>
      <c r="DE105" s="5">
        <f>IF(CR105="direct",CY105*(CW105-CV105),DH105)</f>
        <v>0.00022432488399285404</v>
      </c>
      <c r="DF105" s="5">
        <f>IF(CR105="direct",DD105*CX105*C105/365,0)</f>
        <v>0</v>
      </c>
      <c r="DG105" s="5">
        <f>DE105-DF105</f>
        <v>0.00022432488399266396</v>
      </c>
      <c r="DH105" s="4">
        <v>0.00022432488399266396</v>
      </c>
      <c r="DI105" s="5">
        <f>DH105-DG105</f>
        <v>-1.9008774589102106e-16</v>
      </c>
      <c r="DJ105" s="4">
        <v>1.573990503905831e-16</v>
      </c>
      <c r="DK105" s="4">
        <v>1.2815792960470969</v>
      </c>
      <c r="DL105" s="4">
        <v>1.766</v>
      </c>
      <c r="DM105" s="4">
        <v>1.749</v>
      </c>
      <c r="DN105" s="6"/>
      <c r="DO105" s="6"/>
      <c r="DP105" s="6"/>
      <c r="DQ105" s="9">
        <v>54</v>
      </c>
      <c r="DR105" s="7">
        <f>IFERROR(DG105/F105,0)</f>
        <v>0.00016838816260465256</v>
      </c>
      <c r="DS105" t="inlineStr">
        <is>
          <t xml:space="preserve">SI69N</t>
        </is>
      </c>
      <c r="DT105" t="inlineStr">
        <is>
          <t xml:space="preserve">future</t>
        </is>
      </c>
      <c r="DU105" t="inlineStr">
        <is>
          <t xml:space="preserve">lease</t>
        </is>
      </c>
      <c r="DV105" t="inlineStr">
        <is>
          <t xml:space="preserve">long</t>
        </is>
      </c>
      <c r="DW105" t="inlineStr">
        <is>
          <t xml:space="preserve">regular</t>
        </is>
      </c>
      <c r="DX105" s="4">
        <v>1.745</v>
      </c>
      <c r="DY105" s="4">
        <v>1.7280000000000002</v>
      </c>
      <c r="DZ105" s="6"/>
      <c r="EA105" s="4">
        <v>0.734300843073412</v>
      </c>
      <c r="EB105" s="5">
        <f>IF(DT105="direct",IFERROR(EH105/DY105,0),0)</f>
        <v>0</v>
      </c>
      <c r="EC105" s="5">
        <f>IF(DT105="direct",EA105-EB105,IF(DT105="cash",EM105,EA105))</f>
        <v>0.734300843073412</v>
      </c>
      <c r="ED105" s="6">
        <v>0.9618416173818184</v>
      </c>
      <c r="EE105" s="4">
        <v>1.281354971163104</v>
      </c>
      <c r="EF105" s="4">
        <v>0</v>
      </c>
      <c r="EG105" s="5">
        <f>IF(DT105="direct",EA105*(DY105-DX105),EJ105)</f>
        <v>-0.012483114332247925</v>
      </c>
      <c r="EH105" s="5">
        <f>IF(DT105="direct",EF105*DZ105*C105/365,0)</f>
        <v>0</v>
      </c>
      <c r="EI105" s="5">
        <f>EG105-EH105</f>
        <v>-0.012483114332247925</v>
      </c>
      <c r="EJ105" s="4">
        <v>-0.012483114332247925</v>
      </c>
      <c r="EK105" s="5">
        <f>EJ105-EI105</f>
        <v>0</v>
      </c>
      <c r="EL105" s="4">
        <v>0.012483114332247925</v>
      </c>
      <c r="EM105" s="4">
        <v>0</v>
      </c>
      <c r="EN105" s="4">
        <v>1.766</v>
      </c>
      <c r="EO105" s="4">
        <v>1.749</v>
      </c>
      <c r="EP105" s="6">
        <v>-0.011891279728199255</v>
      </c>
      <c r="EQ105" s="6">
        <v>0.0639</v>
      </c>
      <c r="ER105" s="6">
        <v>0.14427624260727273</v>
      </c>
      <c r="ES105" s="9">
        <v>54</v>
      </c>
      <c r="ET105" s="7">
        <f>IFERROR(EI105/F105,0)</f>
        <v>-0.00937037678824688</v>
      </c>
      <c r="EU105" t="inlineStr">
        <is>
          <t xml:space="preserve">Lease cash / margin / financing</t>
        </is>
      </c>
      <c r="EV105" t="inlineStr">
        <is>
          <t xml:space="preserve">cash</t>
        </is>
      </c>
      <c r="EW105" t="inlineStr">
        <is>
          <t xml:space="preserve">lease</t>
        </is>
      </c>
      <c r="EX105" t="inlineStr">
        <is>
          <t xml:space="preserve">cash</t>
        </is>
      </c>
      <c r="EY105"/>
      <c r="EZ105" s="4">
        <v>1</v>
      </c>
      <c r="FA105" s="4">
        <v>1</v>
      </c>
      <c r="FB105" s="6"/>
      <c r="FC105" s="4">
        <v>8.881784197001252e-16</v>
      </c>
      <c r="FD105" s="5">
        <f>IF(EV105="direct",IFERROR(FJ105/FA105,0),0)</f>
        <v>0</v>
      </c>
      <c r="FE105" s="5">
        <f>IF(EV105="direct",FC105-FD105,IF(EV105="cash",FO105,FC105))</f>
        <v>-0.012483114332247195</v>
      </c>
      <c r="FF105" s="6"/>
      <c r="FG105" s="4">
        <v>8.881784197001252e-16</v>
      </c>
      <c r="FH105" s="4">
        <v>8.881784197001252e-16</v>
      </c>
      <c r="FI105" s="5">
        <f>IF(EV105="direct",FC105*(FA105-EZ105),FL105)</f>
        <v>0</v>
      </c>
      <c r="FJ105" s="5">
        <f>IF(EV105="direct",FH105*FB105*C105/365,0)</f>
        <v>0</v>
      </c>
      <c r="FK105" s="5">
        <f>FI105-FJ105</f>
        <v>0</v>
      </c>
      <c r="FL105" s="4">
        <v>0</v>
      </c>
      <c r="FM105" s="5">
        <f>FL105-FK105</f>
        <v>0</v>
      </c>
      <c r="FN105" s="4">
        <v>-0.012483114332248083</v>
      </c>
      <c r="FO105" s="4">
        <v>-0.012483114332247195</v>
      </c>
      <c r="FP105" s="4">
        <v>1.766</v>
      </c>
      <c r="FQ105" s="4">
        <v>1.749</v>
      </c>
      <c r="FR105" s="6"/>
      <c r="FS105" s="6"/>
      <c r="FT105" s="6"/>
      <c r="FU105" s="9"/>
      <c r="FV105" s="7">
        <f>IFERROR(FK105/F105,0)</f>
        <v>0</v>
      </c>
      <c r="FW105" t="inlineStr">
        <is>
          <t xml:space="preserve">Keep cash / margin / financing</t>
        </is>
      </c>
      <c r="FX105" t="inlineStr">
        <is>
          <t xml:space="preserve">cash</t>
        </is>
      </c>
      <c r="FY105" t="inlineStr">
        <is>
          <t xml:space="preserve">keep</t>
        </is>
      </c>
      <c r="FZ105" t="inlineStr">
        <is>
          <t xml:space="preserve">cash</t>
        </is>
      </c>
      <c r="GA105"/>
      <c r="GB105" s="4">
        <v>1</v>
      </c>
      <c r="GC105" s="4">
        <v>1</v>
      </c>
      <c r="GD105" s="6"/>
      <c r="GE105" s="4">
        <v>0</v>
      </c>
      <c r="GF105" s="5">
        <f>IF(FX105="direct",IFERROR(GL105/GC105,0),0)</f>
        <v>0</v>
      </c>
      <c r="GG105" s="5">
        <f>IF(FX105="direct",GE105-GF105,IF(FX105="cash",GQ105,GE105))</f>
        <v>0</v>
      </c>
      <c r="GH105" s="6"/>
      <c r="GI105" s="4">
        <v>0</v>
      </c>
      <c r="GJ105" s="4">
        <v>0</v>
      </c>
      <c r="GK105" s="5">
        <f>IF(FX105="direct",GE105*(GC105-GB105),GN105)</f>
        <v>0</v>
      </c>
      <c r="GL105" s="5">
        <f>IF(FX105="direct",GJ105*GD105*C105/365,0)</f>
        <v>0</v>
      </c>
      <c r="GM105" s="5">
        <f>GK105-GL105</f>
        <v>0</v>
      </c>
      <c r="GN105" s="4">
        <v>0</v>
      </c>
      <c r="GO105" s="5">
        <f>GN105-GM105</f>
        <v>0</v>
      </c>
      <c r="GP105" s="4">
        <v>0</v>
      </c>
      <c r="GQ105" s="4">
        <v>0</v>
      </c>
      <c r="GR105" s="4">
        <v>1.766</v>
      </c>
      <c r="GS105" s="4">
        <v>1.749</v>
      </c>
      <c r="GT105" s="6"/>
      <c r="GU105" s="6"/>
      <c r="GV105" s="6"/>
      <c r="GW105" s="9"/>
      <c r="GX105" s="7">
        <f>IFERROR(GM105/F105,0)</f>
        <v>0</v>
      </c>
      <c r="GY105"/>
      <c r="GZ105"/>
      <c r="HA105"/>
      <c r="HB105"/>
      <c r="HC105"/>
      <c r="HD105" s="4"/>
      <c r="HE105" s="4"/>
      <c r="HF105" s="6"/>
      <c r="HG105" s="4"/>
      <c r="HH105" s="5">
        <v>0</v>
      </c>
      <c r="HI105" s="5"/>
      <c r="HJ105" s="6"/>
      <c r="HK105" s="4"/>
      <c r="HL105" s="4"/>
      <c r="HM105" s="5">
        <v>0</v>
      </c>
      <c r="HN105" s="5">
        <v>0</v>
      </c>
      <c r="HO105" s="5"/>
      <c r="HP105" s="4"/>
      <c r="HQ105" s="5">
        <v>0</v>
      </c>
      <c r="HR105" s="4"/>
      <c r="HS105" s="4"/>
      <c r="HT105" s="4"/>
      <c r="HU105" s="4"/>
      <c r="HV105" s="6"/>
      <c r="HW105" s="6"/>
      <c r="HX105" s="6"/>
      <c r="HY105" s="9"/>
      <c r="HZ105"/>
      <c r="IA105"/>
      <c r="IB105"/>
      <c r="IC105"/>
      <c r="ID105"/>
      <c r="IE105"/>
      <c r="IF105" s="4"/>
      <c r="IG105" s="4"/>
      <c r="IH105" s="6"/>
      <c r="II105" s="4"/>
      <c r="IJ105" s="5">
        <v>0</v>
      </c>
      <c r="IK105" s="5"/>
      <c r="IL105" s="6"/>
      <c r="IM105" s="4"/>
      <c r="IN105" s="4"/>
      <c r="IO105" s="5">
        <v>0</v>
      </c>
      <c r="IP105" s="5">
        <v>0</v>
      </c>
      <c r="IQ105" s="5"/>
      <c r="IR105" s="4"/>
      <c r="IS105" s="5">
        <v>0</v>
      </c>
      <c r="IT105" s="4"/>
      <c r="IU105" s="4"/>
      <c r="IV105" s="4"/>
      <c r="IW105" s="4"/>
      <c r="IX105" s="6"/>
      <c r="IY105" s="6"/>
      <c r="IZ105" s="6"/>
      <c r="JA105" s="9"/>
      <c r="JB105"/>
      <c r="JC105"/>
      <c r="JD105"/>
      <c r="JE105"/>
      <c r="JF105"/>
      <c r="JG105"/>
      <c r="JH105" s="4"/>
      <c r="JI105" s="4"/>
      <c r="JJ105" s="6"/>
      <c r="JK105" s="4"/>
      <c r="JL105" s="5">
        <v>0</v>
      </c>
      <c r="JM105" s="5"/>
      <c r="JN105" s="6"/>
      <c r="JO105" s="4"/>
      <c r="JP105" s="4"/>
      <c r="JQ105" s="5">
        <v>0</v>
      </c>
      <c r="JR105" s="5">
        <v>0</v>
      </c>
      <c r="JS105" s="5"/>
      <c r="JT105" s="4"/>
      <c r="JU105" s="5">
        <v>0</v>
      </c>
      <c r="JV105" s="4"/>
      <c r="JW105" s="4"/>
      <c r="JX105" s="4"/>
      <c r="JY105" s="4"/>
      <c r="JZ105" s="6"/>
      <c r="KA105" s="6"/>
      <c r="KB105" s="6"/>
      <c r="KC105" s="9"/>
      <c r="KD105"/>
      <c r="KE105"/>
      <c r="KF105"/>
      <c r="KG105"/>
      <c r="KH105"/>
      <c r="KI105"/>
      <c r="KJ105" s="4"/>
      <c r="KK105" s="4"/>
      <c r="KL105" s="6"/>
      <c r="KM105" s="4"/>
      <c r="KN105" s="5">
        <v>0</v>
      </c>
      <c r="KO105" s="5"/>
      <c r="KP105" s="6"/>
      <c r="KQ105" s="4"/>
      <c r="KR105" s="4"/>
      <c r="KS105" s="5">
        <v>0</v>
      </c>
      <c r="KT105" s="5">
        <v>0</v>
      </c>
      <c r="KU105" s="5"/>
      <c r="KV105" s="4"/>
      <c r="KW105" s="5">
        <v>0</v>
      </c>
      <c r="KX105" s="4"/>
      <c r="KY105" s="4"/>
      <c r="KZ105" s="4"/>
      <c r="LA105" s="4"/>
      <c r="LB105" s="6"/>
      <c r="LC105" s="6"/>
      <c r="LD105" s="6"/>
      <c r="LE105" s="9"/>
      <c r="LF105"/>
      <c r="LG105"/>
      <c r="LH105"/>
      <c r="LI105"/>
      <c r="LJ105"/>
      <c r="LK105"/>
      <c r="LL105" s="4"/>
      <c r="LM105" s="4"/>
      <c r="LN105" s="6"/>
      <c r="LO105" s="4"/>
      <c r="LP105" s="5">
        <v>0</v>
      </c>
      <c r="LQ105" s="5"/>
      <c r="LR105" s="6"/>
      <c r="LS105" s="4"/>
      <c r="LT105" s="4"/>
      <c r="LU105" s="5">
        <v>0</v>
      </c>
      <c r="LV105" s="5">
        <v>0</v>
      </c>
      <c r="LW105" s="5"/>
      <c r="LX105" s="4"/>
      <c r="LY105" s="5">
        <v>0</v>
      </c>
      <c r="LZ105" s="4"/>
      <c r="MA105" s="4"/>
      <c r="MB105" s="4"/>
      <c r="MC105" s="4"/>
      <c r="MD105" s="6"/>
      <c r="ME105" s="6"/>
      <c r="MF105" s="6"/>
      <c r="MG105" s="9"/>
      <c r="MH105"/>
    </row>
    <row r="106">
      <c r="A106" s="8">
        <v>25360</v>
      </c>
      <c r="B106" s="8">
        <v>25363</v>
      </c>
      <c r="C106" s="9">
        <f>B106-A106</f>
        <v>3</v>
      </c>
      <c r="D106" s="8">
        <v>25360</v>
      </c>
      <c r="E106" t="inlineStr">
        <is>
          <t xml:space="preserve">positive</t>
        </is>
      </c>
      <c r="F106" s="4">
        <v>1.3194406732361685</v>
      </c>
      <c r="G106" s="6">
        <v>-0.026385416466873583</v>
      </c>
      <c r="H106" s="7">
        <f>SUM(CP106,DR106,ET106,FV106,GX106,HZ106,JB106,KD106,LF106,MH106)</f>
        <v>-0.026385416466873583</v>
      </c>
      <c r="I106" s="7">
        <f>G106-H106</f>
        <v>0</v>
      </c>
      <c r="J106" s="5">
        <f>F106*(1+H106)</f>
        <v>1.2846266815695002</v>
      </c>
      <c r="K106" s="4">
        <v>1.2846266815695002</v>
      </c>
      <c r="L106" s="5">
        <f>K106-J106</f>
        <v>0</v>
      </c>
      <c r="M106" s="4">
        <v>1.749</v>
      </c>
      <c r="N106" s="4">
        <v>1.722</v>
      </c>
      <c r="O106" s="5">
        <f>M106/$M$3</f>
        <v>0.8932584269662922</v>
      </c>
      <c r="P106" s="5">
        <f>N106/$M$3</f>
        <v>0.8794688457609806</v>
      </c>
      <c r="Q106" s="7">
        <f>IFERROR(N106/M106-1,0)</f>
        <v>-0.015437392795883409</v>
      </c>
      <c r="R106" s="5">
        <f>SUM(IF(BQ106="lease",CB106,0),IF(CS106="lease",DD106,0),IF(DU106="lease",EF106,0),IF(EW106="lease",FH106,0),IF(FY106="lease",GJ106,0),IF(HA106="lease",HL106,0),IF(IC106="lease",IN106,0),IF(JE106="lease",JP106,0),IF(KG106="lease",KR106,0),IF(LI106="lease",LT106,0))</f>
        <v>1.3194406732361694</v>
      </c>
      <c r="S106" s="5">
        <f>SUM(IF(BQ106="lease",CI106,0),IF(CS106="lease",DK106,0),IF(DU106="lease",EM106,0),IF(EW106="lease",FO106,0),IF(FY106="lease",GQ106,0),IF(HA106="lease",HS106,0),IF(IC106="lease",IU106,0),IF(JE106="lease",JW106,0),IF(KG106="lease",KY106,0),IF(LI106="lease",MA106,0))</f>
        <v>1.284626681569501</v>
      </c>
      <c r="T106" s="5">
        <f>SUM(IF(BQ106="keep",CB106,0),IF(CS106="keep",DD106,0),IF(DU106="keep",EF106,0),IF(EW106="keep",FH106,0),IF(FY106="keep",GJ106,0),IF(HA106="keep",HL106,0),IF(IC106="keep",IN106,0),IF(JE106="keep",JP106,0),IF(KG106="keep",KR106,0),IF(LI106="keep",LT106,0))</f>
        <v>0</v>
      </c>
      <c r="U106" s="5">
        <f>SUM(IF(BQ106="keep",CI106,0),IF(CS106="keep",DK106,0),IF(DU106="keep",EM106,0),IF(EW106="keep",FO106,0),IF(FY106="keep",GQ106,0),IF(HA106="keep",HS106,0),IF(IC106="keep",IU106,0),IF(JE106="keep",JW106,0),IF(KG106="keep",KY106,0),IF(LI106="keep",MA106,0))</f>
        <v>0</v>
      </c>
      <c r="V106" s="5">
        <f>R106/O106</f>
        <v>1.4771096845033844</v>
      </c>
      <c r="W106" s="5">
        <f>S106/P106</f>
        <v>1.4606846936777487</v>
      </c>
      <c r="X106" s="5">
        <f>T106/O106</f>
        <v>0</v>
      </c>
      <c r="Y106" s="5">
        <f>U106/P106</f>
        <v>0</v>
      </c>
      <c r="Z106" s="5">
        <f>V106+X106</f>
        <v>1.4771096845033844</v>
      </c>
      <c r="AA106" s="7">
        <f>IFERROR(W106/V106-1,0)</f>
        <v>-0.011119682578723311</v>
      </c>
      <c r="AB106" s="7">
        <f>IFERROR((W106-V106)/Z106,0)</f>
        <v>-0.0111196825787233</v>
      </c>
      <c r="AC106" s="7">
        <f>IFERROR(Y106/X106-1,0)</f>
        <v>0</v>
      </c>
      <c r="AD106" s="7">
        <f>IFERROR((Y106-X106)/Z106,0)</f>
        <v>0</v>
      </c>
      <c r="AE106" s="7">
        <f>AB106+AD106</f>
        <v>-0.0111196825787233</v>
      </c>
      <c r="AF106" s="7">
        <f>(1+Q106)*(1+AE106)-1</f>
        <v>-0.026385416466873424</v>
      </c>
      <c r="AG106" s="7">
        <f>G106-AF106</f>
        <v>-1.5959455978986625e-16</v>
      </c>
      <c r="AH106" s="5">
        <f>SUM(IF(BQ106="lease",CE106,0),IF(CS106="lease",DG106,0),IF(DU106="lease",EI106,0),IF(EW106="lease",FK106,0),IF(FY106="lease",GM106,0),IF(HA106="lease",HO106,0),IF(IC106="lease",IQ106,0),IF(JE106="lease",JS106,0),IF(KG106="lease",KU106,0),IF(LI106="lease",LW106,0))</f>
        <v>-0.03481399166666837</v>
      </c>
      <c r="AI106" s="5">
        <f>SUM(IF(BQ106="keep",CE106,0),IF(CS106="keep",DG106,0),IF(DU106="keep",EI106,0),IF(EW106="keep",FK106,0),IF(FY106="keep",GM106,0),IF(HA106="keep",HO106,0),IF(IC106="keep",IQ106,0),IF(JE106="keep",JS106,0),IF(KG106="keep",KU106,0),IF(LI106="keep",LW106,0))</f>
        <v>0</v>
      </c>
      <c r="AJ106" s="5">
        <f>SUM(IF(BQ106="lease",CH106,0),IF(CS106="lease",DJ106,0),IF(DU106="lease",EL106,0),IF(EW106="lease",FN106,0),IF(FY106="lease",GP106,0),IF(HA106="lease",HR106,0),IF(IC106="lease",IT106,0),IF(JE106="lease",JV106,0),IF(KG106="lease",KX106,0),IF(LI106="lease",LZ106,0))</f>
        <v>0</v>
      </c>
      <c r="AK106" s="5">
        <f>SUM(IF(BQ106="keep",CH106,0),IF(CS106="keep",DJ106,0),IF(DU106="keep",EL106,0),IF(EW106="keep",FN106,0),IF(FY106="keep",GP106,0),IF(HA106="keep",HR106,0),IF(IC106="keep",IT106,0),IF(JE106="keep",JV106,0),IF(KG106="keep",KX106,0),IF(LI106="keep",LZ106,0))</f>
        <v>0</v>
      </c>
      <c r="AL106" s="5">
        <f>R106-S105</f>
        <v>0</v>
      </c>
      <c r="AM106" s="5">
        <f>T106-U105</f>
        <v>0</v>
      </c>
      <c r="AN106" s="5">
        <f>AN105</f>
        <v>1</v>
      </c>
      <c r="AO106" s="5">
        <f>AO105+AH106</f>
        <v>0.28462668156950116</v>
      </c>
      <c r="AP106" s="5">
        <f>AP105+AL106</f>
        <v>-4.440892098500626e-16</v>
      </c>
      <c r="AQ106" s="5">
        <f>AN106+AO106+AP106</f>
        <v>1.2846266815695007</v>
      </c>
      <c r="AR106" s="5">
        <f>S106-AQ106</f>
        <v>4.440892098500626e-16</v>
      </c>
      <c r="AS106" s="5">
        <f>AS105</f>
        <v>0</v>
      </c>
      <c r="AT106" s="5">
        <f>AT105+AI106</f>
        <v>0</v>
      </c>
      <c r="AU106" s="5">
        <f>AU105+AM106</f>
        <v>0</v>
      </c>
      <c r="AV106" s="5">
        <f>AS106+AT106+AU106</f>
        <v>0</v>
      </c>
      <c r="AW106" s="5">
        <f>U106-AV106</f>
        <v>0</v>
      </c>
      <c r="AX106" s="4">
        <v>1.3194406732361694</v>
      </c>
      <c r="AY106" s="4">
        <v>1.284626681569501</v>
      </c>
      <c r="AZ106" s="5">
        <f>S106-AY106</f>
        <v>0</v>
      </c>
      <c r="BA106" s="4">
        <v>0</v>
      </c>
      <c r="BB106" s="4">
        <v>0</v>
      </c>
      <c r="BC106" s="5">
        <f>U106-BB106</f>
        <v>0</v>
      </c>
      <c r="BD106" s="7">
        <f>SUM(IF(BP106="direct",CC106/F106,0),IF(CR106="direct",DE106/F106,0),IF(DT106="direct",EG106/F106,0),IF(EV106="direct",FI106/F106,0),IF(FX106="direct",GK106/F106,0),IF(GZ106="direct",HM106/F106,0),IF(IB106="direct",IO106/F106,0),IF(JD106="direct",JQ106/F106,0),IF(KF106="direct",KS106/F106,0),IF(LH106="direct",LU106/F106,0))</f>
        <v>-0.00040252897213891725</v>
      </c>
      <c r="BE106" s="7">
        <f>-SUM(IF(BP106="direct",CD106/F106,0),IF(CR106="direct",DF106/F106,0),IF(DT106="direct",EH106/F106,0),IF(EV106="direct",FJ106/F106,0),IF(FX106="direct",GL106/F106,0),IF(GZ106="direct",HN106/F106,0),IF(IB106="direct",IP106/F106,0),IF(JD106="direct",JR106/F106,0),IF(KF106="direct",KT106/F106,0),IF(LH106="direct",LV106/F106,0))</f>
        <v>-5.35786280267095e-7</v>
      </c>
      <c r="BF106" s="7">
        <f>BD106+BE106</f>
        <v>-0.00040306475841918435</v>
      </c>
      <c r="BG106" s="7">
        <f>BF106-SUM(IF(BP106="direct",CP106,0),IF(CR106="direct",DR106,0),IF(DT106="direct",ET106,0),IF(EV106="direct",FV106,0),IF(FX106="direct",GX106,0),IF(GZ106="direct",HZ106,0),IF(IB106="direct",JB106,0),IF(JD106="direct",KD106,0),IF(KF106="direct",LF106,0),IF(LH106="direct",MH106,0))</f>
        <v>-8.673617379884035e-19</v>
      </c>
      <c r="BH106" s="7">
        <f>SUM(IF(BP106="treasury",CP106,0),IF(CR106="treasury",DR106,0),IF(DT106="treasury",ET106,0),IF(EV106="treasury",FV106,0),IF(FX106="treasury",GX106,0),IF(GZ106="treasury",HZ106,0),IF(IB106="treasury",JB106,0),IF(JD106="treasury",KD106,0),IF(KF106="treasury",LF106,0),IF(LH106="treasury",MH106,0))</f>
        <v>0.0005075083503433854</v>
      </c>
      <c r="BI106" s="7">
        <f>SUM(IF(BP106="future",CP106,0),IF(CR106="future",DR106,0),IF(DT106="future",ET106,0),IF(EV106="future",FV106,0),IF(FX106="future",GX106,0),IF(GZ106="future",HZ106,0),IF(IB106="future",JB106,0),IF(JD106="future",KD106,0),IF(KF106="future",LF106,0),IF(LH106="future",MH106,0))</f>
        <v>-0.026489860058797787</v>
      </c>
      <c r="BJ106" s="7">
        <f>SUM(IF(BP106="cash",CP106,0),IF(CR106="cash",DR106,0),IF(DT106="cash",ET106,0),IF(EV106="cash",FV106,0),IF(FX106="cash",GX106,0),IF(GZ106="cash",HZ106,0),IF(IB106="cash",JB106,0),IF(JD106="cash",KD106,0),IF(KF106="cash",LF106,0),IF(LH106="cash",MH106,0))</f>
        <v>0</v>
      </c>
      <c r="BK106" s="7">
        <f>SUM(BF106,BH106,BI106,BJ106)</f>
        <v>-0.026385416466873583</v>
      </c>
      <c r="BL106" s="7">
        <f>G106-BK106</f>
        <v>0</v>
      </c>
      <c r="BM106" s="5">
        <f>MAX(ABS(CG106),ABS(DI106),ABS(EK106),ABS(FM106),ABS(GO106),ABS(HQ106),ABS(IS106),ABS(JU106),ABS(KW106),ABS(LY106))</f>
        <v>7.741203511546502e-17</v>
      </c>
      <c r="BN106" s="9">
        <f>COUNTA(BO106,CQ106,DS106,EU106,FW106,GY106,IA106,JC106,KE106,LG106)</f>
        <v>5</v>
      </c>
      <c r="BO106" t="inlineStr">
        <is>
          <t xml:space="preserve">Direct commodity holding</t>
        </is>
      </c>
      <c r="BP106" t="inlineStr">
        <is>
          <t xml:space="preserve">direct</t>
        </is>
      </c>
      <c r="BQ106" t="inlineStr">
        <is>
          <t xml:space="preserve">lease</t>
        </is>
      </c>
      <c r="BR106" t="inlineStr">
        <is>
          <t xml:space="preserve">long</t>
        </is>
      </c>
      <c r="BS106"/>
      <c r="BT106" s="4">
        <v>1.749</v>
      </c>
      <c r="BU106" s="4">
        <v>1.722</v>
      </c>
      <c r="BV106" s="6">
        <v>0.0025</v>
      </c>
      <c r="BW106" s="4">
        <v>0.019670855481334563</v>
      </c>
      <c r="BX106" s="5">
        <f>IF(BP106="direct",IFERROR(CD106/BU106,0),0)</f>
        <v>4.105332231976297e-7</v>
      </c>
      <c r="BY106" s="5">
        <f>IF(BP106="direct",BW106-BX106,IF(BP106="cash",CI106,BW106))</f>
        <v>0.019670444948111366</v>
      </c>
      <c r="BZ106" s="6">
        <v>0.026074932306331955</v>
      </c>
      <c r="CA106" s="4">
        <v>0.03440432623685415</v>
      </c>
      <c r="CB106" s="4">
        <v>0.03440432623685415</v>
      </c>
      <c r="CC106" s="5">
        <f>IF(BP106="direct",BW106*(BU106-BT106),CF106)</f>
        <v>-0.0005311130979960359</v>
      </c>
      <c r="CD106" s="5">
        <f>IF(BP106="direct",CB106*BV106*C106/365,0)</f>
        <v>7.069382103463183e-7</v>
      </c>
      <c r="CE106" s="5">
        <f>CC106-CD106</f>
        <v>-0.0005318200362063811</v>
      </c>
      <c r="CF106" s="4">
        <v>-0.0005318200362063811</v>
      </c>
      <c r="CG106" s="5">
        <f>CF106-CE106</f>
        <v>1.1266596989666262e-18</v>
      </c>
      <c r="CH106" s="4">
        <v>0</v>
      </c>
      <c r="CI106" s="4">
        <v>0.03387250620064777</v>
      </c>
      <c r="CJ106" s="4">
        <v>1.749</v>
      </c>
      <c r="CK106" s="4">
        <v>1.722</v>
      </c>
      <c r="CL106" s="6"/>
      <c r="CM106" s="6"/>
      <c r="CN106" s="6"/>
      <c r="CO106" s="9"/>
      <c r="CP106" s="7">
        <f>IFERROR(CE106/F106,0)</f>
        <v>-0.0004030647584191835</v>
      </c>
      <c r="CQ106" t="inlineStr">
        <is>
          <t xml:space="preserve">Treasury collateral</t>
        </is>
      </c>
      <c r="CR106" t="inlineStr">
        <is>
          <t xml:space="preserve">treasury</t>
        </is>
      </c>
      <c r="CS106" t="inlineStr">
        <is>
          <t xml:space="preserve">lease</t>
        </is>
      </c>
      <c r="CT106" t="inlineStr">
        <is>
          <t xml:space="preserve">long</t>
        </is>
      </c>
      <c r="CU106"/>
      <c r="CV106" s="4">
        <v>102.61877459405886</v>
      </c>
      <c r="CW106" s="4">
        <v>102.67224881577883</v>
      </c>
      <c r="CX106" s="6"/>
      <c r="CY106" s="4">
        <v>0.012522429273616681</v>
      </c>
      <c r="CZ106" s="5">
        <f>IF(CR106="direct",IFERROR(DF106/CW106,0),0)</f>
        <v>0</v>
      </c>
      <c r="DA106" s="5">
        <f>IF(CR106="direct",CY106-CZ106,IF(CR106="cash",DK106,CY106))</f>
        <v>0.012522429273616681</v>
      </c>
      <c r="DB106" s="6">
        <v>0.973925067693668</v>
      </c>
      <c r="DC106" s="4">
        <v>1.2850363469993145</v>
      </c>
      <c r="DD106" s="4">
        <v>1.2850363469993145</v>
      </c>
      <c r="DE106" s="5">
        <f>IF(CR106="direct",CY106*(CW106-CV106),DH106)</f>
        <v>0.0006696271594499763</v>
      </c>
      <c r="DF106" s="5">
        <f>IF(CR106="direct",DD106*CX106*C106/365,0)</f>
        <v>0</v>
      </c>
      <c r="DG106" s="5">
        <f>DE106-DF106</f>
        <v>0.0006696271594500538</v>
      </c>
      <c r="DH106" s="4">
        <v>0.0006696271594500538</v>
      </c>
      <c r="DI106" s="5">
        <f>DH106-DG106</f>
        <v>7.741203511546502e-17</v>
      </c>
      <c r="DJ106" s="4">
        <v>-9.454242944073599e-17</v>
      </c>
      <c r="DK106" s="4">
        <v>1.2857059741587644</v>
      </c>
      <c r="DL106" s="4">
        <v>1.749</v>
      </c>
      <c r="DM106" s="4">
        <v>1.722</v>
      </c>
      <c r="DN106" s="6"/>
      <c r="DO106" s="6"/>
      <c r="DP106" s="6"/>
      <c r="DQ106" s="9">
        <v>53</v>
      </c>
      <c r="DR106" s="7">
        <f>IFERROR(DG106/F106,0)</f>
        <v>0.0005075083503433854</v>
      </c>
      <c r="DS106" t="inlineStr">
        <is>
          <t xml:space="preserve">SI69N</t>
        </is>
      </c>
      <c r="DT106" t="inlineStr">
        <is>
          <t xml:space="preserve">future</t>
        </is>
      </c>
      <c r="DU106" t="inlineStr">
        <is>
          <t xml:space="preserve">lease</t>
        </is>
      </c>
      <c r="DV106" t="inlineStr">
        <is>
          <t xml:space="preserve">long</t>
        </is>
      </c>
      <c r="DW106" t="inlineStr">
        <is>
          <t xml:space="preserve">regular</t>
        </is>
      </c>
      <c r="DX106" s="4">
        <v>1.7280000000000002</v>
      </c>
      <c r="DY106" s="4">
        <v>1.681</v>
      </c>
      <c r="DZ106" s="6"/>
      <c r="EA106" s="4">
        <v>0.743655293402381</v>
      </c>
      <c r="EB106" s="5">
        <f>IF(DT106="direct",IFERROR(EH106/DY106,0),0)</f>
        <v>0</v>
      </c>
      <c r="EC106" s="5">
        <f>IF(DT106="direct",EA106-EB106,IF(DT106="cash",EM106,EA106))</f>
        <v>0.743655293402381</v>
      </c>
      <c r="ED106" s="6">
        <v>0.973925067693668</v>
      </c>
      <c r="EE106" s="4">
        <v>1.2850363469993145</v>
      </c>
      <c r="EF106" s="4">
        <v>0</v>
      </c>
      <c r="EG106" s="5">
        <f>IF(DT106="direct",EA106*(DY106-DX106),EJ106)</f>
        <v>-0.034951798789912045</v>
      </c>
      <c r="EH106" s="5">
        <f>IF(DT106="direct",EF106*DZ106*C106/365,0)</f>
        <v>0</v>
      </c>
      <c r="EI106" s="5">
        <f>EG106-EH106</f>
        <v>-0.034951798789912045</v>
      </c>
      <c r="EJ106" s="4">
        <v>-0.034951798789912045</v>
      </c>
      <c r="EK106" s="5">
        <f>EJ106-EI106</f>
        <v>0</v>
      </c>
      <c r="EL106" s="4">
        <v>0.034951798789912045</v>
      </c>
      <c r="EM106" s="4">
        <v>0</v>
      </c>
      <c r="EN106" s="4">
        <v>1.749</v>
      </c>
      <c r="EO106" s="4">
        <v>1.722</v>
      </c>
      <c r="EP106" s="6">
        <v>-0.012006861063464824</v>
      </c>
      <c r="EQ106" s="6">
        <v>0.0634</v>
      </c>
      <c r="ER106" s="6">
        <v>0.1460887601540502</v>
      </c>
      <c r="ES106" s="9">
        <v>53</v>
      </c>
      <c r="ET106" s="7">
        <f>IFERROR(EI106/F106,0)</f>
        <v>-0.026489860058797787</v>
      </c>
      <c r="EU106" t="inlineStr">
        <is>
          <t xml:space="preserve">Lease cash / margin / financing</t>
        </is>
      </c>
      <c r="EV106" t="inlineStr">
        <is>
          <t xml:space="preserve">cash</t>
        </is>
      </c>
      <c r="EW106" t="inlineStr">
        <is>
          <t xml:space="preserve">lease</t>
        </is>
      </c>
      <c r="EX106" t="inlineStr">
        <is>
          <t xml:space="preserve">cash</t>
        </is>
      </c>
      <c r="EY106"/>
      <c r="EZ106" s="4">
        <v>1</v>
      </c>
      <c r="FA106" s="4">
        <v>1</v>
      </c>
      <c r="FB106" s="6"/>
      <c r="FC106" s="4">
        <v>8.881784197001252e-16</v>
      </c>
      <c r="FD106" s="5">
        <f>IF(EV106="direct",IFERROR(FJ106/FA106,0),0)</f>
        <v>0</v>
      </c>
      <c r="FE106" s="5">
        <f>IF(EV106="direct",FC106-FD106,IF(EV106="cash",FO106,FC106))</f>
        <v>-0.03495179878991106</v>
      </c>
      <c r="FF106" s="6"/>
      <c r="FG106" s="4">
        <v>8.881784197001252e-16</v>
      </c>
      <c r="FH106" s="4">
        <v>8.881784197001252e-16</v>
      </c>
      <c r="FI106" s="5">
        <f>IF(EV106="direct",FC106*(FA106-EZ106),FL106)</f>
        <v>0</v>
      </c>
      <c r="FJ106" s="5">
        <f>IF(EV106="direct",FH106*FB106*C106/365,0)</f>
        <v>0</v>
      </c>
      <c r="FK106" s="5">
        <f>FI106-FJ106</f>
        <v>0</v>
      </c>
      <c r="FL106" s="4">
        <v>0</v>
      </c>
      <c r="FM106" s="5">
        <f>FL106-FK106</f>
        <v>0</v>
      </c>
      <c r="FN106" s="4">
        <v>-0.03495179878991195</v>
      </c>
      <c r="FO106" s="4">
        <v>-0.03495179878991106</v>
      </c>
      <c r="FP106" s="4">
        <v>1.749</v>
      </c>
      <c r="FQ106" s="4">
        <v>1.722</v>
      </c>
      <c r="FR106" s="6"/>
      <c r="FS106" s="6"/>
      <c r="FT106" s="6"/>
      <c r="FU106" s="9"/>
      <c r="FV106" s="7">
        <f>IFERROR(FK106/F106,0)</f>
        <v>0</v>
      </c>
      <c r="FW106" t="inlineStr">
        <is>
          <t xml:space="preserve">Keep cash / margin / financing</t>
        </is>
      </c>
      <c r="FX106" t="inlineStr">
        <is>
          <t xml:space="preserve">cash</t>
        </is>
      </c>
      <c r="FY106" t="inlineStr">
        <is>
          <t xml:space="preserve">keep</t>
        </is>
      </c>
      <c r="FZ106" t="inlineStr">
        <is>
          <t xml:space="preserve">cash</t>
        </is>
      </c>
      <c r="GA106"/>
      <c r="GB106" s="4">
        <v>1</v>
      </c>
      <c r="GC106" s="4">
        <v>1</v>
      </c>
      <c r="GD106" s="6"/>
      <c r="GE106" s="4">
        <v>0</v>
      </c>
      <c r="GF106" s="5">
        <f>IF(FX106="direct",IFERROR(GL106/GC106,0),0)</f>
        <v>0</v>
      </c>
      <c r="GG106" s="5">
        <f>IF(FX106="direct",GE106-GF106,IF(FX106="cash",GQ106,GE106))</f>
        <v>0</v>
      </c>
      <c r="GH106" s="6"/>
      <c r="GI106" s="4">
        <v>0</v>
      </c>
      <c r="GJ106" s="4">
        <v>0</v>
      </c>
      <c r="GK106" s="5">
        <f>IF(FX106="direct",GE106*(GC106-GB106),GN106)</f>
        <v>0</v>
      </c>
      <c r="GL106" s="5">
        <f>IF(FX106="direct",GJ106*GD106*C106/365,0)</f>
        <v>0</v>
      </c>
      <c r="GM106" s="5">
        <f>GK106-GL106</f>
        <v>0</v>
      </c>
      <c r="GN106" s="4">
        <v>0</v>
      </c>
      <c r="GO106" s="5">
        <f>GN106-GM106</f>
        <v>0</v>
      </c>
      <c r="GP106" s="4">
        <v>0</v>
      </c>
      <c r="GQ106" s="4">
        <v>0</v>
      </c>
      <c r="GR106" s="4">
        <v>1.749</v>
      </c>
      <c r="GS106" s="4">
        <v>1.722</v>
      </c>
      <c r="GT106" s="6"/>
      <c r="GU106" s="6"/>
      <c r="GV106" s="6"/>
      <c r="GW106" s="9"/>
      <c r="GX106" s="7">
        <f>IFERROR(GM106/F106,0)</f>
        <v>0</v>
      </c>
      <c r="GY106"/>
      <c r="GZ106"/>
      <c r="HA106"/>
      <c r="HB106"/>
      <c r="HC106"/>
      <c r="HD106" s="4"/>
      <c r="HE106" s="4"/>
      <c r="HF106" s="6"/>
      <c r="HG106" s="4"/>
      <c r="HH106" s="5">
        <v>0</v>
      </c>
      <c r="HI106" s="5"/>
      <c r="HJ106" s="6"/>
      <c r="HK106" s="4"/>
      <c r="HL106" s="4"/>
      <c r="HM106" s="5">
        <v>0</v>
      </c>
      <c r="HN106" s="5">
        <v>0</v>
      </c>
      <c r="HO106" s="5"/>
      <c r="HP106" s="4"/>
      <c r="HQ106" s="5">
        <v>0</v>
      </c>
      <c r="HR106" s="4"/>
      <c r="HS106" s="4"/>
      <c r="HT106" s="4"/>
      <c r="HU106" s="4"/>
      <c r="HV106" s="6"/>
      <c r="HW106" s="6"/>
      <c r="HX106" s="6"/>
      <c r="HY106" s="9"/>
      <c r="HZ106"/>
      <c r="IA106"/>
      <c r="IB106"/>
      <c r="IC106"/>
      <c r="ID106"/>
      <c r="IE106"/>
      <c r="IF106" s="4"/>
      <c r="IG106" s="4"/>
      <c r="IH106" s="6"/>
      <c r="II106" s="4"/>
      <c r="IJ106" s="5">
        <v>0</v>
      </c>
      <c r="IK106" s="5"/>
      <c r="IL106" s="6"/>
      <c r="IM106" s="4"/>
      <c r="IN106" s="4"/>
      <c r="IO106" s="5">
        <v>0</v>
      </c>
      <c r="IP106" s="5">
        <v>0</v>
      </c>
      <c r="IQ106" s="5"/>
      <c r="IR106" s="4"/>
      <c r="IS106" s="5">
        <v>0</v>
      </c>
      <c r="IT106" s="4"/>
      <c r="IU106" s="4"/>
      <c r="IV106" s="4"/>
      <c r="IW106" s="4"/>
      <c r="IX106" s="6"/>
      <c r="IY106" s="6"/>
      <c r="IZ106" s="6"/>
      <c r="JA106" s="9"/>
      <c r="JB106"/>
      <c r="JC106"/>
      <c r="JD106"/>
      <c r="JE106"/>
      <c r="JF106"/>
      <c r="JG106"/>
      <c r="JH106" s="4"/>
      <c r="JI106" s="4"/>
      <c r="JJ106" s="6"/>
      <c r="JK106" s="4"/>
      <c r="JL106" s="5">
        <v>0</v>
      </c>
      <c r="JM106" s="5"/>
      <c r="JN106" s="6"/>
      <c r="JO106" s="4"/>
      <c r="JP106" s="4"/>
      <c r="JQ106" s="5">
        <v>0</v>
      </c>
      <c r="JR106" s="5">
        <v>0</v>
      </c>
      <c r="JS106" s="5"/>
      <c r="JT106" s="4"/>
      <c r="JU106" s="5">
        <v>0</v>
      </c>
      <c r="JV106" s="4"/>
      <c r="JW106" s="4"/>
      <c r="JX106" s="4"/>
      <c r="JY106" s="4"/>
      <c r="JZ106" s="6"/>
      <c r="KA106" s="6"/>
      <c r="KB106" s="6"/>
      <c r="KC106" s="9"/>
      <c r="KD106"/>
      <c r="KE106"/>
      <c r="KF106"/>
      <c r="KG106"/>
      <c r="KH106"/>
      <c r="KI106"/>
      <c r="KJ106" s="4"/>
      <c r="KK106" s="4"/>
      <c r="KL106" s="6"/>
      <c r="KM106" s="4"/>
      <c r="KN106" s="5">
        <v>0</v>
      </c>
      <c r="KO106" s="5"/>
      <c r="KP106" s="6"/>
      <c r="KQ106" s="4"/>
      <c r="KR106" s="4"/>
      <c r="KS106" s="5">
        <v>0</v>
      </c>
      <c r="KT106" s="5">
        <v>0</v>
      </c>
      <c r="KU106" s="5"/>
      <c r="KV106" s="4"/>
      <c r="KW106" s="5">
        <v>0</v>
      </c>
      <c r="KX106" s="4"/>
      <c r="KY106" s="4"/>
      <c r="KZ106" s="4"/>
      <c r="LA106" s="4"/>
      <c r="LB106" s="6"/>
      <c r="LC106" s="6"/>
      <c r="LD106" s="6"/>
      <c r="LE106" s="9"/>
      <c r="LF106"/>
      <c r="LG106"/>
      <c r="LH106"/>
      <c r="LI106"/>
      <c r="LJ106"/>
      <c r="LK106"/>
      <c r="LL106" s="4"/>
      <c r="LM106" s="4"/>
      <c r="LN106" s="6"/>
      <c r="LO106" s="4"/>
      <c r="LP106" s="5">
        <v>0</v>
      </c>
      <c r="LQ106" s="5"/>
      <c r="LR106" s="6"/>
      <c r="LS106" s="4"/>
      <c r="LT106" s="4"/>
      <c r="LU106" s="5">
        <v>0</v>
      </c>
      <c r="LV106" s="5">
        <v>0</v>
      </c>
      <c r="LW106" s="5"/>
      <c r="LX106" s="4"/>
      <c r="LY106" s="5">
        <v>0</v>
      </c>
      <c r="LZ106" s="4"/>
      <c r="MA106" s="4"/>
      <c r="MB106" s="4"/>
      <c r="MC106" s="4"/>
      <c r="MD106" s="6"/>
      <c r="ME106" s="6"/>
      <c r="MF106" s="6"/>
      <c r="MG106" s="9"/>
      <c r="MH106"/>
    </row>
    <row r="107">
      <c r="A107" s="8">
        <v>25363</v>
      </c>
      <c r="B107" s="8">
        <v>25364</v>
      </c>
      <c r="C107" s="9">
        <f>B107-A107</f>
        <v>1</v>
      </c>
      <c r="D107" s="8">
        <v>25363</v>
      </c>
      <c r="E107" t="inlineStr">
        <is>
          <t xml:space="preserve">positive</t>
        </is>
      </c>
      <c r="F107" s="4">
        <v>1.2846266815695002</v>
      </c>
      <c r="G107" s="6">
        <v>-0.00874654763553986</v>
      </c>
      <c r="H107" s="7">
        <f>SUM(CP107,DR107,ET107,FV107,GX107,HZ107,JB107,KD107,LF107,MH107)</f>
        <v>-0.00874654763553986</v>
      </c>
      <c r="I107" s="7">
        <f>G107-H107</f>
        <v>0</v>
      </c>
      <c r="J107" s="5">
        <f>F107*(1+H107)</f>
        <v>1.2733906331052671</v>
      </c>
      <c r="K107" s="4">
        <v>1.2733906331052671</v>
      </c>
      <c r="L107" s="5">
        <f>K107-J107</f>
        <v>0</v>
      </c>
      <c r="M107" s="4">
        <v>1.722</v>
      </c>
      <c r="N107" s="4">
        <v>1.687</v>
      </c>
      <c r="O107" s="5">
        <f>M107/$M$3</f>
        <v>0.8794688457609806</v>
      </c>
      <c r="P107" s="5">
        <f>N107/$M$3</f>
        <v>0.8615934627170583</v>
      </c>
      <c r="Q107" s="7">
        <f>IFERROR(N107/M107-1,0)</f>
        <v>-0.020325203252032464</v>
      </c>
      <c r="R107" s="5">
        <f>SUM(IF(BQ107="lease",CB107,0),IF(CS107="lease",DD107,0),IF(DU107="lease",EF107,0),IF(EW107="lease",FH107,0),IF(FY107="lease",GJ107,0),IF(HA107="lease",HL107,0),IF(IC107="lease",IN107,0),IF(JE107="lease",JP107,0),IF(KG107="lease",KR107,0),IF(LI107="lease",LT107,0))</f>
        <v>1.284626681569501</v>
      </c>
      <c r="S107" s="5">
        <f>SUM(IF(BQ107="lease",CI107,0),IF(CS107="lease",DK107,0),IF(DU107="lease",EM107,0),IF(EW107="lease",FO107,0),IF(FY107="lease",GQ107,0),IF(HA107="lease",HS107,0),IF(IC107="lease",IU107,0),IF(JE107="lease",JW107,0),IF(KG107="lease",KY107,0),IF(LI107="lease",MA107,0))</f>
        <v>1.273390633105268</v>
      </c>
      <c r="T107" s="5">
        <f>SUM(IF(BQ107="keep",CB107,0),IF(CS107="keep",DD107,0),IF(DU107="keep",EF107,0),IF(EW107="keep",FH107,0),IF(FY107="keep",GJ107,0),IF(HA107="keep",HL107,0),IF(IC107="keep",IN107,0),IF(JE107="keep",JP107,0),IF(KG107="keep",KR107,0),IF(LI107="keep",LT107,0))</f>
        <v>0</v>
      </c>
      <c r="U107" s="5">
        <f>SUM(IF(BQ107="keep",CI107,0),IF(CS107="keep",DK107,0),IF(DU107="keep",EM107,0),IF(EW107="keep",FO107,0),IF(FY107="keep",GQ107,0),IF(HA107="keep",HS107,0),IF(IC107="keep",IU107,0),IF(JE107="keep",JW107,0),IF(KG107="keep",KY107,0),IF(LI107="keep",MA107,0))</f>
        <v>0</v>
      </c>
      <c r="V107" s="5">
        <f>R107/O107</f>
        <v>1.4606846936777487</v>
      </c>
      <c r="W107" s="5">
        <f>S107/P107</f>
        <v>1.4779483459514609</v>
      </c>
      <c r="X107" s="5">
        <f>T107/O107</f>
        <v>0</v>
      </c>
      <c r="Y107" s="5">
        <f>U107/P107</f>
        <v>0</v>
      </c>
      <c r="Z107" s="5">
        <f>V107+X107</f>
        <v>1.4606846936777487</v>
      </c>
      <c r="AA107" s="7">
        <f>IFERROR(W107/V107-1,0)</f>
        <v>0.011818876687374136</v>
      </c>
      <c r="AB107" s="7">
        <f>IFERROR((W107-V107)/Z107,0)</f>
        <v>0.011818876687374141</v>
      </c>
      <c r="AC107" s="7">
        <f>IFERROR(Y107/X107-1,0)</f>
        <v>0</v>
      </c>
      <c r="AD107" s="7">
        <f>IFERROR((Y107-X107)/Z107,0)</f>
        <v>0</v>
      </c>
      <c r="AE107" s="7">
        <f>AB107+AD107</f>
        <v>0.011818876687374141</v>
      </c>
      <c r="AF107" s="7">
        <f>(1+Q107)*(1+AE107)-1</f>
        <v>-0.008746547635539947</v>
      </c>
      <c r="AG107" s="7">
        <f>G107-AF107</f>
        <v>8.673617379884035e-17</v>
      </c>
      <c r="AH107" s="5">
        <f>SUM(IF(BQ107="lease",CE107,0),IF(CS107="lease",DG107,0),IF(DU107="lease",EI107,0),IF(EW107="lease",FK107,0),IF(FY107="lease",GM107,0),IF(HA107="lease",HO107,0),IF(IC107="lease",IQ107,0),IF(JE107="lease",JS107,0),IF(KG107="lease",KU107,0),IF(LI107="lease",LW107,0))</f>
        <v>-0.01123604846423313</v>
      </c>
      <c r="AI107" s="5">
        <f>SUM(IF(BQ107="keep",CE107,0),IF(CS107="keep",DG107,0),IF(DU107="keep",EI107,0),IF(EW107="keep",FK107,0),IF(FY107="keep",GM107,0),IF(HA107="keep",HO107,0),IF(IC107="keep",IQ107,0),IF(JE107="keep",JS107,0),IF(KG107="keep",KU107,0),IF(LI107="keep",LW107,0))</f>
        <v>0</v>
      </c>
      <c r="AJ107" s="5">
        <f>SUM(IF(BQ107="lease",CH107,0),IF(CS107="lease",DJ107,0),IF(DU107="lease",EL107,0),IF(EW107="lease",FN107,0),IF(FY107="lease",GP107,0),IF(HA107="lease",HR107,0),IF(IC107="lease",IT107,0),IF(JE107="lease",JV107,0),IF(KG107="lease",KX107,0),IF(LI107="lease",LZ107,0))</f>
        <v>0</v>
      </c>
      <c r="AK107" s="5">
        <f>SUM(IF(BQ107="keep",CH107,0),IF(CS107="keep",DJ107,0),IF(DU107="keep",EL107,0),IF(EW107="keep",FN107,0),IF(FY107="keep",GP107,0),IF(HA107="keep",HR107,0),IF(IC107="keep",IT107,0),IF(JE107="keep",JV107,0),IF(KG107="keep",KX107,0),IF(LI107="keep",LZ107,0))</f>
        <v>0</v>
      </c>
      <c r="AL107" s="5">
        <f>R107-S106</f>
        <v>0</v>
      </c>
      <c r="AM107" s="5">
        <f>T107-U106</f>
        <v>0</v>
      </c>
      <c r="AN107" s="5">
        <f>AN106</f>
        <v>1</v>
      </c>
      <c r="AO107" s="5">
        <f>AO106+AH107</f>
        <v>0.273390633105268</v>
      </c>
      <c r="AP107" s="5">
        <f>AP106+AL107</f>
        <v>-4.440892098500626e-16</v>
      </c>
      <c r="AQ107" s="5">
        <f>AN107+AO107+AP107</f>
        <v>1.2733906331052676</v>
      </c>
      <c r="AR107" s="5">
        <f>S107-AQ107</f>
        <v>4.440892098500626e-16</v>
      </c>
      <c r="AS107" s="5">
        <f>AS106</f>
        <v>0</v>
      </c>
      <c r="AT107" s="5">
        <f>AT106+AI107</f>
        <v>0</v>
      </c>
      <c r="AU107" s="5">
        <f>AU106+AM107</f>
        <v>0</v>
      </c>
      <c r="AV107" s="5">
        <f>AS107+AT107+AU107</f>
        <v>0</v>
      </c>
      <c r="AW107" s="5">
        <f>U107-AV107</f>
        <v>0</v>
      </c>
      <c r="AX107" s="4">
        <v>1.284626681569501</v>
      </c>
      <c r="AY107" s="4">
        <v>1.273390633105268</v>
      </c>
      <c r="AZ107" s="5">
        <f>S107-AY107</f>
        <v>0</v>
      </c>
      <c r="BA107" s="4">
        <v>0</v>
      </c>
      <c r="BB107" s="4">
        <v>0</v>
      </c>
      <c r="BC107" s="5">
        <f>U107-BB107</f>
        <v>0</v>
      </c>
      <c r="BD107" s="7">
        <f>SUM(IF(BP107="direct",CC107/F107,0),IF(CR107="direct",DE107/F107,0),IF(DT107="direct",EG107/F107,0),IF(EV107="direct",FI107/F107,0),IF(FX107="direct",GK107/F107,0),IF(GZ107="direct",HM107/F107,0),IF(IB107="direct",IO107/F107,0),IF(JD107="direct",JQ107/F107,0),IF(KF107="direct",KS107/F107,0),IF(LH107="direct",LU107/F107,0))</f>
        <v>0</v>
      </c>
      <c r="BE107" s="7">
        <f>-SUM(IF(BP107="direct",CD107/F107,0),IF(CR107="direct",DF107/F107,0),IF(DT107="direct",EH107/F107,0),IF(EV107="direct",FJ107/F107,0),IF(FX107="direct",GL107/F107,0),IF(GZ107="direct",HN107/F107,0),IF(IB107="direct",IP107/F107,0),IF(JD107="direct",JR107/F107,0),IF(KF107="direct",KT107/F107,0),IF(LH107="direct",LV107/F107,0))</f>
        <v>0</v>
      </c>
      <c r="BF107" s="7">
        <f>BD107+BE107</f>
        <v>0</v>
      </c>
      <c r="BG107" s="7">
        <f>BF107-SUM(IF(BP107="direct",CP107,0),IF(CR107="direct",DR107,0),IF(DT107="direct",ET107,0),IF(EV107="direct",FV107,0),IF(FX107="direct",GX107,0),IF(GZ107="direct",HZ107,0),IF(IB107="direct",JB107,0),IF(JD107="direct",KD107,0),IF(KF107="direct",LF107,0),IF(LH107="direct",MH107,0))</f>
        <v>0</v>
      </c>
      <c r="BH107" s="7">
        <f>SUM(IF(BP107="treasury",CP107,0),IF(CR107="treasury",DR107,0),IF(DT107="treasury",ET107,0),IF(EV107="treasury",FV107,0),IF(FX107="treasury",GX107,0),IF(GZ107="treasury",HZ107,0),IF(IB107="treasury",JB107,0),IF(JD107="treasury",KD107,0),IF(KF107="treasury",LF107,0),IF(LH107="treasury",MH107,0))</f>
        <v>0.0001767123287671233</v>
      </c>
      <c r="BI107" s="7">
        <f>SUM(IF(BP107="future",CP107,0),IF(CR107="future",DR107,0),IF(DT107="future",ET107,0),IF(EV107="future",FV107,0),IF(FX107="future",GX107,0),IF(GZ107="future",HZ107,0),IF(IB107="future",JB107,0),IF(JD107="future",KD107,0),IF(KF107="future",LF107,0),IF(LH107="future",MH107,0))</f>
        <v>-0.008923259964306984</v>
      </c>
      <c r="BJ107" s="7">
        <f>SUM(IF(BP107="cash",CP107,0),IF(CR107="cash",DR107,0),IF(DT107="cash",ET107,0),IF(EV107="cash",FV107,0),IF(FX107="cash",GX107,0),IF(GZ107="cash",HZ107,0),IF(IB107="cash",JB107,0),IF(JD107="cash",KD107,0),IF(KF107="cash",LF107,0),IF(LH107="cash",MH107,0))</f>
        <v>0</v>
      </c>
      <c r="BK107" s="7">
        <f>SUM(BF107,BH107,BI107,BJ107)</f>
        <v>-0.00874654763553986</v>
      </c>
      <c r="BL107" s="7">
        <f>G107-BK107</f>
        <v>0</v>
      </c>
      <c r="BM107" s="5">
        <f>MAX(ABS(CG107),ABS(DI107),ABS(EK107),ABS(FM107),ABS(GO107),ABS(HQ107),ABS(IS107),ABS(JU107),ABS(KW107),ABS(LY107))</f>
        <v>1.0909784360635388e-16</v>
      </c>
      <c r="BN107" s="9">
        <f>COUNTA(BO107,CQ107,DS107,EU107,FW107,GY107,IA107,JC107,KE107,LG107)</f>
        <v>4</v>
      </c>
      <c r="BO107" t="inlineStr">
        <is>
          <t xml:space="preserve">Treasury collateral</t>
        </is>
      </c>
      <c r="BP107" t="inlineStr">
        <is>
          <t xml:space="preserve">treasury</t>
        </is>
      </c>
      <c r="BQ107" t="inlineStr">
        <is>
          <t xml:space="preserve">lease</t>
        </is>
      </c>
      <c r="BR107" t="inlineStr">
        <is>
          <t xml:space="preserve">long</t>
        </is>
      </c>
      <c r="BS107"/>
      <c r="BT107" s="4">
        <v>102.67224881577883</v>
      </c>
      <c r="BU107" s="4">
        <v>102.69039226796681</v>
      </c>
      <c r="BV107" s="6"/>
      <c r="BW107" s="4">
        <v>0.012511917255016594</v>
      </c>
      <c r="BX107" s="5">
        <f>IF(BP107="direct",IFERROR(CD107/BU107,0),0)</f>
        <v>0</v>
      </c>
      <c r="BY107" s="5">
        <f>IF(BP107="direct",BW107-BX107,IF(BP107="cash",CI107,BW107))</f>
        <v>0.012511917255016594</v>
      </c>
      <c r="BZ107" s="6">
        <v>1</v>
      </c>
      <c r="CA107" s="4">
        <v>1.2846266815695002</v>
      </c>
      <c r="CB107" s="4">
        <v>1.2846266815695002</v>
      </c>
      <c r="CC107" s="5">
        <f>IF(BP107="direct",BW107*(BU107-BT107),CF107)</f>
        <v>0.00022700937249641904</v>
      </c>
      <c r="CD107" s="5">
        <f>IF(BP107="direct",CB107*BV107*C107/365,0)</f>
        <v>0</v>
      </c>
      <c r="CE107" s="5">
        <f>CC107-CD107</f>
        <v>0.00022700937249652814</v>
      </c>
      <c r="CF107" s="4">
        <v>0.00022700937249652814</v>
      </c>
      <c r="CG107" s="5">
        <f>CF107-CE107</f>
        <v>1.0909784360635388e-16</v>
      </c>
      <c r="CH107" s="4">
        <v>-2.1632543846517027e-16</v>
      </c>
      <c r="CI107" s="4">
        <v>1.2848536909419965</v>
      </c>
      <c r="CJ107" s="4">
        <v>1.722</v>
      </c>
      <c r="CK107" s="4">
        <v>1.687</v>
      </c>
      <c r="CL107" s="6"/>
      <c r="CM107" s="6"/>
      <c r="CN107" s="6"/>
      <c r="CO107" s="9">
        <v>50</v>
      </c>
      <c r="CP107" s="7">
        <f>IFERROR(CE107/F107,0)</f>
        <v>0.0001767123287671233</v>
      </c>
      <c r="CQ107" t="inlineStr">
        <is>
          <t xml:space="preserve">SI69N</t>
        </is>
      </c>
      <c r="CR107" t="inlineStr">
        <is>
          <t xml:space="preserve">future</t>
        </is>
      </c>
      <c r="CS107" t="inlineStr">
        <is>
          <t xml:space="preserve">lease</t>
        </is>
      </c>
      <c r="CT107" t="inlineStr">
        <is>
          <t xml:space="preserve">long</t>
        </is>
      </c>
      <c r="CU107" t="inlineStr">
        <is>
          <t xml:space="preserve">regular</t>
        </is>
      </c>
      <c r="CV107" s="4">
        <v>1.681</v>
      </c>
      <c r="CW107" s="4">
        <v>1.666</v>
      </c>
      <c r="CX107" s="6"/>
      <c r="CY107" s="4">
        <v>0.7642038557819751</v>
      </c>
      <c r="CZ107" s="5">
        <f>IF(CR107="direct",IFERROR(DF107/CW107,0),0)</f>
        <v>0</v>
      </c>
      <c r="DA107" s="5">
        <f>IF(CR107="direct",CY107-CZ107,IF(CR107="cash",DK107,CY107))</f>
        <v>0.7642038557819751</v>
      </c>
      <c r="DB107" s="6">
        <v>1</v>
      </c>
      <c r="DC107" s="4">
        <v>1.2846266815695002</v>
      </c>
      <c r="DD107" s="4">
        <v>0</v>
      </c>
      <c r="DE107" s="5">
        <f>IF(CR107="direct",CY107*(CW107-CV107),DH107)</f>
        <v>-0.011463057836729658</v>
      </c>
      <c r="DF107" s="5">
        <f>IF(CR107="direct",DD107*CX107*C107/365,0)</f>
        <v>0</v>
      </c>
      <c r="DG107" s="5">
        <f>DE107-DF107</f>
        <v>-0.011463057836729658</v>
      </c>
      <c r="DH107" s="4">
        <v>-0.011463057836729658</v>
      </c>
      <c r="DI107" s="5">
        <f>DH107-DG107</f>
        <v>0</v>
      </c>
      <c r="DJ107" s="4">
        <v>0.011463057836729658</v>
      </c>
      <c r="DK107" s="4">
        <v>0</v>
      </c>
      <c r="DL107" s="4">
        <v>1.722</v>
      </c>
      <c r="DM107" s="4">
        <v>1.687</v>
      </c>
      <c r="DN107" s="6">
        <v>-0.023809523809523725</v>
      </c>
      <c r="DO107" s="6">
        <v>0.0645</v>
      </c>
      <c r="DP107" s="6">
        <v>0.2383095238095232</v>
      </c>
      <c r="DQ107" s="9">
        <v>50</v>
      </c>
      <c r="DR107" s="7">
        <f>IFERROR(DG107/F107,0)</f>
        <v>-0.008923259964306984</v>
      </c>
      <c r="DS107" t="inlineStr">
        <is>
          <t xml:space="preserve">Lease cash / margin / financing</t>
        </is>
      </c>
      <c r="DT107" t="inlineStr">
        <is>
          <t xml:space="preserve">cash</t>
        </is>
      </c>
      <c r="DU107" t="inlineStr">
        <is>
          <t xml:space="preserve">lease</t>
        </is>
      </c>
      <c r="DV107" t="inlineStr">
        <is>
          <t xml:space="preserve">cash</t>
        </is>
      </c>
      <c r="DW107"/>
      <c r="DX107" s="4">
        <v>1</v>
      </c>
      <c r="DY107" s="4">
        <v>1</v>
      </c>
      <c r="DZ107" s="6"/>
      <c r="EA107" s="4">
        <v>8.881784197001252e-16</v>
      </c>
      <c r="EB107" s="5">
        <f>IF(DT107="direct",IFERROR(EH107/DY107,0),0)</f>
        <v>0</v>
      </c>
      <c r="EC107" s="5">
        <f>IF(DT107="direct",EA107-EB107,IF(DT107="cash",EM107,EA107))</f>
        <v>-0.011463057836728553</v>
      </c>
      <c r="ED107" s="6"/>
      <c r="EE107" s="4">
        <v>8.881784197001252e-16</v>
      </c>
      <c r="EF107" s="4">
        <v>8.881784197001252e-16</v>
      </c>
      <c r="EG107" s="5">
        <f>IF(DT107="direct",EA107*(DY107-DX107),EJ107)</f>
        <v>0</v>
      </c>
      <c r="EH107" s="5">
        <f>IF(DT107="direct",EF107*DZ107*C107/365,0)</f>
        <v>0</v>
      </c>
      <c r="EI107" s="5">
        <f>EG107-EH107</f>
        <v>0</v>
      </c>
      <c r="EJ107" s="4">
        <v>0</v>
      </c>
      <c r="EK107" s="5">
        <f>EJ107-EI107</f>
        <v>0</v>
      </c>
      <c r="EL107" s="4">
        <v>-0.011463057836729441</v>
      </c>
      <c r="EM107" s="4">
        <v>-0.011463057836728553</v>
      </c>
      <c r="EN107" s="4">
        <v>1.722</v>
      </c>
      <c r="EO107" s="4">
        <v>1.687</v>
      </c>
      <c r="EP107" s="6"/>
      <c r="EQ107" s="6"/>
      <c r="ER107" s="6"/>
      <c r="ES107" s="9"/>
      <c r="ET107" s="7">
        <f>IFERROR(EI107/F107,0)</f>
        <v>0</v>
      </c>
      <c r="EU107" t="inlineStr">
        <is>
          <t xml:space="preserve">Keep cash / margin / financing</t>
        </is>
      </c>
      <c r="EV107" t="inlineStr">
        <is>
          <t xml:space="preserve">cash</t>
        </is>
      </c>
      <c r="EW107" t="inlineStr">
        <is>
          <t xml:space="preserve">keep</t>
        </is>
      </c>
      <c r="EX107" t="inlineStr">
        <is>
          <t xml:space="preserve">cash</t>
        </is>
      </c>
      <c r="EY107"/>
      <c r="EZ107" s="4">
        <v>1</v>
      </c>
      <c r="FA107" s="4">
        <v>1</v>
      </c>
      <c r="FB107" s="6"/>
      <c r="FC107" s="4">
        <v>0</v>
      </c>
      <c r="FD107" s="5">
        <f>IF(EV107="direct",IFERROR(FJ107/FA107,0),0)</f>
        <v>0</v>
      </c>
      <c r="FE107" s="5">
        <f>IF(EV107="direct",FC107-FD107,IF(EV107="cash",FO107,FC107))</f>
        <v>0</v>
      </c>
      <c r="FF107" s="6"/>
      <c r="FG107" s="4">
        <v>0</v>
      </c>
      <c r="FH107" s="4">
        <v>0</v>
      </c>
      <c r="FI107" s="5">
        <f>IF(EV107="direct",FC107*(FA107-EZ107),FL107)</f>
        <v>0</v>
      </c>
      <c r="FJ107" s="5">
        <f>IF(EV107="direct",FH107*FB107*C107/365,0)</f>
        <v>0</v>
      </c>
      <c r="FK107" s="5">
        <f>FI107-FJ107</f>
        <v>0</v>
      </c>
      <c r="FL107" s="4">
        <v>0</v>
      </c>
      <c r="FM107" s="5">
        <f>FL107-FK107</f>
        <v>0</v>
      </c>
      <c r="FN107" s="4">
        <v>0</v>
      </c>
      <c r="FO107" s="4">
        <v>0</v>
      </c>
      <c r="FP107" s="4">
        <v>1.722</v>
      </c>
      <c r="FQ107" s="4">
        <v>1.687</v>
      </c>
      <c r="FR107" s="6"/>
      <c r="FS107" s="6"/>
      <c r="FT107" s="6"/>
      <c r="FU107" s="9"/>
      <c r="FV107" s="7">
        <f>IFERROR(FK107/F107,0)</f>
        <v>0</v>
      </c>
      <c r="FW107"/>
      <c r="FX107"/>
      <c r="FY107"/>
      <c r="FZ107"/>
      <c r="GA107"/>
      <c r="GB107" s="4"/>
      <c r="GC107" s="4"/>
      <c r="GD107" s="6"/>
      <c r="GE107" s="4"/>
      <c r="GF107" s="5">
        <v>0</v>
      </c>
      <c r="GG107" s="5"/>
      <c r="GH107" s="6"/>
      <c r="GI107" s="4"/>
      <c r="GJ107" s="4"/>
      <c r="GK107" s="5">
        <v>0</v>
      </c>
      <c r="GL107" s="5">
        <v>0</v>
      </c>
      <c r="GM107" s="5"/>
      <c r="GN107" s="4"/>
      <c r="GO107" s="5">
        <v>0</v>
      </c>
      <c r="GP107" s="4"/>
      <c r="GQ107" s="4"/>
      <c r="GR107" s="4"/>
      <c r="GS107" s="4"/>
      <c r="GT107" s="6"/>
      <c r="GU107" s="6"/>
      <c r="GV107" s="6"/>
      <c r="GW107" s="9"/>
      <c r="GX107"/>
      <c r="GY107"/>
      <c r="GZ107"/>
      <c r="HA107"/>
      <c r="HB107"/>
      <c r="HC107"/>
      <c r="HD107" s="4"/>
      <c r="HE107" s="4"/>
      <c r="HF107" s="6"/>
      <c r="HG107" s="4"/>
      <c r="HH107" s="5">
        <v>0</v>
      </c>
      <c r="HI107" s="5"/>
      <c r="HJ107" s="6"/>
      <c r="HK107" s="4"/>
      <c r="HL107" s="4"/>
      <c r="HM107" s="5">
        <v>0</v>
      </c>
      <c r="HN107" s="5">
        <v>0</v>
      </c>
      <c r="HO107" s="5"/>
      <c r="HP107" s="4"/>
      <c r="HQ107" s="5">
        <v>0</v>
      </c>
      <c r="HR107" s="4"/>
      <c r="HS107" s="4"/>
      <c r="HT107" s="4"/>
      <c r="HU107" s="4"/>
      <c r="HV107" s="6"/>
      <c r="HW107" s="6"/>
      <c r="HX107" s="6"/>
      <c r="HY107" s="9"/>
      <c r="HZ107"/>
      <c r="IA107"/>
      <c r="IB107"/>
      <c r="IC107"/>
      <c r="ID107"/>
      <c r="IE107"/>
      <c r="IF107" s="4"/>
      <c r="IG107" s="4"/>
      <c r="IH107" s="6"/>
      <c r="II107" s="4"/>
      <c r="IJ107" s="5">
        <v>0</v>
      </c>
      <c r="IK107" s="5"/>
      <c r="IL107" s="6"/>
      <c r="IM107" s="4"/>
      <c r="IN107" s="4"/>
      <c r="IO107" s="5">
        <v>0</v>
      </c>
      <c r="IP107" s="5">
        <v>0</v>
      </c>
      <c r="IQ107" s="5"/>
      <c r="IR107" s="4"/>
      <c r="IS107" s="5">
        <v>0</v>
      </c>
      <c r="IT107" s="4"/>
      <c r="IU107" s="4"/>
      <c r="IV107" s="4"/>
      <c r="IW107" s="4"/>
      <c r="IX107" s="6"/>
      <c r="IY107" s="6"/>
      <c r="IZ107" s="6"/>
      <c r="JA107" s="9"/>
      <c r="JB107"/>
      <c r="JC107"/>
      <c r="JD107"/>
      <c r="JE107"/>
      <c r="JF107"/>
      <c r="JG107"/>
      <c r="JH107" s="4"/>
      <c r="JI107" s="4"/>
      <c r="JJ107" s="6"/>
      <c r="JK107" s="4"/>
      <c r="JL107" s="5">
        <v>0</v>
      </c>
      <c r="JM107" s="5"/>
      <c r="JN107" s="6"/>
      <c r="JO107" s="4"/>
      <c r="JP107" s="4"/>
      <c r="JQ107" s="5">
        <v>0</v>
      </c>
      <c r="JR107" s="5">
        <v>0</v>
      </c>
      <c r="JS107" s="5"/>
      <c r="JT107" s="4"/>
      <c r="JU107" s="5">
        <v>0</v>
      </c>
      <c r="JV107" s="4"/>
      <c r="JW107" s="4"/>
      <c r="JX107" s="4"/>
      <c r="JY107" s="4"/>
      <c r="JZ107" s="6"/>
      <c r="KA107" s="6"/>
      <c r="KB107" s="6"/>
      <c r="KC107" s="9"/>
      <c r="KD107"/>
      <c r="KE107"/>
      <c r="KF107"/>
      <c r="KG107"/>
      <c r="KH107"/>
      <c r="KI107"/>
      <c r="KJ107" s="4"/>
      <c r="KK107" s="4"/>
      <c r="KL107" s="6"/>
      <c r="KM107" s="4"/>
      <c r="KN107" s="5">
        <v>0</v>
      </c>
      <c r="KO107" s="5"/>
      <c r="KP107" s="6"/>
      <c r="KQ107" s="4"/>
      <c r="KR107" s="4"/>
      <c r="KS107" s="5">
        <v>0</v>
      </c>
      <c r="KT107" s="5">
        <v>0</v>
      </c>
      <c r="KU107" s="5"/>
      <c r="KV107" s="4"/>
      <c r="KW107" s="5">
        <v>0</v>
      </c>
      <c r="KX107" s="4"/>
      <c r="KY107" s="4"/>
      <c r="KZ107" s="4"/>
      <c r="LA107" s="4"/>
      <c r="LB107" s="6"/>
      <c r="LC107" s="6"/>
      <c r="LD107" s="6"/>
      <c r="LE107" s="9"/>
      <c r="LF107"/>
      <c r="LG107"/>
      <c r="LH107"/>
      <c r="LI107"/>
      <c r="LJ107"/>
      <c r="LK107"/>
      <c r="LL107" s="4"/>
      <c r="LM107" s="4"/>
      <c r="LN107" s="6"/>
      <c r="LO107" s="4"/>
      <c r="LP107" s="5">
        <v>0</v>
      </c>
      <c r="LQ107" s="5"/>
      <c r="LR107" s="6"/>
      <c r="LS107" s="4"/>
      <c r="LT107" s="4"/>
      <c r="LU107" s="5">
        <v>0</v>
      </c>
      <c r="LV107" s="5">
        <v>0</v>
      </c>
      <c r="LW107" s="5"/>
      <c r="LX107" s="4"/>
      <c r="LY107" s="5">
        <v>0</v>
      </c>
      <c r="LZ107" s="4"/>
      <c r="MA107" s="4"/>
      <c r="MB107" s="4"/>
      <c r="MC107" s="4"/>
      <c r="MD107" s="6"/>
      <c r="ME107" s="6"/>
      <c r="MF107" s="6"/>
      <c r="MG107" s="9"/>
      <c r="MH107"/>
    </row>
    <row r="108">
      <c r="A108" s="8">
        <v>25364</v>
      </c>
      <c r="B108" s="8">
        <v>25365</v>
      </c>
      <c r="C108" s="9">
        <f>B108-A108</f>
        <v>1</v>
      </c>
      <c r="D108" s="8">
        <v>25364</v>
      </c>
      <c r="E108" t="inlineStr">
        <is>
          <t xml:space="preserve">positive</t>
        </is>
      </c>
      <c r="F108" s="4">
        <v>1.2733906331052671</v>
      </c>
      <c r="G108" s="6">
        <v>-0.006421271193408799</v>
      </c>
      <c r="H108" s="7">
        <f>SUM(CP108,DR108,ET108,FV108,GX108,HZ108,JB108,KD108,LF108,MH108)</f>
        <v>-0.006421271193408799</v>
      </c>
      <c r="I108" s="7">
        <f>G108-H108</f>
        <v>0</v>
      </c>
      <c r="J108" s="5">
        <f>F108*(1+H108)</f>
        <v>1.2652138465149516</v>
      </c>
      <c r="K108" s="4">
        <v>1.2652138465149516</v>
      </c>
      <c r="L108" s="5">
        <f>K108-J108</f>
        <v>0</v>
      </c>
      <c r="M108" s="4">
        <v>1.687</v>
      </c>
      <c r="N108" s="4">
        <v>1.684</v>
      </c>
      <c r="O108" s="5">
        <f>M108/$M$3</f>
        <v>0.8615934627170583</v>
      </c>
      <c r="P108" s="5">
        <f>N108/$M$3</f>
        <v>0.8600612870275791</v>
      </c>
      <c r="Q108" s="7">
        <f>IFERROR(N108/M108-1,0)</f>
        <v>-0.001778304682869103</v>
      </c>
      <c r="R108" s="5">
        <f>SUM(IF(BQ108="lease",CB108,0),IF(CS108="lease",DD108,0),IF(DU108="lease",EF108,0),IF(EW108="lease",FH108,0),IF(FY108="lease",GJ108,0),IF(HA108="lease",HL108,0),IF(IC108="lease",IN108,0),IF(JE108="lease",JP108,0),IF(KG108="lease",KR108,0),IF(LI108="lease",LT108,0))</f>
        <v>1.273390633105268</v>
      </c>
      <c r="S108" s="5">
        <f>SUM(IF(BQ108="lease",CI108,0),IF(CS108="lease",DK108,0),IF(DU108="lease",EM108,0),IF(EW108="lease",FO108,0),IF(FY108="lease",GQ108,0),IF(HA108="lease",HS108,0),IF(IC108="lease",IU108,0),IF(JE108="lease",JW108,0),IF(KG108="lease",KY108,0),IF(LI108="lease",MA108,0))</f>
        <v>1.2652138465149525</v>
      </c>
      <c r="T108" s="5">
        <f>SUM(IF(BQ108="keep",CB108,0),IF(CS108="keep",DD108,0),IF(DU108="keep",EF108,0),IF(EW108="keep",FH108,0),IF(FY108="keep",GJ108,0),IF(HA108="keep",HL108,0),IF(IC108="keep",IN108,0),IF(JE108="keep",JP108,0),IF(KG108="keep",KR108,0),IF(LI108="keep",LT108,0))</f>
        <v>0</v>
      </c>
      <c r="U108" s="5">
        <f>SUM(IF(BQ108="keep",CI108,0),IF(CS108="keep",DK108,0),IF(DU108="keep",EM108,0),IF(EW108="keep",FO108,0),IF(FY108="keep",GQ108,0),IF(HA108="keep",HS108,0),IF(IC108="keep",IU108,0),IF(JE108="keep",JW108,0),IF(KG108="keep",KY108,0),IF(LI108="keep",MA108,0))</f>
        <v>0</v>
      </c>
      <c r="V108" s="5">
        <f>R108/O108</f>
        <v>1.4779483459514609</v>
      </c>
      <c r="W108" s="5">
        <f>S108/P108</f>
        <v>1.4710740566961267</v>
      </c>
      <c r="X108" s="5">
        <f>T108/O108</f>
        <v>0</v>
      </c>
      <c r="Y108" s="5">
        <f>U108/P108</f>
        <v>0</v>
      </c>
      <c r="Z108" s="5">
        <f>V108+X108</f>
        <v>1.4779483459514609</v>
      </c>
      <c r="AA108" s="7">
        <f>IFERROR(W108/V108-1,0)</f>
        <v>-0.004651237828551258</v>
      </c>
      <c r="AB108" s="7">
        <f>IFERROR((W108-V108)/Z108,0)</f>
        <v>-0.004651237828551244</v>
      </c>
      <c r="AC108" s="7">
        <f>IFERROR(Y108/X108-1,0)</f>
        <v>0</v>
      </c>
      <c r="AD108" s="7">
        <f>IFERROR((Y108-X108)/Z108,0)</f>
        <v>0</v>
      </c>
      <c r="AE108" s="7">
        <f>AB108+AD108</f>
        <v>-0.004651237828551244</v>
      </c>
      <c r="AF108" s="7">
        <f>(1+Q108)*(1+AE108)-1</f>
        <v>-0.00642127119340874</v>
      </c>
      <c r="AG108" s="7">
        <f>G108-AF108</f>
        <v>-5.898059818321144e-17</v>
      </c>
      <c r="AH108" s="5">
        <f>SUM(IF(BQ108="lease",CE108,0),IF(CS108="lease",DG108,0),IF(DU108="lease",EI108,0),IF(EW108="lease",FK108,0),IF(FY108="lease",GM108,0),IF(HA108="lease",HO108,0),IF(IC108="lease",IQ108,0),IF(JE108="lease",JS108,0),IF(KG108="lease",KU108,0),IF(LI108="lease",LW108,0))</f>
        <v>-0.008176786590315444</v>
      </c>
      <c r="AI108" s="5">
        <f>SUM(IF(BQ108="keep",CE108,0),IF(CS108="keep",DG108,0),IF(DU108="keep",EI108,0),IF(EW108="keep",FK108,0),IF(FY108="keep",GM108,0),IF(HA108="keep",HO108,0),IF(IC108="keep",IQ108,0),IF(JE108="keep",JS108,0),IF(KG108="keep",KU108,0),IF(LI108="keep",LW108,0))</f>
        <v>0</v>
      </c>
      <c r="AJ108" s="5">
        <f>SUM(IF(BQ108="lease",CH108,0),IF(CS108="lease",DJ108,0),IF(DU108="lease",EL108,0),IF(EW108="lease",FN108,0),IF(FY108="lease",GP108,0),IF(HA108="lease",HR108,0),IF(IC108="lease",IT108,0),IF(JE108="lease",JV108,0),IF(KG108="lease",KX108,0),IF(LI108="lease",LZ108,0))</f>
        <v>0</v>
      </c>
      <c r="AK108" s="5">
        <f>SUM(IF(BQ108="keep",CH108,0),IF(CS108="keep",DJ108,0),IF(DU108="keep",EL108,0),IF(EW108="keep",FN108,0),IF(FY108="keep",GP108,0),IF(HA108="keep",HR108,0),IF(IC108="keep",IT108,0),IF(JE108="keep",JV108,0),IF(KG108="keep",KX108,0),IF(LI108="keep",LZ108,0))</f>
        <v>0</v>
      </c>
      <c r="AL108" s="5">
        <f>R108-S107</f>
        <v>0</v>
      </c>
      <c r="AM108" s="5">
        <f>T108-U107</f>
        <v>0</v>
      </c>
      <c r="AN108" s="5">
        <f>AN107</f>
        <v>1</v>
      </c>
      <c r="AO108" s="5">
        <f>AO107+AH108</f>
        <v>0.26521384651495256</v>
      </c>
      <c r="AP108" s="5">
        <f>AP107+AL108</f>
        <v>-4.440892098500626e-16</v>
      </c>
      <c r="AQ108" s="5">
        <f>AN108+AO108+AP108</f>
        <v>1.265213846514952</v>
      </c>
      <c r="AR108" s="5">
        <f>S108-AQ108</f>
        <v>4.440892098500626e-16</v>
      </c>
      <c r="AS108" s="5">
        <f>AS107</f>
        <v>0</v>
      </c>
      <c r="AT108" s="5">
        <f>AT107+AI108</f>
        <v>0</v>
      </c>
      <c r="AU108" s="5">
        <f>AU107+AM108</f>
        <v>0</v>
      </c>
      <c r="AV108" s="5">
        <f>AS108+AT108+AU108</f>
        <v>0</v>
      </c>
      <c r="AW108" s="5">
        <f>U108-AV108</f>
        <v>0</v>
      </c>
      <c r="AX108" s="4">
        <v>1.273390633105268</v>
      </c>
      <c r="AY108" s="4">
        <v>1.2652138465149525</v>
      </c>
      <c r="AZ108" s="5">
        <f>S108-AY108</f>
        <v>0</v>
      </c>
      <c r="BA108" s="4">
        <v>0</v>
      </c>
      <c r="BB108" s="4">
        <v>0</v>
      </c>
      <c r="BC108" s="5">
        <f>U108-BB108</f>
        <v>0</v>
      </c>
      <c r="BD108" s="7">
        <f>SUM(IF(BP108="direct",CC108/F108,0),IF(CR108="direct",DE108/F108,0),IF(DT108="direct",EG108/F108,0),IF(EV108="direct",FI108/F108,0),IF(FX108="direct",GK108/F108,0),IF(GZ108="direct",HM108/F108,0),IF(IB108="direct",IO108/F108,0),IF(JD108="direct",JQ108/F108,0),IF(KF108="direct",KS108/F108,0),IF(LH108="direct",LU108/F108,0))</f>
        <v>0</v>
      </c>
      <c r="BE108" s="7">
        <f>-SUM(IF(BP108="direct",CD108/F108,0),IF(CR108="direct",DF108/F108,0),IF(DT108="direct",EH108/F108,0),IF(EV108="direct",FJ108/F108,0),IF(FX108="direct",GL108/F108,0),IF(GZ108="direct",HN108/F108,0),IF(IB108="direct",IP108/F108,0),IF(JD108="direct",JR108/F108,0),IF(KF108="direct",KT108/F108,0),IF(LH108="direct",LV108/F108,0))</f>
        <v>0</v>
      </c>
      <c r="BF108" s="7">
        <f>BD108+BE108</f>
        <v>0</v>
      </c>
      <c r="BG108" s="7">
        <f>BF108-SUM(IF(BP108="direct",CP108,0),IF(CR108="direct",DR108,0),IF(DT108="direct",ET108,0),IF(EV108="direct",FV108,0),IF(FX108="direct",GX108,0),IF(GZ108="direct",HZ108,0),IF(IB108="direct",JB108,0),IF(JD108="direct",KD108,0),IF(KF108="direct",LF108,0),IF(LH108="direct",MH108,0))</f>
        <v>0</v>
      </c>
      <c r="BH108" s="7">
        <f>SUM(IF(BP108="treasury",CP108,0),IF(CR108="treasury",DR108,0),IF(DT108="treasury",ET108,0),IF(EV108="treasury",FV108,0),IF(FX108="treasury",GX108,0),IF(GZ108="treasury",HZ108,0),IF(IB108="treasury",JB108,0),IF(JD108="treasury",KD108,0),IF(KF108="treasury",LF108,0),IF(LH108="treasury",MH108,0))</f>
        <v>0.0001813698630136986</v>
      </c>
      <c r="BI108" s="7">
        <f>SUM(IF(BP108="future",CP108,0),IF(CR108="future",DR108,0),IF(DT108="future",ET108,0),IF(EV108="future",FV108,0),IF(FX108="future",GX108,0),IF(GZ108="future",HZ108,0),IF(IB108="future",JB108,0),IF(JD108="future",KD108,0),IF(KF108="future",LF108,0),IF(LH108="future",MH108,0))</f>
        <v>-0.006602641056422497</v>
      </c>
      <c r="BJ108" s="7">
        <f>SUM(IF(BP108="cash",CP108,0),IF(CR108="cash",DR108,0),IF(DT108="cash",ET108,0),IF(EV108="cash",FV108,0),IF(FX108="cash",GX108,0),IF(GZ108="cash",HZ108,0),IF(IB108="cash",JB108,0),IF(JD108="cash",KD108,0),IF(KF108="cash",LF108,0),IF(LH108="cash",MH108,0))</f>
        <v>0</v>
      </c>
      <c r="BK108" s="7">
        <f>SUM(BF108,BH108,BI108,BJ108)</f>
        <v>-0.006421271193408799</v>
      </c>
      <c r="BL108" s="7">
        <f>G108-BK108</f>
        <v>0</v>
      </c>
      <c r="BM108" s="5">
        <f>MAX(ABS(CG108),ABS(DI108),ABS(EK108),ABS(FM108),ABS(GO108),ABS(HQ108),ABS(IS108),ABS(JU108),ABS(KW108),ABS(LY108))</f>
        <v>1.9838189251053517e-16</v>
      </c>
      <c r="BN108" s="9">
        <f>COUNTA(BO108,CQ108,DS108,EU108,FW108,GY108,IA108,JC108,KE108,LG108)</f>
        <v>4</v>
      </c>
      <c r="BO108" t="inlineStr">
        <is>
          <t xml:space="preserve">Treasury collateral</t>
        </is>
      </c>
      <c r="BP108" t="inlineStr">
        <is>
          <t xml:space="preserve">treasury</t>
        </is>
      </c>
      <c r="BQ108" t="inlineStr">
        <is>
          <t xml:space="preserve">lease</t>
        </is>
      </c>
      <c r="BR108" t="inlineStr">
        <is>
          <t xml:space="preserve">long</t>
        </is>
      </c>
      <c r="BS108"/>
      <c r="BT108" s="4">
        <v>102.69039226796681</v>
      </c>
      <c r="BU108" s="4">
        <v>102.7090172103453</v>
      </c>
      <c r="BV108" s="6"/>
      <c r="BW108" s="4">
        <v>0.012400289890629699</v>
      </c>
      <c r="BX108" s="5">
        <f>IF(BP108="direct",IFERROR(CD108/BU108,0),0)</f>
        <v>0</v>
      </c>
      <c r="BY108" s="5">
        <f>IF(BP108="direct",BW108-BX108,IF(BP108="cash",CI108,BW108))</f>
        <v>0.012400289890629699</v>
      </c>
      <c r="BZ108" s="6">
        <v>1</v>
      </c>
      <c r="CA108" s="4">
        <v>1.2733906331052671</v>
      </c>
      <c r="CB108" s="4">
        <v>1.2733906331052671</v>
      </c>
      <c r="CC108" s="5">
        <f>IF(BP108="direct",BW108*(BU108-BT108),CF108)</f>
        <v>0.00023095468468942762</v>
      </c>
      <c r="CD108" s="5">
        <f>IF(BP108="direct",CB108*BV108*C108/365,0)</f>
        <v>0</v>
      </c>
      <c r="CE108" s="5">
        <f>CC108-CD108</f>
        <v>0.00023095468468922923</v>
      </c>
      <c r="CF108" s="4">
        <v>0.00023095468468922923</v>
      </c>
      <c r="CG108" s="5">
        <f>CF108-CE108</f>
        <v>-1.9838189251053517e-16</v>
      </c>
      <c r="CH108" s="4">
        <v>2.5939536976715694e-17</v>
      </c>
      <c r="CI108" s="4">
        <v>1.2736215877899564</v>
      </c>
      <c r="CJ108" s="4">
        <v>1.687</v>
      </c>
      <c r="CK108" s="4">
        <v>1.684</v>
      </c>
      <c r="CL108" s="6"/>
      <c r="CM108" s="6"/>
      <c r="CN108" s="6"/>
      <c r="CO108" s="9">
        <v>49</v>
      </c>
      <c r="CP108" s="7">
        <f>IFERROR(CE108/F108,0)</f>
        <v>0.0001813698630136986</v>
      </c>
      <c r="CQ108" t="inlineStr">
        <is>
          <t xml:space="preserve">SI69N</t>
        </is>
      </c>
      <c r="CR108" t="inlineStr">
        <is>
          <t xml:space="preserve">future</t>
        </is>
      </c>
      <c r="CS108" t="inlineStr">
        <is>
          <t xml:space="preserve">lease</t>
        </is>
      </c>
      <c r="CT108" t="inlineStr">
        <is>
          <t xml:space="preserve">long</t>
        </is>
      </c>
      <c r="CU108" t="inlineStr">
        <is>
          <t xml:space="preserve">regular</t>
        </is>
      </c>
      <c r="CV108" s="4">
        <v>1.666</v>
      </c>
      <c r="CW108" s="4">
        <v>1.655</v>
      </c>
      <c r="CX108" s="6"/>
      <c r="CY108" s="4">
        <v>0.764340115909524</v>
      </c>
      <c r="CZ108" s="5">
        <f>IF(CR108="direct",IFERROR(DF108/CW108,0),0)</f>
        <v>0</v>
      </c>
      <c r="DA108" s="5">
        <f>IF(CR108="direct",CY108-CZ108,IF(CR108="cash",DK108,CY108))</f>
        <v>0.764340115909524</v>
      </c>
      <c r="DB108" s="6">
        <v>0.9999999999999999</v>
      </c>
      <c r="DC108" s="4">
        <v>1.273390633105267</v>
      </c>
      <c r="DD108" s="4">
        <v>0</v>
      </c>
      <c r="DE108" s="5">
        <f>IF(CR108="direct",CY108*(CW108-CV108),DH108)</f>
        <v>-0.008407741275004673</v>
      </c>
      <c r="DF108" s="5">
        <f>IF(CR108="direct",DD108*CX108*C108/365,0)</f>
        <v>0</v>
      </c>
      <c r="DG108" s="5">
        <f>DE108-DF108</f>
        <v>-0.008407741275004673</v>
      </c>
      <c r="DH108" s="4">
        <v>-0.008407741275004673</v>
      </c>
      <c r="DI108" s="5">
        <f>DH108-DG108</f>
        <v>0</v>
      </c>
      <c r="DJ108" s="4">
        <v>0.008407741275004673</v>
      </c>
      <c r="DK108" s="4">
        <v>0</v>
      </c>
      <c r="DL108" s="4">
        <v>1.687</v>
      </c>
      <c r="DM108" s="4">
        <v>1.684</v>
      </c>
      <c r="DN108" s="6">
        <v>-0.012448132780083054</v>
      </c>
      <c r="DO108" s="6">
        <v>0.0662</v>
      </c>
      <c r="DP108" s="6">
        <v>0.15892588703531255</v>
      </c>
      <c r="DQ108" s="9">
        <v>49</v>
      </c>
      <c r="DR108" s="7">
        <f>IFERROR(DG108/F108,0)</f>
        <v>-0.006602641056422497</v>
      </c>
      <c r="DS108" t="inlineStr">
        <is>
          <t xml:space="preserve">Lease cash / margin / financing</t>
        </is>
      </c>
      <c r="DT108" t="inlineStr">
        <is>
          <t xml:space="preserve">cash</t>
        </is>
      </c>
      <c r="DU108" t="inlineStr">
        <is>
          <t xml:space="preserve">lease</t>
        </is>
      </c>
      <c r="DV108" t="inlineStr">
        <is>
          <t xml:space="preserve">cash</t>
        </is>
      </c>
      <c r="DW108"/>
      <c r="DX108" s="4">
        <v>1</v>
      </c>
      <c r="DY108" s="4">
        <v>1</v>
      </c>
      <c r="DZ108" s="6"/>
      <c r="EA108" s="4">
        <v>8.881784197001252e-16</v>
      </c>
      <c r="EB108" s="5">
        <f>IF(DT108="direct",IFERROR(EH108/DY108,0),0)</f>
        <v>0</v>
      </c>
      <c r="EC108" s="5">
        <f>IF(DT108="direct",EA108-EB108,IF(DT108="cash",EM108,EA108))</f>
        <v>-0.008407741275003811</v>
      </c>
      <c r="ED108" s="6"/>
      <c r="EE108" s="4">
        <v>8.881784197001252e-16</v>
      </c>
      <c r="EF108" s="4">
        <v>8.881784197001252e-16</v>
      </c>
      <c r="EG108" s="5">
        <f>IF(DT108="direct",EA108*(DY108-DX108),EJ108)</f>
        <v>0</v>
      </c>
      <c r="EH108" s="5">
        <f>IF(DT108="direct",EF108*DZ108*C108/365,0)</f>
        <v>0</v>
      </c>
      <c r="EI108" s="5">
        <f>EG108-EH108</f>
        <v>0</v>
      </c>
      <c r="EJ108" s="4">
        <v>0</v>
      </c>
      <c r="EK108" s="5">
        <f>EJ108-EI108</f>
        <v>0</v>
      </c>
      <c r="EL108" s="4">
        <v>-0.0084077412750047</v>
      </c>
      <c r="EM108" s="4">
        <v>-0.008407741275003811</v>
      </c>
      <c r="EN108" s="4">
        <v>1.687</v>
      </c>
      <c r="EO108" s="4">
        <v>1.684</v>
      </c>
      <c r="EP108" s="6"/>
      <c r="EQ108" s="6"/>
      <c r="ER108" s="6"/>
      <c r="ES108" s="9"/>
      <c r="ET108" s="7">
        <f>IFERROR(EI108/F108,0)</f>
        <v>0</v>
      </c>
      <c r="EU108" t="inlineStr">
        <is>
          <t xml:space="preserve">Keep cash / margin / financing</t>
        </is>
      </c>
      <c r="EV108" t="inlineStr">
        <is>
          <t xml:space="preserve">cash</t>
        </is>
      </c>
      <c r="EW108" t="inlineStr">
        <is>
          <t xml:space="preserve">keep</t>
        </is>
      </c>
      <c r="EX108" t="inlineStr">
        <is>
          <t xml:space="preserve">cash</t>
        </is>
      </c>
      <c r="EY108"/>
      <c r="EZ108" s="4">
        <v>1</v>
      </c>
      <c r="FA108" s="4">
        <v>1</v>
      </c>
      <c r="FB108" s="6"/>
      <c r="FC108" s="4">
        <v>0</v>
      </c>
      <c r="FD108" s="5">
        <f>IF(EV108="direct",IFERROR(FJ108/FA108,0),0)</f>
        <v>0</v>
      </c>
      <c r="FE108" s="5">
        <f>IF(EV108="direct",FC108-FD108,IF(EV108="cash",FO108,FC108))</f>
        <v>0</v>
      </c>
      <c r="FF108" s="6"/>
      <c r="FG108" s="4">
        <v>0</v>
      </c>
      <c r="FH108" s="4">
        <v>0</v>
      </c>
      <c r="FI108" s="5">
        <f>IF(EV108="direct",FC108*(FA108-EZ108),FL108)</f>
        <v>0</v>
      </c>
      <c r="FJ108" s="5">
        <f>IF(EV108="direct",FH108*FB108*C108/365,0)</f>
        <v>0</v>
      </c>
      <c r="FK108" s="5">
        <f>FI108-FJ108</f>
        <v>0</v>
      </c>
      <c r="FL108" s="4">
        <v>0</v>
      </c>
      <c r="FM108" s="5">
        <f>FL108-FK108</f>
        <v>0</v>
      </c>
      <c r="FN108" s="4">
        <v>0</v>
      </c>
      <c r="FO108" s="4">
        <v>0</v>
      </c>
      <c r="FP108" s="4">
        <v>1.687</v>
      </c>
      <c r="FQ108" s="4">
        <v>1.684</v>
      </c>
      <c r="FR108" s="6"/>
      <c r="FS108" s="6"/>
      <c r="FT108" s="6"/>
      <c r="FU108" s="9"/>
      <c r="FV108" s="7">
        <f>IFERROR(FK108/F108,0)</f>
        <v>0</v>
      </c>
      <c r="FW108"/>
      <c r="FX108"/>
      <c r="FY108"/>
      <c r="FZ108"/>
      <c r="GA108"/>
      <c r="GB108" s="4"/>
      <c r="GC108" s="4"/>
      <c r="GD108" s="6"/>
      <c r="GE108" s="4"/>
      <c r="GF108" s="5">
        <v>0</v>
      </c>
      <c r="GG108" s="5"/>
      <c r="GH108" s="6"/>
      <c r="GI108" s="4"/>
      <c r="GJ108" s="4"/>
      <c r="GK108" s="5">
        <v>0</v>
      </c>
      <c r="GL108" s="5">
        <v>0</v>
      </c>
      <c r="GM108" s="5"/>
      <c r="GN108" s="4"/>
      <c r="GO108" s="5">
        <v>0</v>
      </c>
      <c r="GP108" s="4"/>
      <c r="GQ108" s="4"/>
      <c r="GR108" s="4"/>
      <c r="GS108" s="4"/>
      <c r="GT108" s="6"/>
      <c r="GU108" s="6"/>
      <c r="GV108" s="6"/>
      <c r="GW108" s="9"/>
      <c r="GX108"/>
      <c r="GY108"/>
      <c r="GZ108"/>
      <c r="HA108"/>
      <c r="HB108"/>
      <c r="HC108"/>
      <c r="HD108" s="4"/>
      <c r="HE108" s="4"/>
      <c r="HF108" s="6"/>
      <c r="HG108" s="4"/>
      <c r="HH108" s="5">
        <v>0</v>
      </c>
      <c r="HI108" s="5"/>
      <c r="HJ108" s="6"/>
      <c r="HK108" s="4"/>
      <c r="HL108" s="4"/>
      <c r="HM108" s="5">
        <v>0</v>
      </c>
      <c r="HN108" s="5">
        <v>0</v>
      </c>
      <c r="HO108" s="5"/>
      <c r="HP108" s="4"/>
      <c r="HQ108" s="5">
        <v>0</v>
      </c>
      <c r="HR108" s="4"/>
      <c r="HS108" s="4"/>
      <c r="HT108" s="4"/>
      <c r="HU108" s="4"/>
      <c r="HV108" s="6"/>
      <c r="HW108" s="6"/>
      <c r="HX108" s="6"/>
      <c r="HY108" s="9"/>
      <c r="HZ108"/>
      <c r="IA108"/>
      <c r="IB108"/>
      <c r="IC108"/>
      <c r="ID108"/>
      <c r="IE108"/>
      <c r="IF108" s="4"/>
      <c r="IG108" s="4"/>
      <c r="IH108" s="6"/>
      <c r="II108" s="4"/>
      <c r="IJ108" s="5">
        <v>0</v>
      </c>
      <c r="IK108" s="5"/>
      <c r="IL108" s="6"/>
      <c r="IM108" s="4"/>
      <c r="IN108" s="4"/>
      <c r="IO108" s="5">
        <v>0</v>
      </c>
      <c r="IP108" s="5">
        <v>0</v>
      </c>
      <c r="IQ108" s="5"/>
      <c r="IR108" s="4"/>
      <c r="IS108" s="5">
        <v>0</v>
      </c>
      <c r="IT108" s="4"/>
      <c r="IU108" s="4"/>
      <c r="IV108" s="4"/>
      <c r="IW108" s="4"/>
      <c r="IX108" s="6"/>
      <c r="IY108" s="6"/>
      <c r="IZ108" s="6"/>
      <c r="JA108" s="9"/>
      <c r="JB108"/>
      <c r="JC108"/>
      <c r="JD108"/>
      <c r="JE108"/>
      <c r="JF108"/>
      <c r="JG108"/>
      <c r="JH108" s="4"/>
      <c r="JI108" s="4"/>
      <c r="JJ108" s="6"/>
      <c r="JK108" s="4"/>
      <c r="JL108" s="5">
        <v>0</v>
      </c>
      <c r="JM108" s="5"/>
      <c r="JN108" s="6"/>
      <c r="JO108" s="4"/>
      <c r="JP108" s="4"/>
      <c r="JQ108" s="5">
        <v>0</v>
      </c>
      <c r="JR108" s="5">
        <v>0</v>
      </c>
      <c r="JS108" s="5"/>
      <c r="JT108" s="4"/>
      <c r="JU108" s="5">
        <v>0</v>
      </c>
      <c r="JV108" s="4"/>
      <c r="JW108" s="4"/>
      <c r="JX108" s="4"/>
      <c r="JY108" s="4"/>
      <c r="JZ108" s="6"/>
      <c r="KA108" s="6"/>
      <c r="KB108" s="6"/>
      <c r="KC108" s="9"/>
      <c r="KD108"/>
      <c r="KE108"/>
      <c r="KF108"/>
      <c r="KG108"/>
      <c r="KH108"/>
      <c r="KI108"/>
      <c r="KJ108" s="4"/>
      <c r="KK108" s="4"/>
      <c r="KL108" s="6"/>
      <c r="KM108" s="4"/>
      <c r="KN108" s="5">
        <v>0</v>
      </c>
      <c r="KO108" s="5"/>
      <c r="KP108" s="6"/>
      <c r="KQ108" s="4"/>
      <c r="KR108" s="4"/>
      <c r="KS108" s="5">
        <v>0</v>
      </c>
      <c r="KT108" s="5">
        <v>0</v>
      </c>
      <c r="KU108" s="5"/>
      <c r="KV108" s="4"/>
      <c r="KW108" s="5">
        <v>0</v>
      </c>
      <c r="KX108" s="4"/>
      <c r="KY108" s="4"/>
      <c r="KZ108" s="4"/>
      <c r="LA108" s="4"/>
      <c r="LB108" s="6"/>
      <c r="LC108" s="6"/>
      <c r="LD108" s="6"/>
      <c r="LE108" s="9"/>
      <c r="LF108"/>
      <c r="LG108"/>
      <c r="LH108"/>
      <c r="LI108"/>
      <c r="LJ108"/>
      <c r="LK108"/>
      <c r="LL108" s="4"/>
      <c r="LM108" s="4"/>
      <c r="LN108" s="6"/>
      <c r="LO108" s="4"/>
      <c r="LP108" s="5">
        <v>0</v>
      </c>
      <c r="LQ108" s="5"/>
      <c r="LR108" s="6"/>
      <c r="LS108" s="4"/>
      <c r="LT108" s="4"/>
      <c r="LU108" s="5">
        <v>0</v>
      </c>
      <c r="LV108" s="5">
        <v>0</v>
      </c>
      <c r="LW108" s="5"/>
      <c r="LX108" s="4"/>
      <c r="LY108" s="5">
        <v>0</v>
      </c>
      <c r="LZ108" s="4"/>
      <c r="MA108" s="4"/>
      <c r="MB108" s="4"/>
      <c r="MC108" s="4"/>
      <c r="MD108" s="6"/>
      <c r="ME108" s="6"/>
      <c r="MF108" s="6"/>
      <c r="MG108" s="9"/>
      <c r="MH108"/>
    </row>
    <row r="109">
      <c r="A109" s="8">
        <v>25365</v>
      </c>
      <c r="B109" s="8">
        <v>25366</v>
      </c>
      <c r="C109" s="9">
        <f>B109-A109</f>
        <v>1</v>
      </c>
      <c r="D109" s="8">
        <v>25365</v>
      </c>
      <c r="E109" t="inlineStr">
        <is>
          <t xml:space="preserve">positive</t>
        </is>
      </c>
      <c r="F109" s="4">
        <v>1.2652138465149516</v>
      </c>
      <c r="G109" s="6">
        <v>0.003808665314737334</v>
      </c>
      <c r="H109" s="7">
        <f>SUM(CP109,DR109,ET109,FV109,GX109,HZ109,JB109,KD109,LF109,MH109)</f>
        <v>0.0038086653147373336</v>
      </c>
      <c r="I109" s="7">
        <f>G109-H109</f>
        <v>4.336808689942018e-19</v>
      </c>
      <c r="J109" s="5">
        <f>F109*(1+H109)</f>
        <v>1.2700326226078986</v>
      </c>
      <c r="K109" s="4">
        <v>1.2700326226078986</v>
      </c>
      <c r="L109" s="5">
        <f>K109-J109</f>
        <v>0</v>
      </c>
      <c r="M109" s="4">
        <v>1.684</v>
      </c>
      <c r="N109" s="4">
        <v>1.685</v>
      </c>
      <c r="O109" s="5">
        <f>M109/$M$3</f>
        <v>0.8600612870275791</v>
      </c>
      <c r="P109" s="5">
        <f>N109/$M$3</f>
        <v>0.8605720122574055</v>
      </c>
      <c r="Q109" s="7">
        <f>IFERROR(N109/M109-1,0)</f>
        <v>0.000593824228028561</v>
      </c>
      <c r="R109" s="5">
        <f>SUM(IF(BQ109="lease",CB109,0),IF(CS109="lease",DD109,0),IF(DU109="lease",EF109,0),IF(EW109="lease",FH109,0),IF(FY109="lease",GJ109,0),IF(HA109="lease",HL109,0),IF(IC109="lease",IN109,0),IF(JE109="lease",JP109,0),IF(KG109="lease",KR109,0),IF(LI109="lease",LT109,0))</f>
        <v>1.2652138465149525</v>
      </c>
      <c r="S109" s="5">
        <f>SUM(IF(BQ109="lease",CI109,0),IF(CS109="lease",DK109,0),IF(DU109="lease",EM109,0),IF(EW109="lease",FO109,0),IF(FY109="lease",GQ109,0),IF(HA109="lease",HS109,0),IF(IC109="lease",IU109,0),IF(JE109="lease",JW109,0),IF(KG109="lease",KY109,0),IF(LI109="lease",MA109,0))</f>
        <v>1.2700326226078995</v>
      </c>
      <c r="T109" s="5">
        <f>SUM(IF(BQ109="keep",CB109,0),IF(CS109="keep",DD109,0),IF(DU109="keep",EF109,0),IF(EW109="keep",FH109,0),IF(FY109="keep",GJ109,0),IF(HA109="keep",HL109,0),IF(IC109="keep",IN109,0),IF(JE109="keep",JP109,0),IF(KG109="keep",KR109,0),IF(LI109="keep",LT109,0))</f>
        <v>0</v>
      </c>
      <c r="U109" s="5">
        <f>SUM(IF(BQ109="keep",CI109,0),IF(CS109="keep",DK109,0),IF(DU109="keep",EM109,0),IF(EW109="keep",FO109,0),IF(FY109="keep",GQ109,0),IF(HA109="keep",HS109,0),IF(IC109="keep",IU109,0),IF(JE109="keep",JW109,0),IF(KG109="keep",KY109,0),IF(LI109="keep",MA109,0))</f>
        <v>0</v>
      </c>
      <c r="V109" s="5">
        <f>R109/O109</f>
        <v>1.4710740566961267</v>
      </c>
      <c r="W109" s="5">
        <f>S109/P109</f>
        <v>1.4758005193271615</v>
      </c>
      <c r="X109" s="5">
        <f>T109/O109</f>
        <v>0</v>
      </c>
      <c r="Y109" s="5">
        <f>U109/P109</f>
        <v>0</v>
      </c>
      <c r="Z109" s="5">
        <f>V109+X109</f>
        <v>1.4710740566961267</v>
      </c>
      <c r="AA109" s="7">
        <f>IFERROR(W109/V109-1,0)</f>
        <v>0.003212933169149945</v>
      </c>
      <c r="AB109" s="7">
        <f>IFERROR((W109-V109)/Z109,0)</f>
        <v>0.0032129331691498567</v>
      </c>
      <c r="AC109" s="7">
        <f>IFERROR(Y109/X109-1,0)</f>
        <v>0</v>
      </c>
      <c r="AD109" s="7">
        <f>IFERROR((Y109-X109)/Z109,0)</f>
        <v>0</v>
      </c>
      <c r="AE109" s="7">
        <f>AB109+AD109</f>
        <v>0.0032129331691498567</v>
      </c>
      <c r="AF109" s="7">
        <f>(1+Q109)*(1+AE109)-1</f>
        <v>0.003808665314737336</v>
      </c>
      <c r="AG109" s="7">
        <f>G109-AF109</f>
        <v>-2.168404344971009e-18</v>
      </c>
      <c r="AH109" s="5">
        <f>SUM(IF(BQ109="lease",CE109,0),IF(CS109="lease",DG109,0),IF(DU109="lease",EI109,0),IF(EW109="lease",FK109,0),IF(FY109="lease",GM109,0),IF(HA109="lease",HO109,0),IF(IC109="lease",IQ109,0),IF(JE109="lease",JS109,0),IF(KG109="lease",KU109,0),IF(LI109="lease",LW109,0))</f>
        <v>0.0048187760929469005</v>
      </c>
      <c r="AI109" s="5">
        <f>SUM(IF(BQ109="keep",CE109,0),IF(CS109="keep",DG109,0),IF(DU109="keep",EI109,0),IF(EW109="keep",FK109,0),IF(FY109="keep",GM109,0),IF(HA109="keep",HO109,0),IF(IC109="keep",IQ109,0),IF(JE109="keep",JS109,0),IF(KG109="keep",KU109,0),IF(LI109="keep",LW109,0))</f>
        <v>0</v>
      </c>
      <c r="AJ109" s="5">
        <f>SUM(IF(BQ109="lease",CH109,0),IF(CS109="lease",DJ109,0),IF(DU109="lease",EL109,0),IF(EW109="lease",FN109,0),IF(FY109="lease",GP109,0),IF(HA109="lease",HR109,0),IF(IC109="lease",IT109,0),IF(JE109="lease",JV109,0),IF(KG109="lease",KX109,0),IF(LI109="lease",LZ109,0))</f>
        <v>0</v>
      </c>
      <c r="AK109" s="5">
        <f>SUM(IF(BQ109="keep",CH109,0),IF(CS109="keep",DJ109,0),IF(DU109="keep",EL109,0),IF(EW109="keep",FN109,0),IF(FY109="keep",GP109,0),IF(HA109="keep",HR109,0),IF(IC109="keep",IT109,0),IF(JE109="keep",JV109,0),IF(KG109="keep",KX109,0),IF(LI109="keep",LZ109,0))</f>
        <v>0</v>
      </c>
      <c r="AL109" s="5">
        <f>R109-S108</f>
        <v>0</v>
      </c>
      <c r="AM109" s="5">
        <f>T109-U108</f>
        <v>0</v>
      </c>
      <c r="AN109" s="5">
        <f>AN108</f>
        <v>1</v>
      </c>
      <c r="AO109" s="5">
        <f>AO108+AH109</f>
        <v>0.27003262260789945</v>
      </c>
      <c r="AP109" s="5">
        <f>AP108+AL109</f>
        <v>-4.440892098500626e-16</v>
      </c>
      <c r="AQ109" s="5">
        <f>AN109+AO109+AP109</f>
        <v>1.270032622607899</v>
      </c>
      <c r="AR109" s="5">
        <f>S109-AQ109</f>
        <v>4.440892098500626e-16</v>
      </c>
      <c r="AS109" s="5">
        <f>AS108</f>
        <v>0</v>
      </c>
      <c r="AT109" s="5">
        <f>AT108+AI109</f>
        <v>0</v>
      </c>
      <c r="AU109" s="5">
        <f>AU108+AM109</f>
        <v>0</v>
      </c>
      <c r="AV109" s="5">
        <f>AS109+AT109+AU109</f>
        <v>0</v>
      </c>
      <c r="AW109" s="5">
        <f>U109-AV109</f>
        <v>0</v>
      </c>
      <c r="AX109" s="4">
        <v>1.2652138465149525</v>
      </c>
      <c r="AY109" s="4">
        <v>1.2700326226078995</v>
      </c>
      <c r="AZ109" s="5">
        <f>S109-AY109</f>
        <v>0</v>
      </c>
      <c r="BA109" s="4">
        <v>0</v>
      </c>
      <c r="BB109" s="4">
        <v>0</v>
      </c>
      <c r="BC109" s="5">
        <f>U109-BB109</f>
        <v>0</v>
      </c>
      <c r="BD109" s="7">
        <f>SUM(IF(BP109="direct",CC109/F109,0),IF(CR109="direct",DE109/F109,0),IF(DT109="direct",EG109/F109,0),IF(EV109="direct",FI109/F109,0),IF(FX109="direct",GK109/F109,0),IF(GZ109="direct",HM109/F109,0),IF(IB109="direct",IO109/F109,0),IF(JD109="direct",JQ109/F109,0),IF(KF109="direct",KS109/F109,0),IF(LH109="direct",LU109/F109,0))</f>
        <v>0</v>
      </c>
      <c r="BE109" s="7">
        <f>-SUM(IF(BP109="direct",CD109/F109,0),IF(CR109="direct",DF109/F109,0),IF(DT109="direct",EH109/F109,0),IF(EV109="direct",FJ109/F109,0),IF(FX109="direct",GL109/F109,0),IF(GZ109="direct",HN109/F109,0),IF(IB109="direct",IP109/F109,0),IF(JD109="direct",JR109/F109,0),IF(KF109="direct",KT109/F109,0),IF(LH109="direct",LV109/F109,0))</f>
        <v>0</v>
      </c>
      <c r="BF109" s="7">
        <f>BD109+BE109</f>
        <v>0</v>
      </c>
      <c r="BG109" s="7">
        <f>BF109-SUM(IF(BP109="direct",CP109,0),IF(CR109="direct",DR109,0),IF(DT109="direct",ET109,0),IF(EV109="direct",FV109,0),IF(FX109="direct",GX109,0),IF(GZ109="direct",HZ109,0),IF(IB109="direct",JB109,0),IF(JD109="direct",KD109,0),IF(KF109="direct",LF109,0),IF(LH109="direct",MH109,0))</f>
        <v>0</v>
      </c>
      <c r="BH109" s="7">
        <f>SUM(IF(BP109="treasury",CP109,0),IF(CR109="treasury",DR109,0),IF(DT109="treasury",ET109,0),IF(EV109="treasury",FV109,0),IF(FX109="treasury",GX109,0),IF(GZ109="treasury",HZ109,0),IF(IB109="treasury",JB109,0),IF(JD109="treasury",KD109,0),IF(KF109="treasury",LF109,0),IF(LH109="treasury",MH109,0))</f>
        <v>0.0001832876712328767</v>
      </c>
      <c r="BI109" s="7">
        <f>SUM(IF(BP109="future",CP109,0),IF(CR109="future",DR109,0),IF(DT109="future",ET109,0),IF(EV109="future",FV109,0),IF(FX109="future",GX109,0),IF(GZ109="future",HZ109,0),IF(IB109="future",JB109,0),IF(JD109="future",KD109,0),IF(KF109="future",LF109,0),IF(LH109="future",MH109,0))</f>
        <v>0.003625377643504457</v>
      </c>
      <c r="BJ109" s="7">
        <f>SUM(IF(BP109="cash",CP109,0),IF(CR109="cash",DR109,0),IF(DT109="cash",ET109,0),IF(EV109="cash",FV109,0),IF(FX109="cash",GX109,0),IF(GZ109="cash",HZ109,0),IF(IB109="cash",JB109,0),IF(JD109="cash",KD109,0),IF(KF109="cash",LF109,0),IF(LH109="cash",MH109,0))</f>
        <v>0</v>
      </c>
      <c r="BK109" s="7">
        <f>SUM(BF109,BH109,BI109,BJ109)</f>
        <v>0.003808665314737334</v>
      </c>
      <c r="BL109" s="7">
        <f>G109-BK109</f>
        <v>0</v>
      </c>
      <c r="BM109" s="5">
        <f>MAX(ABS(CG109),ABS(DI109),ABS(EK109),ABS(FM109),ABS(GO109),ABS(HQ109),ABS(IS109),ABS(JU109),ABS(KW109),ABS(LY109))</f>
        <v>7.995991022080595e-17</v>
      </c>
      <c r="BN109" s="9">
        <f>COUNTA(BO109,CQ109,DS109,EU109,FW109,GY109,IA109,JC109,KE109,LG109)</f>
        <v>4</v>
      </c>
      <c r="BO109" t="inlineStr">
        <is>
          <t xml:space="preserve">Treasury collateral</t>
        </is>
      </c>
      <c r="BP109" t="inlineStr">
        <is>
          <t xml:space="preserve">treasury</t>
        </is>
      </c>
      <c r="BQ109" t="inlineStr">
        <is>
          <t xml:space="preserve">lease</t>
        </is>
      </c>
      <c r="BR109" t="inlineStr">
        <is>
          <t xml:space="preserve">long</t>
        </is>
      </c>
      <c r="BS109"/>
      <c r="BT109" s="4">
        <v>102.7090172103453</v>
      </c>
      <c r="BU109" s="4">
        <v>102.72784250692439</v>
      </c>
      <c r="BV109" s="6"/>
      <c r="BW109" s="4">
        <v>0.012318430074389942</v>
      </c>
      <c r="BX109" s="5">
        <f>IF(BP109="direct",IFERROR(CD109/BU109,0),0)</f>
        <v>0</v>
      </c>
      <c r="BY109" s="5">
        <f>IF(BP109="direct",BW109-BX109,IF(BP109="cash",CI109,BW109))</f>
        <v>0.012318430074389942</v>
      </c>
      <c r="BZ109" s="6">
        <v>1</v>
      </c>
      <c r="CA109" s="4">
        <v>1.2652138465149516</v>
      </c>
      <c r="CB109" s="4">
        <v>1.2652138465149516</v>
      </c>
      <c r="CC109" s="5">
        <f>IF(BP109="direct",BW109*(BU109-BT109),CF109)</f>
        <v>0.00023189809953923582</v>
      </c>
      <c r="CD109" s="5">
        <f>IF(BP109="direct",CB109*BV109*C109/365,0)</f>
        <v>0</v>
      </c>
      <c r="CE109" s="5">
        <f>CC109-CD109</f>
        <v>0.00023189809953931578</v>
      </c>
      <c r="CF109" s="4">
        <v>0.00023189809953931578</v>
      </c>
      <c r="CG109" s="5">
        <f>CF109-CE109</f>
        <v>7.995991022080595e-17</v>
      </c>
      <c r="CH109" s="4">
        <v>-4.1904413966564746e-17</v>
      </c>
      <c r="CI109" s="4">
        <v>1.2654457446144909</v>
      </c>
      <c r="CJ109" s="4">
        <v>1.684</v>
      </c>
      <c r="CK109" s="4">
        <v>1.685</v>
      </c>
      <c r="CL109" s="6"/>
      <c r="CM109" s="6"/>
      <c r="CN109" s="6"/>
      <c r="CO109" s="9">
        <v>48</v>
      </c>
      <c r="CP109" s="7">
        <f>IFERROR(CE109/F109,0)</f>
        <v>0.0001832876712328767</v>
      </c>
      <c r="CQ109" t="inlineStr">
        <is>
          <t xml:space="preserve">SI69N</t>
        </is>
      </c>
      <c r="CR109" t="inlineStr">
        <is>
          <t xml:space="preserve">future</t>
        </is>
      </c>
      <c r="CS109" t="inlineStr">
        <is>
          <t xml:space="preserve">lease</t>
        </is>
      </c>
      <c r="CT109" t="inlineStr">
        <is>
          <t xml:space="preserve">long</t>
        </is>
      </c>
      <c r="CU109" t="inlineStr">
        <is>
          <t xml:space="preserve">regular</t>
        </is>
      </c>
      <c r="CV109" s="4">
        <v>1.655</v>
      </c>
      <c r="CW109" s="4">
        <v>1.661</v>
      </c>
      <c r="CX109" s="6"/>
      <c r="CY109" s="4">
        <v>0.7644796655679466</v>
      </c>
      <c r="CZ109" s="5">
        <f>IF(CR109="direct",IFERROR(DF109/CW109,0),0)</f>
        <v>0</v>
      </c>
      <c r="DA109" s="5">
        <f>IF(CR109="direct",CY109-CZ109,IF(CR109="cash",DK109,CY109))</f>
        <v>0.7644796655679466</v>
      </c>
      <c r="DB109" s="6">
        <v>1</v>
      </c>
      <c r="DC109" s="4">
        <v>1.2652138465149516</v>
      </c>
      <c r="DD109" s="4">
        <v>0</v>
      </c>
      <c r="DE109" s="5">
        <f>IF(CR109="direct",CY109*(CW109-CV109),DH109)</f>
        <v>0.004586877993407585</v>
      </c>
      <c r="DF109" s="5">
        <f>IF(CR109="direct",DD109*CX109*C109/365,0)</f>
        <v>0</v>
      </c>
      <c r="DG109" s="5">
        <f>DE109-DF109</f>
        <v>0.004586877993407585</v>
      </c>
      <c r="DH109" s="4">
        <v>0.004586877993407585</v>
      </c>
      <c r="DI109" s="5">
        <f>DH109-DG109</f>
        <v>0</v>
      </c>
      <c r="DJ109" s="4">
        <v>-0.004586877993407585</v>
      </c>
      <c r="DK109" s="4">
        <v>0</v>
      </c>
      <c r="DL109" s="4">
        <v>1.684</v>
      </c>
      <c r="DM109" s="4">
        <v>1.685</v>
      </c>
      <c r="DN109" s="6">
        <v>-0.017220902612826605</v>
      </c>
      <c r="DO109" s="6">
        <v>0.0669</v>
      </c>
      <c r="DP109" s="6">
        <v>0.19785061361836898</v>
      </c>
      <c r="DQ109" s="9">
        <v>48</v>
      </c>
      <c r="DR109" s="7">
        <f>IFERROR(DG109/F109,0)</f>
        <v>0.003625377643504457</v>
      </c>
      <c r="DS109" t="inlineStr">
        <is>
          <t xml:space="preserve">Lease cash / margin / financing</t>
        </is>
      </c>
      <c r="DT109" t="inlineStr">
        <is>
          <t xml:space="preserve">cash</t>
        </is>
      </c>
      <c r="DU109" t="inlineStr">
        <is>
          <t xml:space="preserve">lease</t>
        </is>
      </c>
      <c r="DV109" t="inlineStr">
        <is>
          <t xml:space="preserve">cash</t>
        </is>
      </c>
      <c r="DW109"/>
      <c r="DX109" s="4">
        <v>1</v>
      </c>
      <c r="DY109" s="4">
        <v>1</v>
      </c>
      <c r="DZ109" s="6"/>
      <c r="EA109" s="4">
        <v>8.881784197001252e-16</v>
      </c>
      <c r="EB109" s="5">
        <f>IF(DT109="direct",IFERROR(EH109/DY109,0),0)</f>
        <v>0</v>
      </c>
      <c r="EC109" s="5">
        <f>IF(DT109="direct",EA109-EB109,IF(DT109="cash",EM109,EA109))</f>
        <v>0.004586877993408515</v>
      </c>
      <c r="ED109" s="6"/>
      <c r="EE109" s="4">
        <v>8.881784197001252e-16</v>
      </c>
      <c r="EF109" s="4">
        <v>8.881784197001252e-16</v>
      </c>
      <c r="EG109" s="5">
        <f>IF(DT109="direct",EA109*(DY109-DX109),EJ109)</f>
        <v>0</v>
      </c>
      <c r="EH109" s="5">
        <f>IF(DT109="direct",EF109*DZ109*C109/365,0)</f>
        <v>0</v>
      </c>
      <c r="EI109" s="5">
        <f>EG109-EH109</f>
        <v>0</v>
      </c>
      <c r="EJ109" s="4">
        <v>0</v>
      </c>
      <c r="EK109" s="5">
        <f>EJ109-EI109</f>
        <v>0</v>
      </c>
      <c r="EL109" s="4">
        <v>0.004586877993407627</v>
      </c>
      <c r="EM109" s="4">
        <v>0.004586877993408515</v>
      </c>
      <c r="EN109" s="4">
        <v>1.684</v>
      </c>
      <c r="EO109" s="4">
        <v>1.685</v>
      </c>
      <c r="EP109" s="6"/>
      <c r="EQ109" s="6"/>
      <c r="ER109" s="6"/>
      <c r="ES109" s="9"/>
      <c r="ET109" s="7">
        <f>IFERROR(EI109/F109,0)</f>
        <v>0</v>
      </c>
      <c r="EU109" t="inlineStr">
        <is>
          <t xml:space="preserve">Keep cash / margin / financing</t>
        </is>
      </c>
      <c r="EV109" t="inlineStr">
        <is>
          <t xml:space="preserve">cash</t>
        </is>
      </c>
      <c r="EW109" t="inlineStr">
        <is>
          <t xml:space="preserve">keep</t>
        </is>
      </c>
      <c r="EX109" t="inlineStr">
        <is>
          <t xml:space="preserve">cash</t>
        </is>
      </c>
      <c r="EY109"/>
      <c r="EZ109" s="4">
        <v>1</v>
      </c>
      <c r="FA109" s="4">
        <v>1</v>
      </c>
      <c r="FB109" s="6"/>
      <c r="FC109" s="4">
        <v>0</v>
      </c>
      <c r="FD109" s="5">
        <f>IF(EV109="direct",IFERROR(FJ109/FA109,0),0)</f>
        <v>0</v>
      </c>
      <c r="FE109" s="5">
        <f>IF(EV109="direct",FC109-FD109,IF(EV109="cash",FO109,FC109))</f>
        <v>0</v>
      </c>
      <c r="FF109" s="6"/>
      <c r="FG109" s="4">
        <v>0</v>
      </c>
      <c r="FH109" s="4">
        <v>0</v>
      </c>
      <c r="FI109" s="5">
        <f>IF(EV109="direct",FC109*(FA109-EZ109),FL109)</f>
        <v>0</v>
      </c>
      <c r="FJ109" s="5">
        <f>IF(EV109="direct",FH109*FB109*C109/365,0)</f>
        <v>0</v>
      </c>
      <c r="FK109" s="5">
        <f>FI109-FJ109</f>
        <v>0</v>
      </c>
      <c r="FL109" s="4">
        <v>0</v>
      </c>
      <c r="FM109" s="5">
        <f>FL109-FK109</f>
        <v>0</v>
      </c>
      <c r="FN109" s="4">
        <v>0</v>
      </c>
      <c r="FO109" s="4">
        <v>0</v>
      </c>
      <c r="FP109" s="4">
        <v>1.684</v>
      </c>
      <c r="FQ109" s="4">
        <v>1.685</v>
      </c>
      <c r="FR109" s="6"/>
      <c r="FS109" s="6"/>
      <c r="FT109" s="6"/>
      <c r="FU109" s="9"/>
      <c r="FV109" s="7">
        <f>IFERROR(FK109/F109,0)</f>
        <v>0</v>
      </c>
      <c r="FW109"/>
      <c r="FX109"/>
      <c r="FY109"/>
      <c r="FZ109"/>
      <c r="GA109"/>
      <c r="GB109" s="4"/>
      <c r="GC109" s="4"/>
      <c r="GD109" s="6"/>
      <c r="GE109" s="4"/>
      <c r="GF109" s="5">
        <v>0</v>
      </c>
      <c r="GG109" s="5"/>
      <c r="GH109" s="6"/>
      <c r="GI109" s="4"/>
      <c r="GJ109" s="4"/>
      <c r="GK109" s="5">
        <v>0</v>
      </c>
      <c r="GL109" s="5">
        <v>0</v>
      </c>
      <c r="GM109" s="5"/>
      <c r="GN109" s="4"/>
      <c r="GO109" s="5">
        <v>0</v>
      </c>
      <c r="GP109" s="4"/>
      <c r="GQ109" s="4"/>
      <c r="GR109" s="4"/>
      <c r="GS109" s="4"/>
      <c r="GT109" s="6"/>
      <c r="GU109" s="6"/>
      <c r="GV109" s="6"/>
      <c r="GW109" s="9"/>
      <c r="GX109"/>
      <c r="GY109"/>
      <c r="GZ109"/>
      <c r="HA109"/>
      <c r="HB109"/>
      <c r="HC109"/>
      <c r="HD109" s="4"/>
      <c r="HE109" s="4"/>
      <c r="HF109" s="6"/>
      <c r="HG109" s="4"/>
      <c r="HH109" s="5">
        <v>0</v>
      </c>
      <c r="HI109" s="5"/>
      <c r="HJ109" s="6"/>
      <c r="HK109" s="4"/>
      <c r="HL109" s="4"/>
      <c r="HM109" s="5">
        <v>0</v>
      </c>
      <c r="HN109" s="5">
        <v>0</v>
      </c>
      <c r="HO109" s="5"/>
      <c r="HP109" s="4"/>
      <c r="HQ109" s="5">
        <v>0</v>
      </c>
      <c r="HR109" s="4"/>
      <c r="HS109" s="4"/>
      <c r="HT109" s="4"/>
      <c r="HU109" s="4"/>
      <c r="HV109" s="6"/>
      <c r="HW109" s="6"/>
      <c r="HX109" s="6"/>
      <c r="HY109" s="9"/>
      <c r="HZ109"/>
      <c r="IA109"/>
      <c r="IB109"/>
      <c r="IC109"/>
      <c r="ID109"/>
      <c r="IE109"/>
      <c r="IF109" s="4"/>
      <c r="IG109" s="4"/>
      <c r="IH109" s="6"/>
      <c r="II109" s="4"/>
      <c r="IJ109" s="5">
        <v>0</v>
      </c>
      <c r="IK109" s="5"/>
      <c r="IL109" s="6"/>
      <c r="IM109" s="4"/>
      <c r="IN109" s="4"/>
      <c r="IO109" s="5">
        <v>0</v>
      </c>
      <c r="IP109" s="5">
        <v>0</v>
      </c>
      <c r="IQ109" s="5"/>
      <c r="IR109" s="4"/>
      <c r="IS109" s="5">
        <v>0</v>
      </c>
      <c r="IT109" s="4"/>
      <c r="IU109" s="4"/>
      <c r="IV109" s="4"/>
      <c r="IW109" s="4"/>
      <c r="IX109" s="6"/>
      <c r="IY109" s="6"/>
      <c r="IZ109" s="6"/>
      <c r="JA109" s="9"/>
      <c r="JB109"/>
      <c r="JC109"/>
      <c r="JD109"/>
      <c r="JE109"/>
      <c r="JF109"/>
      <c r="JG109"/>
      <c r="JH109" s="4"/>
      <c r="JI109" s="4"/>
      <c r="JJ109" s="6"/>
      <c r="JK109" s="4"/>
      <c r="JL109" s="5">
        <v>0</v>
      </c>
      <c r="JM109" s="5"/>
      <c r="JN109" s="6"/>
      <c r="JO109" s="4"/>
      <c r="JP109" s="4"/>
      <c r="JQ109" s="5">
        <v>0</v>
      </c>
      <c r="JR109" s="5">
        <v>0</v>
      </c>
      <c r="JS109" s="5"/>
      <c r="JT109" s="4"/>
      <c r="JU109" s="5">
        <v>0</v>
      </c>
      <c r="JV109" s="4"/>
      <c r="JW109" s="4"/>
      <c r="JX109" s="4"/>
      <c r="JY109" s="4"/>
      <c r="JZ109" s="6"/>
      <c r="KA109" s="6"/>
      <c r="KB109" s="6"/>
      <c r="KC109" s="9"/>
      <c r="KD109"/>
      <c r="KE109"/>
      <c r="KF109"/>
      <c r="KG109"/>
      <c r="KH109"/>
      <c r="KI109"/>
      <c r="KJ109" s="4"/>
      <c r="KK109" s="4"/>
      <c r="KL109" s="6"/>
      <c r="KM109" s="4"/>
      <c r="KN109" s="5">
        <v>0</v>
      </c>
      <c r="KO109" s="5"/>
      <c r="KP109" s="6"/>
      <c r="KQ109" s="4"/>
      <c r="KR109" s="4"/>
      <c r="KS109" s="5">
        <v>0</v>
      </c>
      <c r="KT109" s="5">
        <v>0</v>
      </c>
      <c r="KU109" s="5"/>
      <c r="KV109" s="4"/>
      <c r="KW109" s="5">
        <v>0</v>
      </c>
      <c r="KX109" s="4"/>
      <c r="KY109" s="4"/>
      <c r="KZ109" s="4"/>
      <c r="LA109" s="4"/>
      <c r="LB109" s="6"/>
      <c r="LC109" s="6"/>
      <c r="LD109" s="6"/>
      <c r="LE109" s="9"/>
      <c r="LF109"/>
      <c r="LG109"/>
      <c r="LH109"/>
      <c r="LI109"/>
      <c r="LJ109"/>
      <c r="LK109"/>
      <c r="LL109" s="4"/>
      <c r="LM109" s="4"/>
      <c r="LN109" s="6"/>
      <c r="LO109" s="4"/>
      <c r="LP109" s="5">
        <v>0</v>
      </c>
      <c r="LQ109" s="5"/>
      <c r="LR109" s="6"/>
      <c r="LS109" s="4"/>
      <c r="LT109" s="4"/>
      <c r="LU109" s="5">
        <v>0</v>
      </c>
      <c r="LV109" s="5">
        <v>0</v>
      </c>
      <c r="LW109" s="5"/>
      <c r="LX109" s="4"/>
      <c r="LY109" s="5">
        <v>0</v>
      </c>
      <c r="LZ109" s="4"/>
      <c r="MA109" s="4"/>
      <c r="MB109" s="4"/>
      <c r="MC109" s="4"/>
      <c r="MD109" s="6"/>
      <c r="ME109" s="6"/>
      <c r="MF109" s="6"/>
      <c r="MG109" s="9"/>
      <c r="MH109"/>
    </row>
    <row r="110">
      <c r="A110" s="8">
        <v>25366</v>
      </c>
      <c r="B110" s="8">
        <v>25367</v>
      </c>
      <c r="C110" s="9">
        <f>B110-A110</f>
        <v>1</v>
      </c>
      <c r="D110" s="8">
        <v>25366</v>
      </c>
      <c r="E110" t="inlineStr">
        <is>
          <t xml:space="preserve">positive</t>
        </is>
      </c>
      <c r="F110" s="4">
        <v>1.2700326226078986</v>
      </c>
      <c r="G110" s="6">
        <v>-0.006435941213825671</v>
      </c>
      <c r="H110" s="7">
        <f>SUM(CP110,DR110,ET110,FV110,GX110,HZ110,JB110,KD110,LF110,MH110)</f>
        <v>-0.006435941213825671</v>
      </c>
      <c r="I110" s="7">
        <f>G110-H110</f>
        <v>0</v>
      </c>
      <c r="J110" s="5">
        <f>F110*(1+H110)</f>
        <v>1.2618587673091535</v>
      </c>
      <c r="K110" s="4">
        <v>1.2618587673091535</v>
      </c>
      <c r="L110" s="5">
        <f>K110-J110</f>
        <v>0</v>
      </c>
      <c r="M110" s="4">
        <v>1.685</v>
      </c>
      <c r="N110" s="4">
        <v>1.686</v>
      </c>
      <c r="O110" s="5">
        <f>M110/$M$3</f>
        <v>0.8605720122574055</v>
      </c>
      <c r="P110" s="5">
        <f>N110/$M$3</f>
        <v>0.8610827374872319</v>
      </c>
      <c r="Q110" s="7">
        <f>IFERROR(N110/M110-1,0)</f>
        <v>0.0005934718100890635</v>
      </c>
      <c r="R110" s="5">
        <f>SUM(IF(BQ110="lease",CB110,0),IF(CS110="lease",DD110,0),IF(DU110="lease",EF110,0),IF(EW110="lease",FH110,0),IF(FY110="lease",GJ110,0),IF(HA110="lease",HL110,0),IF(IC110="lease",IN110,0),IF(JE110="lease",JP110,0),IF(KG110="lease",KR110,0),IF(LI110="lease",LT110,0))</f>
        <v>1.2700326226078995</v>
      </c>
      <c r="S110" s="5">
        <f>SUM(IF(BQ110="lease",CI110,0),IF(CS110="lease",DK110,0),IF(DU110="lease",EM110,0),IF(EW110="lease",FO110,0),IF(FY110="lease",GQ110,0),IF(HA110="lease",HS110,0),IF(IC110="lease",IU110,0),IF(JE110="lease",JW110,0),IF(KG110="lease",KY110,0),IF(LI110="lease",MA110,0))</f>
        <v>1.2618587673091541</v>
      </c>
      <c r="T110" s="5">
        <f>SUM(IF(BQ110="keep",CB110,0),IF(CS110="keep",DD110,0),IF(DU110="keep",EF110,0),IF(EW110="keep",FH110,0),IF(FY110="keep",GJ110,0),IF(HA110="keep",HL110,0),IF(IC110="keep",IN110,0),IF(JE110="keep",JP110,0),IF(KG110="keep",KR110,0),IF(LI110="keep",LT110,0))</f>
        <v>0</v>
      </c>
      <c r="U110" s="5">
        <f>SUM(IF(BQ110="keep",CI110,0),IF(CS110="keep",DK110,0),IF(DU110="keep",EM110,0),IF(EW110="keep",FO110,0),IF(FY110="keep",GQ110,0),IF(HA110="keep",HS110,0),IF(IC110="keep",IU110,0),IF(JE110="keep",JW110,0),IF(KG110="keep",KY110,0),IF(LI110="keep",MA110,0))</f>
        <v>0</v>
      </c>
      <c r="V110" s="5">
        <f>R110/O110</f>
        <v>1.4758005193271615</v>
      </c>
      <c r="W110" s="5">
        <f>S110/P110</f>
        <v>1.4654326609675705</v>
      </c>
      <c r="X110" s="5">
        <f>T110/O110</f>
        <v>0</v>
      </c>
      <c r="Y110" s="5">
        <f>U110/P110</f>
        <v>0</v>
      </c>
      <c r="Z110" s="5">
        <f>V110+X110</f>
        <v>1.4758005193271615</v>
      </c>
      <c r="AA110" s="7">
        <f>IFERROR(W110/V110-1,0)</f>
        <v>-0.007025243739796072</v>
      </c>
      <c r="AB110" s="7">
        <f>IFERROR((W110-V110)/Z110,0)</f>
        <v>-0.007025243739796101</v>
      </c>
      <c r="AC110" s="7">
        <f>IFERROR(Y110/X110-1,0)</f>
        <v>0</v>
      </c>
      <c r="AD110" s="7">
        <f>IFERROR((Y110-X110)/Z110,0)</f>
        <v>0</v>
      </c>
      <c r="AE110" s="7">
        <f>AB110+AD110</f>
        <v>-0.007025243739796101</v>
      </c>
      <c r="AF110" s="7">
        <f>(1+Q110)*(1+AE110)-1</f>
        <v>-0.0064359412138256245</v>
      </c>
      <c r="AG110" s="7">
        <f>G110-AF110</f>
        <v>-4.683753385137379e-17</v>
      </c>
      <c r="AH110" s="5">
        <f>SUM(IF(BQ110="lease",CE110,0),IF(CS110="lease",DG110,0),IF(DU110="lease",EI110,0),IF(EW110="lease",FK110,0),IF(FY110="lease",GM110,0),IF(HA110="lease",HO110,0),IF(IC110="lease",IQ110,0),IF(JE110="lease",JS110,0),IF(KG110="lease",KU110,0),IF(LI110="lease",LW110,0))</f>
        <v>-0.00817385529874528</v>
      </c>
      <c r="AI110" s="5">
        <f>SUM(IF(BQ110="keep",CE110,0),IF(CS110="keep",DG110,0),IF(DU110="keep",EI110,0),IF(EW110="keep",FK110,0),IF(FY110="keep",GM110,0),IF(HA110="keep",HO110,0),IF(IC110="keep",IQ110,0),IF(JE110="keep",JS110,0),IF(KG110="keep",KU110,0),IF(LI110="keep",LW110,0))</f>
        <v>0</v>
      </c>
      <c r="AJ110" s="5">
        <f>SUM(IF(BQ110="lease",CH110,0),IF(CS110="lease",DJ110,0),IF(DU110="lease",EL110,0),IF(EW110="lease",FN110,0),IF(FY110="lease",GP110,0),IF(HA110="lease",HR110,0),IF(IC110="lease",IT110,0),IF(JE110="lease",JV110,0),IF(KG110="lease",KX110,0),IF(LI110="lease",LZ110,0))</f>
        <v>0</v>
      </c>
      <c r="AK110" s="5">
        <f>SUM(IF(BQ110="keep",CH110,0),IF(CS110="keep",DJ110,0),IF(DU110="keep",EL110,0),IF(EW110="keep",FN110,0),IF(FY110="keep",GP110,0),IF(HA110="keep",HR110,0),IF(IC110="keep",IT110,0),IF(JE110="keep",JV110,0),IF(KG110="keep",KX110,0),IF(LI110="keep",LZ110,0))</f>
        <v>0</v>
      </c>
      <c r="AL110" s="5">
        <f>R110-S109</f>
        <v>0</v>
      </c>
      <c r="AM110" s="5">
        <f>T110-U109</f>
        <v>0</v>
      </c>
      <c r="AN110" s="5">
        <f>AN109</f>
        <v>1</v>
      </c>
      <c r="AO110" s="5">
        <f>AO109+AH110</f>
        <v>0.2618587673091542</v>
      </c>
      <c r="AP110" s="5">
        <f>AP109+AL110</f>
        <v>-4.440892098500626e-16</v>
      </c>
      <c r="AQ110" s="5">
        <f>AN110+AO110+AP110</f>
        <v>1.2618587673091537</v>
      </c>
      <c r="AR110" s="5">
        <f>S110-AQ110</f>
        <v>4.440892098500626e-16</v>
      </c>
      <c r="AS110" s="5">
        <f>AS109</f>
        <v>0</v>
      </c>
      <c r="AT110" s="5">
        <f>AT109+AI110</f>
        <v>0</v>
      </c>
      <c r="AU110" s="5">
        <f>AU109+AM110</f>
        <v>0</v>
      </c>
      <c r="AV110" s="5">
        <f>AS110+AT110+AU110</f>
        <v>0</v>
      </c>
      <c r="AW110" s="5">
        <f>U110-AV110</f>
        <v>0</v>
      </c>
      <c r="AX110" s="4">
        <v>1.2700326226078995</v>
      </c>
      <c r="AY110" s="4">
        <v>1.2618587673091541</v>
      </c>
      <c r="AZ110" s="5">
        <f>S110-AY110</f>
        <v>0</v>
      </c>
      <c r="BA110" s="4">
        <v>0</v>
      </c>
      <c r="BB110" s="4">
        <v>0</v>
      </c>
      <c r="BC110" s="5">
        <f>U110-BB110</f>
        <v>0</v>
      </c>
      <c r="BD110" s="7">
        <f>SUM(IF(BP110="direct",CC110/F110,0),IF(CR110="direct",DE110/F110,0),IF(DT110="direct",EG110/F110,0),IF(EV110="direct",FI110/F110,0),IF(FX110="direct",GK110/F110,0),IF(GZ110="direct",HM110/F110,0),IF(IB110="direct",IO110/F110,0),IF(JD110="direct",JQ110/F110,0),IF(KF110="direct",KS110/F110,0),IF(LH110="direct",LU110/F110,0))</f>
        <v>0</v>
      </c>
      <c r="BE110" s="7">
        <f>-SUM(IF(BP110="direct",CD110/F110,0),IF(CR110="direct",DF110/F110,0),IF(DT110="direct",EH110/F110,0),IF(EV110="direct",FJ110/F110,0),IF(FX110="direct",GL110/F110,0),IF(GZ110="direct",HN110/F110,0),IF(IB110="direct",IP110/F110,0),IF(JD110="direct",JR110/F110,0),IF(KF110="direct",KT110/F110,0),IF(LH110="direct",LV110/F110,0))</f>
        <v>0</v>
      </c>
      <c r="BF110" s="7">
        <f>BD110+BE110</f>
        <v>0</v>
      </c>
      <c r="BG110" s="7">
        <f>BF110-SUM(IF(BP110="direct",CP110,0),IF(CR110="direct",DR110,0),IF(DT110="direct",ET110,0),IF(EV110="direct",FV110,0),IF(FX110="direct",GX110,0),IF(GZ110="direct",HZ110,0),IF(IB110="direct",JB110,0),IF(JD110="direct",KD110,0),IF(KF110="direct",LF110,0),IF(LH110="direct",MH110,0))</f>
        <v>0</v>
      </c>
      <c r="BH110" s="7">
        <f>SUM(IF(BP110="treasury",CP110,0),IF(CR110="treasury",DR110,0),IF(DT110="treasury",ET110,0),IF(EV110="treasury",FV110,0),IF(FX110="treasury",GX110,0),IF(GZ110="treasury",HZ110,0),IF(IB110="treasury",JB110,0),IF(JD110="treasury",KD110,0),IF(KF110="treasury",LF110,0),IF(LH110="treasury",MH110,0))</f>
        <v>0.0001865753424657534</v>
      </c>
      <c r="BI110" s="7">
        <f>SUM(IF(BP110="future",CP110,0),IF(CR110="future",DR110,0),IF(DT110="future",ET110,0),IF(EV110="future",FV110,0),IF(FX110="future",GX110,0),IF(GZ110="future",HZ110,0),IF(IB110="future",JB110,0),IF(JD110="future",KD110,0),IF(KF110="future",LF110,0),IF(LH110="future",MH110,0))</f>
        <v>-0.0066225165562914245</v>
      </c>
      <c r="BJ110" s="7">
        <f>SUM(IF(BP110="cash",CP110,0),IF(CR110="cash",DR110,0),IF(DT110="cash",ET110,0),IF(EV110="cash",FV110,0),IF(FX110="cash",GX110,0),IF(GZ110="cash",HZ110,0),IF(IB110="cash",JB110,0),IF(JD110="cash",KD110,0),IF(KF110="cash",LF110,0),IF(LH110="cash",MH110,0))</f>
        <v>0</v>
      </c>
      <c r="BK110" s="7">
        <f>SUM(BF110,BH110,BI110,BJ110)</f>
        <v>-0.006435941213825671</v>
      </c>
      <c r="BL110" s="7">
        <f>G110-BK110</f>
        <v>0</v>
      </c>
      <c r="BM110" s="5">
        <f>MAX(ABS(CG110),ABS(DI110),ABS(EK110),ABS(FM110),ABS(GO110),ABS(HQ110),ABS(IS110),ABS(JU110),ABS(KW110),ABS(LY110))</f>
        <v>1.450662506785605e-16</v>
      </c>
      <c r="BN110" s="9">
        <f>COUNTA(BO110,CQ110,DS110,EU110,FW110,GY110,IA110,JC110,KE110,LG110)</f>
        <v>4</v>
      </c>
      <c r="BO110" t="inlineStr">
        <is>
          <t xml:space="preserve">Treasury collateral</t>
        </is>
      </c>
      <c r="BP110" t="inlineStr">
        <is>
          <t xml:space="preserve">treasury</t>
        </is>
      </c>
      <c r="BQ110" t="inlineStr">
        <is>
          <t xml:space="preserve">lease</t>
        </is>
      </c>
      <c r="BR110" t="inlineStr">
        <is>
          <t xml:space="preserve">long</t>
        </is>
      </c>
      <c r="BS110"/>
      <c r="BT110" s="4">
        <v>102.72784250692439</v>
      </c>
      <c r="BU110" s="4">
        <v>102.74700898932088</v>
      </c>
      <c r="BV110" s="6"/>
      <c r="BW110" s="4">
        <v>0.012363080851447765</v>
      </c>
      <c r="BX110" s="5">
        <f>IF(BP110="direct",IFERROR(CD110/BU110,0),0)</f>
        <v>0</v>
      </c>
      <c r="BY110" s="5">
        <f>IF(BP110="direct",BW110-BX110,IF(BP110="cash",CI110,BW110))</f>
        <v>0.012363080851447765</v>
      </c>
      <c r="BZ110" s="6">
        <v>1</v>
      </c>
      <c r="CA110" s="4">
        <v>1.2700326226078986</v>
      </c>
      <c r="CB110" s="4">
        <v>1.2700326226078986</v>
      </c>
      <c r="CC110" s="5">
        <f>IF(BP110="direct",BW110*(BU110-BT110),CF110)</f>
        <v>0.00023695677150560257</v>
      </c>
      <c r="CD110" s="5">
        <f>IF(BP110="direct",CB110*BV110*C110/365,0)</f>
        <v>0</v>
      </c>
      <c r="CE110" s="5">
        <f>CC110-CD110</f>
        <v>0.00023695677150574763</v>
      </c>
      <c r="CF110" s="4">
        <v>0.00023695677150574763</v>
      </c>
      <c r="CG110" s="5">
        <f>CF110-CE110</f>
        <v>1.450662506785605e-16</v>
      </c>
      <c r="CH110" s="4">
        <v>-4.458781434346637e-17</v>
      </c>
      <c r="CI110" s="4">
        <v>1.2702695793794043</v>
      </c>
      <c r="CJ110" s="4">
        <v>1.685</v>
      </c>
      <c r="CK110" s="4">
        <v>1.686</v>
      </c>
      <c r="CL110" s="6"/>
      <c r="CM110" s="6"/>
      <c r="CN110" s="6"/>
      <c r="CO110" s="9">
        <v>47</v>
      </c>
      <c r="CP110" s="7">
        <f>IFERROR(CE110/F110,0)</f>
        <v>0.0001865753424657534</v>
      </c>
      <c r="CQ110" t="inlineStr">
        <is>
          <t xml:space="preserve">SI69N</t>
        </is>
      </c>
      <c r="CR110" t="inlineStr">
        <is>
          <t xml:space="preserve">future</t>
        </is>
      </c>
      <c r="CS110" t="inlineStr">
        <is>
          <t xml:space="preserve">lease</t>
        </is>
      </c>
      <c r="CT110" t="inlineStr">
        <is>
          <t xml:space="preserve">long</t>
        </is>
      </c>
      <c r="CU110" t="inlineStr">
        <is>
          <t xml:space="preserve">regular</t>
        </is>
      </c>
      <c r="CV110" s="4">
        <v>1.661</v>
      </c>
      <c r="CW110" s="4">
        <v>1.65</v>
      </c>
      <c r="CX110" s="6"/>
      <c r="CY110" s="4">
        <v>0.7646192791137258</v>
      </c>
      <c r="CZ110" s="5">
        <f>IF(CR110="direct",IFERROR(DF110/CW110,0),0)</f>
        <v>0</v>
      </c>
      <c r="DA110" s="5">
        <f>IF(CR110="direct",CY110-CZ110,IF(CR110="cash",DK110,CY110))</f>
        <v>0.7646192791137258</v>
      </c>
      <c r="DB110" s="6">
        <v>1</v>
      </c>
      <c r="DC110" s="4">
        <v>1.2700326226078986</v>
      </c>
      <c r="DD110" s="4">
        <v>0</v>
      </c>
      <c r="DE110" s="5">
        <f>IF(CR110="direct",CY110*(CW110-CV110),DH110)</f>
        <v>-0.008410812070251027</v>
      </c>
      <c r="DF110" s="5">
        <f>IF(CR110="direct",DD110*CX110*C110/365,0)</f>
        <v>0</v>
      </c>
      <c r="DG110" s="5">
        <f>DE110-DF110</f>
        <v>-0.008410812070251027</v>
      </c>
      <c r="DH110" s="4">
        <v>-0.008410812070251027</v>
      </c>
      <c r="DI110" s="5">
        <f>DH110-DG110</f>
        <v>0</v>
      </c>
      <c r="DJ110" s="4">
        <v>0.008410812070251027</v>
      </c>
      <c r="DK110" s="4">
        <v>0</v>
      </c>
      <c r="DL110" s="4">
        <v>1.685</v>
      </c>
      <c r="DM110" s="4">
        <v>1.686</v>
      </c>
      <c r="DN110" s="6">
        <v>-0.014243323442136524</v>
      </c>
      <c r="DO110" s="6">
        <v>0.0681</v>
      </c>
      <c r="DP110" s="6">
        <v>0.17871304375276234</v>
      </c>
      <c r="DQ110" s="9">
        <v>47</v>
      </c>
      <c r="DR110" s="7">
        <f>IFERROR(DG110/F110,0)</f>
        <v>-0.0066225165562914245</v>
      </c>
      <c r="DS110" t="inlineStr">
        <is>
          <t xml:space="preserve">Lease cash / margin / financing</t>
        </is>
      </c>
      <c r="DT110" t="inlineStr">
        <is>
          <t xml:space="preserve">cash</t>
        </is>
      </c>
      <c r="DU110" t="inlineStr">
        <is>
          <t xml:space="preserve">lease</t>
        </is>
      </c>
      <c r="DV110" t="inlineStr">
        <is>
          <t xml:space="preserve">cash</t>
        </is>
      </c>
      <c r="DW110"/>
      <c r="DX110" s="4">
        <v>1</v>
      </c>
      <c r="DY110" s="4">
        <v>1</v>
      </c>
      <c r="DZ110" s="6"/>
      <c r="EA110" s="4">
        <v>8.881784197001252e-16</v>
      </c>
      <c r="EB110" s="5">
        <f>IF(DT110="direct",IFERROR(EH110/DY110,0),0)</f>
        <v>0</v>
      </c>
      <c r="EC110" s="5">
        <f>IF(DT110="direct",EA110-EB110,IF(DT110="cash",EM110,EA110))</f>
        <v>-0.008410812070250094</v>
      </c>
      <c r="ED110" s="6"/>
      <c r="EE110" s="4">
        <v>8.881784197001252e-16</v>
      </c>
      <c r="EF110" s="4">
        <v>8.881784197001252e-16</v>
      </c>
      <c r="EG110" s="5">
        <f>IF(DT110="direct",EA110*(DY110-DX110),EJ110)</f>
        <v>0</v>
      </c>
      <c r="EH110" s="5">
        <f>IF(DT110="direct",EF110*DZ110*C110/365,0)</f>
        <v>0</v>
      </c>
      <c r="EI110" s="5">
        <f>EG110-EH110</f>
        <v>0</v>
      </c>
      <c r="EJ110" s="4">
        <v>0</v>
      </c>
      <c r="EK110" s="5">
        <f>EJ110-EI110</f>
        <v>0</v>
      </c>
      <c r="EL110" s="4">
        <v>-0.008410812070250982</v>
      </c>
      <c r="EM110" s="4">
        <v>-0.008410812070250094</v>
      </c>
      <c r="EN110" s="4">
        <v>1.685</v>
      </c>
      <c r="EO110" s="4">
        <v>1.686</v>
      </c>
      <c r="EP110" s="6"/>
      <c r="EQ110" s="6"/>
      <c r="ER110" s="6"/>
      <c r="ES110" s="9"/>
      <c r="ET110" s="7">
        <f>IFERROR(EI110/F110,0)</f>
        <v>0</v>
      </c>
      <c r="EU110" t="inlineStr">
        <is>
          <t xml:space="preserve">Keep cash / margin / financing</t>
        </is>
      </c>
      <c r="EV110" t="inlineStr">
        <is>
          <t xml:space="preserve">cash</t>
        </is>
      </c>
      <c r="EW110" t="inlineStr">
        <is>
          <t xml:space="preserve">keep</t>
        </is>
      </c>
      <c r="EX110" t="inlineStr">
        <is>
          <t xml:space="preserve">cash</t>
        </is>
      </c>
      <c r="EY110"/>
      <c r="EZ110" s="4">
        <v>1</v>
      </c>
      <c r="FA110" s="4">
        <v>1</v>
      </c>
      <c r="FB110" s="6"/>
      <c r="FC110" s="4">
        <v>0</v>
      </c>
      <c r="FD110" s="5">
        <f>IF(EV110="direct",IFERROR(FJ110/FA110,0),0)</f>
        <v>0</v>
      </c>
      <c r="FE110" s="5">
        <f>IF(EV110="direct",FC110-FD110,IF(EV110="cash",FO110,FC110))</f>
        <v>0</v>
      </c>
      <c r="FF110" s="6"/>
      <c r="FG110" s="4">
        <v>0</v>
      </c>
      <c r="FH110" s="4">
        <v>0</v>
      </c>
      <c r="FI110" s="5">
        <f>IF(EV110="direct",FC110*(FA110-EZ110),FL110)</f>
        <v>0</v>
      </c>
      <c r="FJ110" s="5">
        <f>IF(EV110="direct",FH110*FB110*C110/365,0)</f>
        <v>0</v>
      </c>
      <c r="FK110" s="5">
        <f>FI110-FJ110</f>
        <v>0</v>
      </c>
      <c r="FL110" s="4">
        <v>0</v>
      </c>
      <c r="FM110" s="5">
        <f>FL110-FK110</f>
        <v>0</v>
      </c>
      <c r="FN110" s="4">
        <v>0</v>
      </c>
      <c r="FO110" s="4">
        <v>0</v>
      </c>
      <c r="FP110" s="4">
        <v>1.685</v>
      </c>
      <c r="FQ110" s="4">
        <v>1.686</v>
      </c>
      <c r="FR110" s="6"/>
      <c r="FS110" s="6"/>
      <c r="FT110" s="6"/>
      <c r="FU110" s="9"/>
      <c r="FV110" s="7">
        <f>IFERROR(FK110/F110,0)</f>
        <v>0</v>
      </c>
      <c r="FW110"/>
      <c r="FX110"/>
      <c r="FY110"/>
      <c r="FZ110"/>
      <c r="GA110"/>
      <c r="GB110" s="4"/>
      <c r="GC110" s="4"/>
      <c r="GD110" s="6"/>
      <c r="GE110" s="4"/>
      <c r="GF110" s="5">
        <v>0</v>
      </c>
      <c r="GG110" s="5"/>
      <c r="GH110" s="6"/>
      <c r="GI110" s="4"/>
      <c r="GJ110" s="4"/>
      <c r="GK110" s="5">
        <v>0</v>
      </c>
      <c r="GL110" s="5">
        <v>0</v>
      </c>
      <c r="GM110" s="5"/>
      <c r="GN110" s="4"/>
      <c r="GO110" s="5">
        <v>0</v>
      </c>
      <c r="GP110" s="4"/>
      <c r="GQ110" s="4"/>
      <c r="GR110" s="4"/>
      <c r="GS110" s="4"/>
      <c r="GT110" s="6"/>
      <c r="GU110" s="6"/>
      <c r="GV110" s="6"/>
      <c r="GW110" s="9"/>
      <c r="GX110"/>
      <c r="GY110"/>
      <c r="GZ110"/>
      <c r="HA110"/>
      <c r="HB110"/>
      <c r="HC110"/>
      <c r="HD110" s="4"/>
      <c r="HE110" s="4"/>
      <c r="HF110" s="6"/>
      <c r="HG110" s="4"/>
      <c r="HH110" s="5">
        <v>0</v>
      </c>
      <c r="HI110" s="5"/>
      <c r="HJ110" s="6"/>
      <c r="HK110" s="4"/>
      <c r="HL110" s="4"/>
      <c r="HM110" s="5">
        <v>0</v>
      </c>
      <c r="HN110" s="5">
        <v>0</v>
      </c>
      <c r="HO110" s="5"/>
      <c r="HP110" s="4"/>
      <c r="HQ110" s="5">
        <v>0</v>
      </c>
      <c r="HR110" s="4"/>
      <c r="HS110" s="4"/>
      <c r="HT110" s="4"/>
      <c r="HU110" s="4"/>
      <c r="HV110" s="6"/>
      <c r="HW110" s="6"/>
      <c r="HX110" s="6"/>
      <c r="HY110" s="9"/>
      <c r="HZ110"/>
      <c r="IA110"/>
      <c r="IB110"/>
      <c r="IC110"/>
      <c r="ID110"/>
      <c r="IE110"/>
      <c r="IF110" s="4"/>
      <c r="IG110" s="4"/>
      <c r="IH110" s="6"/>
      <c r="II110" s="4"/>
      <c r="IJ110" s="5">
        <v>0</v>
      </c>
      <c r="IK110" s="5"/>
      <c r="IL110" s="6"/>
      <c r="IM110" s="4"/>
      <c r="IN110" s="4"/>
      <c r="IO110" s="5">
        <v>0</v>
      </c>
      <c r="IP110" s="5">
        <v>0</v>
      </c>
      <c r="IQ110" s="5"/>
      <c r="IR110" s="4"/>
      <c r="IS110" s="5">
        <v>0</v>
      </c>
      <c r="IT110" s="4"/>
      <c r="IU110" s="4"/>
      <c r="IV110" s="4"/>
      <c r="IW110" s="4"/>
      <c r="IX110" s="6"/>
      <c r="IY110" s="6"/>
      <c r="IZ110" s="6"/>
      <c r="JA110" s="9"/>
      <c r="JB110"/>
      <c r="JC110"/>
      <c r="JD110"/>
      <c r="JE110"/>
      <c r="JF110"/>
      <c r="JG110"/>
      <c r="JH110" s="4"/>
      <c r="JI110" s="4"/>
      <c r="JJ110" s="6"/>
      <c r="JK110" s="4"/>
      <c r="JL110" s="5">
        <v>0</v>
      </c>
      <c r="JM110" s="5"/>
      <c r="JN110" s="6"/>
      <c r="JO110" s="4"/>
      <c r="JP110" s="4"/>
      <c r="JQ110" s="5">
        <v>0</v>
      </c>
      <c r="JR110" s="5">
        <v>0</v>
      </c>
      <c r="JS110" s="5"/>
      <c r="JT110" s="4"/>
      <c r="JU110" s="5">
        <v>0</v>
      </c>
      <c r="JV110" s="4"/>
      <c r="JW110" s="4"/>
      <c r="JX110" s="4"/>
      <c r="JY110" s="4"/>
      <c r="JZ110" s="6"/>
      <c r="KA110" s="6"/>
      <c r="KB110" s="6"/>
      <c r="KC110" s="9"/>
      <c r="KD110"/>
      <c r="KE110"/>
      <c r="KF110"/>
      <c r="KG110"/>
      <c r="KH110"/>
      <c r="KI110"/>
      <c r="KJ110" s="4"/>
      <c r="KK110" s="4"/>
      <c r="KL110" s="6"/>
      <c r="KM110" s="4"/>
      <c r="KN110" s="5">
        <v>0</v>
      </c>
      <c r="KO110" s="5"/>
      <c r="KP110" s="6"/>
      <c r="KQ110" s="4"/>
      <c r="KR110" s="4"/>
      <c r="KS110" s="5">
        <v>0</v>
      </c>
      <c r="KT110" s="5">
        <v>0</v>
      </c>
      <c r="KU110" s="5"/>
      <c r="KV110" s="4"/>
      <c r="KW110" s="5">
        <v>0</v>
      </c>
      <c r="KX110" s="4"/>
      <c r="KY110" s="4"/>
      <c r="KZ110" s="4"/>
      <c r="LA110" s="4"/>
      <c r="LB110" s="6"/>
      <c r="LC110" s="6"/>
      <c r="LD110" s="6"/>
      <c r="LE110" s="9"/>
      <c r="LF110"/>
      <c r="LG110"/>
      <c r="LH110"/>
      <c r="LI110"/>
      <c r="LJ110"/>
      <c r="LK110"/>
      <c r="LL110" s="4"/>
      <c r="LM110" s="4"/>
      <c r="LN110" s="6"/>
      <c r="LO110" s="4"/>
      <c r="LP110" s="5">
        <v>0</v>
      </c>
      <c r="LQ110" s="5"/>
      <c r="LR110" s="6"/>
      <c r="LS110" s="4"/>
      <c r="LT110" s="4"/>
      <c r="LU110" s="5">
        <v>0</v>
      </c>
      <c r="LV110" s="5">
        <v>0</v>
      </c>
      <c r="LW110" s="5"/>
      <c r="LX110" s="4"/>
      <c r="LY110" s="5">
        <v>0</v>
      </c>
      <c r="LZ110" s="4"/>
      <c r="MA110" s="4"/>
      <c r="MB110" s="4"/>
      <c r="MC110" s="4"/>
      <c r="MD110" s="6"/>
      <c r="ME110" s="6"/>
      <c r="MF110" s="6"/>
      <c r="MG110" s="9"/>
      <c r="MH110"/>
    </row>
    <row r="111">
      <c r="A111" s="8">
        <v>25367</v>
      </c>
      <c r="B111" s="8">
        <v>25370</v>
      </c>
      <c r="C111" s="9">
        <f>B111-A111</f>
        <v>3</v>
      </c>
      <c r="D111" s="8">
        <v>25367</v>
      </c>
      <c r="E111" t="inlineStr">
        <is>
          <t xml:space="preserve">positive</t>
        </is>
      </c>
      <c r="F111" s="4">
        <v>1.2618587673091535</v>
      </c>
      <c r="G111" s="6">
        <v>-0.016414080531340802</v>
      </c>
      <c r="H111" s="7">
        <f>SUM(CP111,DR111,ET111,FV111,GX111,HZ111,JB111,KD111,LF111,MH111)</f>
        <v>-0.016414080531340802</v>
      </c>
      <c r="I111" s="7">
        <f>G111-H111</f>
        <v>0</v>
      </c>
      <c r="J111" s="5">
        <f>F111*(1+H111)</f>
        <v>1.2411465158833626</v>
      </c>
      <c r="K111" s="4">
        <v>1.2411465158833626</v>
      </c>
      <c r="L111" s="5">
        <f>K111-J111</f>
        <v>0</v>
      </c>
      <c r="M111" s="4">
        <v>1.686</v>
      </c>
      <c r="N111" s="4">
        <v>1.679</v>
      </c>
      <c r="O111" s="5">
        <f>M111/$M$3</f>
        <v>0.8610827374872319</v>
      </c>
      <c r="P111" s="5">
        <f>N111/$M$3</f>
        <v>0.8575076608784474</v>
      </c>
      <c r="Q111" s="7">
        <f>IFERROR(N111/M111-1,0)</f>
        <v>-0.004151838671411556</v>
      </c>
      <c r="R111" s="5">
        <f>SUM(IF(BQ111="lease",CB111,0),IF(CS111="lease",DD111,0),IF(DU111="lease",EF111,0),IF(EW111="lease",FH111,0),IF(FY111="lease",GJ111,0),IF(HA111="lease",HL111,0),IF(IC111="lease",IN111,0),IF(JE111="lease",JP111,0),IF(KG111="lease",KR111,0),IF(LI111="lease",LT111,0))</f>
        <v>1.2618587673091541</v>
      </c>
      <c r="S111" s="5">
        <f>SUM(IF(BQ111="lease",CI111,0),IF(CS111="lease",DK111,0),IF(DU111="lease",EM111,0),IF(EW111="lease",FO111,0),IF(FY111="lease",GQ111,0),IF(HA111="lease",HS111,0),IF(IC111="lease",IU111,0),IF(JE111="lease",JW111,0),IF(KG111="lease",KY111,0),IF(LI111="lease",MA111,0))</f>
        <v>1.2411465158833632</v>
      </c>
      <c r="T111" s="5">
        <f>SUM(IF(BQ111="keep",CB111,0),IF(CS111="keep",DD111,0),IF(DU111="keep",EF111,0),IF(EW111="keep",FH111,0),IF(FY111="keep",GJ111,0),IF(HA111="keep",HL111,0),IF(IC111="keep",IN111,0),IF(JE111="keep",JP111,0),IF(KG111="keep",KR111,0),IF(LI111="keep",LT111,0))</f>
        <v>0</v>
      </c>
      <c r="U111" s="5">
        <f>SUM(IF(BQ111="keep",CI111,0),IF(CS111="keep",DK111,0),IF(DU111="keep",EM111,0),IF(EW111="keep",FO111,0),IF(FY111="keep",GQ111,0),IF(HA111="keep",HS111,0),IF(IC111="keep",IU111,0),IF(JE111="keep",JW111,0),IF(KG111="keep",KY111,0),IF(LI111="keep",MA111,0))</f>
        <v>0</v>
      </c>
      <c r="V111" s="5">
        <f>R111/O111</f>
        <v>1.4654326609675705</v>
      </c>
      <c r="W111" s="5">
        <f>S111/P111</f>
        <v>1.4473882537817897</v>
      </c>
      <c r="X111" s="5">
        <f>T111/O111</f>
        <v>0</v>
      </c>
      <c r="Y111" s="5">
        <f>U111/P111</f>
        <v>0</v>
      </c>
      <c r="Z111" s="5">
        <f>V111+X111</f>
        <v>1.4654326609675705</v>
      </c>
      <c r="AA111" s="7">
        <f>IFERROR(W111/V111-1,0)</f>
        <v>-0.012313364964765317</v>
      </c>
      <c r="AB111" s="7">
        <f>IFERROR((W111-V111)/Z111,0)</f>
        <v>-0.012313364964765266</v>
      </c>
      <c r="AC111" s="7">
        <f>IFERROR(Y111/X111-1,0)</f>
        <v>0</v>
      </c>
      <c r="AD111" s="7">
        <f>IFERROR((Y111-X111)/Z111,0)</f>
        <v>0</v>
      </c>
      <c r="AE111" s="7">
        <f>AB111+AD111</f>
        <v>-0.012313364964765266</v>
      </c>
      <c r="AF111" s="7">
        <f>(1+Q111)*(1+AE111)-1</f>
        <v>-0.01641408053134097</v>
      </c>
      <c r="AG111" s="7">
        <f>G111-AF111</f>
        <v>1.6653345369377348e-16</v>
      </c>
      <c r="AH111" s="5">
        <f>SUM(IF(BQ111="lease",CE111,0),IF(CS111="lease",DG111,0),IF(DU111="lease",EI111,0),IF(EW111="lease",FK111,0),IF(FY111="lease",GM111,0),IF(HA111="lease",HO111,0),IF(IC111="lease",IQ111,0),IF(JE111="lease",JS111,0),IF(KG111="lease",KU111,0),IF(LI111="lease",LW111,0))</f>
        <v>-0.02071225142579088</v>
      </c>
      <c r="AI111" s="5">
        <f>SUM(IF(BQ111="keep",CE111,0),IF(CS111="keep",DG111,0),IF(DU111="keep",EI111,0),IF(EW111="keep",FK111,0),IF(FY111="keep",GM111,0),IF(HA111="keep",HO111,0),IF(IC111="keep",IQ111,0),IF(JE111="keep",JS111,0),IF(KG111="keep",KU111,0),IF(LI111="keep",LW111,0))</f>
        <v>0</v>
      </c>
      <c r="AJ111" s="5">
        <f>SUM(IF(BQ111="lease",CH111,0),IF(CS111="lease",DJ111,0),IF(DU111="lease",EL111,0),IF(EW111="lease",FN111,0),IF(FY111="lease",GP111,0),IF(HA111="lease",HR111,0),IF(IC111="lease",IT111,0),IF(JE111="lease",JV111,0),IF(KG111="lease",KX111,0),IF(LI111="lease",LZ111,0))</f>
        <v>0</v>
      </c>
      <c r="AK111" s="5">
        <f>SUM(IF(BQ111="keep",CH111,0),IF(CS111="keep",DJ111,0),IF(DU111="keep",EL111,0),IF(EW111="keep",FN111,0),IF(FY111="keep",GP111,0),IF(HA111="keep",HR111,0),IF(IC111="keep",IT111,0),IF(JE111="keep",JV111,0),IF(KG111="keep",KX111,0),IF(LI111="keep",LZ111,0))</f>
        <v>0</v>
      </c>
      <c r="AL111" s="5">
        <f>R111-S110</f>
        <v>0</v>
      </c>
      <c r="AM111" s="5">
        <f>T111-U110</f>
        <v>0</v>
      </c>
      <c r="AN111" s="5">
        <f>AN110</f>
        <v>1</v>
      </c>
      <c r="AO111" s="5">
        <f>AO110+AH111</f>
        <v>0.2411465158833633</v>
      </c>
      <c r="AP111" s="5">
        <f>AP110+AL111</f>
        <v>-4.440892098500626e-16</v>
      </c>
      <c r="AQ111" s="5">
        <f>AN111+AO111+AP111</f>
        <v>1.2411465158833628</v>
      </c>
      <c r="AR111" s="5">
        <f>S111-AQ111</f>
        <v>4.440892098500626e-16</v>
      </c>
      <c r="AS111" s="5">
        <f>AS110</f>
        <v>0</v>
      </c>
      <c r="AT111" s="5">
        <f>AT110+AI111</f>
        <v>0</v>
      </c>
      <c r="AU111" s="5">
        <f>AU110+AM111</f>
        <v>0</v>
      </c>
      <c r="AV111" s="5">
        <f>AS111+AT111+AU111</f>
        <v>0</v>
      </c>
      <c r="AW111" s="5">
        <f>U111-AV111</f>
        <v>0</v>
      </c>
      <c r="AX111" s="4">
        <v>1.2618587673091541</v>
      </c>
      <c r="AY111" s="4">
        <v>1.2411465158833632</v>
      </c>
      <c r="AZ111" s="5">
        <f>S111-AY111</f>
        <v>0</v>
      </c>
      <c r="BA111" s="4">
        <v>0</v>
      </c>
      <c r="BB111" s="4">
        <v>0</v>
      </c>
      <c r="BC111" s="5">
        <f>U111-BB111</f>
        <v>0</v>
      </c>
      <c r="BD111" s="7">
        <f>SUM(IF(BP111="direct",CC111/F111,0),IF(CR111="direct",DE111/F111,0),IF(DT111="direct",EG111/F111,0),IF(EV111="direct",FI111/F111,0),IF(FX111="direct",GK111/F111,0),IF(GZ111="direct",HM111/F111,0),IF(IB111="direct",IO111/F111,0),IF(JD111="direct",JQ111/F111,0),IF(KF111="direct",KS111/F111,0),IF(LH111="direct",LU111/F111,0))</f>
        <v>0</v>
      </c>
      <c r="BE111" s="7">
        <f>-SUM(IF(BP111="direct",CD111/F111,0),IF(CR111="direct",DF111/F111,0),IF(DT111="direct",EH111/F111,0),IF(EV111="direct",FJ111/F111,0),IF(FX111="direct",GL111/F111,0),IF(GZ111="direct",HN111/F111,0),IF(IB111="direct",IP111/F111,0),IF(JD111="direct",JR111/F111,0),IF(KF111="direct",KT111/F111,0),IF(LH111="direct",LV111/F111,0))</f>
        <v>0</v>
      </c>
      <c r="BF111" s="7">
        <f>BD111+BE111</f>
        <v>0</v>
      </c>
      <c r="BG111" s="7">
        <f>BF111-SUM(IF(BP111="direct",CP111,0),IF(CR111="direct",DR111,0),IF(DT111="direct",ET111,0),IF(EV111="direct",FV111,0),IF(FX111="direct",GX111,0),IF(GZ111="direct",HZ111,0),IF(IB111="direct",JB111,0),IF(JD111="direct",KD111,0),IF(KF111="direct",LF111,0),IF(LH111="direct",MH111,0))</f>
        <v>0</v>
      </c>
      <c r="BH111" s="7">
        <f>SUM(IF(BP111="treasury",CP111,0),IF(CR111="treasury",DR111,0),IF(DT111="treasury",ET111,0),IF(EV111="treasury",FV111,0),IF(FX111="treasury",GX111,0),IF(GZ111="treasury",HZ111,0),IF(IB111="treasury",JB111,0),IF(JD111="treasury",KD111,0),IF(KF111="treasury",LF111,0),IF(LH111="treasury",MH111,0))</f>
        <v>0.0005556164383561643</v>
      </c>
      <c r="BI111" s="7">
        <f>SUM(IF(BP111="future",CP111,0),IF(CR111="future",DR111,0),IF(DT111="future",ET111,0),IF(EV111="future",FV111,0),IF(FX111="future",GX111,0),IF(GZ111="future",HZ111,0),IF(IB111="future",JB111,0),IF(JD111="future",KD111,0),IF(KF111="future",LF111,0),IF(LH111="future",MH111,0))</f>
        <v>-0.016969696969696968</v>
      </c>
      <c r="BJ111" s="7">
        <f>SUM(IF(BP111="cash",CP111,0),IF(CR111="cash",DR111,0),IF(DT111="cash",ET111,0),IF(EV111="cash",FV111,0),IF(FX111="cash",GX111,0),IF(GZ111="cash",HZ111,0),IF(IB111="cash",JB111,0),IF(JD111="cash",KD111,0),IF(KF111="cash",LF111,0),IF(LH111="cash",MH111,0))</f>
        <v>0</v>
      </c>
      <c r="BK111" s="7">
        <f>SUM(BF111,BH111,BI111,BJ111)</f>
        <v>-0.016414080531340802</v>
      </c>
      <c r="BL111" s="7">
        <f>G111-BK111</f>
        <v>0</v>
      </c>
      <c r="BM111" s="5">
        <f>MAX(ABS(CG111),ABS(DI111),ABS(EK111),ABS(FM111),ABS(GO111),ABS(HQ111),ABS(IS111),ABS(JU111),ABS(KW111),ABS(LY111))</f>
        <v>7.719519468096792e-17</v>
      </c>
      <c r="BN111" s="9">
        <f>COUNTA(BO111,CQ111,DS111,EU111,FW111,GY111,IA111,JC111,KE111,LG111)</f>
        <v>4</v>
      </c>
      <c r="BO111" t="inlineStr">
        <is>
          <t xml:space="preserve">Treasury collateral</t>
        </is>
      </c>
      <c r="BP111" t="inlineStr">
        <is>
          <t xml:space="preserve">treasury</t>
        </is>
      </c>
      <c r="BQ111" t="inlineStr">
        <is>
          <t xml:space="preserve">lease</t>
        </is>
      </c>
      <c r="BR111" t="inlineStr">
        <is>
          <t xml:space="preserve">long</t>
        </is>
      </c>
      <c r="BS111"/>
      <c r="BT111" s="4">
        <v>102.74700898932088</v>
      </c>
      <c r="BU111" s="4">
        <v>102.80409691650728</v>
      </c>
      <c r="BV111" s="6"/>
      <c r="BW111" s="4">
        <v>0.012281221416774343</v>
      </c>
      <c r="BX111" s="5">
        <f>IF(BP111="direct",IFERROR(CD111/BU111,0),0)</f>
        <v>0</v>
      </c>
      <c r="BY111" s="5">
        <f>IF(BP111="direct",BW111-BX111,IF(BP111="cash",CI111,BW111))</f>
        <v>0.012281221416774343</v>
      </c>
      <c r="BZ111" s="6">
        <v>1</v>
      </c>
      <c r="CA111" s="4">
        <v>1.2618587673091535</v>
      </c>
      <c r="CB111" s="4">
        <v>1.2618587673091535</v>
      </c>
      <c r="CC111" s="5">
        <f>IF(BP111="direct",BW111*(BU111-BT111),CF111)</f>
        <v>0.0007011094740008889</v>
      </c>
      <c r="CD111" s="5">
        <f>IF(BP111="direct",CB111*BV111*C111/365,0)</f>
        <v>0</v>
      </c>
      <c r="CE111" s="5">
        <f>CC111-CD111</f>
        <v>0.0007011094740008117</v>
      </c>
      <c r="CF111" s="4">
        <v>0.0007011094740008117</v>
      </c>
      <c r="CG111" s="5">
        <f>CF111-CE111</f>
        <v>-7.719519468096792e-17</v>
      </c>
      <c r="CH111" s="4">
        <v>4.445228907190568e-18</v>
      </c>
      <c r="CI111" s="4">
        <v>1.2625598767831543</v>
      </c>
      <c r="CJ111" s="4">
        <v>1.686</v>
      </c>
      <c r="CK111" s="4">
        <v>1.679</v>
      </c>
      <c r="CL111" s="6"/>
      <c r="CM111" s="6"/>
      <c r="CN111" s="6"/>
      <c r="CO111" s="9">
        <v>46</v>
      </c>
      <c r="CP111" s="7">
        <f>IFERROR(CE111/F111,0)</f>
        <v>0.0005556164383561643</v>
      </c>
      <c r="CQ111" t="inlineStr">
        <is>
          <t xml:space="preserve">SI69N</t>
        </is>
      </c>
      <c r="CR111" t="inlineStr">
        <is>
          <t xml:space="preserve">future</t>
        </is>
      </c>
      <c r="CS111" t="inlineStr">
        <is>
          <t xml:space="preserve">lease</t>
        </is>
      </c>
      <c r="CT111" t="inlineStr">
        <is>
          <t xml:space="preserve">long</t>
        </is>
      </c>
      <c r="CU111" t="inlineStr">
        <is>
          <t xml:space="preserve">regular</t>
        </is>
      </c>
      <c r="CV111" s="4">
        <v>1.65</v>
      </c>
      <c r="CW111" s="4">
        <v>1.6219999999999999</v>
      </c>
      <c r="CX111" s="6"/>
      <c r="CY111" s="4">
        <v>0.7647628892782748</v>
      </c>
      <c r="CZ111" s="5">
        <f>IF(CR111="direct",IFERROR(DF111/CW111,0),0)</f>
        <v>0</v>
      </c>
      <c r="DA111" s="5">
        <f>IF(CR111="direct",CY111-CZ111,IF(CR111="cash",DK111,CY111))</f>
        <v>0.7647628892782748</v>
      </c>
      <c r="DB111" s="6">
        <v>1</v>
      </c>
      <c r="DC111" s="4">
        <v>1.2618587673091535</v>
      </c>
      <c r="DD111" s="4">
        <v>0</v>
      </c>
      <c r="DE111" s="5">
        <f>IF(CR111="direct",CY111*(CW111-CV111),DH111)</f>
        <v>-0.021413360899791692</v>
      </c>
      <c r="DF111" s="5">
        <f>IF(CR111="direct",DD111*CX111*C111/365,0)</f>
        <v>0</v>
      </c>
      <c r="DG111" s="5">
        <f>DE111-DF111</f>
        <v>-0.021413360899791692</v>
      </c>
      <c r="DH111" s="4">
        <v>-0.021413360899791692</v>
      </c>
      <c r="DI111" s="5">
        <f>DH111-DG111</f>
        <v>0</v>
      </c>
      <c r="DJ111" s="4">
        <v>0.021413360899791692</v>
      </c>
      <c r="DK111" s="4">
        <v>0</v>
      </c>
      <c r="DL111" s="4">
        <v>1.686</v>
      </c>
      <c r="DM111" s="4">
        <v>1.679</v>
      </c>
      <c r="DN111" s="6">
        <v>-0.02135231316725983</v>
      </c>
      <c r="DO111" s="6">
        <v>0.0676</v>
      </c>
      <c r="DP111" s="6">
        <v>0.23702596317499647</v>
      </c>
      <c r="DQ111" s="9">
        <v>46</v>
      </c>
      <c r="DR111" s="7">
        <f>IFERROR(DG111/F111,0)</f>
        <v>-0.016969696969696968</v>
      </c>
      <c r="DS111" t="inlineStr">
        <is>
          <t xml:space="preserve">Lease cash / margin / financing</t>
        </is>
      </c>
      <c r="DT111" t="inlineStr">
        <is>
          <t xml:space="preserve">cash</t>
        </is>
      </c>
      <c r="DU111" t="inlineStr">
        <is>
          <t xml:space="preserve">lease</t>
        </is>
      </c>
      <c r="DV111" t="inlineStr">
        <is>
          <t xml:space="preserve">cash</t>
        </is>
      </c>
      <c r="DW111"/>
      <c r="DX111" s="4">
        <v>1</v>
      </c>
      <c r="DY111" s="4">
        <v>1</v>
      </c>
      <c r="DZ111" s="6"/>
      <c r="EA111" s="4">
        <v>6.661338147750939e-16</v>
      </c>
      <c r="EB111" s="5">
        <f>IF(DT111="direct",IFERROR(EH111/DY111,0),0)</f>
        <v>0</v>
      </c>
      <c r="EC111" s="5">
        <f>IF(DT111="direct",EA111-EB111,IF(DT111="cash",EM111,EA111))</f>
        <v>-0.02141336089979103</v>
      </c>
      <c r="ED111" s="6"/>
      <c r="EE111" s="4">
        <v>6.661338147750939e-16</v>
      </c>
      <c r="EF111" s="4">
        <v>6.661338147750939e-16</v>
      </c>
      <c r="EG111" s="5">
        <f>IF(DT111="direct",EA111*(DY111-DX111),EJ111)</f>
        <v>0</v>
      </c>
      <c r="EH111" s="5">
        <f>IF(DT111="direct",EF111*DZ111*C111/365,0)</f>
        <v>0</v>
      </c>
      <c r="EI111" s="5">
        <f>EG111-EH111</f>
        <v>0</v>
      </c>
      <c r="EJ111" s="4">
        <v>0</v>
      </c>
      <c r="EK111" s="5">
        <f>EJ111-EI111</f>
        <v>0</v>
      </c>
      <c r="EL111" s="4">
        <v>-0.021413360899791695</v>
      </c>
      <c r="EM111" s="4">
        <v>-0.02141336089979103</v>
      </c>
      <c r="EN111" s="4">
        <v>1.686</v>
      </c>
      <c r="EO111" s="4">
        <v>1.679</v>
      </c>
      <c r="EP111" s="6"/>
      <c r="EQ111" s="6"/>
      <c r="ER111" s="6"/>
      <c r="ES111" s="9"/>
      <c r="ET111" s="7">
        <f>IFERROR(EI111/F111,0)</f>
        <v>0</v>
      </c>
      <c r="EU111" t="inlineStr">
        <is>
          <t xml:space="preserve">Keep cash / margin / financing</t>
        </is>
      </c>
      <c r="EV111" t="inlineStr">
        <is>
          <t xml:space="preserve">cash</t>
        </is>
      </c>
      <c r="EW111" t="inlineStr">
        <is>
          <t xml:space="preserve">keep</t>
        </is>
      </c>
      <c r="EX111" t="inlineStr">
        <is>
          <t xml:space="preserve">cash</t>
        </is>
      </c>
      <c r="EY111"/>
      <c r="EZ111" s="4">
        <v>1</v>
      </c>
      <c r="FA111" s="4">
        <v>1</v>
      </c>
      <c r="FB111" s="6"/>
      <c r="FC111" s="4">
        <v>0</v>
      </c>
      <c r="FD111" s="5">
        <f>IF(EV111="direct",IFERROR(FJ111/FA111,0),0)</f>
        <v>0</v>
      </c>
      <c r="FE111" s="5">
        <f>IF(EV111="direct",FC111-FD111,IF(EV111="cash",FO111,FC111))</f>
        <v>0</v>
      </c>
      <c r="FF111" s="6"/>
      <c r="FG111" s="4">
        <v>0</v>
      </c>
      <c r="FH111" s="4">
        <v>0</v>
      </c>
      <c r="FI111" s="5">
        <f>IF(EV111="direct",FC111*(FA111-EZ111),FL111)</f>
        <v>0</v>
      </c>
      <c r="FJ111" s="5">
        <f>IF(EV111="direct",FH111*FB111*C111/365,0)</f>
        <v>0</v>
      </c>
      <c r="FK111" s="5">
        <f>FI111-FJ111</f>
        <v>0</v>
      </c>
      <c r="FL111" s="4">
        <v>0</v>
      </c>
      <c r="FM111" s="5">
        <f>FL111-FK111</f>
        <v>0</v>
      </c>
      <c r="FN111" s="4">
        <v>0</v>
      </c>
      <c r="FO111" s="4">
        <v>0</v>
      </c>
      <c r="FP111" s="4">
        <v>1.686</v>
      </c>
      <c r="FQ111" s="4">
        <v>1.679</v>
      </c>
      <c r="FR111" s="6"/>
      <c r="FS111" s="6"/>
      <c r="FT111" s="6"/>
      <c r="FU111" s="9"/>
      <c r="FV111" s="7">
        <f>IFERROR(FK111/F111,0)</f>
        <v>0</v>
      </c>
      <c r="FW111"/>
      <c r="FX111"/>
      <c r="FY111"/>
      <c r="FZ111"/>
      <c r="GA111"/>
      <c r="GB111" s="4"/>
      <c r="GC111" s="4"/>
      <c r="GD111" s="6"/>
      <c r="GE111" s="4"/>
      <c r="GF111" s="5">
        <v>0</v>
      </c>
      <c r="GG111" s="5"/>
      <c r="GH111" s="6"/>
      <c r="GI111" s="4"/>
      <c r="GJ111" s="4"/>
      <c r="GK111" s="5">
        <v>0</v>
      </c>
      <c r="GL111" s="5">
        <v>0</v>
      </c>
      <c r="GM111" s="5"/>
      <c r="GN111" s="4"/>
      <c r="GO111" s="5">
        <v>0</v>
      </c>
      <c r="GP111" s="4"/>
      <c r="GQ111" s="4"/>
      <c r="GR111" s="4"/>
      <c r="GS111" s="4"/>
      <c r="GT111" s="6"/>
      <c r="GU111" s="6"/>
      <c r="GV111" s="6"/>
      <c r="GW111" s="9"/>
      <c r="GX111"/>
      <c r="GY111"/>
      <c r="GZ111"/>
      <c r="HA111"/>
      <c r="HB111"/>
      <c r="HC111"/>
      <c r="HD111" s="4"/>
      <c r="HE111" s="4"/>
      <c r="HF111" s="6"/>
      <c r="HG111" s="4"/>
      <c r="HH111" s="5">
        <v>0</v>
      </c>
      <c r="HI111" s="5"/>
      <c r="HJ111" s="6"/>
      <c r="HK111" s="4"/>
      <c r="HL111" s="4"/>
      <c r="HM111" s="5">
        <v>0</v>
      </c>
      <c r="HN111" s="5">
        <v>0</v>
      </c>
      <c r="HO111" s="5"/>
      <c r="HP111" s="4"/>
      <c r="HQ111" s="5">
        <v>0</v>
      </c>
      <c r="HR111" s="4"/>
      <c r="HS111" s="4"/>
      <c r="HT111" s="4"/>
      <c r="HU111" s="4"/>
      <c r="HV111" s="6"/>
      <c r="HW111" s="6"/>
      <c r="HX111" s="6"/>
      <c r="HY111" s="9"/>
      <c r="HZ111"/>
      <c r="IA111"/>
      <c r="IB111"/>
      <c r="IC111"/>
      <c r="ID111"/>
      <c r="IE111"/>
      <c r="IF111" s="4"/>
      <c r="IG111" s="4"/>
      <c r="IH111" s="6"/>
      <c r="II111" s="4"/>
      <c r="IJ111" s="5">
        <v>0</v>
      </c>
      <c r="IK111" s="5"/>
      <c r="IL111" s="6"/>
      <c r="IM111" s="4"/>
      <c r="IN111" s="4"/>
      <c r="IO111" s="5">
        <v>0</v>
      </c>
      <c r="IP111" s="5">
        <v>0</v>
      </c>
      <c r="IQ111" s="5"/>
      <c r="IR111" s="4"/>
      <c r="IS111" s="5">
        <v>0</v>
      </c>
      <c r="IT111" s="4"/>
      <c r="IU111" s="4"/>
      <c r="IV111" s="4"/>
      <c r="IW111" s="4"/>
      <c r="IX111" s="6"/>
      <c r="IY111" s="6"/>
      <c r="IZ111" s="6"/>
      <c r="JA111" s="9"/>
      <c r="JB111"/>
      <c r="JC111"/>
      <c r="JD111"/>
      <c r="JE111"/>
      <c r="JF111"/>
      <c r="JG111"/>
      <c r="JH111" s="4"/>
      <c r="JI111" s="4"/>
      <c r="JJ111" s="6"/>
      <c r="JK111" s="4"/>
      <c r="JL111" s="5">
        <v>0</v>
      </c>
      <c r="JM111" s="5"/>
      <c r="JN111" s="6"/>
      <c r="JO111" s="4"/>
      <c r="JP111" s="4"/>
      <c r="JQ111" s="5">
        <v>0</v>
      </c>
      <c r="JR111" s="5">
        <v>0</v>
      </c>
      <c r="JS111" s="5"/>
      <c r="JT111" s="4"/>
      <c r="JU111" s="5">
        <v>0</v>
      </c>
      <c r="JV111" s="4"/>
      <c r="JW111" s="4"/>
      <c r="JX111" s="4"/>
      <c r="JY111" s="4"/>
      <c r="JZ111" s="6"/>
      <c r="KA111" s="6"/>
      <c r="KB111" s="6"/>
      <c r="KC111" s="9"/>
      <c r="KD111"/>
      <c r="KE111"/>
      <c r="KF111"/>
      <c r="KG111"/>
      <c r="KH111"/>
      <c r="KI111"/>
      <c r="KJ111" s="4"/>
      <c r="KK111" s="4"/>
      <c r="KL111" s="6"/>
      <c r="KM111" s="4"/>
      <c r="KN111" s="5">
        <v>0</v>
      </c>
      <c r="KO111" s="5"/>
      <c r="KP111" s="6"/>
      <c r="KQ111" s="4"/>
      <c r="KR111" s="4"/>
      <c r="KS111" s="5">
        <v>0</v>
      </c>
      <c r="KT111" s="5">
        <v>0</v>
      </c>
      <c r="KU111" s="5"/>
      <c r="KV111" s="4"/>
      <c r="KW111" s="5">
        <v>0</v>
      </c>
      <c r="KX111" s="4"/>
      <c r="KY111" s="4"/>
      <c r="KZ111" s="4"/>
      <c r="LA111" s="4"/>
      <c r="LB111" s="6"/>
      <c r="LC111" s="6"/>
      <c r="LD111" s="6"/>
      <c r="LE111" s="9"/>
      <c r="LF111"/>
      <c r="LG111"/>
      <c r="LH111"/>
      <c r="LI111"/>
      <c r="LJ111"/>
      <c r="LK111"/>
      <c r="LL111" s="4"/>
      <c r="LM111" s="4"/>
      <c r="LN111" s="6"/>
      <c r="LO111" s="4"/>
      <c r="LP111" s="5">
        <v>0</v>
      </c>
      <c r="LQ111" s="5"/>
      <c r="LR111" s="6"/>
      <c r="LS111" s="4"/>
      <c r="LT111" s="4"/>
      <c r="LU111" s="5">
        <v>0</v>
      </c>
      <c r="LV111" s="5">
        <v>0</v>
      </c>
      <c r="LW111" s="5"/>
      <c r="LX111" s="4"/>
      <c r="LY111" s="5">
        <v>0</v>
      </c>
      <c r="LZ111" s="4"/>
      <c r="MA111" s="4"/>
      <c r="MB111" s="4"/>
      <c r="MC111" s="4"/>
      <c r="MD111" s="6"/>
      <c r="ME111" s="6"/>
      <c r="MF111" s="6"/>
      <c r="MG111" s="9"/>
      <c r="MH111"/>
    </row>
    <row r="112">
      <c r="A112" s="8">
        <v>25370</v>
      </c>
      <c r="B112" s="8">
        <v>25371</v>
      </c>
      <c r="C112" s="9">
        <f>B112-A112</f>
        <v>1</v>
      </c>
      <c r="D112" s="8">
        <v>25370</v>
      </c>
      <c r="E112" t="inlineStr">
        <is>
          <t xml:space="preserve">positive</t>
        </is>
      </c>
      <c r="F112" s="4">
        <v>1.2411465158833626</v>
      </c>
      <c r="G112" s="6">
        <v>-0.04297495295846501</v>
      </c>
      <c r="H112" s="7">
        <f>SUM(CP112,DR112,ET112,FV112,GX112,HZ112,JB112,KD112,LF112,MH112)</f>
        <v>-0.04297495295846502</v>
      </c>
      <c r="I112" s="7">
        <f>G112-H112</f>
        <v>6.938893903907228e-18</v>
      </c>
      <c r="J112" s="5">
        <f>F112*(1+H112)</f>
        <v>1.1878083027487123</v>
      </c>
      <c r="K112" s="4">
        <v>1.1878083027487123</v>
      </c>
      <c r="L112" s="5">
        <f>K112-J112</f>
        <v>0</v>
      </c>
      <c r="M112" s="4">
        <v>1.679</v>
      </c>
      <c r="N112" s="4">
        <v>1.593</v>
      </c>
      <c r="O112" s="5">
        <f>M112/$M$3</f>
        <v>0.8575076608784474</v>
      </c>
      <c r="P112" s="5">
        <f>N112/$M$3</f>
        <v>0.813585291113381</v>
      </c>
      <c r="Q112" s="7">
        <f>IFERROR(N112/M112-1,0)</f>
        <v>-0.0512209648600358</v>
      </c>
      <c r="R112" s="5">
        <f>SUM(IF(BQ112="lease",CB112,0),IF(CS112="lease",DD112,0),IF(DU112="lease",EF112,0),IF(EW112="lease",FH112,0),IF(FY112="lease",GJ112,0),IF(HA112="lease",HL112,0),IF(IC112="lease",IN112,0),IF(JE112="lease",JP112,0),IF(KG112="lease",KR112,0),IF(LI112="lease",LT112,0))</f>
        <v>1.2411465158833632</v>
      </c>
      <c r="S112" s="5">
        <f>SUM(IF(BQ112="lease",CI112,0),IF(CS112="lease",DK112,0),IF(DU112="lease",EM112,0),IF(EW112="lease",FO112,0),IF(FY112="lease",GQ112,0),IF(HA112="lease",HS112,0),IF(IC112="lease",IU112,0),IF(JE112="lease",JW112,0),IF(KG112="lease",KY112,0),IF(LI112="lease",MA112,0))</f>
        <v>1.187808302748713</v>
      </c>
      <c r="T112" s="5">
        <f>SUM(IF(BQ112="keep",CB112,0),IF(CS112="keep",DD112,0),IF(DU112="keep",EF112,0),IF(EW112="keep",FH112,0),IF(FY112="keep",GJ112,0),IF(HA112="keep",HL112,0),IF(IC112="keep",IN112,0),IF(JE112="keep",JP112,0),IF(KG112="keep",KR112,0),IF(LI112="keep",LT112,0))</f>
        <v>0</v>
      </c>
      <c r="U112" s="5">
        <f>SUM(IF(BQ112="keep",CI112,0),IF(CS112="keep",DK112,0),IF(DU112="keep",EM112,0),IF(EW112="keep",FO112,0),IF(FY112="keep",GQ112,0),IF(HA112="keep",HS112,0),IF(IC112="keep",IU112,0),IF(JE112="keep",JW112,0),IF(KG112="keep",KY112,0),IF(LI112="keep",MA112,0))</f>
        <v>0</v>
      </c>
      <c r="V112" s="5">
        <f>R112/O112</f>
        <v>1.4473882537817897</v>
      </c>
      <c r="W112" s="5">
        <f>S112/P112</f>
        <v>1.4599677694802136</v>
      </c>
      <c r="X112" s="5">
        <f>T112/O112</f>
        <v>0</v>
      </c>
      <c r="Y112" s="5">
        <f>U112/P112</f>
        <v>0</v>
      </c>
      <c r="Z112" s="5">
        <f>V112+X112</f>
        <v>1.4473882537817897</v>
      </c>
      <c r="AA112" s="7">
        <f>IFERROR(W112/V112-1,0)</f>
        <v>0.008691182663363328</v>
      </c>
      <c r="AB112" s="7">
        <f>IFERROR((W112-V112)/Z112,0)</f>
        <v>0.008691182663363222</v>
      </c>
      <c r="AC112" s="7">
        <f>IFERROR(Y112/X112-1,0)</f>
        <v>0</v>
      </c>
      <c r="AD112" s="7">
        <f>IFERROR((Y112-X112)/Z112,0)</f>
        <v>0</v>
      </c>
      <c r="AE112" s="7">
        <f>AB112+AD112</f>
        <v>0.008691182663363222</v>
      </c>
      <c r="AF112" s="7">
        <f>(1+Q112)*(1+AE112)-1</f>
        <v>-0.04297495295846476</v>
      </c>
      <c r="AG112" s="7">
        <f>G112-AF112</f>
        <v>-2.498001805406602e-16</v>
      </c>
      <c r="AH112" s="5">
        <f>SUM(IF(BQ112="lease",CE112,0),IF(CS112="lease",DG112,0),IF(DU112="lease",EI112,0),IF(EW112="lease",FK112,0),IF(FY112="lease",GM112,0),IF(HA112="lease",HO112,0),IF(IC112="lease",IQ112,0),IF(JE112="lease",JS112,0),IF(KG112="lease",KU112,0),IF(LI112="lease",LW112,0))</f>
        <v>-0.053338213134650266</v>
      </c>
      <c r="AI112" s="5">
        <f>SUM(IF(BQ112="keep",CE112,0),IF(CS112="keep",DG112,0),IF(DU112="keep",EI112,0),IF(EW112="keep",FK112,0),IF(FY112="keep",GM112,0),IF(HA112="keep",HO112,0),IF(IC112="keep",IQ112,0),IF(JE112="keep",JS112,0),IF(KG112="keep",KU112,0),IF(LI112="keep",LW112,0))</f>
        <v>0</v>
      </c>
      <c r="AJ112" s="5">
        <f>SUM(IF(BQ112="lease",CH112,0),IF(CS112="lease",DJ112,0),IF(DU112="lease",EL112,0),IF(EW112="lease",FN112,0),IF(FY112="lease",GP112,0),IF(HA112="lease",HR112,0),IF(IC112="lease",IT112,0),IF(JE112="lease",JV112,0),IF(KG112="lease",KX112,0),IF(LI112="lease",LZ112,0))</f>
        <v>0</v>
      </c>
      <c r="AK112" s="5">
        <f>SUM(IF(BQ112="keep",CH112,0),IF(CS112="keep",DJ112,0),IF(DU112="keep",EL112,0),IF(EW112="keep",FN112,0),IF(FY112="keep",GP112,0),IF(HA112="keep",HR112,0),IF(IC112="keep",IT112,0),IF(JE112="keep",JV112,0),IF(KG112="keep",KX112,0),IF(LI112="keep",LZ112,0))</f>
        <v>0</v>
      </c>
      <c r="AL112" s="5">
        <f>R112-S111</f>
        <v>0</v>
      </c>
      <c r="AM112" s="5">
        <f>T112-U111</f>
        <v>0</v>
      </c>
      <c r="AN112" s="5">
        <f>AN111</f>
        <v>1</v>
      </c>
      <c r="AO112" s="5">
        <f>AO111+AH112</f>
        <v>0.18780830274871305</v>
      </c>
      <c r="AP112" s="5">
        <f>AP111+AL112</f>
        <v>-4.440892098500626e-16</v>
      </c>
      <c r="AQ112" s="5">
        <f>AN112+AO112+AP112</f>
        <v>1.1878083027487125</v>
      </c>
      <c r="AR112" s="5">
        <f>S112-AQ112</f>
        <v>4.440892098500626e-16</v>
      </c>
      <c r="AS112" s="5">
        <f>AS111</f>
        <v>0</v>
      </c>
      <c r="AT112" s="5">
        <f>AT111+AI112</f>
        <v>0</v>
      </c>
      <c r="AU112" s="5">
        <f>AU111+AM112</f>
        <v>0</v>
      </c>
      <c r="AV112" s="5">
        <f>AS112+AT112+AU112</f>
        <v>0</v>
      </c>
      <c r="AW112" s="5">
        <f>U112-AV112</f>
        <v>0</v>
      </c>
      <c r="AX112" s="4">
        <v>1.2411465158833632</v>
      </c>
      <c r="AY112" s="4">
        <v>1.187808302748713</v>
      </c>
      <c r="AZ112" s="5">
        <f>S112-AY112</f>
        <v>0</v>
      </c>
      <c r="BA112" s="4">
        <v>0</v>
      </c>
      <c r="BB112" s="4">
        <v>0</v>
      </c>
      <c r="BC112" s="5">
        <f>U112-BB112</f>
        <v>0</v>
      </c>
      <c r="BD112" s="7">
        <f>SUM(IF(BP112="direct",CC112/F112,0),IF(CR112="direct",DE112/F112,0),IF(DT112="direct",EG112/F112,0),IF(EV112="direct",FI112/F112,0),IF(FX112="direct",GK112/F112,0),IF(GZ112="direct",HM112/F112,0),IF(IB112="direct",IO112/F112,0),IF(JD112="direct",JQ112/F112,0),IF(KF112="direct",KS112/F112,0),IF(LH112="direct",LU112/F112,0))</f>
        <v>0</v>
      </c>
      <c r="BE112" s="7">
        <f>-SUM(IF(BP112="direct",CD112/F112,0),IF(CR112="direct",DF112/F112,0),IF(DT112="direct",EH112/F112,0),IF(EV112="direct",FJ112/F112,0),IF(FX112="direct",GL112/F112,0),IF(GZ112="direct",HN112/F112,0),IF(IB112="direct",IP112/F112,0),IF(JD112="direct",JR112/F112,0),IF(KF112="direct",KT112/F112,0),IF(LH112="direct",LV112/F112,0))</f>
        <v>0</v>
      </c>
      <c r="BF112" s="7">
        <f>BD112+BE112</f>
        <v>0</v>
      </c>
      <c r="BG112" s="7">
        <f>BF112-SUM(IF(BP112="direct",CP112,0),IF(CR112="direct",DR112,0),IF(DT112="direct",ET112,0),IF(EV112="direct",FV112,0),IF(FX112="direct",GX112,0),IF(GZ112="direct",HZ112,0),IF(IB112="direct",JB112,0),IF(JD112="direct",KD112,0),IF(KF112="direct",LF112,0),IF(LH112="direct",MH112,0))</f>
        <v>0</v>
      </c>
      <c r="BH112" s="7">
        <f>SUM(IF(BP112="treasury",CP112,0),IF(CR112="treasury",DR112,0),IF(DT112="treasury",ET112,0),IF(EV112="treasury",FV112,0),IF(FX112="treasury",GX112,0),IF(GZ112="treasury",HZ112,0),IF(IB112="treasury",JB112,0),IF(JD112="treasury",KD112,0),IF(KF112="treasury",LF112,0),IF(LH112="treasury",MH112,0))</f>
        <v>0.00018164383561643834</v>
      </c>
      <c r="BI112" s="7">
        <f>SUM(IF(BP112="future",CP112,0),IF(CR112="future",DR112,0),IF(DT112="future",ET112,0),IF(EV112="future",FV112,0),IF(FX112="future",GX112,0),IF(GZ112="future",HZ112,0),IF(IB112="future",JB112,0),IF(JD112="future",KD112,0),IF(KF112="future",LF112,0),IF(LH112="future",MH112,0))</f>
        <v>-0.04315659679408146</v>
      </c>
      <c r="BJ112" s="7">
        <f>SUM(IF(BP112="cash",CP112,0),IF(CR112="cash",DR112,0),IF(DT112="cash",ET112,0),IF(EV112="cash",FV112,0),IF(FX112="cash",GX112,0),IF(GZ112="cash",HZ112,0),IF(IB112="cash",JB112,0),IF(JD112="cash",KD112,0),IF(KF112="cash",LF112,0),IF(LH112="cash",MH112,0))</f>
        <v>0</v>
      </c>
      <c r="BK112" s="7">
        <f>SUM(BF112,BH112,BI112,BJ112)</f>
        <v>-0.04297495295846502</v>
      </c>
      <c r="BL112" s="7">
        <f>G112-BK112</f>
        <v>6.938893903907228e-18</v>
      </c>
      <c r="BM112" s="5">
        <f>MAX(ABS(CG112),ABS(DI112),ABS(EK112),ABS(FM112),ABS(GO112),ABS(HQ112),ABS(IS112),ABS(JU112),ABS(KW112),ABS(LY112))</f>
        <v>1.7604732775733378e-16</v>
      </c>
      <c r="BN112" s="9">
        <f>COUNTA(BO112,CQ112,DS112,EU112,FW112,GY112,IA112,JC112,KE112,LG112)</f>
        <v>4</v>
      </c>
      <c r="BO112" t="inlineStr">
        <is>
          <t xml:space="preserve">Treasury collateral</t>
        </is>
      </c>
      <c r="BP112" t="inlineStr">
        <is>
          <t xml:space="preserve">treasury</t>
        </is>
      </c>
      <c r="BQ112" t="inlineStr">
        <is>
          <t xml:space="preserve">lease</t>
        </is>
      </c>
      <c r="BR112" t="inlineStr">
        <is>
          <t xml:space="preserve">long</t>
        </is>
      </c>
      <c r="BS112"/>
      <c r="BT112" s="4">
        <v>102.80409691650728</v>
      </c>
      <c r="BU112" s="4">
        <v>102.82277064698826</v>
      </c>
      <c r="BV112" s="6"/>
      <c r="BW112" s="4">
        <v>0.012072928541859224</v>
      </c>
      <c r="BX112" s="5">
        <f>IF(BP112="direct",IFERROR(CD112/BU112,0),0)</f>
        <v>0</v>
      </c>
      <c r="BY112" s="5">
        <f>IF(BP112="direct",BW112-BX112,IF(BP112="cash",CI112,BW112))</f>
        <v>0.012072928541859224</v>
      </c>
      <c r="BZ112" s="6">
        <v>1</v>
      </c>
      <c r="CA112" s="4">
        <v>1.2411465158833626</v>
      </c>
      <c r="CB112" s="4">
        <v>1.2411465158833626</v>
      </c>
      <c r="CC112" s="5">
        <f>IF(BP112="direct",BW112*(BU112-BT112),CF112)</f>
        <v>0.00022544661370685665</v>
      </c>
      <c r="CD112" s="5">
        <f>IF(BP112="direct",CB112*BV112*C112/365,0)</f>
        <v>0</v>
      </c>
      <c r="CE112" s="5">
        <f>CC112-CD112</f>
        <v>0.0002254466137070327</v>
      </c>
      <c r="CF112" s="4">
        <v>0.0002254466137070327</v>
      </c>
      <c r="CG112" s="5">
        <f>CF112-CE112</f>
        <v>1.7604732775733378e-16</v>
      </c>
      <c r="CH112" s="4">
        <v>-2.0708261494473135e-16</v>
      </c>
      <c r="CI112" s="4">
        <v>1.2413719624970694</v>
      </c>
      <c r="CJ112" s="4">
        <v>1.679</v>
      </c>
      <c r="CK112" s="4">
        <v>1.593</v>
      </c>
      <c r="CL112" s="6"/>
      <c r="CM112" s="6"/>
      <c r="CN112" s="6"/>
      <c r="CO112" s="9">
        <v>43</v>
      </c>
      <c r="CP112" s="7">
        <f>IFERROR(CE112/F112,0)</f>
        <v>0.00018164383561643834</v>
      </c>
      <c r="CQ112" t="inlineStr">
        <is>
          <t xml:space="preserve">SI69N</t>
        </is>
      </c>
      <c r="CR112" t="inlineStr">
        <is>
          <t xml:space="preserve">future</t>
        </is>
      </c>
      <c r="CS112" t="inlineStr">
        <is>
          <t xml:space="preserve">lease</t>
        </is>
      </c>
      <c r="CT112" t="inlineStr">
        <is>
          <t xml:space="preserve">long</t>
        </is>
      </c>
      <c r="CU112" t="inlineStr">
        <is>
          <t xml:space="preserve">regular</t>
        </is>
      </c>
      <c r="CV112" s="4">
        <v>1.6219999999999999</v>
      </c>
      <c r="CW112" s="4">
        <v>1.5519999999999998</v>
      </c>
      <c r="CX112" s="6"/>
      <c r="CY112" s="4">
        <v>0.7651951392622458</v>
      </c>
      <c r="CZ112" s="5">
        <f>IF(CR112="direct",IFERROR(DF112/CW112,0),0)</f>
        <v>0</v>
      </c>
      <c r="DA112" s="5">
        <f>IF(CR112="direct",CY112-CZ112,IF(CR112="cash",DK112,CY112))</f>
        <v>0.7651951392622458</v>
      </c>
      <c r="DB112" s="6">
        <v>1</v>
      </c>
      <c r="DC112" s="4">
        <v>1.2411465158833626</v>
      </c>
      <c r="DD112" s="4">
        <v>0</v>
      </c>
      <c r="DE112" s="5">
        <f>IF(CR112="direct",CY112*(CW112-CV112),DH112)</f>
        <v>-0.0535636597483573</v>
      </c>
      <c r="DF112" s="5">
        <f>IF(CR112="direct",DD112*CX112*C112/365,0)</f>
        <v>0</v>
      </c>
      <c r="DG112" s="5">
        <f>DE112-DF112</f>
        <v>-0.0535636597483573</v>
      </c>
      <c r="DH112" s="4">
        <v>-0.0535636597483573</v>
      </c>
      <c r="DI112" s="5">
        <f>DH112-DG112</f>
        <v>0</v>
      </c>
      <c r="DJ112" s="4">
        <v>0.0535636597483573</v>
      </c>
      <c r="DK112" s="4">
        <v>0</v>
      </c>
      <c r="DL112" s="4">
        <v>1.679</v>
      </c>
      <c r="DM112" s="4">
        <v>1.593</v>
      </c>
      <c r="DN112" s="6">
        <v>-0.03394877903514004</v>
      </c>
      <c r="DO112" s="6">
        <v>0.0663</v>
      </c>
      <c r="DP112" s="6">
        <v>0.3544698685540957</v>
      </c>
      <c r="DQ112" s="9">
        <v>43</v>
      </c>
      <c r="DR112" s="7">
        <f>IFERROR(DG112/F112,0)</f>
        <v>-0.04315659679408146</v>
      </c>
      <c r="DS112" t="inlineStr">
        <is>
          <t xml:space="preserve">Lease cash / margin / financing</t>
        </is>
      </c>
      <c r="DT112" t="inlineStr">
        <is>
          <t xml:space="preserve">cash</t>
        </is>
      </c>
      <c r="DU112" t="inlineStr">
        <is>
          <t xml:space="preserve">lease</t>
        </is>
      </c>
      <c r="DV112" t="inlineStr">
        <is>
          <t xml:space="preserve">cash</t>
        </is>
      </c>
      <c r="DW112"/>
      <c r="DX112" s="4">
        <v>1</v>
      </c>
      <c r="DY112" s="4">
        <v>1</v>
      </c>
      <c r="DZ112" s="6"/>
      <c r="EA112" s="4">
        <v>6.661338147750939e-16</v>
      </c>
      <c r="EB112" s="5">
        <f>IF(DT112="direct",IFERROR(EH112/DY112,0),0)</f>
        <v>0</v>
      </c>
      <c r="EC112" s="5">
        <f>IF(DT112="direct",EA112-EB112,IF(DT112="cash",EM112,EA112))</f>
        <v>-0.053563659748356425</v>
      </c>
      <c r="ED112" s="6"/>
      <c r="EE112" s="4">
        <v>6.661338147750939e-16</v>
      </c>
      <c r="EF112" s="4">
        <v>6.661338147750939e-16</v>
      </c>
      <c r="EG112" s="5">
        <f>IF(DT112="direct",EA112*(DY112-DX112),EJ112)</f>
        <v>0</v>
      </c>
      <c r="EH112" s="5">
        <f>IF(DT112="direct",EF112*DZ112*C112/365,0)</f>
        <v>0</v>
      </c>
      <c r="EI112" s="5">
        <f>EG112-EH112</f>
        <v>0</v>
      </c>
      <c r="EJ112" s="4">
        <v>0</v>
      </c>
      <c r="EK112" s="5">
        <f>EJ112-EI112</f>
        <v>0</v>
      </c>
      <c r="EL112" s="4">
        <v>-0.05356365974835709</v>
      </c>
      <c r="EM112" s="4">
        <v>-0.053563659748356425</v>
      </c>
      <c r="EN112" s="4">
        <v>1.679</v>
      </c>
      <c r="EO112" s="4">
        <v>1.593</v>
      </c>
      <c r="EP112" s="6"/>
      <c r="EQ112" s="6"/>
      <c r="ER112" s="6"/>
      <c r="ES112" s="9"/>
      <c r="ET112" s="7">
        <f>IFERROR(EI112/F112,0)</f>
        <v>0</v>
      </c>
      <c r="EU112" t="inlineStr">
        <is>
          <t xml:space="preserve">Keep cash / margin / financing</t>
        </is>
      </c>
      <c r="EV112" t="inlineStr">
        <is>
          <t xml:space="preserve">cash</t>
        </is>
      </c>
      <c r="EW112" t="inlineStr">
        <is>
          <t xml:space="preserve">keep</t>
        </is>
      </c>
      <c r="EX112" t="inlineStr">
        <is>
          <t xml:space="preserve">cash</t>
        </is>
      </c>
      <c r="EY112"/>
      <c r="EZ112" s="4">
        <v>1</v>
      </c>
      <c r="FA112" s="4">
        <v>1</v>
      </c>
      <c r="FB112" s="6"/>
      <c r="FC112" s="4">
        <v>0</v>
      </c>
      <c r="FD112" s="5">
        <f>IF(EV112="direct",IFERROR(FJ112/FA112,0),0)</f>
        <v>0</v>
      </c>
      <c r="FE112" s="5">
        <f>IF(EV112="direct",FC112-FD112,IF(EV112="cash",FO112,FC112))</f>
        <v>0</v>
      </c>
      <c r="FF112" s="6"/>
      <c r="FG112" s="4">
        <v>0</v>
      </c>
      <c r="FH112" s="4">
        <v>0</v>
      </c>
      <c r="FI112" s="5">
        <f>IF(EV112="direct",FC112*(FA112-EZ112),FL112)</f>
        <v>0</v>
      </c>
      <c r="FJ112" s="5">
        <f>IF(EV112="direct",FH112*FB112*C112/365,0)</f>
        <v>0</v>
      </c>
      <c r="FK112" s="5">
        <f>FI112-FJ112</f>
        <v>0</v>
      </c>
      <c r="FL112" s="4">
        <v>0</v>
      </c>
      <c r="FM112" s="5">
        <f>FL112-FK112</f>
        <v>0</v>
      </c>
      <c r="FN112" s="4">
        <v>0</v>
      </c>
      <c r="FO112" s="4">
        <v>0</v>
      </c>
      <c r="FP112" s="4">
        <v>1.679</v>
      </c>
      <c r="FQ112" s="4">
        <v>1.593</v>
      </c>
      <c r="FR112" s="6"/>
      <c r="FS112" s="6"/>
      <c r="FT112" s="6"/>
      <c r="FU112" s="9"/>
      <c r="FV112" s="7">
        <f>IFERROR(FK112/F112,0)</f>
        <v>0</v>
      </c>
      <c r="FW112"/>
      <c r="FX112"/>
      <c r="FY112"/>
      <c r="FZ112"/>
      <c r="GA112"/>
      <c r="GB112" s="4"/>
      <c r="GC112" s="4"/>
      <c r="GD112" s="6"/>
      <c r="GE112" s="4"/>
      <c r="GF112" s="5">
        <v>0</v>
      </c>
      <c r="GG112" s="5"/>
      <c r="GH112" s="6"/>
      <c r="GI112" s="4"/>
      <c r="GJ112" s="4"/>
      <c r="GK112" s="5">
        <v>0</v>
      </c>
      <c r="GL112" s="5">
        <v>0</v>
      </c>
      <c r="GM112" s="5"/>
      <c r="GN112" s="4"/>
      <c r="GO112" s="5">
        <v>0</v>
      </c>
      <c r="GP112" s="4"/>
      <c r="GQ112" s="4"/>
      <c r="GR112" s="4"/>
      <c r="GS112" s="4"/>
      <c r="GT112" s="6"/>
      <c r="GU112" s="6"/>
      <c r="GV112" s="6"/>
      <c r="GW112" s="9"/>
      <c r="GX112"/>
      <c r="GY112"/>
      <c r="GZ112"/>
      <c r="HA112"/>
      <c r="HB112"/>
      <c r="HC112"/>
      <c r="HD112" s="4"/>
      <c r="HE112" s="4"/>
      <c r="HF112" s="6"/>
      <c r="HG112" s="4"/>
      <c r="HH112" s="5">
        <v>0</v>
      </c>
      <c r="HI112" s="5"/>
      <c r="HJ112" s="6"/>
      <c r="HK112" s="4"/>
      <c r="HL112" s="4"/>
      <c r="HM112" s="5">
        <v>0</v>
      </c>
      <c r="HN112" s="5">
        <v>0</v>
      </c>
      <c r="HO112" s="5"/>
      <c r="HP112" s="4"/>
      <c r="HQ112" s="5">
        <v>0</v>
      </c>
      <c r="HR112" s="4"/>
      <c r="HS112" s="4"/>
      <c r="HT112" s="4"/>
      <c r="HU112" s="4"/>
      <c r="HV112" s="6"/>
      <c r="HW112" s="6"/>
      <c r="HX112" s="6"/>
      <c r="HY112" s="9"/>
      <c r="HZ112"/>
      <c r="IA112"/>
      <c r="IB112"/>
      <c r="IC112"/>
      <c r="ID112"/>
      <c r="IE112"/>
      <c r="IF112" s="4"/>
      <c r="IG112" s="4"/>
      <c r="IH112" s="6"/>
      <c r="II112" s="4"/>
      <c r="IJ112" s="5">
        <v>0</v>
      </c>
      <c r="IK112" s="5"/>
      <c r="IL112" s="6"/>
      <c r="IM112" s="4"/>
      <c r="IN112" s="4"/>
      <c r="IO112" s="5">
        <v>0</v>
      </c>
      <c r="IP112" s="5">
        <v>0</v>
      </c>
      <c r="IQ112" s="5"/>
      <c r="IR112" s="4"/>
      <c r="IS112" s="5">
        <v>0</v>
      </c>
      <c r="IT112" s="4"/>
      <c r="IU112" s="4"/>
      <c r="IV112" s="4"/>
      <c r="IW112" s="4"/>
      <c r="IX112" s="6"/>
      <c r="IY112" s="6"/>
      <c r="IZ112" s="6"/>
      <c r="JA112" s="9"/>
      <c r="JB112"/>
      <c r="JC112"/>
      <c r="JD112"/>
      <c r="JE112"/>
      <c r="JF112"/>
      <c r="JG112"/>
      <c r="JH112" s="4"/>
      <c r="JI112" s="4"/>
      <c r="JJ112" s="6"/>
      <c r="JK112" s="4"/>
      <c r="JL112" s="5">
        <v>0</v>
      </c>
      <c r="JM112" s="5"/>
      <c r="JN112" s="6"/>
      <c r="JO112" s="4"/>
      <c r="JP112" s="4"/>
      <c r="JQ112" s="5">
        <v>0</v>
      </c>
      <c r="JR112" s="5">
        <v>0</v>
      </c>
      <c r="JS112" s="5"/>
      <c r="JT112" s="4"/>
      <c r="JU112" s="5">
        <v>0</v>
      </c>
      <c r="JV112" s="4"/>
      <c r="JW112" s="4"/>
      <c r="JX112" s="4"/>
      <c r="JY112" s="4"/>
      <c r="JZ112" s="6"/>
      <c r="KA112" s="6"/>
      <c r="KB112" s="6"/>
      <c r="KC112" s="9"/>
      <c r="KD112"/>
      <c r="KE112"/>
      <c r="KF112"/>
      <c r="KG112"/>
      <c r="KH112"/>
      <c r="KI112"/>
      <c r="KJ112" s="4"/>
      <c r="KK112" s="4"/>
      <c r="KL112" s="6"/>
      <c r="KM112" s="4"/>
      <c r="KN112" s="5">
        <v>0</v>
      </c>
      <c r="KO112" s="5"/>
      <c r="KP112" s="6"/>
      <c r="KQ112" s="4"/>
      <c r="KR112" s="4"/>
      <c r="KS112" s="5">
        <v>0</v>
      </c>
      <c r="KT112" s="5">
        <v>0</v>
      </c>
      <c r="KU112" s="5"/>
      <c r="KV112" s="4"/>
      <c r="KW112" s="5">
        <v>0</v>
      </c>
      <c r="KX112" s="4"/>
      <c r="KY112" s="4"/>
      <c r="KZ112" s="4"/>
      <c r="LA112" s="4"/>
      <c r="LB112" s="6"/>
      <c r="LC112" s="6"/>
      <c r="LD112" s="6"/>
      <c r="LE112" s="9"/>
      <c r="LF112"/>
      <c r="LG112"/>
      <c r="LH112"/>
      <c r="LI112"/>
      <c r="LJ112"/>
      <c r="LK112"/>
      <c r="LL112" s="4"/>
      <c r="LM112" s="4"/>
      <c r="LN112" s="6"/>
      <c r="LO112" s="4"/>
      <c r="LP112" s="5">
        <v>0</v>
      </c>
      <c r="LQ112" s="5"/>
      <c r="LR112" s="6"/>
      <c r="LS112" s="4"/>
      <c r="LT112" s="4"/>
      <c r="LU112" s="5">
        <v>0</v>
      </c>
      <c r="LV112" s="5">
        <v>0</v>
      </c>
      <c r="LW112" s="5"/>
      <c r="LX112" s="4"/>
      <c r="LY112" s="5">
        <v>0</v>
      </c>
      <c r="LZ112" s="4"/>
      <c r="MA112" s="4"/>
      <c r="MB112" s="4"/>
      <c r="MC112" s="4"/>
      <c r="MD112" s="6"/>
      <c r="ME112" s="6"/>
      <c r="MF112" s="6"/>
      <c r="MG112" s="9"/>
      <c r="MH112"/>
    </row>
    <row r="113">
      <c r="A113" s="8">
        <v>25371</v>
      </c>
      <c r="B113" s="8">
        <v>25372</v>
      </c>
      <c r="C113" s="9">
        <f>B113-A113</f>
        <v>1</v>
      </c>
      <c r="D113" s="8">
        <v>25371</v>
      </c>
      <c r="E113" t="inlineStr">
        <is>
          <t xml:space="preserve">positive</t>
        </is>
      </c>
      <c r="F113" s="4">
        <v>1.1878083027487123</v>
      </c>
      <c r="G113" s="6">
        <v>0.005333269312244237</v>
      </c>
      <c r="H113" s="7">
        <f>SUM(CP113,DR113,ET113,FV113,GX113,HZ113,JB113,KD113,LF113,MH113)</f>
        <v>0.005333269312244237</v>
      </c>
      <c r="I113" s="7">
        <f>G113-H113</f>
        <v>0</v>
      </c>
      <c r="J113" s="5">
        <f>F113*(1+H113)</f>
        <v>1.1941432043185911</v>
      </c>
      <c r="K113" s="4">
        <v>1.1941432043185911</v>
      </c>
      <c r="L113" s="5">
        <f>K113-J113</f>
        <v>0</v>
      </c>
      <c r="M113" s="4">
        <v>1.593</v>
      </c>
      <c r="N113" s="4">
        <v>1.578</v>
      </c>
      <c r="O113" s="5">
        <f>M113/$M$3</f>
        <v>0.813585291113381</v>
      </c>
      <c r="P113" s="5">
        <f>N113/$M$3</f>
        <v>0.8059244126659858</v>
      </c>
      <c r="Q113" s="7">
        <f>IFERROR(N113/M113-1,0)</f>
        <v>-0.00941619585687381</v>
      </c>
      <c r="R113" s="5">
        <f>SUM(IF(BQ113="lease",CB113,0),IF(CS113="lease",DD113,0),IF(DU113="lease",EF113,0),IF(EW113="lease",FH113,0),IF(FY113="lease",GJ113,0),IF(HA113="lease",HL113,0),IF(IC113="lease",IN113,0),IF(JE113="lease",JP113,0),IF(KG113="lease",KR113,0),IF(LI113="lease",LT113,0))</f>
        <v>1.187808302748713</v>
      </c>
      <c r="S113" s="5">
        <f>SUM(IF(BQ113="lease",CI113,0),IF(CS113="lease",DK113,0),IF(DU113="lease",EM113,0),IF(EW113="lease",FO113,0),IF(FY113="lease",GQ113,0),IF(HA113="lease",HS113,0),IF(IC113="lease",IU113,0),IF(JE113="lease",JW113,0),IF(KG113="lease",KY113,0),IF(LI113="lease",MA113,0))</f>
        <v>1.1941432043185916</v>
      </c>
      <c r="T113" s="5">
        <f>SUM(IF(BQ113="keep",CB113,0),IF(CS113="keep",DD113,0),IF(DU113="keep",EF113,0),IF(EW113="keep",FH113,0),IF(FY113="keep",GJ113,0),IF(HA113="keep",HL113,0),IF(IC113="keep",IN113,0),IF(JE113="keep",JP113,0),IF(KG113="keep",KR113,0),IF(LI113="keep",LT113,0))</f>
        <v>0</v>
      </c>
      <c r="U113" s="5">
        <f>SUM(IF(BQ113="keep",CI113,0),IF(CS113="keep",DK113,0),IF(DU113="keep",EM113,0),IF(EW113="keep",FO113,0),IF(FY113="keep",GQ113,0),IF(HA113="keep",HS113,0),IF(IC113="keep",IU113,0),IF(JE113="keep",JW113,0),IF(KG113="keep",KY113,0),IF(LI113="keep",MA113,0))</f>
        <v>0</v>
      </c>
      <c r="V113" s="5">
        <f>R113/O113</f>
        <v>1.4599677694802136</v>
      </c>
      <c r="W113" s="5">
        <f>S113/P113</f>
        <v>1.4817062066259834</v>
      </c>
      <c r="X113" s="5">
        <f>T113/O113</f>
        <v>0</v>
      </c>
      <c r="Y113" s="5">
        <f>U113/P113</f>
        <v>0</v>
      </c>
      <c r="Z113" s="5">
        <f>V113+X113</f>
        <v>1.4599677694802136</v>
      </c>
      <c r="AA113" s="7">
        <f>IFERROR(W113/V113-1,0)</f>
        <v>0.01488966921064927</v>
      </c>
      <c r="AB113" s="7">
        <f>IFERROR((W113-V113)/Z113,0)</f>
        <v>0.014889669210649279</v>
      </c>
      <c r="AC113" s="7">
        <f>IFERROR(Y113/X113-1,0)</f>
        <v>0</v>
      </c>
      <c r="AD113" s="7">
        <f>IFERROR((Y113-X113)/Z113,0)</f>
        <v>0</v>
      </c>
      <c r="AE113" s="7">
        <f>AB113+AD113</f>
        <v>0.014889669210649279</v>
      </c>
      <c r="AF113" s="7">
        <f>(1+Q113)*(1+AE113)-1</f>
        <v>0.005333269312243871</v>
      </c>
      <c r="AG113" s="7">
        <f>G113-AF113</f>
        <v>3.660266534311063e-16</v>
      </c>
      <c r="AH113" s="5">
        <f>SUM(IF(BQ113="lease",CE113,0),IF(CS113="lease",DG113,0),IF(DU113="lease",EI113,0),IF(EW113="lease",FK113,0),IF(FY113="lease",GM113,0),IF(HA113="lease",HO113,0),IF(IC113="lease",IQ113,0),IF(JE113="lease",JS113,0),IF(KG113="lease",KU113,0),IF(LI113="lease",LW113,0))</f>
        <v>0.0063349015698786195</v>
      </c>
      <c r="AI113" s="5">
        <f>SUM(IF(BQ113="keep",CE113,0),IF(CS113="keep",DG113,0),IF(DU113="keep",EI113,0),IF(EW113="keep",FK113,0),IF(FY113="keep",GM113,0),IF(HA113="keep",HO113,0),IF(IC113="keep",IQ113,0),IF(JE113="keep",JS113,0),IF(KG113="keep",KU113,0),IF(LI113="keep",LW113,0))</f>
        <v>0</v>
      </c>
      <c r="AJ113" s="5">
        <f>SUM(IF(BQ113="lease",CH113,0),IF(CS113="lease",DJ113,0),IF(DU113="lease",EL113,0),IF(EW113="lease",FN113,0),IF(FY113="lease",GP113,0),IF(HA113="lease",HR113,0),IF(IC113="lease",IT113,0),IF(JE113="lease",JV113,0),IF(KG113="lease",KX113,0),IF(LI113="lease",LZ113,0))</f>
        <v>0</v>
      </c>
      <c r="AK113" s="5">
        <f>SUM(IF(BQ113="keep",CH113,0),IF(CS113="keep",DJ113,0),IF(DU113="keep",EL113,0),IF(EW113="keep",FN113,0),IF(FY113="keep",GP113,0),IF(HA113="keep",HR113,0),IF(IC113="keep",IT113,0),IF(JE113="keep",JV113,0),IF(KG113="keep",KX113,0),IF(LI113="keep",LZ113,0))</f>
        <v>0</v>
      </c>
      <c r="AL113" s="5">
        <f>R113-S112</f>
        <v>0</v>
      </c>
      <c r="AM113" s="5">
        <f>T113-U112</f>
        <v>0</v>
      </c>
      <c r="AN113" s="5">
        <f>AN112</f>
        <v>1</v>
      </c>
      <c r="AO113" s="5">
        <f>AO112+AH113</f>
        <v>0.19414320431859167</v>
      </c>
      <c r="AP113" s="5">
        <f>AP112+AL113</f>
        <v>-4.440892098500626e-16</v>
      </c>
      <c r="AQ113" s="5">
        <f>AN113+AO113+AP113</f>
        <v>1.1941432043185913</v>
      </c>
      <c r="AR113" s="5">
        <f>S113-AQ113</f>
        <v>2.220446049250313e-16</v>
      </c>
      <c r="AS113" s="5">
        <f>AS112</f>
        <v>0</v>
      </c>
      <c r="AT113" s="5">
        <f>AT112+AI113</f>
        <v>0</v>
      </c>
      <c r="AU113" s="5">
        <f>AU112+AM113</f>
        <v>0</v>
      </c>
      <c r="AV113" s="5">
        <f>AS113+AT113+AU113</f>
        <v>0</v>
      </c>
      <c r="AW113" s="5">
        <f>U113-AV113</f>
        <v>0</v>
      </c>
      <c r="AX113" s="4">
        <v>1.187808302748713</v>
      </c>
      <c r="AY113" s="4">
        <v>1.1941432043185916</v>
      </c>
      <c r="AZ113" s="5">
        <f>S113-AY113</f>
        <v>0</v>
      </c>
      <c r="BA113" s="4">
        <v>0</v>
      </c>
      <c r="BB113" s="4">
        <v>0</v>
      </c>
      <c r="BC113" s="5">
        <f>U113-BB113</f>
        <v>0</v>
      </c>
      <c r="BD113" s="7">
        <f>SUM(IF(BP113="direct",CC113/F113,0),IF(CR113="direct",DE113/F113,0),IF(DT113="direct",EG113/F113,0),IF(EV113="direct",FI113/F113,0),IF(FX113="direct",GK113/F113,0),IF(GZ113="direct",HM113/F113,0),IF(IB113="direct",IO113/F113,0),IF(JD113="direct",JQ113/F113,0),IF(KF113="direct",KS113/F113,0),IF(LH113="direct",LU113/F113,0))</f>
        <v>0</v>
      </c>
      <c r="BE113" s="7">
        <f>-SUM(IF(BP113="direct",CD113/F113,0),IF(CR113="direct",DF113/F113,0),IF(DT113="direct",EH113/F113,0),IF(EV113="direct",FJ113/F113,0),IF(FX113="direct",GL113/F113,0),IF(GZ113="direct",HN113/F113,0),IF(IB113="direct",IP113/F113,0),IF(JD113="direct",JR113/F113,0),IF(KF113="direct",KT113/F113,0),IF(LH113="direct",LV113/F113,0))</f>
        <v>0</v>
      </c>
      <c r="BF113" s="7">
        <f>BD113+BE113</f>
        <v>0</v>
      </c>
      <c r="BG113" s="7">
        <f>BF113-SUM(IF(BP113="direct",CP113,0),IF(CR113="direct",DR113,0),IF(DT113="direct",ET113,0),IF(EV113="direct",FV113,0),IF(FX113="direct",GX113,0),IF(GZ113="direct",HZ113,0),IF(IB113="direct",JB113,0),IF(JD113="direct",KD113,0),IF(KF113="direct",LF113,0),IF(LH113="direct",MH113,0))</f>
        <v>0</v>
      </c>
      <c r="BH113" s="7">
        <f>SUM(IF(BP113="treasury",CP113,0),IF(CR113="treasury",DR113,0),IF(DT113="treasury",ET113,0),IF(EV113="treasury",FV113,0),IF(FX113="treasury",GX113,0),IF(GZ113="treasury",HZ113,0),IF(IB113="treasury",JB113,0),IF(JD113="treasury",KD113,0),IF(KF113="treasury",LF113,0),IF(LH113="treasury",MH113,0))</f>
        <v>0.00017863013698630136</v>
      </c>
      <c r="BI113" s="7">
        <f>SUM(IF(BP113="future",CP113,0),IF(CR113="future",DR113,0),IF(DT113="future",ET113,0),IF(EV113="future",FV113,0),IF(FX113="future",GX113,0),IF(GZ113="future",HZ113,0),IF(IB113="future",JB113,0),IF(JD113="future",KD113,0),IF(KF113="future",LF113,0),IF(LH113="future",MH113,0))</f>
        <v>0.005154639175257936</v>
      </c>
      <c r="BJ113" s="7">
        <f>SUM(IF(BP113="cash",CP113,0),IF(CR113="cash",DR113,0),IF(DT113="cash",ET113,0),IF(EV113="cash",FV113,0),IF(FX113="cash",GX113,0),IF(GZ113="cash",HZ113,0),IF(IB113="cash",JB113,0),IF(JD113="cash",KD113,0),IF(KF113="cash",LF113,0),IF(LH113="cash",MH113,0))</f>
        <v>0</v>
      </c>
      <c r="BK113" s="7">
        <f>SUM(BF113,BH113,BI113,BJ113)</f>
        <v>0.005333269312244237</v>
      </c>
      <c r="BL113" s="7">
        <f>G113-BK113</f>
        <v>0</v>
      </c>
      <c r="BM113" s="5">
        <f>MAX(ABS(CG113),ABS(DI113),ABS(EK113),ABS(FM113),ABS(GO113),ABS(HQ113),ABS(IS113),ABS(JU113),ABS(KW113),ABS(LY113))</f>
        <v>2.117988943950433e-16</v>
      </c>
      <c r="BN113" s="9">
        <f>COUNTA(BO113,CQ113,DS113,EU113,FW113,GY113,IA113,JC113,KE113,LG113)</f>
        <v>4</v>
      </c>
      <c r="BO113" t="inlineStr">
        <is>
          <t xml:space="preserve">Treasury collateral</t>
        </is>
      </c>
      <c r="BP113" t="inlineStr">
        <is>
          <t xml:space="preserve">treasury</t>
        </is>
      </c>
      <c r="BQ113" t="inlineStr">
        <is>
          <t xml:space="preserve">lease</t>
        </is>
      </c>
      <c r="BR113" t="inlineStr">
        <is>
          <t xml:space="preserve">long</t>
        </is>
      </c>
      <c r="BS113"/>
      <c r="BT113" s="4">
        <v>102.82277064698826</v>
      </c>
      <c r="BU113" s="4">
        <v>102.84113789259426</v>
      </c>
      <c r="BV113" s="6"/>
      <c r="BW113" s="4">
        <v>0.011551996656720161</v>
      </c>
      <c r="BX113" s="5">
        <f>IF(BP113="direct",IFERROR(CD113/BU113,0),0)</f>
        <v>0</v>
      </c>
      <c r="BY113" s="5">
        <f>IF(BP113="direct",BW113-BX113,IF(BP113="cash",CI113,BW113))</f>
        <v>0.011551996656720161</v>
      </c>
      <c r="BZ113" s="6">
        <v>1</v>
      </c>
      <c r="CA113" s="4">
        <v>1.1878083027487123</v>
      </c>
      <c r="CB113" s="4">
        <v>1.1878083027487123</v>
      </c>
      <c r="CC113" s="5">
        <f>IF(BP113="direct",BW113*(BU113-BT113),CF113)</f>
        <v>0.0002121783598336804</v>
      </c>
      <c r="CD113" s="5">
        <f>IF(BP113="direct",CB113*BV113*C113/365,0)</f>
        <v>0</v>
      </c>
      <c r="CE113" s="5">
        <f>CC113-CD113</f>
        <v>0.0002121783598334686</v>
      </c>
      <c r="CF113" s="4">
        <v>0.0002121783598334686</v>
      </c>
      <c r="CG113" s="5">
        <f>CF113-CE113</f>
        <v>-2.117988943950433e-16</v>
      </c>
      <c r="CH113" s="4">
        <v>2.015802889193674e-16</v>
      </c>
      <c r="CI113" s="4">
        <v>1.188020481108546</v>
      </c>
      <c r="CJ113" s="4">
        <v>1.593</v>
      </c>
      <c r="CK113" s="4">
        <v>1.578</v>
      </c>
      <c r="CL113" s="6"/>
      <c r="CM113" s="6"/>
      <c r="CN113" s="6"/>
      <c r="CO113" s="9">
        <v>42</v>
      </c>
      <c r="CP113" s="7">
        <f>IFERROR(CE113/F113,0)</f>
        <v>0.00017863013698630136</v>
      </c>
      <c r="CQ113" t="inlineStr">
        <is>
          <t xml:space="preserve">SI69N</t>
        </is>
      </c>
      <c r="CR113" t="inlineStr">
        <is>
          <t xml:space="preserve">future</t>
        </is>
      </c>
      <c r="CS113" t="inlineStr">
        <is>
          <t xml:space="preserve">lease</t>
        </is>
      </c>
      <c r="CT113" t="inlineStr">
        <is>
          <t xml:space="preserve">long</t>
        </is>
      </c>
      <c r="CU113" t="inlineStr">
        <is>
          <t xml:space="preserve">regular</t>
        </is>
      </c>
      <c r="CV113" s="4">
        <v>1.5519999999999998</v>
      </c>
      <c r="CW113" s="4">
        <v>1.56</v>
      </c>
      <c r="CX113" s="6"/>
      <c r="CY113" s="4">
        <v>0.7653404012556136</v>
      </c>
      <c r="CZ113" s="5">
        <f>IF(CR113="direct",IFERROR(DF113/CW113,0),0)</f>
        <v>0</v>
      </c>
      <c r="DA113" s="5">
        <f>IF(CR113="direct",CY113-CZ113,IF(CR113="cash",DK113,CY113))</f>
        <v>0.7653404012556136</v>
      </c>
      <c r="DB113" s="6">
        <v>1</v>
      </c>
      <c r="DC113" s="4">
        <v>1.1878083027487123</v>
      </c>
      <c r="DD113" s="4">
        <v>0</v>
      </c>
      <c r="DE113" s="5">
        <f>IF(CR113="direct",CY113*(CW113-CV113),DH113)</f>
        <v>0.006122723210045151</v>
      </c>
      <c r="DF113" s="5">
        <f>IF(CR113="direct",DD113*CX113*C113/365,0)</f>
        <v>0</v>
      </c>
      <c r="DG113" s="5">
        <f>DE113-DF113</f>
        <v>0.006122723210045151</v>
      </c>
      <c r="DH113" s="4">
        <v>0.006122723210045151</v>
      </c>
      <c r="DI113" s="5">
        <f>DH113-DG113</f>
        <v>0</v>
      </c>
      <c r="DJ113" s="4">
        <v>-0.006122723210045151</v>
      </c>
      <c r="DK113" s="4">
        <v>0</v>
      </c>
      <c r="DL113" s="4">
        <v>1.593</v>
      </c>
      <c r="DM113" s="4">
        <v>1.578</v>
      </c>
      <c r="DN113" s="6">
        <v>-0.025737602008788496</v>
      </c>
      <c r="DO113" s="6">
        <v>0.0652</v>
      </c>
      <c r="DP113" s="6">
        <v>0.2888720174573286</v>
      </c>
      <c r="DQ113" s="9">
        <v>42</v>
      </c>
      <c r="DR113" s="7">
        <f>IFERROR(DG113/F113,0)</f>
        <v>0.005154639175257936</v>
      </c>
      <c r="DS113" t="inlineStr">
        <is>
          <t xml:space="preserve">Lease cash / margin / financing</t>
        </is>
      </c>
      <c r="DT113" t="inlineStr">
        <is>
          <t xml:space="preserve">cash</t>
        </is>
      </c>
      <c r="DU113" t="inlineStr">
        <is>
          <t xml:space="preserve">lease</t>
        </is>
      </c>
      <c r="DV113" t="inlineStr">
        <is>
          <t xml:space="preserve">cash</t>
        </is>
      </c>
      <c r="DW113"/>
      <c r="DX113" s="4">
        <v>1</v>
      </c>
      <c r="DY113" s="4">
        <v>1</v>
      </c>
      <c r="DZ113" s="6"/>
      <c r="EA113" s="4">
        <v>6.661338147750939e-16</v>
      </c>
      <c r="EB113" s="5">
        <f>IF(DT113="direct",IFERROR(EH113/DY113,0),0)</f>
        <v>0</v>
      </c>
      <c r="EC113" s="5">
        <f>IF(DT113="direct",EA113-EB113,IF(DT113="cash",EM113,EA113))</f>
        <v>0.0061227232100456155</v>
      </c>
      <c r="ED113" s="6"/>
      <c r="EE113" s="4">
        <v>6.661338147750939e-16</v>
      </c>
      <c r="EF113" s="4">
        <v>6.661338147750939e-16</v>
      </c>
      <c r="EG113" s="5">
        <f>IF(DT113="direct",EA113*(DY113-DX113),EJ113)</f>
        <v>0</v>
      </c>
      <c r="EH113" s="5">
        <f>IF(DT113="direct",EF113*DZ113*C113/365,0)</f>
        <v>0</v>
      </c>
      <c r="EI113" s="5">
        <f>EG113-EH113</f>
        <v>0</v>
      </c>
      <c r="EJ113" s="4">
        <v>0</v>
      </c>
      <c r="EK113" s="5">
        <f>EJ113-EI113</f>
        <v>0</v>
      </c>
      <c r="EL113" s="4">
        <v>0.006122723210044949</v>
      </c>
      <c r="EM113" s="4">
        <v>0.0061227232100456155</v>
      </c>
      <c r="EN113" s="4">
        <v>1.593</v>
      </c>
      <c r="EO113" s="4">
        <v>1.578</v>
      </c>
      <c r="EP113" s="6"/>
      <c r="EQ113" s="6"/>
      <c r="ER113" s="6"/>
      <c r="ES113" s="9"/>
      <c r="ET113" s="7">
        <f>IFERROR(EI113/F113,0)</f>
        <v>0</v>
      </c>
      <c r="EU113" t="inlineStr">
        <is>
          <t xml:space="preserve">Keep cash / margin / financing</t>
        </is>
      </c>
      <c r="EV113" t="inlineStr">
        <is>
          <t xml:space="preserve">cash</t>
        </is>
      </c>
      <c r="EW113" t="inlineStr">
        <is>
          <t xml:space="preserve">keep</t>
        </is>
      </c>
      <c r="EX113" t="inlineStr">
        <is>
          <t xml:space="preserve">cash</t>
        </is>
      </c>
      <c r="EY113"/>
      <c r="EZ113" s="4">
        <v>1</v>
      </c>
      <c r="FA113" s="4">
        <v>1</v>
      </c>
      <c r="FB113" s="6"/>
      <c r="FC113" s="4">
        <v>0</v>
      </c>
      <c r="FD113" s="5">
        <f>IF(EV113="direct",IFERROR(FJ113/FA113,0),0)</f>
        <v>0</v>
      </c>
      <c r="FE113" s="5">
        <f>IF(EV113="direct",FC113-FD113,IF(EV113="cash",FO113,FC113))</f>
        <v>0</v>
      </c>
      <c r="FF113" s="6"/>
      <c r="FG113" s="4">
        <v>0</v>
      </c>
      <c r="FH113" s="4">
        <v>0</v>
      </c>
      <c r="FI113" s="5">
        <f>IF(EV113="direct",FC113*(FA113-EZ113),FL113)</f>
        <v>0</v>
      </c>
      <c r="FJ113" s="5">
        <f>IF(EV113="direct",FH113*FB113*C113/365,0)</f>
        <v>0</v>
      </c>
      <c r="FK113" s="5">
        <f>FI113-FJ113</f>
        <v>0</v>
      </c>
      <c r="FL113" s="4">
        <v>0</v>
      </c>
      <c r="FM113" s="5">
        <f>FL113-FK113</f>
        <v>0</v>
      </c>
      <c r="FN113" s="4">
        <v>0</v>
      </c>
      <c r="FO113" s="4">
        <v>0</v>
      </c>
      <c r="FP113" s="4">
        <v>1.593</v>
      </c>
      <c r="FQ113" s="4">
        <v>1.578</v>
      </c>
      <c r="FR113" s="6"/>
      <c r="FS113" s="6"/>
      <c r="FT113" s="6"/>
      <c r="FU113" s="9"/>
      <c r="FV113" s="7">
        <f>IFERROR(FK113/F113,0)</f>
        <v>0</v>
      </c>
      <c r="FW113"/>
      <c r="FX113"/>
      <c r="FY113"/>
      <c r="FZ113"/>
      <c r="GA113"/>
      <c r="GB113" s="4"/>
      <c r="GC113" s="4"/>
      <c r="GD113" s="6"/>
      <c r="GE113" s="4"/>
      <c r="GF113" s="5">
        <v>0</v>
      </c>
      <c r="GG113" s="5"/>
      <c r="GH113" s="6"/>
      <c r="GI113" s="4"/>
      <c r="GJ113" s="4"/>
      <c r="GK113" s="5">
        <v>0</v>
      </c>
      <c r="GL113" s="5">
        <v>0</v>
      </c>
      <c r="GM113" s="5"/>
      <c r="GN113" s="4"/>
      <c r="GO113" s="5">
        <v>0</v>
      </c>
      <c r="GP113" s="4"/>
      <c r="GQ113" s="4"/>
      <c r="GR113" s="4"/>
      <c r="GS113" s="4"/>
      <c r="GT113" s="6"/>
      <c r="GU113" s="6"/>
      <c r="GV113" s="6"/>
      <c r="GW113" s="9"/>
      <c r="GX113"/>
      <c r="GY113"/>
      <c r="GZ113"/>
      <c r="HA113"/>
      <c r="HB113"/>
      <c r="HC113"/>
      <c r="HD113" s="4"/>
      <c r="HE113" s="4"/>
      <c r="HF113" s="6"/>
      <c r="HG113" s="4"/>
      <c r="HH113" s="5">
        <v>0</v>
      </c>
      <c r="HI113" s="5"/>
      <c r="HJ113" s="6"/>
      <c r="HK113" s="4"/>
      <c r="HL113" s="4"/>
      <c r="HM113" s="5">
        <v>0</v>
      </c>
      <c r="HN113" s="5">
        <v>0</v>
      </c>
      <c r="HO113" s="5"/>
      <c r="HP113" s="4"/>
      <c r="HQ113" s="5">
        <v>0</v>
      </c>
      <c r="HR113" s="4"/>
      <c r="HS113" s="4"/>
      <c r="HT113" s="4"/>
      <c r="HU113" s="4"/>
      <c r="HV113" s="6"/>
      <c r="HW113" s="6"/>
      <c r="HX113" s="6"/>
      <c r="HY113" s="9"/>
      <c r="HZ113"/>
      <c r="IA113"/>
      <c r="IB113"/>
      <c r="IC113"/>
      <c r="ID113"/>
      <c r="IE113"/>
      <c r="IF113" s="4"/>
      <c r="IG113" s="4"/>
      <c r="IH113" s="6"/>
      <c r="II113" s="4"/>
      <c r="IJ113" s="5">
        <v>0</v>
      </c>
      <c r="IK113" s="5"/>
      <c r="IL113" s="6"/>
      <c r="IM113" s="4"/>
      <c r="IN113" s="4"/>
      <c r="IO113" s="5">
        <v>0</v>
      </c>
      <c r="IP113" s="5">
        <v>0</v>
      </c>
      <c r="IQ113" s="5"/>
      <c r="IR113" s="4"/>
      <c r="IS113" s="5">
        <v>0</v>
      </c>
      <c r="IT113" s="4"/>
      <c r="IU113" s="4"/>
      <c r="IV113" s="4"/>
      <c r="IW113" s="4"/>
      <c r="IX113" s="6"/>
      <c r="IY113" s="6"/>
      <c r="IZ113" s="6"/>
      <c r="JA113" s="9"/>
      <c r="JB113"/>
      <c r="JC113"/>
      <c r="JD113"/>
      <c r="JE113"/>
      <c r="JF113"/>
      <c r="JG113"/>
      <c r="JH113" s="4"/>
      <c r="JI113" s="4"/>
      <c r="JJ113" s="6"/>
      <c r="JK113" s="4"/>
      <c r="JL113" s="5">
        <v>0</v>
      </c>
      <c r="JM113" s="5"/>
      <c r="JN113" s="6"/>
      <c r="JO113" s="4"/>
      <c r="JP113" s="4"/>
      <c r="JQ113" s="5">
        <v>0</v>
      </c>
      <c r="JR113" s="5">
        <v>0</v>
      </c>
      <c r="JS113" s="5"/>
      <c r="JT113" s="4"/>
      <c r="JU113" s="5">
        <v>0</v>
      </c>
      <c r="JV113" s="4"/>
      <c r="JW113" s="4"/>
      <c r="JX113" s="4"/>
      <c r="JY113" s="4"/>
      <c r="JZ113" s="6"/>
      <c r="KA113" s="6"/>
      <c r="KB113" s="6"/>
      <c r="KC113" s="9"/>
      <c r="KD113"/>
      <c r="KE113"/>
      <c r="KF113"/>
      <c r="KG113"/>
      <c r="KH113"/>
      <c r="KI113"/>
      <c r="KJ113" s="4"/>
      <c r="KK113" s="4"/>
      <c r="KL113" s="6"/>
      <c r="KM113" s="4"/>
      <c r="KN113" s="5">
        <v>0</v>
      </c>
      <c r="KO113" s="5"/>
      <c r="KP113" s="6"/>
      <c r="KQ113" s="4"/>
      <c r="KR113" s="4"/>
      <c r="KS113" s="5">
        <v>0</v>
      </c>
      <c r="KT113" s="5">
        <v>0</v>
      </c>
      <c r="KU113" s="5"/>
      <c r="KV113" s="4"/>
      <c r="KW113" s="5">
        <v>0</v>
      </c>
      <c r="KX113" s="4"/>
      <c r="KY113" s="4"/>
      <c r="KZ113" s="4"/>
      <c r="LA113" s="4"/>
      <c r="LB113" s="6"/>
      <c r="LC113" s="6"/>
      <c r="LD113" s="6"/>
      <c r="LE113" s="9"/>
      <c r="LF113"/>
      <c r="LG113"/>
      <c r="LH113"/>
      <c r="LI113"/>
      <c r="LJ113"/>
      <c r="LK113"/>
      <c r="LL113" s="4"/>
      <c r="LM113" s="4"/>
      <c r="LN113" s="6"/>
      <c r="LO113" s="4"/>
      <c r="LP113" s="5">
        <v>0</v>
      </c>
      <c r="LQ113" s="5"/>
      <c r="LR113" s="6"/>
      <c r="LS113" s="4"/>
      <c r="LT113" s="4"/>
      <c r="LU113" s="5">
        <v>0</v>
      </c>
      <c r="LV113" s="5">
        <v>0</v>
      </c>
      <c r="LW113" s="5"/>
      <c r="LX113" s="4"/>
      <c r="LY113" s="5">
        <v>0</v>
      </c>
      <c r="LZ113" s="4"/>
      <c r="MA113" s="4"/>
      <c r="MB113" s="4"/>
      <c r="MC113" s="4"/>
      <c r="MD113" s="6"/>
      <c r="ME113" s="6"/>
      <c r="MF113" s="6"/>
      <c r="MG113" s="9"/>
      <c r="MH113"/>
    </row>
    <row r="114">
      <c r="A114" s="8">
        <v>25372</v>
      </c>
      <c r="B114" s="8">
        <v>25373</v>
      </c>
      <c r="C114" s="9">
        <f>B114-A114</f>
        <v>1</v>
      </c>
      <c r="D114" s="8">
        <v>25372</v>
      </c>
      <c r="E114" t="inlineStr">
        <is>
          <t xml:space="preserve">positive</t>
        </is>
      </c>
      <c r="F114" s="4">
        <v>1.1941432043185911</v>
      </c>
      <c r="G114" s="6">
        <v>0.021974323849666234</v>
      </c>
      <c r="H114" s="7">
        <f>SUM(CP114,DR114,ET114,FV114,GX114,HZ114,JB114,KD114,LF114,MH114)</f>
        <v>0.021974323849666237</v>
      </c>
      <c r="I114" s="7">
        <f>G114-H114</f>
        <v>-3.469446951953614e-18</v>
      </c>
      <c r="J114" s="5">
        <f>F114*(1+H114)</f>
        <v>1.2203836938131658</v>
      </c>
      <c r="K114" s="4">
        <v>1.2203836938131658</v>
      </c>
      <c r="L114" s="5">
        <f>K114-J114</f>
        <v>0</v>
      </c>
      <c r="M114" s="4">
        <v>1.578</v>
      </c>
      <c r="N114" s="4">
        <v>1.603</v>
      </c>
      <c r="O114" s="5">
        <f>M114/$M$3</f>
        <v>0.8059244126659858</v>
      </c>
      <c r="P114" s="5">
        <f>N114/$M$3</f>
        <v>0.8186925434116445</v>
      </c>
      <c r="Q114" s="7">
        <f>IFERROR(N114/M114-1,0)</f>
        <v>0.01584283903675532</v>
      </c>
      <c r="R114" s="5">
        <f>SUM(IF(BQ114="lease",CB114,0),IF(CS114="lease",DD114,0),IF(DU114="lease",EF114,0),IF(EW114="lease",FH114,0),IF(FY114="lease",GJ114,0),IF(HA114="lease",HL114,0),IF(IC114="lease",IN114,0),IF(JE114="lease",JP114,0),IF(KG114="lease",KR114,0),IF(LI114="lease",LT114,0))</f>
        <v>1.1941432043185916</v>
      </c>
      <c r="S114" s="5">
        <f>SUM(IF(BQ114="lease",CI114,0),IF(CS114="lease",DK114,0),IF(DU114="lease",EM114,0),IF(EW114="lease",FO114,0),IF(FY114="lease",GQ114,0),IF(HA114="lease",HS114,0),IF(IC114="lease",IU114,0),IF(JE114="lease",JW114,0),IF(KG114="lease",KY114,0),IF(LI114="lease",MA114,0))</f>
        <v>1.2203836938131665</v>
      </c>
      <c r="T114" s="5">
        <f>SUM(IF(BQ114="keep",CB114,0),IF(CS114="keep",DD114,0),IF(DU114="keep",EF114,0),IF(EW114="keep",FH114,0),IF(FY114="keep",GJ114,0),IF(HA114="keep",HL114,0),IF(IC114="keep",IN114,0),IF(JE114="keep",JP114,0),IF(KG114="keep",KR114,0),IF(LI114="keep",LT114,0))</f>
        <v>0</v>
      </c>
      <c r="U114" s="5">
        <f>SUM(IF(BQ114="keep",CI114,0),IF(CS114="keep",DK114,0),IF(DU114="keep",EM114,0),IF(EW114="keep",FO114,0),IF(FY114="keep",GQ114,0),IF(HA114="keep",HS114,0),IF(IC114="keep",IU114,0),IF(JE114="keep",JW114,0),IF(KG114="keep",KY114,0),IF(LI114="keep",MA114,0))</f>
        <v>0</v>
      </c>
      <c r="V114" s="5">
        <f>R114/O114</f>
        <v>1.4817062066259834</v>
      </c>
      <c r="W114" s="5">
        <f>S114/P114</f>
        <v>1.490649577346338</v>
      </c>
      <c r="X114" s="5">
        <f>T114/O114</f>
        <v>0</v>
      </c>
      <c r="Y114" s="5">
        <f>U114/P114</f>
        <v>0</v>
      </c>
      <c r="Z114" s="5">
        <f>V114+X114</f>
        <v>1.4817062066259834</v>
      </c>
      <c r="AA114" s="7">
        <f>IFERROR(W114/V114-1,0)</f>
        <v>0.006035859659871301</v>
      </c>
      <c r="AB114" s="7">
        <f>IFERROR((W114-V114)/Z114,0)</f>
        <v>0.006035859659871204</v>
      </c>
      <c r="AC114" s="7">
        <f>IFERROR(Y114/X114-1,0)</f>
        <v>0</v>
      </c>
      <c r="AD114" s="7">
        <f>IFERROR((Y114-X114)/Z114,0)</f>
        <v>0</v>
      </c>
      <c r="AE114" s="7">
        <f>AB114+AD114</f>
        <v>0.006035859659871204</v>
      </c>
      <c r="AF114" s="7">
        <f>(1+Q114)*(1+AE114)-1</f>
        <v>0.021974323849666355</v>
      </c>
      <c r="AG114" s="7">
        <f>G114-AF114</f>
        <v>-1.214306433183765e-16</v>
      </c>
      <c r="AH114" s="5">
        <f>SUM(IF(BQ114="lease",CE114,0),IF(CS114="lease",DG114,0),IF(DU114="lease",EI114,0),IF(EW114="lease",FK114,0),IF(FY114="lease",GM114,0),IF(HA114="lease",HO114,0),IF(IC114="lease",IQ114,0),IF(JE114="lease",JS114,0),IF(KG114="lease",KU114,0),IF(LI114="lease",LW114,0))</f>
        <v>0.02624048949457488</v>
      </c>
      <c r="AI114" s="5">
        <f>SUM(IF(BQ114="keep",CE114,0),IF(CS114="keep",DG114,0),IF(DU114="keep",EI114,0),IF(EW114="keep",FK114,0),IF(FY114="keep",GM114,0),IF(HA114="keep",HO114,0),IF(IC114="keep",IQ114,0),IF(JE114="keep",JS114,0),IF(KG114="keep",KU114,0),IF(LI114="keep",LW114,0))</f>
        <v>0</v>
      </c>
      <c r="AJ114" s="5">
        <f>SUM(IF(BQ114="lease",CH114,0),IF(CS114="lease",DJ114,0),IF(DU114="lease",EL114,0),IF(EW114="lease",FN114,0),IF(FY114="lease",GP114,0),IF(HA114="lease",HR114,0),IF(IC114="lease",IT114,0),IF(JE114="lease",JV114,0),IF(KG114="lease",KX114,0),IF(LI114="lease",LZ114,0))</f>
        <v>0</v>
      </c>
      <c r="AK114" s="5">
        <f>SUM(IF(BQ114="keep",CH114,0),IF(CS114="keep",DJ114,0),IF(DU114="keep",EL114,0),IF(EW114="keep",FN114,0),IF(FY114="keep",GP114,0),IF(HA114="keep",HR114,0),IF(IC114="keep",IT114,0),IF(JE114="keep",JV114,0),IF(KG114="keep",KX114,0),IF(LI114="keep",LZ114,0))</f>
        <v>0</v>
      </c>
      <c r="AL114" s="5">
        <f>R114-S113</f>
        <v>0</v>
      </c>
      <c r="AM114" s="5">
        <f>T114-U113</f>
        <v>0</v>
      </c>
      <c r="AN114" s="5">
        <f>AN113</f>
        <v>1</v>
      </c>
      <c r="AO114" s="5">
        <f>AO113+AH114</f>
        <v>0.22038369381316655</v>
      </c>
      <c r="AP114" s="5">
        <f>AP113+AL114</f>
        <v>-4.440892098500626e-16</v>
      </c>
      <c r="AQ114" s="5">
        <f>AN114+AO114+AP114</f>
        <v>1.220383693813166</v>
      </c>
      <c r="AR114" s="5">
        <f>S114-AQ114</f>
        <v>4.440892098500626e-16</v>
      </c>
      <c r="AS114" s="5">
        <f>AS113</f>
        <v>0</v>
      </c>
      <c r="AT114" s="5">
        <f>AT113+AI114</f>
        <v>0</v>
      </c>
      <c r="AU114" s="5">
        <f>AU113+AM114</f>
        <v>0</v>
      </c>
      <c r="AV114" s="5">
        <f>AS114+AT114+AU114</f>
        <v>0</v>
      </c>
      <c r="AW114" s="5">
        <f>U114-AV114</f>
        <v>0</v>
      </c>
      <c r="AX114" s="4">
        <v>1.1941432043185916</v>
      </c>
      <c r="AY114" s="4">
        <v>1.2203836938131665</v>
      </c>
      <c r="AZ114" s="5">
        <f>S114-AY114</f>
        <v>0</v>
      </c>
      <c r="BA114" s="4">
        <v>0</v>
      </c>
      <c r="BB114" s="4">
        <v>0</v>
      </c>
      <c r="BC114" s="5">
        <f>U114-BB114</f>
        <v>0</v>
      </c>
      <c r="BD114" s="7">
        <f>SUM(IF(BP114="direct",CC114/F114,0),IF(CR114="direct",DE114/F114,0),IF(DT114="direct",EG114/F114,0),IF(EV114="direct",FI114/F114,0),IF(FX114="direct",GK114/F114,0),IF(GZ114="direct",HM114/F114,0),IF(IB114="direct",IO114/F114,0),IF(JD114="direct",JQ114/F114,0),IF(KF114="direct",KS114/F114,0),IF(LH114="direct",LU114/F114,0))</f>
        <v>0</v>
      </c>
      <c r="BE114" s="7">
        <f>-SUM(IF(BP114="direct",CD114/F114,0),IF(CR114="direct",DF114/F114,0),IF(DT114="direct",EH114/F114,0),IF(EV114="direct",FJ114/F114,0),IF(FX114="direct",GL114/F114,0),IF(GZ114="direct",HN114/F114,0),IF(IB114="direct",IP114/F114,0),IF(JD114="direct",JR114/F114,0),IF(KF114="direct",KT114/F114,0),IF(LH114="direct",LV114/F114,0))</f>
        <v>0</v>
      </c>
      <c r="BF114" s="7">
        <f>BD114+BE114</f>
        <v>0</v>
      </c>
      <c r="BG114" s="7">
        <f>BF114-SUM(IF(BP114="direct",CP114,0),IF(CR114="direct",DR114,0),IF(DT114="direct",ET114,0),IF(EV114="direct",FV114,0),IF(FX114="direct",GX114,0),IF(GZ114="direct",HZ114,0),IF(IB114="direct",JB114,0),IF(JD114="direct",KD114,0),IF(KF114="direct",LF114,0),IF(LH114="direct",MH114,0))</f>
        <v>0</v>
      </c>
      <c r="BH114" s="7">
        <f>SUM(IF(BP114="treasury",CP114,0),IF(CR114="treasury",DR114,0),IF(DT114="treasury",ET114,0),IF(EV114="treasury",FV114,0),IF(FX114="treasury",GX114,0),IF(GZ114="treasury",HZ114,0),IF(IB114="treasury",JB114,0),IF(JD114="treasury",KD114,0),IF(KF114="treasury",LF114,0),IF(LH114="treasury",MH114,0))</f>
        <v>0.00017945205479452057</v>
      </c>
      <c r="BI114" s="7">
        <f>SUM(IF(BP114="future",CP114,0),IF(CR114="future",DR114,0),IF(DT114="future",ET114,0),IF(EV114="future",FV114,0),IF(FX114="future",GX114,0),IF(GZ114="future",HZ114,0),IF(IB114="future",JB114,0),IF(JD114="future",KD114,0),IF(KF114="future",LF114,0),IF(LH114="future",MH114,0))</f>
        <v>0.021794871794871717</v>
      </c>
      <c r="BJ114" s="7">
        <f>SUM(IF(BP114="cash",CP114,0),IF(CR114="cash",DR114,0),IF(DT114="cash",ET114,0),IF(EV114="cash",FV114,0),IF(FX114="cash",GX114,0),IF(GZ114="cash",HZ114,0),IF(IB114="cash",JB114,0),IF(JD114="cash",KD114,0),IF(KF114="cash",LF114,0),IF(LH114="cash",MH114,0))</f>
        <v>0</v>
      </c>
      <c r="BK114" s="7">
        <f>SUM(BF114,BH114,BI114,BJ114)</f>
        <v>0.021974323849666237</v>
      </c>
      <c r="BL114" s="7">
        <f>G114-BK114</f>
        <v>-3.469446951953614e-18</v>
      </c>
      <c r="BM114" s="5">
        <f>MAX(ABS(CG114),ABS(DI114),ABS(EK114),ABS(FM114),ABS(GO114),ABS(HQ114),ABS(IS114),ABS(JU114),ABS(KW114),ABS(LY114))</f>
        <v>2.3107058801097313e-16</v>
      </c>
      <c r="BN114" s="9">
        <f>COUNTA(BO114,CQ114,DS114,EU114,FW114,GY114,IA114,JC114,KE114,LG114)</f>
        <v>4</v>
      </c>
      <c r="BO114" t="inlineStr">
        <is>
          <t xml:space="preserve">Treasury collateral</t>
        </is>
      </c>
      <c r="BP114" t="inlineStr">
        <is>
          <t xml:space="preserve">treasury</t>
        </is>
      </c>
      <c r="BQ114" t="inlineStr">
        <is>
          <t xml:space="preserve">lease</t>
        </is>
      </c>
      <c r="BR114" t="inlineStr">
        <is>
          <t xml:space="preserve">long</t>
        </is>
      </c>
      <c r="BS114"/>
      <c r="BT114" s="4">
        <v>102.84113789259426</v>
      </c>
      <c r="BU114" s="4">
        <v>102.85959294610647</v>
      </c>
      <c r="BV114" s="6"/>
      <c r="BW114" s="4">
        <v>0.011611532396362012</v>
      </c>
      <c r="BX114" s="5">
        <f>IF(BP114="direct",IFERROR(CD114/BU114,0),0)</f>
        <v>0</v>
      </c>
      <c r="BY114" s="5">
        <f>IF(BP114="direct",BW114-BX114,IF(BP114="cash",CI114,BW114))</f>
        <v>0.011611532396362012</v>
      </c>
      <c r="BZ114" s="6">
        <v>1</v>
      </c>
      <c r="CA114" s="4">
        <v>1.1941432043185911</v>
      </c>
      <c r="CB114" s="4">
        <v>1.1941432043185911</v>
      </c>
      <c r="CC114" s="5">
        <f>IF(BP114="direct",BW114*(BU114-BT114),CF114)</f>
        <v>0.00021429145173365311</v>
      </c>
      <c r="CD114" s="5">
        <f>IF(BP114="direct",CB114*BV114*C114/365,0)</f>
        <v>0</v>
      </c>
      <c r="CE114" s="5">
        <f>CC114-CD114</f>
        <v>0.00021429145173388418</v>
      </c>
      <c r="CF114" s="4">
        <v>0.00021429145173388418</v>
      </c>
      <c r="CG114" s="5">
        <f>CF114-CE114</f>
        <v>2.3107058801097313e-16</v>
      </c>
      <c r="CH114" s="4">
        <v>-3.116268094266461e-16</v>
      </c>
      <c r="CI114" s="4">
        <v>1.1943574957703247</v>
      </c>
      <c r="CJ114" s="4">
        <v>1.578</v>
      </c>
      <c r="CK114" s="4">
        <v>1.603</v>
      </c>
      <c r="CL114" s="6"/>
      <c r="CM114" s="6"/>
      <c r="CN114" s="6"/>
      <c r="CO114" s="9">
        <v>41</v>
      </c>
      <c r="CP114" s="7">
        <f>IFERROR(CE114/F114,0)</f>
        <v>0.00017945205479452057</v>
      </c>
      <c r="CQ114" t="inlineStr">
        <is>
          <t xml:space="preserve">SI69N</t>
        </is>
      </c>
      <c r="CR114" t="inlineStr">
        <is>
          <t xml:space="preserve">future</t>
        </is>
      </c>
      <c r="CS114" t="inlineStr">
        <is>
          <t xml:space="preserve">lease</t>
        </is>
      </c>
      <c r="CT114" t="inlineStr">
        <is>
          <t xml:space="preserve">long</t>
        </is>
      </c>
      <c r="CU114" t="inlineStr">
        <is>
          <t xml:space="preserve">regular</t>
        </is>
      </c>
      <c r="CV114" s="4">
        <v>1.56</v>
      </c>
      <c r="CW114" s="4">
        <v>1.594</v>
      </c>
      <c r="CX114" s="6"/>
      <c r="CY114" s="4">
        <v>0.7654764130247379</v>
      </c>
      <c r="CZ114" s="5">
        <f>IF(CR114="direct",IFERROR(DF114/CW114,0),0)</f>
        <v>0</v>
      </c>
      <c r="DA114" s="5">
        <f>IF(CR114="direct",CY114-CZ114,IF(CR114="cash",DK114,CY114))</f>
        <v>0.7654764130247379</v>
      </c>
      <c r="DB114" s="6">
        <v>1</v>
      </c>
      <c r="DC114" s="4">
        <v>1.1941432043185911</v>
      </c>
      <c r="DD114" s="4">
        <v>0</v>
      </c>
      <c r="DE114" s="5">
        <f>IF(CR114="direct",CY114*(CW114-CV114),DH114)</f>
        <v>0.026026198042840995</v>
      </c>
      <c r="DF114" s="5">
        <f>IF(CR114="direct",DD114*CX114*C114/365,0)</f>
        <v>0</v>
      </c>
      <c r="DG114" s="5">
        <f>DE114-DF114</f>
        <v>0.026026198042840995</v>
      </c>
      <c r="DH114" s="4">
        <v>0.026026198042840995</v>
      </c>
      <c r="DI114" s="5">
        <f>DH114-DG114</f>
        <v>0</v>
      </c>
      <c r="DJ114" s="4">
        <v>-0.026026198042840995</v>
      </c>
      <c r="DK114" s="4">
        <v>0</v>
      </c>
      <c r="DL114" s="4">
        <v>1.578</v>
      </c>
      <c r="DM114" s="4">
        <v>1.603</v>
      </c>
      <c r="DN114" s="6">
        <v>-0.011406844106463865</v>
      </c>
      <c r="DO114" s="6">
        <v>0.06550000000000002</v>
      </c>
      <c r="DP114" s="6">
        <v>0.16704873411851978</v>
      </c>
      <c r="DQ114" s="9">
        <v>41</v>
      </c>
      <c r="DR114" s="7">
        <f>IFERROR(DG114/F114,0)</f>
        <v>0.021794871794871717</v>
      </c>
      <c r="DS114" t="inlineStr">
        <is>
          <t xml:space="preserve">Lease cash / margin / financing</t>
        </is>
      </c>
      <c r="DT114" t="inlineStr">
        <is>
          <t xml:space="preserve">cash</t>
        </is>
      </c>
      <c r="DU114" t="inlineStr">
        <is>
          <t xml:space="preserve">lease</t>
        </is>
      </c>
      <c r="DV114" t="inlineStr">
        <is>
          <t xml:space="preserve">cash</t>
        </is>
      </c>
      <c r="DW114"/>
      <c r="DX114" s="4">
        <v>1</v>
      </c>
      <c r="DY114" s="4">
        <v>1</v>
      </c>
      <c r="DZ114" s="6"/>
      <c r="EA114" s="4">
        <v>4.440892098500626e-16</v>
      </c>
      <c r="EB114" s="5">
        <f>IF(DT114="direct",IFERROR(EH114/DY114,0),0)</f>
        <v>0</v>
      </c>
      <c r="EC114" s="5">
        <f>IF(DT114="direct",EA114-EB114,IF(DT114="cash",EM114,EA114))</f>
        <v>0.02602619804284175</v>
      </c>
      <c r="ED114" s="6"/>
      <c r="EE114" s="4">
        <v>4.440892098500626e-16</v>
      </c>
      <c r="EF114" s="4">
        <v>4.440892098500626e-16</v>
      </c>
      <c r="EG114" s="5">
        <f>IF(DT114="direct",EA114*(DY114-DX114),EJ114)</f>
        <v>0</v>
      </c>
      <c r="EH114" s="5">
        <f>IF(DT114="direct",EF114*DZ114*C114/365,0)</f>
        <v>0</v>
      </c>
      <c r="EI114" s="5">
        <f>EG114-EH114</f>
        <v>0</v>
      </c>
      <c r="EJ114" s="4">
        <v>0</v>
      </c>
      <c r="EK114" s="5">
        <f>EJ114-EI114</f>
        <v>0</v>
      </c>
      <c r="EL114" s="4">
        <v>0.026026198042841307</v>
      </c>
      <c r="EM114" s="4">
        <v>0.02602619804284175</v>
      </c>
      <c r="EN114" s="4">
        <v>1.578</v>
      </c>
      <c r="EO114" s="4">
        <v>1.603</v>
      </c>
      <c r="EP114" s="6"/>
      <c r="EQ114" s="6"/>
      <c r="ER114" s="6"/>
      <c r="ES114" s="9"/>
      <c r="ET114" s="7">
        <f>IFERROR(EI114/F114,0)</f>
        <v>0</v>
      </c>
      <c r="EU114" t="inlineStr">
        <is>
          <t xml:space="preserve">Keep cash / margin / financing</t>
        </is>
      </c>
      <c r="EV114" t="inlineStr">
        <is>
          <t xml:space="preserve">cash</t>
        </is>
      </c>
      <c r="EW114" t="inlineStr">
        <is>
          <t xml:space="preserve">keep</t>
        </is>
      </c>
      <c r="EX114" t="inlineStr">
        <is>
          <t xml:space="preserve">cash</t>
        </is>
      </c>
      <c r="EY114"/>
      <c r="EZ114" s="4">
        <v>1</v>
      </c>
      <c r="FA114" s="4">
        <v>1</v>
      </c>
      <c r="FB114" s="6"/>
      <c r="FC114" s="4">
        <v>0</v>
      </c>
      <c r="FD114" s="5">
        <f>IF(EV114="direct",IFERROR(FJ114/FA114,0),0)</f>
        <v>0</v>
      </c>
      <c r="FE114" s="5">
        <f>IF(EV114="direct",FC114-FD114,IF(EV114="cash",FO114,FC114))</f>
        <v>0</v>
      </c>
      <c r="FF114" s="6"/>
      <c r="FG114" s="4">
        <v>0</v>
      </c>
      <c r="FH114" s="4">
        <v>0</v>
      </c>
      <c r="FI114" s="5">
        <f>IF(EV114="direct",FC114*(FA114-EZ114),FL114)</f>
        <v>0</v>
      </c>
      <c r="FJ114" s="5">
        <f>IF(EV114="direct",FH114*FB114*C114/365,0)</f>
        <v>0</v>
      </c>
      <c r="FK114" s="5">
        <f>FI114-FJ114</f>
        <v>0</v>
      </c>
      <c r="FL114" s="4">
        <v>0</v>
      </c>
      <c r="FM114" s="5">
        <f>FL114-FK114</f>
        <v>0</v>
      </c>
      <c r="FN114" s="4">
        <v>0</v>
      </c>
      <c r="FO114" s="4">
        <v>0</v>
      </c>
      <c r="FP114" s="4">
        <v>1.578</v>
      </c>
      <c r="FQ114" s="4">
        <v>1.603</v>
      </c>
      <c r="FR114" s="6"/>
      <c r="FS114" s="6"/>
      <c r="FT114" s="6"/>
      <c r="FU114" s="9"/>
      <c r="FV114" s="7">
        <f>IFERROR(FK114/F114,0)</f>
        <v>0</v>
      </c>
      <c r="FW114"/>
      <c r="FX114"/>
      <c r="FY114"/>
      <c r="FZ114"/>
      <c r="GA114"/>
      <c r="GB114" s="4"/>
      <c r="GC114" s="4"/>
      <c r="GD114" s="6"/>
      <c r="GE114" s="4"/>
      <c r="GF114" s="5">
        <v>0</v>
      </c>
      <c r="GG114" s="5"/>
      <c r="GH114" s="6"/>
      <c r="GI114" s="4"/>
      <c r="GJ114" s="4"/>
      <c r="GK114" s="5">
        <v>0</v>
      </c>
      <c r="GL114" s="5">
        <v>0</v>
      </c>
      <c r="GM114" s="5"/>
      <c r="GN114" s="4"/>
      <c r="GO114" s="5">
        <v>0</v>
      </c>
      <c r="GP114" s="4"/>
      <c r="GQ114" s="4"/>
      <c r="GR114" s="4"/>
      <c r="GS114" s="4"/>
      <c r="GT114" s="6"/>
      <c r="GU114" s="6"/>
      <c r="GV114" s="6"/>
      <c r="GW114" s="9"/>
      <c r="GX114"/>
      <c r="GY114"/>
      <c r="GZ114"/>
      <c r="HA114"/>
      <c r="HB114"/>
      <c r="HC114"/>
      <c r="HD114" s="4"/>
      <c r="HE114" s="4"/>
      <c r="HF114" s="6"/>
      <c r="HG114" s="4"/>
      <c r="HH114" s="5">
        <v>0</v>
      </c>
      <c r="HI114" s="5"/>
      <c r="HJ114" s="6"/>
      <c r="HK114" s="4"/>
      <c r="HL114" s="4"/>
      <c r="HM114" s="5">
        <v>0</v>
      </c>
      <c r="HN114" s="5">
        <v>0</v>
      </c>
      <c r="HO114" s="5"/>
      <c r="HP114" s="4"/>
      <c r="HQ114" s="5">
        <v>0</v>
      </c>
      <c r="HR114" s="4"/>
      <c r="HS114" s="4"/>
      <c r="HT114" s="4"/>
      <c r="HU114" s="4"/>
      <c r="HV114" s="6"/>
      <c r="HW114" s="6"/>
      <c r="HX114" s="6"/>
      <c r="HY114" s="9"/>
      <c r="HZ114"/>
      <c r="IA114"/>
      <c r="IB114"/>
      <c r="IC114"/>
      <c r="ID114"/>
      <c r="IE114"/>
      <c r="IF114" s="4"/>
      <c r="IG114" s="4"/>
      <c r="IH114" s="6"/>
      <c r="II114" s="4"/>
      <c r="IJ114" s="5">
        <v>0</v>
      </c>
      <c r="IK114" s="5"/>
      <c r="IL114" s="6"/>
      <c r="IM114" s="4"/>
      <c r="IN114" s="4"/>
      <c r="IO114" s="5">
        <v>0</v>
      </c>
      <c r="IP114" s="5">
        <v>0</v>
      </c>
      <c r="IQ114" s="5"/>
      <c r="IR114" s="4"/>
      <c r="IS114" s="5">
        <v>0</v>
      </c>
      <c r="IT114" s="4"/>
      <c r="IU114" s="4"/>
      <c r="IV114" s="4"/>
      <c r="IW114" s="4"/>
      <c r="IX114" s="6"/>
      <c r="IY114" s="6"/>
      <c r="IZ114" s="6"/>
      <c r="JA114" s="9"/>
      <c r="JB114"/>
      <c r="JC114"/>
      <c r="JD114"/>
      <c r="JE114"/>
      <c r="JF114"/>
      <c r="JG114"/>
      <c r="JH114" s="4"/>
      <c r="JI114" s="4"/>
      <c r="JJ114" s="6"/>
      <c r="JK114" s="4"/>
      <c r="JL114" s="5">
        <v>0</v>
      </c>
      <c r="JM114" s="5"/>
      <c r="JN114" s="6"/>
      <c r="JO114" s="4"/>
      <c r="JP114" s="4"/>
      <c r="JQ114" s="5">
        <v>0</v>
      </c>
      <c r="JR114" s="5">
        <v>0</v>
      </c>
      <c r="JS114" s="5"/>
      <c r="JT114" s="4"/>
      <c r="JU114" s="5">
        <v>0</v>
      </c>
      <c r="JV114" s="4"/>
      <c r="JW114" s="4"/>
      <c r="JX114" s="4"/>
      <c r="JY114" s="4"/>
      <c r="JZ114" s="6"/>
      <c r="KA114" s="6"/>
      <c r="KB114" s="6"/>
      <c r="KC114" s="9"/>
      <c r="KD114"/>
      <c r="KE114"/>
      <c r="KF114"/>
      <c r="KG114"/>
      <c r="KH114"/>
      <c r="KI114"/>
      <c r="KJ114" s="4"/>
      <c r="KK114" s="4"/>
      <c r="KL114" s="6"/>
      <c r="KM114" s="4"/>
      <c r="KN114" s="5">
        <v>0</v>
      </c>
      <c r="KO114" s="5"/>
      <c r="KP114" s="6"/>
      <c r="KQ114" s="4"/>
      <c r="KR114" s="4"/>
      <c r="KS114" s="5">
        <v>0</v>
      </c>
      <c r="KT114" s="5">
        <v>0</v>
      </c>
      <c r="KU114" s="5"/>
      <c r="KV114" s="4"/>
      <c r="KW114" s="5">
        <v>0</v>
      </c>
      <c r="KX114" s="4"/>
      <c r="KY114" s="4"/>
      <c r="KZ114" s="4"/>
      <c r="LA114" s="4"/>
      <c r="LB114" s="6"/>
      <c r="LC114" s="6"/>
      <c r="LD114" s="6"/>
      <c r="LE114" s="9"/>
      <c r="LF114"/>
      <c r="LG114"/>
      <c r="LH114"/>
      <c r="LI114"/>
      <c r="LJ114"/>
      <c r="LK114"/>
      <c r="LL114" s="4"/>
      <c r="LM114" s="4"/>
      <c r="LN114" s="6"/>
      <c r="LO114" s="4"/>
      <c r="LP114" s="5">
        <v>0</v>
      </c>
      <c r="LQ114" s="5"/>
      <c r="LR114" s="6"/>
      <c r="LS114" s="4"/>
      <c r="LT114" s="4"/>
      <c r="LU114" s="5">
        <v>0</v>
      </c>
      <c r="LV114" s="5">
        <v>0</v>
      </c>
      <c r="LW114" s="5"/>
      <c r="LX114" s="4"/>
      <c r="LY114" s="5">
        <v>0</v>
      </c>
      <c r="LZ114" s="4"/>
      <c r="MA114" s="4"/>
      <c r="MB114" s="4"/>
      <c r="MC114" s="4"/>
      <c r="MD114" s="6"/>
      <c r="ME114" s="6"/>
      <c r="MF114" s="6"/>
      <c r="MG114" s="9"/>
      <c r="MH114"/>
    </row>
    <row r="115">
      <c r="A115" s="8">
        <v>25373</v>
      </c>
      <c r="B115" s="8">
        <v>25374</v>
      </c>
      <c r="C115" s="9">
        <f>B115-A115</f>
        <v>1</v>
      </c>
      <c r="D115" s="8">
        <v>25373</v>
      </c>
      <c r="E115" t="inlineStr">
        <is>
          <t xml:space="preserve">positive</t>
        </is>
      </c>
      <c r="F115" s="4">
        <v>1.2203836938131658</v>
      </c>
      <c r="G115" s="6">
        <v>-0.00969148758113723</v>
      </c>
      <c r="H115" s="7">
        <f>SUM(CP115,DR115,ET115,FV115,GX115,HZ115,JB115,KD115,LF115,MH115)</f>
        <v>-0.00969148758113723</v>
      </c>
      <c r="I115" s="7">
        <f>G115-H115</f>
        <v>0</v>
      </c>
      <c r="J115" s="5">
        <f>F115*(1+H115)</f>
        <v>1.208556360400353</v>
      </c>
      <c r="K115" s="4">
        <v>1.208556360400353</v>
      </c>
      <c r="L115" s="5">
        <f>K115-J115</f>
        <v>0</v>
      </c>
      <c r="M115" s="4">
        <v>1.603</v>
      </c>
      <c r="N115" s="4">
        <v>1.628</v>
      </c>
      <c r="O115" s="5">
        <f>M115/$M$3</f>
        <v>0.8186925434116445</v>
      </c>
      <c r="P115" s="5">
        <f>N115/$M$3</f>
        <v>0.8314606741573033</v>
      </c>
      <c r="Q115" s="7">
        <f>IFERROR(N115/M115-1,0)</f>
        <v>0.015595757953836609</v>
      </c>
      <c r="R115" s="5">
        <f>SUM(IF(BQ115="lease",CB115,0),IF(CS115="lease",DD115,0),IF(DU115="lease",EF115,0),IF(EW115="lease",FH115,0),IF(FY115="lease",GJ115,0),IF(HA115="lease",HL115,0),IF(IC115="lease",IN115,0),IF(JE115="lease",JP115,0),IF(KG115="lease",KR115,0),IF(LI115="lease",LT115,0))</f>
        <v>1.2203836938131665</v>
      </c>
      <c r="S115" s="5">
        <f>SUM(IF(BQ115="lease",CI115,0),IF(CS115="lease",DK115,0),IF(DU115="lease",EM115,0),IF(EW115="lease",FO115,0),IF(FY115="lease",GQ115,0),IF(HA115="lease",HS115,0),IF(IC115="lease",IU115,0),IF(JE115="lease",JW115,0),IF(KG115="lease",KY115,0),IF(LI115="lease",MA115,0))</f>
        <v>1.2085563604003537</v>
      </c>
      <c r="T115" s="5">
        <f>SUM(IF(BQ115="keep",CB115,0),IF(CS115="keep",DD115,0),IF(DU115="keep",EF115,0),IF(EW115="keep",FH115,0),IF(FY115="keep",GJ115,0),IF(HA115="keep",HL115,0),IF(IC115="keep",IN115,0),IF(JE115="keep",JP115,0),IF(KG115="keep",KR115,0),IF(LI115="keep",LT115,0))</f>
        <v>0</v>
      </c>
      <c r="U115" s="5">
        <f>SUM(IF(BQ115="keep",CI115,0),IF(CS115="keep",DK115,0),IF(DU115="keep",EM115,0),IF(EW115="keep",FO115,0),IF(FY115="keep",GQ115,0),IF(HA115="keep",HS115,0),IF(IC115="keep",IU115,0),IF(JE115="keep",JW115,0),IF(KG115="keep",KY115,0),IF(LI115="keep",MA115,0))</f>
        <v>0</v>
      </c>
      <c r="V115" s="5">
        <f>R115/O115</f>
        <v>1.490649577346338</v>
      </c>
      <c r="W115" s="5">
        <f>S115/P115</f>
        <v>1.4535340010220472</v>
      </c>
      <c r="X115" s="5">
        <f>T115/O115</f>
        <v>0</v>
      </c>
      <c r="Y115" s="5">
        <f>U115/P115</f>
        <v>0</v>
      </c>
      <c r="Z115" s="5">
        <f>V115+X115</f>
        <v>1.490649577346338</v>
      </c>
      <c r="AA115" s="7">
        <f>IFERROR(W115/V115-1,0)</f>
        <v>-0.02489892788240955</v>
      </c>
      <c r="AB115" s="7">
        <f>IFERROR((W115-V115)/Z115,0)</f>
        <v>-0.02489892788240955</v>
      </c>
      <c r="AC115" s="7">
        <f>IFERROR(Y115/X115-1,0)</f>
        <v>0</v>
      </c>
      <c r="AD115" s="7">
        <f>IFERROR((Y115-X115)/Z115,0)</f>
        <v>0</v>
      </c>
      <c r="AE115" s="7">
        <f>AB115+AD115</f>
        <v>-0.02489892788240955</v>
      </c>
      <c r="AF115" s="7">
        <f>(1+Q115)*(1+AE115)-1</f>
        <v>-0.009691487581137026</v>
      </c>
      <c r="AG115" s="7">
        <f>G115-AF115</f>
        <v>-2.0469737016526324e-16</v>
      </c>
      <c r="AH115" s="5">
        <f>SUM(IF(BQ115="lease",CE115,0),IF(CS115="lease",DG115,0),IF(DU115="lease",EI115,0),IF(EW115="lease",FK115,0),IF(FY115="lease",GM115,0),IF(HA115="lease",HO115,0),IF(IC115="lease",IQ115,0),IF(JE115="lease",JS115,0),IF(KG115="lease",KU115,0),IF(LI115="lease",LW115,0))</f>
        <v>-0.011827333412812677</v>
      </c>
      <c r="AI115" s="5">
        <f>SUM(IF(BQ115="keep",CE115,0),IF(CS115="keep",DG115,0),IF(DU115="keep",EI115,0),IF(EW115="keep",FK115,0),IF(FY115="keep",GM115,0),IF(HA115="keep",HO115,0),IF(IC115="keep",IQ115,0),IF(JE115="keep",JS115,0),IF(KG115="keep",KU115,0),IF(LI115="keep",LW115,0))</f>
        <v>0</v>
      </c>
      <c r="AJ115" s="5">
        <f>SUM(IF(BQ115="lease",CH115,0),IF(CS115="lease",DJ115,0),IF(DU115="lease",EL115,0),IF(EW115="lease",FN115,0),IF(FY115="lease",GP115,0),IF(HA115="lease",HR115,0),IF(IC115="lease",IT115,0),IF(JE115="lease",JV115,0),IF(KG115="lease",KX115,0),IF(LI115="lease",LZ115,0))</f>
        <v>0</v>
      </c>
      <c r="AK115" s="5">
        <f>SUM(IF(BQ115="keep",CH115,0),IF(CS115="keep",DJ115,0),IF(DU115="keep",EL115,0),IF(EW115="keep",FN115,0),IF(FY115="keep",GP115,0),IF(HA115="keep",HR115,0),IF(IC115="keep",IT115,0),IF(JE115="keep",JV115,0),IF(KG115="keep",KX115,0),IF(LI115="keep",LZ115,0))</f>
        <v>0</v>
      </c>
      <c r="AL115" s="5">
        <f>R115-S114</f>
        <v>0</v>
      </c>
      <c r="AM115" s="5">
        <f>T115-U114</f>
        <v>0</v>
      </c>
      <c r="AN115" s="5">
        <f>AN114</f>
        <v>1</v>
      </c>
      <c r="AO115" s="5">
        <f>AO114+AH115</f>
        <v>0.20855636040035389</v>
      </c>
      <c r="AP115" s="5">
        <f>AP114+AL115</f>
        <v>-4.440892098500626e-16</v>
      </c>
      <c r="AQ115" s="5">
        <f>AN115+AO115+AP115</f>
        <v>1.2085563604003535</v>
      </c>
      <c r="AR115" s="5">
        <f>S115-AQ115</f>
        <v>2.220446049250313e-16</v>
      </c>
      <c r="AS115" s="5">
        <f>AS114</f>
        <v>0</v>
      </c>
      <c r="AT115" s="5">
        <f>AT114+AI115</f>
        <v>0</v>
      </c>
      <c r="AU115" s="5">
        <f>AU114+AM115</f>
        <v>0</v>
      </c>
      <c r="AV115" s="5">
        <f>AS115+AT115+AU115</f>
        <v>0</v>
      </c>
      <c r="AW115" s="5">
        <f>U115-AV115</f>
        <v>0</v>
      </c>
      <c r="AX115" s="4">
        <v>1.2203836938131665</v>
      </c>
      <c r="AY115" s="4">
        <v>1.2085563604003537</v>
      </c>
      <c r="AZ115" s="5">
        <f>S115-AY115</f>
        <v>0</v>
      </c>
      <c r="BA115" s="4">
        <v>0</v>
      </c>
      <c r="BB115" s="4">
        <v>0</v>
      </c>
      <c r="BC115" s="5">
        <f>U115-BB115</f>
        <v>0</v>
      </c>
      <c r="BD115" s="7">
        <f>SUM(IF(BP115="direct",CC115/F115,0),IF(CR115="direct",DE115/F115,0),IF(DT115="direct",EG115/F115,0),IF(EV115="direct",FI115/F115,0),IF(FX115="direct",GK115/F115,0),IF(GZ115="direct",HM115/F115,0),IF(IB115="direct",IO115/F115,0),IF(JD115="direct",JQ115/F115,0),IF(KF115="direct",KS115/F115,0),IF(LH115="direct",LU115/F115,0))</f>
        <v>0.00340693856536152</v>
      </c>
      <c r="BE115" s="7">
        <f>-SUM(IF(BP115="direct",CD115/F115,0),IF(CR115="direct",DF115/F115,0),IF(DT115="direct",EH115/F115,0),IF(EV115="direct",FJ115/F115,0),IF(FX115="direct",GL115/F115,0),IF(GZ115="direct",HN115/F115,0),IF(IB115="direct",IP115/F115,0),IF(JD115="direct",JR115/F115,0),IF(KF115="direct",KT115/F115,0),IF(LH115="direct",LV115/F115,0))</f>
        <v>-0.000001496252745280695</v>
      </c>
      <c r="BF115" s="7">
        <f>BD115+BE115</f>
        <v>0.0034054423126162396</v>
      </c>
      <c r="BG115" s="7">
        <f>BF115-SUM(IF(BP115="direct",CP115,0),IF(CR115="direct",DR115,0),IF(DT115="direct",ET115,0),IF(EV115="direct",FV115,0),IF(FX115="direct",GX115,0),IF(GZ115="direct",HZ115,0),IF(IB115="direct",JB115,0),IF(JD115="direct",KD115,0),IF(KF115="direct",LF115,0),IF(LH115="direct",MH115,0))</f>
        <v>-2.3852447794681098e-17</v>
      </c>
      <c r="BH115" s="7">
        <f>SUM(IF(BP115="treasury",CP115,0),IF(CR115="treasury",DR115,0),IF(DT115="treasury",ET115,0),IF(EV115="treasury",FV115,0),IF(FX115="treasury",GX115,0),IF(GZ115="treasury",HZ115,0),IF(IB115="treasury",JB115,0),IF(JD115="treasury",KD115,0),IF(KF115="treasury",LF115,0),IF(LH115="treasury",MH115,0))</f>
        <v>0.00014132084533280886</v>
      </c>
      <c r="BI115" s="7">
        <f>SUM(IF(BP115="future",CP115,0),IF(CR115="future",DR115,0),IF(DT115="future",ET115,0),IF(EV115="future",FV115,0),IF(FX115="future",GX115,0),IF(GZ115="future",HZ115,0),IF(IB115="future",JB115,0),IF(JD115="future",KD115,0),IF(KF115="future",LF115,0),IF(LH115="future",MH115,0))</f>
        <v>-0.013238250739086303</v>
      </c>
      <c r="BJ115" s="7">
        <f>SUM(IF(BP115="cash",CP115,0),IF(CR115="cash",DR115,0),IF(DT115="cash",ET115,0),IF(EV115="cash",FV115,0),IF(FX115="cash",GX115,0),IF(GZ115="cash",HZ115,0),IF(IB115="cash",JB115,0),IF(JD115="cash",KD115,0),IF(KF115="cash",LF115,0),IF(LH115="cash",MH115,0))</f>
        <v>0</v>
      </c>
      <c r="BK115" s="7">
        <f>SUM(BF115,BH115,BI115,BJ115)</f>
        <v>-0.00969148758113723</v>
      </c>
      <c r="BL115" s="7">
        <f>G115-BK115</f>
        <v>0</v>
      </c>
      <c r="BM115" s="5">
        <f>MAX(ABS(CG115),ABS(DI115),ABS(EK115),ABS(FM115),ABS(GO115),ABS(HQ115),ABS(IS115),ABS(JU115),ABS(KW115),ABS(LY115))</f>
        <v>4.96564594998361e-17</v>
      </c>
      <c r="BN115" s="9">
        <f>COUNTA(BO115,CQ115,DS115,EU115,FW115,GY115,IA115,JC115,KE115,LG115)</f>
        <v>5</v>
      </c>
      <c r="BO115" t="inlineStr">
        <is>
          <t xml:space="preserve">Direct commodity holding</t>
        </is>
      </c>
      <c r="BP115" t="inlineStr">
        <is>
          <t xml:space="preserve">direct</t>
        </is>
      </c>
      <c r="BQ115" t="inlineStr">
        <is>
          <t xml:space="preserve">lease</t>
        </is>
      </c>
      <c r="BR115" t="inlineStr">
        <is>
          <t xml:space="preserve">long</t>
        </is>
      </c>
      <c r="BS115"/>
      <c r="BT115" s="4">
        <v>1.603</v>
      </c>
      <c r="BU115" s="4">
        <v>1.628</v>
      </c>
      <c r="BV115" s="6">
        <v>0.0025</v>
      </c>
      <c r="BW115" s="4">
        <v>0.1663108908396174</v>
      </c>
      <c r="BX115" s="5">
        <f>IF(BP115="direct",IFERROR(CD115/BU115,0),0)</f>
        <v>0.0000011216231278647081</v>
      </c>
      <c r="BY115" s="5">
        <f>IF(BP115="direct",BW115-BX115,IF(BP115="cash",CI115,BW115))</f>
        <v>0.16630976921648952</v>
      </c>
      <c r="BZ115" s="6">
        <v>0.21845290081098145</v>
      </c>
      <c r="CA115" s="4">
        <v>0.2665963580159067</v>
      </c>
      <c r="CB115" s="4">
        <v>0.2665963580159067</v>
      </c>
      <c r="CC115" s="5">
        <f>IF(BP115="direct",BW115*(BU115-BT115),CF115)</f>
        <v>0.00415777227099042</v>
      </c>
      <c r="CD115" s="5">
        <f>IF(BP115="direct",CB115*BV115*C115/365,0)</f>
        <v>0.0000018260024521637446</v>
      </c>
      <c r="CE115" s="5">
        <f>CC115-CD115</f>
        <v>0.004155946268538285</v>
      </c>
      <c r="CF115" s="4">
        <v>0.004155946268538285</v>
      </c>
      <c r="CG115" s="5">
        <f>CF115-CE115</f>
        <v>2.8984196905621276e-17</v>
      </c>
      <c r="CH115" s="4">
        <v>0</v>
      </c>
      <c r="CI115" s="4">
        <v>0.2707523042844449</v>
      </c>
      <c r="CJ115" s="4">
        <v>1.603</v>
      </c>
      <c r="CK115" s="4">
        <v>1.628</v>
      </c>
      <c r="CL115" s="6"/>
      <c r="CM115" s="6"/>
      <c r="CN115" s="6"/>
      <c r="CO115" s="9"/>
      <c r="CP115" s="7">
        <f>IFERROR(CE115/F115,0)</f>
        <v>0.0034054423126162634</v>
      </c>
      <c r="CQ115" t="inlineStr">
        <is>
          <t xml:space="preserve">Treasury collateral</t>
        </is>
      </c>
      <c r="CR115" t="inlineStr">
        <is>
          <t xml:space="preserve">treasury</t>
        </is>
      </c>
      <c r="CS115" t="inlineStr">
        <is>
          <t xml:space="preserve">lease</t>
        </is>
      </c>
      <c r="CT115" t="inlineStr">
        <is>
          <t xml:space="preserve">long</t>
        </is>
      </c>
      <c r="CU115"/>
      <c r="CV115" s="4">
        <v>102.85959294610647</v>
      </c>
      <c r="CW115" s="4">
        <v>102.87819221496797</v>
      </c>
      <c r="CX115" s="6"/>
      <c r="CY115" s="4">
        <v>0.009272711552504377</v>
      </c>
      <c r="CZ115" s="5">
        <f>IF(CR115="direct",IFERROR(DF115/CW115,0),0)</f>
        <v>0</v>
      </c>
      <c r="DA115" s="5">
        <f>IF(CR115="direct",CY115-CZ115,IF(CR115="cash",DK115,CY115))</f>
        <v>0.009272711552504377</v>
      </c>
      <c r="DB115" s="6">
        <v>0.7815470991890185</v>
      </c>
      <c r="DC115" s="4">
        <v>0.9537873357972592</v>
      </c>
      <c r="DD115" s="4">
        <v>0.9537873357972592</v>
      </c>
      <c r="DE115" s="5">
        <f>IF(CR115="direct",CY115*(CW115-CV115),DH115)</f>
        <v>0.00017246565524010201</v>
      </c>
      <c r="DF115" s="5">
        <f>IF(CR115="direct",DD115*CX115*C115/365,0)</f>
        <v>0</v>
      </c>
      <c r="DG115" s="5">
        <f>DE115-DF115</f>
        <v>0.00017246565524005236</v>
      </c>
      <c r="DH115" s="4">
        <v>0.00017246565524005236</v>
      </c>
      <c r="DI115" s="5">
        <f>DH115-DG115</f>
        <v>-4.96564594998361e-17</v>
      </c>
      <c r="DJ115" s="4">
        <v>4.2582040324368187e-17</v>
      </c>
      <c r="DK115" s="4">
        <v>0.9539598014524993</v>
      </c>
      <c r="DL115" s="4">
        <v>1.603</v>
      </c>
      <c r="DM115" s="4">
        <v>1.628</v>
      </c>
      <c r="DN115" s="6"/>
      <c r="DO115" s="6"/>
      <c r="DP115" s="6"/>
      <c r="DQ115" s="9">
        <v>40</v>
      </c>
      <c r="DR115" s="7">
        <f>IFERROR(DG115/F115,0)</f>
        <v>0.00014132084533280886</v>
      </c>
      <c r="DS115" t="inlineStr">
        <is>
          <t xml:space="preserve">SI69N</t>
        </is>
      </c>
      <c r="DT115" t="inlineStr">
        <is>
          <t xml:space="preserve">future</t>
        </is>
      </c>
      <c r="DU115" t="inlineStr">
        <is>
          <t xml:space="preserve">lease</t>
        </is>
      </c>
      <c r="DV115" t="inlineStr">
        <is>
          <t xml:space="preserve">long</t>
        </is>
      </c>
      <c r="DW115" t="inlineStr">
        <is>
          <t xml:space="preserve">regular</t>
        </is>
      </c>
      <c r="DX115" s="4">
        <v>1.594</v>
      </c>
      <c r="DY115" s="4">
        <v>1.567</v>
      </c>
      <c r="DZ115" s="6"/>
      <c r="EA115" s="4">
        <v>0.5983609383922579</v>
      </c>
      <c r="EB115" s="5">
        <f>IF(DT115="direct",IFERROR(EH115/DY115,0),0)</f>
        <v>0</v>
      </c>
      <c r="EC115" s="5">
        <f>IF(DT115="direct",EA115-EB115,IF(DT115="cash",EM115,EA115))</f>
        <v>0.5983609383922579</v>
      </c>
      <c r="ED115" s="6">
        <v>0.7815470991890185</v>
      </c>
      <c r="EE115" s="4">
        <v>0.9537873357972592</v>
      </c>
      <c r="EF115" s="4">
        <v>0</v>
      </c>
      <c r="EG115" s="5">
        <f>IF(DT115="direct",EA115*(DY115-DX115),EJ115)</f>
        <v>-0.016155745336591015</v>
      </c>
      <c r="EH115" s="5">
        <f>IF(DT115="direct",EF115*DZ115*C115/365,0)</f>
        <v>0</v>
      </c>
      <c r="EI115" s="5">
        <f>EG115-EH115</f>
        <v>-0.016155745336591015</v>
      </c>
      <c r="EJ115" s="4">
        <v>-0.016155745336591015</v>
      </c>
      <c r="EK115" s="5">
        <f>EJ115-EI115</f>
        <v>0</v>
      </c>
      <c r="EL115" s="4">
        <v>0.016155745336591015</v>
      </c>
      <c r="EM115" s="4">
        <v>0</v>
      </c>
      <c r="EN115" s="4">
        <v>1.603</v>
      </c>
      <c r="EO115" s="4">
        <v>1.628</v>
      </c>
      <c r="EP115" s="6">
        <v>-0.005614472863381126</v>
      </c>
      <c r="EQ115" s="6">
        <v>0.066</v>
      </c>
      <c r="ER115" s="6">
        <v>0.11723206487835278</v>
      </c>
      <c r="ES115" s="9">
        <v>40</v>
      </c>
      <c r="ET115" s="7">
        <f>IFERROR(EI115/F115,0)</f>
        <v>-0.013238250739086303</v>
      </c>
      <c r="EU115" t="inlineStr">
        <is>
          <t xml:space="preserve">Lease cash / margin / financing</t>
        </is>
      </c>
      <c r="EV115" t="inlineStr">
        <is>
          <t xml:space="preserve">cash</t>
        </is>
      </c>
      <c r="EW115" t="inlineStr">
        <is>
          <t xml:space="preserve">lease</t>
        </is>
      </c>
      <c r="EX115" t="inlineStr">
        <is>
          <t xml:space="preserve">cash</t>
        </is>
      </c>
      <c r="EY115"/>
      <c r="EZ115" s="4">
        <v>1</v>
      </c>
      <c r="FA115" s="4">
        <v>1</v>
      </c>
      <c r="FB115" s="6"/>
      <c r="FC115" s="4">
        <v>6.661338147750939e-16</v>
      </c>
      <c r="FD115" s="5">
        <f>IF(EV115="direct",IFERROR(FJ115/FA115,0),0)</f>
        <v>0</v>
      </c>
      <c r="FE115" s="5">
        <f>IF(EV115="direct",FC115-FD115,IF(EV115="cash",FO115,FC115))</f>
        <v>-0.01615574533659039</v>
      </c>
      <c r="FF115" s="6"/>
      <c r="FG115" s="4">
        <v>6.661338147750939e-16</v>
      </c>
      <c r="FH115" s="4">
        <v>6.661338147750939e-16</v>
      </c>
      <c r="FI115" s="5">
        <f>IF(EV115="direct",FC115*(FA115-EZ115),FL115)</f>
        <v>0</v>
      </c>
      <c r="FJ115" s="5">
        <f>IF(EV115="direct",FH115*FB115*C115/365,0)</f>
        <v>0</v>
      </c>
      <c r="FK115" s="5">
        <f>FI115-FJ115</f>
        <v>0</v>
      </c>
      <c r="FL115" s="4">
        <v>0</v>
      </c>
      <c r="FM115" s="5">
        <f>FL115-FK115</f>
        <v>0</v>
      </c>
      <c r="FN115" s="4">
        <v>-0.016155745336591056</v>
      </c>
      <c r="FO115" s="4">
        <v>-0.01615574533659039</v>
      </c>
      <c r="FP115" s="4">
        <v>1.603</v>
      </c>
      <c r="FQ115" s="4">
        <v>1.628</v>
      </c>
      <c r="FR115" s="6"/>
      <c r="FS115" s="6"/>
      <c r="FT115" s="6"/>
      <c r="FU115" s="9"/>
      <c r="FV115" s="7">
        <f>IFERROR(FK115/F115,0)</f>
        <v>0</v>
      </c>
      <c r="FW115" t="inlineStr">
        <is>
          <t xml:space="preserve">Keep cash / margin / financing</t>
        </is>
      </c>
      <c r="FX115" t="inlineStr">
        <is>
          <t xml:space="preserve">cash</t>
        </is>
      </c>
      <c r="FY115" t="inlineStr">
        <is>
          <t xml:space="preserve">keep</t>
        </is>
      </c>
      <c r="FZ115" t="inlineStr">
        <is>
          <t xml:space="preserve">cash</t>
        </is>
      </c>
      <c r="GA115"/>
      <c r="GB115" s="4">
        <v>1</v>
      </c>
      <c r="GC115" s="4">
        <v>1</v>
      </c>
      <c r="GD115" s="6"/>
      <c r="GE115" s="4">
        <v>0</v>
      </c>
      <c r="GF115" s="5">
        <f>IF(FX115="direct",IFERROR(GL115/GC115,0),0)</f>
        <v>0</v>
      </c>
      <c r="GG115" s="5">
        <f>IF(FX115="direct",GE115-GF115,IF(FX115="cash",GQ115,GE115))</f>
        <v>0</v>
      </c>
      <c r="GH115" s="6"/>
      <c r="GI115" s="4">
        <v>0</v>
      </c>
      <c r="GJ115" s="4">
        <v>0</v>
      </c>
      <c r="GK115" s="5">
        <f>IF(FX115="direct",GE115*(GC115-GB115),GN115)</f>
        <v>0</v>
      </c>
      <c r="GL115" s="5">
        <f>IF(FX115="direct",GJ115*GD115*C115/365,0)</f>
        <v>0</v>
      </c>
      <c r="GM115" s="5">
        <f>GK115-GL115</f>
        <v>0</v>
      </c>
      <c r="GN115" s="4">
        <v>0</v>
      </c>
      <c r="GO115" s="5">
        <f>GN115-GM115</f>
        <v>0</v>
      </c>
      <c r="GP115" s="4">
        <v>0</v>
      </c>
      <c r="GQ115" s="4">
        <v>0</v>
      </c>
      <c r="GR115" s="4">
        <v>1.603</v>
      </c>
      <c r="GS115" s="4">
        <v>1.628</v>
      </c>
      <c r="GT115" s="6"/>
      <c r="GU115" s="6"/>
      <c r="GV115" s="6"/>
      <c r="GW115" s="9"/>
      <c r="GX115" s="7">
        <f>IFERROR(GM115/F115,0)</f>
        <v>0</v>
      </c>
      <c r="GY115"/>
      <c r="GZ115"/>
      <c r="HA115"/>
      <c r="HB115"/>
      <c r="HC115"/>
      <c r="HD115" s="4"/>
      <c r="HE115" s="4"/>
      <c r="HF115" s="6"/>
      <c r="HG115" s="4"/>
      <c r="HH115" s="5">
        <v>0</v>
      </c>
      <c r="HI115" s="5"/>
      <c r="HJ115" s="6"/>
      <c r="HK115" s="4"/>
      <c r="HL115" s="4"/>
      <c r="HM115" s="5">
        <v>0</v>
      </c>
      <c r="HN115" s="5">
        <v>0</v>
      </c>
      <c r="HO115" s="5"/>
      <c r="HP115" s="4"/>
      <c r="HQ115" s="5">
        <v>0</v>
      </c>
      <c r="HR115" s="4"/>
      <c r="HS115" s="4"/>
      <c r="HT115" s="4"/>
      <c r="HU115" s="4"/>
      <c r="HV115" s="6"/>
      <c r="HW115" s="6"/>
      <c r="HX115" s="6"/>
      <c r="HY115" s="9"/>
      <c r="HZ115"/>
      <c r="IA115"/>
      <c r="IB115"/>
      <c r="IC115"/>
      <c r="ID115"/>
      <c r="IE115"/>
      <c r="IF115" s="4"/>
      <c r="IG115" s="4"/>
      <c r="IH115" s="6"/>
      <c r="II115" s="4"/>
      <c r="IJ115" s="5">
        <v>0</v>
      </c>
      <c r="IK115" s="5"/>
      <c r="IL115" s="6"/>
      <c r="IM115" s="4"/>
      <c r="IN115" s="4"/>
      <c r="IO115" s="5">
        <v>0</v>
      </c>
      <c r="IP115" s="5">
        <v>0</v>
      </c>
      <c r="IQ115" s="5"/>
      <c r="IR115" s="4"/>
      <c r="IS115" s="5">
        <v>0</v>
      </c>
      <c r="IT115" s="4"/>
      <c r="IU115" s="4"/>
      <c r="IV115" s="4"/>
      <c r="IW115" s="4"/>
      <c r="IX115" s="6"/>
      <c r="IY115" s="6"/>
      <c r="IZ115" s="6"/>
      <c r="JA115" s="9"/>
      <c r="JB115"/>
      <c r="JC115"/>
      <c r="JD115"/>
      <c r="JE115"/>
      <c r="JF115"/>
      <c r="JG115"/>
      <c r="JH115" s="4"/>
      <c r="JI115" s="4"/>
      <c r="JJ115" s="6"/>
      <c r="JK115" s="4"/>
      <c r="JL115" s="5">
        <v>0</v>
      </c>
      <c r="JM115" s="5"/>
      <c r="JN115" s="6"/>
      <c r="JO115" s="4"/>
      <c r="JP115" s="4"/>
      <c r="JQ115" s="5">
        <v>0</v>
      </c>
      <c r="JR115" s="5">
        <v>0</v>
      </c>
      <c r="JS115" s="5"/>
      <c r="JT115" s="4"/>
      <c r="JU115" s="5">
        <v>0</v>
      </c>
      <c r="JV115" s="4"/>
      <c r="JW115" s="4"/>
      <c r="JX115" s="4"/>
      <c r="JY115" s="4"/>
      <c r="JZ115" s="6"/>
      <c r="KA115" s="6"/>
      <c r="KB115" s="6"/>
      <c r="KC115" s="9"/>
      <c r="KD115"/>
      <c r="KE115"/>
      <c r="KF115"/>
      <c r="KG115"/>
      <c r="KH115"/>
      <c r="KI115"/>
      <c r="KJ115" s="4"/>
      <c r="KK115" s="4"/>
      <c r="KL115" s="6"/>
      <c r="KM115" s="4"/>
      <c r="KN115" s="5">
        <v>0</v>
      </c>
      <c r="KO115" s="5"/>
      <c r="KP115" s="6"/>
      <c r="KQ115" s="4"/>
      <c r="KR115" s="4"/>
      <c r="KS115" s="5">
        <v>0</v>
      </c>
      <c r="KT115" s="5">
        <v>0</v>
      </c>
      <c r="KU115" s="5"/>
      <c r="KV115" s="4"/>
      <c r="KW115" s="5">
        <v>0</v>
      </c>
      <c r="KX115" s="4"/>
      <c r="KY115" s="4"/>
      <c r="KZ115" s="4"/>
      <c r="LA115" s="4"/>
      <c r="LB115" s="6"/>
      <c r="LC115" s="6"/>
      <c r="LD115" s="6"/>
      <c r="LE115" s="9"/>
      <c r="LF115"/>
      <c r="LG115"/>
      <c r="LH115"/>
      <c r="LI115"/>
      <c r="LJ115"/>
      <c r="LK115"/>
      <c r="LL115" s="4"/>
      <c r="LM115" s="4"/>
      <c r="LN115" s="6"/>
      <c r="LO115" s="4"/>
      <c r="LP115" s="5">
        <v>0</v>
      </c>
      <c r="LQ115" s="5"/>
      <c r="LR115" s="6"/>
      <c r="LS115" s="4"/>
      <c r="LT115" s="4"/>
      <c r="LU115" s="5">
        <v>0</v>
      </c>
      <c r="LV115" s="5">
        <v>0</v>
      </c>
      <c r="LW115" s="5"/>
      <c r="LX115" s="4"/>
      <c r="LY115" s="5">
        <v>0</v>
      </c>
      <c r="LZ115" s="4"/>
      <c r="MA115" s="4"/>
      <c r="MB115" s="4"/>
      <c r="MC115" s="4"/>
      <c r="MD115" s="6"/>
      <c r="ME115" s="6"/>
      <c r="MF115" s="6"/>
      <c r="MG115" s="9"/>
      <c r="MH115"/>
    </row>
    <row r="116">
      <c r="A116" s="8">
        <v>25374</v>
      </c>
      <c r="B116" s="8">
        <v>25377</v>
      </c>
      <c r="C116" s="9">
        <f>B116-A116</f>
        <v>3</v>
      </c>
      <c r="D116" s="8">
        <v>25374</v>
      </c>
      <c r="E116" t="inlineStr">
        <is>
          <t xml:space="preserve">positive</t>
        </is>
      </c>
      <c r="F116" s="4">
        <v>1.208556360400353</v>
      </c>
      <c r="G116" s="6">
        <v>0.0024503766904739746</v>
      </c>
      <c r="H116" s="7">
        <f>SUM(CP116,DR116,ET116,FV116,GX116,HZ116,JB116,KD116,LF116,MH116)</f>
        <v>0.0024503766904739746</v>
      </c>
      <c r="I116" s="7">
        <f>G116-H116</f>
        <v>0</v>
      </c>
      <c r="J116" s="5">
        <f>F116*(1+H116)</f>
        <v>1.2115177787350022</v>
      </c>
      <c r="K116" s="4">
        <v>1.2115177787350022</v>
      </c>
      <c r="L116" s="5">
        <f>K116-J116</f>
        <v>0</v>
      </c>
      <c r="M116" s="4">
        <v>1.628</v>
      </c>
      <c r="N116" s="4">
        <v>1.566</v>
      </c>
      <c r="O116" s="5">
        <f>M116/$M$3</f>
        <v>0.8314606741573033</v>
      </c>
      <c r="P116" s="5">
        <f>N116/$M$3</f>
        <v>0.7997957099080695</v>
      </c>
      <c r="Q116" s="7">
        <f>IFERROR(N116/M116-1,0)</f>
        <v>-0.03808353808353804</v>
      </c>
      <c r="R116" s="5">
        <f>SUM(IF(BQ116="lease",CB116,0),IF(CS116="lease",DD116,0),IF(DU116="lease",EF116,0),IF(EW116="lease",FH116,0),IF(FY116="lease",GJ116,0),IF(HA116="lease",HL116,0),IF(IC116="lease",IN116,0),IF(JE116="lease",JP116,0),IF(KG116="lease",KR116,0),IF(LI116="lease",LT116,0))</f>
        <v>1.2085563604003537</v>
      </c>
      <c r="S116" s="5">
        <f>SUM(IF(BQ116="lease",CI116,0),IF(CS116="lease",DK116,0),IF(DU116="lease",EM116,0),IF(EW116="lease",FO116,0),IF(FY116="lease",GQ116,0),IF(HA116="lease",HS116,0),IF(IC116="lease",IU116,0),IF(JE116="lease",JW116,0),IF(KG116="lease",KY116,0),IF(LI116="lease",MA116,0))</f>
        <v>1.2115177787350029</v>
      </c>
      <c r="T116" s="5">
        <f>SUM(IF(BQ116="keep",CB116,0),IF(CS116="keep",DD116,0),IF(DU116="keep",EF116,0),IF(EW116="keep",FH116,0),IF(FY116="keep",GJ116,0),IF(HA116="keep",HL116,0),IF(IC116="keep",IN116,0),IF(JE116="keep",JP116,0),IF(KG116="keep",KR116,0),IF(LI116="keep",LT116,0))</f>
        <v>0</v>
      </c>
      <c r="U116" s="5">
        <f>SUM(IF(BQ116="keep",CI116,0),IF(CS116="keep",DK116,0),IF(DU116="keep",EM116,0),IF(EW116="keep",FO116,0),IF(FY116="keep",GQ116,0),IF(HA116="keep",HS116,0),IF(IC116="keep",IU116,0),IF(JE116="keep",JW116,0),IF(KG116="keep",KY116,0),IF(LI116="keep",MA116,0))</f>
        <v>0</v>
      </c>
      <c r="V116" s="5">
        <f>R116/O116</f>
        <v>1.4535340010220472</v>
      </c>
      <c r="W116" s="5">
        <f>S116/P116</f>
        <v>1.5147840426329091</v>
      </c>
      <c r="X116" s="5">
        <f>T116/O116</f>
        <v>0</v>
      </c>
      <c r="Y116" s="5">
        <f>U116/P116</f>
        <v>0</v>
      </c>
      <c r="Z116" s="5">
        <f>V116+X116</f>
        <v>1.4535340010220472</v>
      </c>
      <c r="AA116" s="7">
        <f>IFERROR(W116/V116-1,0)</f>
        <v>0.042138705780390584</v>
      </c>
      <c r="AB116" s="7">
        <f>IFERROR((W116-V116)/Z116,0)</f>
        <v>0.042138705780390515</v>
      </c>
      <c r="AC116" s="7">
        <f>IFERROR(Y116/X116-1,0)</f>
        <v>0</v>
      </c>
      <c r="AD116" s="7">
        <f>IFERROR((Y116-X116)/Z116,0)</f>
        <v>0</v>
      </c>
      <c r="AE116" s="7">
        <f>AB116+AD116</f>
        <v>0.042138705780390515</v>
      </c>
      <c r="AF116" s="7">
        <f>(1+Q116)*(1+AE116)-1</f>
        <v>0.0024503766904739877</v>
      </c>
      <c r="AG116" s="7">
        <f>G116-AF116</f>
        <v>-1.3010426069826053e-17</v>
      </c>
      <c r="AH116" s="5">
        <f>SUM(IF(BQ116="lease",CE116,0),IF(CS116="lease",DG116,0),IF(DU116="lease",EI116,0),IF(EW116="lease",FK116,0),IF(FY116="lease",GM116,0),IF(HA116="lease",HO116,0),IF(IC116="lease",IQ116,0),IF(JE116="lease",JS116,0),IF(KG116="lease",KU116,0),IF(LI116="lease",LW116,0))</f>
        <v>0.002961418334649089</v>
      </c>
      <c r="AI116" s="5">
        <f>SUM(IF(BQ116="keep",CE116,0),IF(CS116="keep",DG116,0),IF(DU116="keep",EI116,0),IF(EW116="keep",FK116,0),IF(FY116="keep",GM116,0),IF(HA116="keep",HO116,0),IF(IC116="keep",IQ116,0),IF(JE116="keep",JS116,0),IF(KG116="keep",KU116,0),IF(LI116="keep",LW116,0))</f>
        <v>0</v>
      </c>
      <c r="AJ116" s="5">
        <f>SUM(IF(BQ116="lease",CH116,0),IF(CS116="lease",DJ116,0),IF(DU116="lease",EL116,0),IF(EW116="lease",FN116,0),IF(FY116="lease",GP116,0),IF(HA116="lease",HR116,0),IF(IC116="lease",IT116,0),IF(JE116="lease",JV116,0),IF(KG116="lease",KX116,0),IF(LI116="lease",LZ116,0))</f>
        <v>0</v>
      </c>
      <c r="AK116" s="5">
        <f>SUM(IF(BQ116="keep",CH116,0),IF(CS116="keep",DJ116,0),IF(DU116="keep",EL116,0),IF(EW116="keep",FN116,0),IF(FY116="keep",GP116,0),IF(HA116="keep",HR116,0),IF(IC116="keep",IT116,0),IF(JE116="keep",JV116,0),IF(KG116="keep",KX116,0),IF(LI116="keep",LZ116,0))</f>
        <v>0</v>
      </c>
      <c r="AL116" s="5">
        <f>R116-S115</f>
        <v>0</v>
      </c>
      <c r="AM116" s="5">
        <f>T116-U115</f>
        <v>0</v>
      </c>
      <c r="AN116" s="5">
        <f>AN115</f>
        <v>1</v>
      </c>
      <c r="AO116" s="5">
        <f>AO115+AH116</f>
        <v>0.21151777873500296</v>
      </c>
      <c r="AP116" s="5">
        <f>AP115+AL116</f>
        <v>-4.440892098500626e-16</v>
      </c>
      <c r="AQ116" s="5">
        <f>AN116+AO116+AP116</f>
        <v>1.2115177787350024</v>
      </c>
      <c r="AR116" s="5">
        <f>S116-AQ116</f>
        <v>4.440892098500626e-16</v>
      </c>
      <c r="AS116" s="5">
        <f>AS115</f>
        <v>0</v>
      </c>
      <c r="AT116" s="5">
        <f>AT115+AI116</f>
        <v>0</v>
      </c>
      <c r="AU116" s="5">
        <f>AU115+AM116</f>
        <v>0</v>
      </c>
      <c r="AV116" s="5">
        <f>AS116+AT116+AU116</f>
        <v>0</v>
      </c>
      <c r="AW116" s="5">
        <f>U116-AV116</f>
        <v>0</v>
      </c>
      <c r="AX116" s="4">
        <v>1.2085563604003537</v>
      </c>
      <c r="AY116" s="4">
        <v>1.2115177787350029</v>
      </c>
      <c r="AZ116" s="5">
        <f>S116-AY116</f>
        <v>0</v>
      </c>
      <c r="BA116" s="4">
        <v>0</v>
      </c>
      <c r="BB116" s="4">
        <v>0</v>
      </c>
      <c r="BC116" s="5">
        <f>U116-BB116</f>
        <v>0</v>
      </c>
      <c r="BD116" s="7">
        <f>SUM(IF(BP116="direct",CC116/F116,0),IF(CR116="direct",DE116/F116,0),IF(DT116="direct",EG116/F116,0),IF(EV116="direct",FI116/F116,0),IF(FX116="direct",GK116/F116,0),IF(GZ116="direct",HM116/F116,0),IF(IB116="direct",IO116/F116,0),IF(JD116="direct",JQ116/F116,0),IF(KF116="direct",KS116/F116,0),IF(LH116="direct",LU116/F116,0))</f>
        <v>0</v>
      </c>
      <c r="BE116" s="7">
        <f>-SUM(IF(BP116="direct",CD116/F116,0),IF(CR116="direct",DF116/F116,0),IF(DT116="direct",EH116/F116,0),IF(EV116="direct",FJ116/F116,0),IF(FX116="direct",GL116/F116,0),IF(GZ116="direct",HN116/F116,0),IF(IB116="direct",IP116/F116,0),IF(JD116="direct",JR116/F116,0),IF(KF116="direct",KT116/F116,0),IF(LH116="direct",LV116/F116,0))</f>
        <v>0</v>
      </c>
      <c r="BF116" s="7">
        <f>BD116+BE116</f>
        <v>0</v>
      </c>
      <c r="BG116" s="7">
        <f>BF116-SUM(IF(BP116="direct",CP116,0),IF(CR116="direct",DR116,0),IF(DT116="direct",ET116,0),IF(EV116="direct",FV116,0),IF(FX116="direct",GX116,0),IF(GZ116="direct",HZ116,0),IF(IB116="direct",JB116,0),IF(JD116="direct",KD116,0),IF(KF116="direct",LF116,0),IF(LH116="direct",MH116,0))</f>
        <v>0</v>
      </c>
      <c r="BH116" s="7">
        <f>SUM(IF(BP116="treasury",CP116,0),IF(CR116="treasury",DR116,0),IF(DT116="treasury",ET116,0),IF(EV116="treasury",FV116,0),IF(FX116="treasury",GX116,0),IF(GZ116="treasury",HZ116,0),IF(IB116="treasury",JB116,0),IF(JD116="treasury",KD116,0),IF(KF116="treasury",LF116,0),IF(LH116="treasury",MH116,0))</f>
        <v>0.0005358904109589041</v>
      </c>
      <c r="BI116" s="7">
        <f>SUM(IF(BP116="future",CP116,0),IF(CR116="future",DR116,0),IF(DT116="future",ET116,0),IF(EV116="future",FV116,0),IF(FX116="future",GX116,0),IF(GZ116="future",HZ116,0),IF(IB116="future",JB116,0),IF(JD116="future",KD116,0),IF(KF116="future",LF116,0),IF(LH116="future",MH116,0))</f>
        <v>0.0019144862795150706</v>
      </c>
      <c r="BJ116" s="7">
        <f>SUM(IF(BP116="cash",CP116,0),IF(CR116="cash",DR116,0),IF(DT116="cash",ET116,0),IF(EV116="cash",FV116,0),IF(FX116="cash",GX116,0),IF(GZ116="cash",HZ116,0),IF(IB116="cash",JB116,0),IF(JD116="cash",KD116,0),IF(KF116="cash",LF116,0),IF(LH116="cash",MH116,0))</f>
        <v>0</v>
      </c>
      <c r="BK116" s="7">
        <f>SUM(BF116,BH116,BI116,BJ116)</f>
        <v>0.0024503766904739746</v>
      </c>
      <c r="BL116" s="7">
        <f>G116-BK116</f>
        <v>0</v>
      </c>
      <c r="BM116" s="5">
        <f>MAX(ABS(CG116),ABS(DI116),ABS(EK116),ABS(FM116),ABS(GO116),ABS(HQ116),ABS(IS116),ABS(JU116),ABS(KW116),ABS(LY116))</f>
        <v>1.12865446155741e-16</v>
      </c>
      <c r="BN116" s="9">
        <f>COUNTA(BO116,CQ116,DS116,EU116,FW116,GY116,IA116,JC116,KE116,LG116)</f>
        <v>4</v>
      </c>
      <c r="BO116" t="inlineStr">
        <is>
          <t xml:space="preserve">Treasury collateral</t>
        </is>
      </c>
      <c r="BP116" t="inlineStr">
        <is>
          <t xml:space="preserve">treasury</t>
        </is>
      </c>
      <c r="BQ116" t="inlineStr">
        <is>
          <t xml:space="preserve">lease</t>
        </is>
      </c>
      <c r="BR116" t="inlineStr">
        <is>
          <t xml:space="preserve">long</t>
        </is>
      </c>
      <c r="BS116"/>
      <c r="BT116" s="4">
        <v>102.87819221496797</v>
      </c>
      <c r="BU116" s="4">
        <v>102.93332365167277</v>
      </c>
      <c r="BV116" s="6"/>
      <c r="BW116" s="4">
        <v>0.011747449429078495</v>
      </c>
      <c r="BX116" s="5">
        <f>IF(BP116="direct",IFERROR(CD116/BU116,0),0)</f>
        <v>0</v>
      </c>
      <c r="BY116" s="5">
        <f>IF(BP116="direct",BW116-BX116,IF(BP116="cash",CI116,BW116))</f>
        <v>0.011747449429078495</v>
      </c>
      <c r="BZ116" s="6">
        <v>1</v>
      </c>
      <c r="CA116" s="4">
        <v>1.208556360400353</v>
      </c>
      <c r="CB116" s="4">
        <v>1.208556360400353</v>
      </c>
      <c r="CC116" s="5">
        <f>IF(BP116="direct",BW116*(BU116-BT116),CF116)</f>
        <v>0.0006476537646420555</v>
      </c>
      <c r="CD116" s="5">
        <f>IF(BP116="direct",CB116*BV116*C116/365,0)</f>
        <v>0</v>
      </c>
      <c r="CE116" s="5">
        <f>CC116-CD116</f>
        <v>0.0006476537646419426</v>
      </c>
      <c r="CF116" s="4">
        <v>0.0006476537646419426</v>
      </c>
      <c r="CG116" s="5">
        <f>CF116-CE116</f>
        <v>-1.12865446155741e-16</v>
      </c>
      <c r="CH116" s="4">
        <v>9.952975943416931e-17</v>
      </c>
      <c r="CI116" s="4">
        <v>1.2092040141649951</v>
      </c>
      <c r="CJ116" s="4">
        <v>1.628</v>
      </c>
      <c r="CK116" s="4">
        <v>1.566</v>
      </c>
      <c r="CL116" s="6"/>
      <c r="CM116" s="6"/>
      <c r="CN116" s="6"/>
      <c r="CO116" s="9">
        <v>39</v>
      </c>
      <c r="CP116" s="7">
        <f>IFERROR(CE116/F116,0)</f>
        <v>0.0005358904109589041</v>
      </c>
      <c r="CQ116" t="inlineStr">
        <is>
          <t xml:space="preserve">SI69N</t>
        </is>
      </c>
      <c r="CR116" t="inlineStr">
        <is>
          <t xml:space="preserve">future</t>
        </is>
      </c>
      <c r="CS116" t="inlineStr">
        <is>
          <t xml:space="preserve">lease</t>
        </is>
      </c>
      <c r="CT116" t="inlineStr">
        <is>
          <t xml:space="preserve">long</t>
        </is>
      </c>
      <c r="CU116" t="inlineStr">
        <is>
          <t xml:space="preserve">regular</t>
        </is>
      </c>
      <c r="CV116" s="4">
        <v>1.567</v>
      </c>
      <c r="CW116" s="4">
        <v>1.57</v>
      </c>
      <c r="CX116" s="6"/>
      <c r="CY116" s="4">
        <v>0.7712548566690193</v>
      </c>
      <c r="CZ116" s="5">
        <f>IF(CR116="direct",IFERROR(DF116/CW116,0),0)</f>
        <v>0</v>
      </c>
      <c r="DA116" s="5">
        <f>IF(CR116="direct",CY116-CZ116,IF(CR116="cash",DK116,CY116))</f>
        <v>0.7712548566690193</v>
      </c>
      <c r="DB116" s="6">
        <v>1</v>
      </c>
      <c r="DC116" s="4">
        <v>1.208556360400353</v>
      </c>
      <c r="DD116" s="4">
        <v>0</v>
      </c>
      <c r="DE116" s="5">
        <f>IF(CR116="direct",CY116*(CW116-CV116),DH116)</f>
        <v>0.002313764570007147</v>
      </c>
      <c r="DF116" s="5">
        <f>IF(CR116="direct",DD116*CX116*C116/365,0)</f>
        <v>0</v>
      </c>
      <c r="DG116" s="5">
        <f>DE116-DF116</f>
        <v>0.002313764570007147</v>
      </c>
      <c r="DH116" s="4">
        <v>0.002313764570007147</v>
      </c>
      <c r="DI116" s="5">
        <f>DH116-DG116</f>
        <v>0</v>
      </c>
      <c r="DJ116" s="4">
        <v>-0.002313764570007147</v>
      </c>
      <c r="DK116" s="4">
        <v>0</v>
      </c>
      <c r="DL116" s="4">
        <v>1.628</v>
      </c>
      <c r="DM116" s="4">
        <v>1.566</v>
      </c>
      <c r="DN116" s="6">
        <v>-0.03746928746928746</v>
      </c>
      <c r="DO116" s="6">
        <v>0.0652</v>
      </c>
      <c r="DP116" s="6">
        <v>0.4158741006741005</v>
      </c>
      <c r="DQ116" s="9">
        <v>39</v>
      </c>
      <c r="DR116" s="7">
        <f>IFERROR(DG116/F116,0)</f>
        <v>0.0019144862795150706</v>
      </c>
      <c r="DS116" t="inlineStr">
        <is>
          <t xml:space="preserve">Lease cash / margin / financing</t>
        </is>
      </c>
      <c r="DT116" t="inlineStr">
        <is>
          <t xml:space="preserve">cash</t>
        </is>
      </c>
      <c r="DU116" t="inlineStr">
        <is>
          <t xml:space="preserve">lease</t>
        </is>
      </c>
      <c r="DV116" t="inlineStr">
        <is>
          <t xml:space="preserve">cash</t>
        </is>
      </c>
      <c r="DW116"/>
      <c r="DX116" s="4">
        <v>1</v>
      </c>
      <c r="DY116" s="4">
        <v>1</v>
      </c>
      <c r="DZ116" s="6"/>
      <c r="EA116" s="4">
        <v>6.661338147750939e-16</v>
      </c>
      <c r="EB116" s="5">
        <f>IF(DT116="direct",IFERROR(EH116/DY116,0),0)</f>
        <v>0</v>
      </c>
      <c r="EC116" s="5">
        <f>IF(DT116="direct",EA116-EB116,IF(DT116="cash",EM116,EA116))</f>
        <v>0.002313764570007713</v>
      </c>
      <c r="ED116" s="6"/>
      <c r="EE116" s="4">
        <v>6.661338147750939e-16</v>
      </c>
      <c r="EF116" s="4">
        <v>6.661338147750939e-16</v>
      </c>
      <c r="EG116" s="5">
        <f>IF(DT116="direct",EA116*(DY116-DX116),EJ116)</f>
        <v>0</v>
      </c>
      <c r="EH116" s="5">
        <f>IF(DT116="direct",EF116*DZ116*C116/365,0)</f>
        <v>0</v>
      </c>
      <c r="EI116" s="5">
        <f>EG116-EH116</f>
        <v>0</v>
      </c>
      <c r="EJ116" s="4">
        <v>0</v>
      </c>
      <c r="EK116" s="5">
        <f>EJ116-EI116</f>
        <v>0</v>
      </c>
      <c r="EL116" s="4">
        <v>0.002313764570007047</v>
      </c>
      <c r="EM116" s="4">
        <v>0.002313764570007713</v>
      </c>
      <c r="EN116" s="4">
        <v>1.628</v>
      </c>
      <c r="EO116" s="4">
        <v>1.566</v>
      </c>
      <c r="EP116" s="6"/>
      <c r="EQ116" s="6"/>
      <c r="ER116" s="6"/>
      <c r="ES116" s="9"/>
      <c r="ET116" s="7">
        <f>IFERROR(EI116/F116,0)</f>
        <v>0</v>
      </c>
      <c r="EU116" t="inlineStr">
        <is>
          <t xml:space="preserve">Keep cash / margin / financing</t>
        </is>
      </c>
      <c r="EV116" t="inlineStr">
        <is>
          <t xml:space="preserve">cash</t>
        </is>
      </c>
      <c r="EW116" t="inlineStr">
        <is>
          <t xml:space="preserve">keep</t>
        </is>
      </c>
      <c r="EX116" t="inlineStr">
        <is>
          <t xml:space="preserve">cash</t>
        </is>
      </c>
      <c r="EY116"/>
      <c r="EZ116" s="4">
        <v>1</v>
      </c>
      <c r="FA116" s="4">
        <v>1</v>
      </c>
      <c r="FB116" s="6"/>
      <c r="FC116" s="4">
        <v>0</v>
      </c>
      <c r="FD116" s="5">
        <f>IF(EV116="direct",IFERROR(FJ116/FA116,0),0)</f>
        <v>0</v>
      </c>
      <c r="FE116" s="5">
        <f>IF(EV116="direct",FC116-FD116,IF(EV116="cash",FO116,FC116))</f>
        <v>0</v>
      </c>
      <c r="FF116" s="6"/>
      <c r="FG116" s="4">
        <v>0</v>
      </c>
      <c r="FH116" s="4">
        <v>0</v>
      </c>
      <c r="FI116" s="5">
        <f>IF(EV116="direct",FC116*(FA116-EZ116),FL116)</f>
        <v>0</v>
      </c>
      <c r="FJ116" s="5">
        <f>IF(EV116="direct",FH116*FB116*C116/365,0)</f>
        <v>0</v>
      </c>
      <c r="FK116" s="5">
        <f>FI116-FJ116</f>
        <v>0</v>
      </c>
      <c r="FL116" s="4">
        <v>0</v>
      </c>
      <c r="FM116" s="5">
        <f>FL116-FK116</f>
        <v>0</v>
      </c>
      <c r="FN116" s="4">
        <v>0</v>
      </c>
      <c r="FO116" s="4">
        <v>0</v>
      </c>
      <c r="FP116" s="4">
        <v>1.628</v>
      </c>
      <c r="FQ116" s="4">
        <v>1.566</v>
      </c>
      <c r="FR116" s="6"/>
      <c r="FS116" s="6"/>
      <c r="FT116" s="6"/>
      <c r="FU116" s="9"/>
      <c r="FV116" s="7">
        <f>IFERROR(FK116/F116,0)</f>
        <v>0</v>
      </c>
      <c r="FW116"/>
      <c r="FX116"/>
      <c r="FY116"/>
      <c r="FZ116"/>
      <c r="GA116"/>
      <c r="GB116" s="4"/>
      <c r="GC116" s="4"/>
      <c r="GD116" s="6"/>
      <c r="GE116" s="4"/>
      <c r="GF116" s="5">
        <v>0</v>
      </c>
      <c r="GG116" s="5"/>
      <c r="GH116" s="6"/>
      <c r="GI116" s="4"/>
      <c r="GJ116" s="4"/>
      <c r="GK116" s="5">
        <v>0</v>
      </c>
      <c r="GL116" s="5">
        <v>0</v>
      </c>
      <c r="GM116" s="5"/>
      <c r="GN116" s="4"/>
      <c r="GO116" s="5">
        <v>0</v>
      </c>
      <c r="GP116" s="4"/>
      <c r="GQ116" s="4"/>
      <c r="GR116" s="4"/>
      <c r="GS116" s="4"/>
      <c r="GT116" s="6"/>
      <c r="GU116" s="6"/>
      <c r="GV116" s="6"/>
      <c r="GW116" s="9"/>
      <c r="GX116"/>
      <c r="GY116"/>
      <c r="GZ116"/>
      <c r="HA116"/>
      <c r="HB116"/>
      <c r="HC116"/>
      <c r="HD116" s="4"/>
      <c r="HE116" s="4"/>
      <c r="HF116" s="6"/>
      <c r="HG116" s="4"/>
      <c r="HH116" s="5">
        <v>0</v>
      </c>
      <c r="HI116" s="5"/>
      <c r="HJ116" s="6"/>
      <c r="HK116" s="4"/>
      <c r="HL116" s="4"/>
      <c r="HM116" s="5">
        <v>0</v>
      </c>
      <c r="HN116" s="5">
        <v>0</v>
      </c>
      <c r="HO116" s="5"/>
      <c r="HP116" s="4"/>
      <c r="HQ116" s="5">
        <v>0</v>
      </c>
      <c r="HR116" s="4"/>
      <c r="HS116" s="4"/>
      <c r="HT116" s="4"/>
      <c r="HU116" s="4"/>
      <c r="HV116" s="6"/>
      <c r="HW116" s="6"/>
      <c r="HX116" s="6"/>
      <c r="HY116" s="9"/>
      <c r="HZ116"/>
      <c r="IA116"/>
      <c r="IB116"/>
      <c r="IC116"/>
      <c r="ID116"/>
      <c r="IE116"/>
      <c r="IF116" s="4"/>
      <c r="IG116" s="4"/>
      <c r="IH116" s="6"/>
      <c r="II116" s="4"/>
      <c r="IJ116" s="5">
        <v>0</v>
      </c>
      <c r="IK116" s="5"/>
      <c r="IL116" s="6"/>
      <c r="IM116" s="4"/>
      <c r="IN116" s="4"/>
      <c r="IO116" s="5">
        <v>0</v>
      </c>
      <c r="IP116" s="5">
        <v>0</v>
      </c>
      <c r="IQ116" s="5"/>
      <c r="IR116" s="4"/>
      <c r="IS116" s="5">
        <v>0</v>
      </c>
      <c r="IT116" s="4"/>
      <c r="IU116" s="4"/>
      <c r="IV116" s="4"/>
      <c r="IW116" s="4"/>
      <c r="IX116" s="6"/>
      <c r="IY116" s="6"/>
      <c r="IZ116" s="6"/>
      <c r="JA116" s="9"/>
      <c r="JB116"/>
      <c r="JC116"/>
      <c r="JD116"/>
      <c r="JE116"/>
      <c r="JF116"/>
      <c r="JG116"/>
      <c r="JH116" s="4"/>
      <c r="JI116" s="4"/>
      <c r="JJ116" s="6"/>
      <c r="JK116" s="4"/>
      <c r="JL116" s="5">
        <v>0</v>
      </c>
      <c r="JM116" s="5"/>
      <c r="JN116" s="6"/>
      <c r="JO116" s="4"/>
      <c r="JP116" s="4"/>
      <c r="JQ116" s="5">
        <v>0</v>
      </c>
      <c r="JR116" s="5">
        <v>0</v>
      </c>
      <c r="JS116" s="5"/>
      <c r="JT116" s="4"/>
      <c r="JU116" s="5">
        <v>0</v>
      </c>
      <c r="JV116" s="4"/>
      <c r="JW116" s="4"/>
      <c r="JX116" s="4"/>
      <c r="JY116" s="4"/>
      <c r="JZ116" s="6"/>
      <c r="KA116" s="6"/>
      <c r="KB116" s="6"/>
      <c r="KC116" s="9"/>
      <c r="KD116"/>
      <c r="KE116"/>
      <c r="KF116"/>
      <c r="KG116"/>
      <c r="KH116"/>
      <c r="KI116"/>
      <c r="KJ116" s="4"/>
      <c r="KK116" s="4"/>
      <c r="KL116" s="6"/>
      <c r="KM116" s="4"/>
      <c r="KN116" s="5">
        <v>0</v>
      </c>
      <c r="KO116" s="5"/>
      <c r="KP116" s="6"/>
      <c r="KQ116" s="4"/>
      <c r="KR116" s="4"/>
      <c r="KS116" s="5">
        <v>0</v>
      </c>
      <c r="KT116" s="5">
        <v>0</v>
      </c>
      <c r="KU116" s="5"/>
      <c r="KV116" s="4"/>
      <c r="KW116" s="5">
        <v>0</v>
      </c>
      <c r="KX116" s="4"/>
      <c r="KY116" s="4"/>
      <c r="KZ116" s="4"/>
      <c r="LA116" s="4"/>
      <c r="LB116" s="6"/>
      <c r="LC116" s="6"/>
      <c r="LD116" s="6"/>
      <c r="LE116" s="9"/>
      <c r="LF116"/>
      <c r="LG116"/>
      <c r="LH116"/>
      <c r="LI116"/>
      <c r="LJ116"/>
      <c r="LK116"/>
      <c r="LL116" s="4"/>
      <c r="LM116" s="4"/>
      <c r="LN116" s="6"/>
      <c r="LO116" s="4"/>
      <c r="LP116" s="5">
        <v>0</v>
      </c>
      <c r="LQ116" s="5"/>
      <c r="LR116" s="6"/>
      <c r="LS116" s="4"/>
      <c r="LT116" s="4"/>
      <c r="LU116" s="5">
        <v>0</v>
      </c>
      <c r="LV116" s="5">
        <v>0</v>
      </c>
      <c r="LW116" s="5"/>
      <c r="LX116" s="4"/>
      <c r="LY116" s="5">
        <v>0</v>
      </c>
      <c r="LZ116" s="4"/>
      <c r="MA116" s="4"/>
      <c r="MB116" s="4"/>
      <c r="MC116" s="4"/>
      <c r="MD116" s="6"/>
      <c r="ME116" s="6"/>
      <c r="MF116" s="6"/>
      <c r="MG116" s="9"/>
      <c r="MH116"/>
    </row>
    <row r="117">
      <c r="A117" s="8">
        <v>25377</v>
      </c>
      <c r="B117" s="8">
        <v>25378</v>
      </c>
      <c r="C117" s="9">
        <f>B117-A117</f>
        <v>1</v>
      </c>
      <c r="D117" s="8">
        <v>25377</v>
      </c>
      <c r="E117" t="inlineStr">
        <is>
          <t xml:space="preserve">positive</t>
        </is>
      </c>
      <c r="F117" s="4">
        <v>1.2115177787350022</v>
      </c>
      <c r="G117" s="6">
        <v>0.009278451803917852</v>
      </c>
      <c r="H117" s="7">
        <f>SUM(CP117,DR117,ET117,FV117,GX117,HZ117,JB117,KD117,LF117,MH117)</f>
        <v>0.00927845180391785</v>
      </c>
      <c r="I117" s="7">
        <f>G117-H117</f>
        <v>1.734723475976807e-18</v>
      </c>
      <c r="J117" s="5">
        <f>F117*(1+H117)</f>
        <v>1.2227587880545847</v>
      </c>
      <c r="K117" s="4">
        <v>1.2227587880545847</v>
      </c>
      <c r="L117" s="5">
        <f>K117-J117</f>
        <v>0</v>
      </c>
      <c r="M117" s="4">
        <v>1.566</v>
      </c>
      <c r="N117" s="4">
        <v>1.584</v>
      </c>
      <c r="O117" s="5">
        <f>M117/$M$3</f>
        <v>0.7997957099080695</v>
      </c>
      <c r="P117" s="5">
        <f>N117/$M$3</f>
        <v>0.8089887640449439</v>
      </c>
      <c r="Q117" s="7">
        <f>IFERROR(N117/M117-1,0)</f>
        <v>0.011494252873563315</v>
      </c>
      <c r="R117" s="5">
        <f>SUM(IF(BQ117="lease",CB117,0),IF(CS117="lease",DD117,0),IF(DU117="lease",EF117,0),IF(EW117="lease",FH117,0),IF(FY117="lease",GJ117,0),IF(HA117="lease",HL117,0),IF(IC117="lease",IN117,0),IF(JE117="lease",JP117,0),IF(KG117="lease",KR117,0),IF(LI117="lease",LT117,0))</f>
        <v>1.2115177787350029</v>
      </c>
      <c r="S117" s="5">
        <f>SUM(IF(BQ117="lease",CI117,0),IF(CS117="lease",DK117,0),IF(DU117="lease",EM117,0),IF(EW117="lease",FO117,0),IF(FY117="lease",GQ117,0),IF(HA117="lease",HS117,0),IF(IC117="lease",IU117,0),IF(JE117="lease",JW117,0),IF(KG117="lease",KY117,0),IF(LI117="lease",MA117,0))</f>
        <v>1.2227587880545852</v>
      </c>
      <c r="T117" s="5">
        <f>SUM(IF(BQ117="keep",CB117,0),IF(CS117="keep",DD117,0),IF(DU117="keep",EF117,0),IF(EW117="keep",FH117,0),IF(FY117="keep",GJ117,0),IF(HA117="keep",HL117,0),IF(IC117="keep",IN117,0),IF(JE117="keep",JP117,0),IF(KG117="keep",KR117,0),IF(LI117="keep",LT117,0))</f>
        <v>0</v>
      </c>
      <c r="U117" s="5">
        <f>SUM(IF(BQ117="keep",CI117,0),IF(CS117="keep",DK117,0),IF(DU117="keep",EM117,0),IF(EW117="keep",FO117,0),IF(FY117="keep",GQ117,0),IF(HA117="keep",HS117,0),IF(IC117="keep",IU117,0),IF(JE117="keep",JW117,0),IF(KG117="keep",KY117,0),IF(LI117="keep",MA117,0))</f>
        <v>0</v>
      </c>
      <c r="V117" s="5">
        <f>R117/O117</f>
        <v>1.5147840426329091</v>
      </c>
      <c r="W117" s="5">
        <f>S117/P117</f>
        <v>1.5114657241230287</v>
      </c>
      <c r="X117" s="5">
        <f>T117/O117</f>
        <v>0</v>
      </c>
      <c r="Y117" s="5">
        <f>U117/P117</f>
        <v>0</v>
      </c>
      <c r="Z117" s="5">
        <f>V117+X117</f>
        <v>1.5147840426329091</v>
      </c>
      <c r="AA117" s="7">
        <f>IFERROR(W117/V117-1,0)</f>
        <v>-0.002190621512035973</v>
      </c>
      <c r="AB117" s="7">
        <f>IFERROR((W117-V117)/Z117,0)</f>
        <v>-0.0021906215120359304</v>
      </c>
      <c r="AC117" s="7">
        <f>IFERROR(Y117/X117-1,0)</f>
        <v>0</v>
      </c>
      <c r="AD117" s="7">
        <f>IFERROR((Y117-X117)/Z117,0)</f>
        <v>0</v>
      </c>
      <c r="AE117" s="7">
        <f>AB117+AD117</f>
        <v>-0.0021906215120359304</v>
      </c>
      <c r="AF117" s="7">
        <f>(1+Q117)*(1+AE117)-1</f>
        <v>0.009278451803917731</v>
      </c>
      <c r="AG117" s="7">
        <f>G117-AF117</f>
        <v>1.214306433183765e-16</v>
      </c>
      <c r="AH117" s="5">
        <f>SUM(IF(BQ117="lease",CE117,0),IF(CS117="lease",DG117,0),IF(DU117="lease",EI117,0),IF(EW117="lease",FK117,0),IF(FY117="lease",GM117,0),IF(HA117="lease",HO117,0),IF(IC117="lease",IQ117,0),IF(JE117="lease",JS117,0),IF(KG117="lease",KU117,0),IF(LI117="lease",LW117,0))</f>
        <v>0.011241009319582329</v>
      </c>
      <c r="AI117" s="5">
        <f>SUM(IF(BQ117="keep",CE117,0),IF(CS117="keep",DG117,0),IF(DU117="keep",EI117,0),IF(EW117="keep",FK117,0),IF(FY117="keep",GM117,0),IF(HA117="keep",HO117,0),IF(IC117="keep",IQ117,0),IF(JE117="keep",JS117,0),IF(KG117="keep",KU117,0),IF(LI117="keep",LW117,0))</f>
        <v>0</v>
      </c>
      <c r="AJ117" s="5">
        <f>SUM(IF(BQ117="lease",CH117,0),IF(CS117="lease",DJ117,0),IF(DU117="lease",EL117,0),IF(EW117="lease",FN117,0),IF(FY117="lease",GP117,0),IF(HA117="lease",HR117,0),IF(IC117="lease",IT117,0),IF(JE117="lease",JV117,0),IF(KG117="lease",KX117,0),IF(LI117="lease",LZ117,0))</f>
        <v>0</v>
      </c>
      <c r="AK117" s="5">
        <f>SUM(IF(BQ117="keep",CH117,0),IF(CS117="keep",DJ117,0),IF(DU117="keep",EL117,0),IF(EW117="keep",FN117,0),IF(FY117="keep",GP117,0),IF(HA117="keep",HR117,0),IF(IC117="keep",IT117,0),IF(JE117="keep",JV117,0),IF(KG117="keep",KX117,0),IF(LI117="keep",LZ117,0))</f>
        <v>0</v>
      </c>
      <c r="AL117" s="5">
        <f>R117-S116</f>
        <v>0</v>
      </c>
      <c r="AM117" s="5">
        <f>T117-U116</f>
        <v>0</v>
      </c>
      <c r="AN117" s="5">
        <f>AN116</f>
        <v>1</v>
      </c>
      <c r="AO117" s="5">
        <f>AO116+AH117</f>
        <v>0.2227587880545853</v>
      </c>
      <c r="AP117" s="5">
        <f>AP116+AL117</f>
        <v>-4.440892098500626e-16</v>
      </c>
      <c r="AQ117" s="5">
        <f>AN117+AO117+AP117</f>
        <v>1.222758788054585</v>
      </c>
      <c r="AR117" s="5">
        <f>S117-AQ117</f>
        <v>2.220446049250313e-16</v>
      </c>
      <c r="AS117" s="5">
        <f>AS116</f>
        <v>0</v>
      </c>
      <c r="AT117" s="5">
        <f>AT116+AI117</f>
        <v>0</v>
      </c>
      <c r="AU117" s="5">
        <f>AU116+AM117</f>
        <v>0</v>
      </c>
      <c r="AV117" s="5">
        <f>AS117+AT117+AU117</f>
        <v>0</v>
      </c>
      <c r="AW117" s="5">
        <f>U117-AV117</f>
        <v>0</v>
      </c>
      <c r="AX117" s="4">
        <v>1.2115177787350029</v>
      </c>
      <c r="AY117" s="4">
        <v>1.2227587880545852</v>
      </c>
      <c r="AZ117" s="5">
        <f>S117-AY117</f>
        <v>0</v>
      </c>
      <c r="BA117" s="4">
        <v>0</v>
      </c>
      <c r="BB117" s="4">
        <v>0</v>
      </c>
      <c r="BC117" s="5">
        <f>U117-BB117</f>
        <v>0</v>
      </c>
      <c r="BD117" s="7">
        <f>SUM(IF(BP117="direct",CC117/F117,0),IF(CR117="direct",DE117/F117,0),IF(DT117="direct",EG117/F117,0),IF(EV117="direct",FI117/F117,0),IF(FX117="direct",GK117/F117,0),IF(GZ117="direct",HM117/F117,0),IF(IB117="direct",IO117/F117,0),IF(JD117="direct",JQ117/F117,0),IF(KF117="direct",KS117/F117,0),IF(LH117="direct",LU117/F117,0))</f>
        <v>0.008597513031006454</v>
      </c>
      <c r="BE117" s="7">
        <f>-SUM(IF(BP117="direct",CD117/F117,0),IF(CR117="direct",DF117/F117,0),IF(DT117="direct",EH117/F117,0),IF(EV117="direct",FJ117/F117,0),IF(FX117="direct",GL117/F117,0),IF(GZ117="direct",HN117/F117,0),IF(IB117="direct",IP117/F117,0),IF(JD117="direct",JR117/F117,0),IF(KF117="direct",KT117/F117,0),IF(LH117="direct",LV117/F117,0))</f>
        <v>-0.0000051231755732709656</v>
      </c>
      <c r="BF117" s="7">
        <f>BD117+BE117</f>
        <v>0.008592389855433183</v>
      </c>
      <c r="BG117" s="7">
        <f>BF117-SUM(IF(BP117="direct",CP117,0),IF(CR117="direct",DR117,0),IF(DT117="direct",ET117,0),IF(EV117="direct",FV117,0),IF(FX117="direct",GX117,0),IF(GZ117="direct",HZ117,0),IF(IB117="direct",JB117,0),IF(JD117="direct",KD117,0),IF(KF117="direct",LF117,0),IF(LH117="direct",MH117,0))</f>
        <v>-6.418476861114186e-17</v>
      </c>
      <c r="BH117" s="7">
        <f>SUM(IF(BP117="treasury",CP117,0),IF(CR117="treasury",DR117,0),IF(DT117="treasury",ET117,0),IF(EV117="treasury",FV117,0),IF(FX117="treasury",GX117,0),IF(GZ117="treasury",HZ117,0),IF(IB117="treasury",JB117,0),IF(JD117="treasury",KD117,0),IF(KF117="treasury",LF117,0),IF(LH117="treasury",MH117,0))</f>
        <v>0.000043982034338261286</v>
      </c>
      <c r="BI117" s="7">
        <f>SUM(IF(BP117="future",CP117,0),IF(CR117="future",DR117,0),IF(DT117="future",ET117,0),IF(EV117="future",FV117,0),IF(FX117="future",GX117,0),IF(GZ117="future",HZ117,0),IF(IB117="future",JB117,0),IF(JD117="future",KD117,0),IF(KF117="future",LF117,0),IF(LH117="future",MH117,0))</f>
        <v>0.0006420799141463415</v>
      </c>
      <c r="BJ117" s="7">
        <f>SUM(IF(BP117="cash",CP117,0),IF(CR117="cash",DR117,0),IF(DT117="cash",ET117,0),IF(EV117="cash",FV117,0),IF(FX117="cash",GX117,0),IF(GZ117="cash",HZ117,0),IF(IB117="cash",JB117,0),IF(JD117="cash",KD117,0),IF(KF117="cash",LF117,0),IF(LH117="cash",MH117,0))</f>
        <v>0</v>
      </c>
      <c r="BK117" s="7">
        <f>SUM(BF117,BH117,BI117,BJ117)</f>
        <v>0.00927845180391785</v>
      </c>
      <c r="BL117" s="7">
        <f>G117-BK117</f>
        <v>1.734723475976807e-18</v>
      </c>
      <c r="BM117" s="5">
        <f>MAX(ABS(CG117),ABS(DI117),ABS(EK117),ABS(FM117),ABS(GO117),ABS(HQ117),ABS(IS117),ABS(JU117),ABS(KW117),ABS(LY117))</f>
        <v>7.832852476439417e-17</v>
      </c>
      <c r="BN117" s="9">
        <f>COUNTA(BO117,CQ117,DS117,EU117,FW117,GY117,IA117,JC117,KE117,LG117)</f>
        <v>5</v>
      </c>
      <c r="BO117" t="inlineStr">
        <is>
          <t xml:space="preserve">Direct commodity holding</t>
        </is>
      </c>
      <c r="BP117" t="inlineStr">
        <is>
          <t xml:space="preserve">direct</t>
        </is>
      </c>
      <c r="BQ117" t="inlineStr">
        <is>
          <t xml:space="preserve">lease</t>
        </is>
      </c>
      <c r="BR117" t="inlineStr">
        <is>
          <t xml:space="preserve">long</t>
        </is>
      </c>
      <c r="BS117"/>
      <c r="BT117" s="4">
        <v>1.566</v>
      </c>
      <c r="BU117" s="4">
        <v>1.584</v>
      </c>
      <c r="BV117" s="6">
        <v>0.0025</v>
      </c>
      <c r="BW117" s="4">
        <v>0.5786688827761204</v>
      </c>
      <c r="BX117" s="5">
        <f>IF(BP117="direct",IFERROR(CD117/BU117,0),0)</f>
        <v>0.000003918445890529458</v>
      </c>
      <c r="BY117" s="5">
        <f>IF(BP117="direct",BW117-BX117,IF(BP117="cash",CI117,BW117))</f>
        <v>0.5786649643302298</v>
      </c>
      <c r="BZ117" s="6">
        <v>0.7479836336975609</v>
      </c>
      <c r="CA117" s="4">
        <v>0.9061954704274046</v>
      </c>
      <c r="CB117" s="4">
        <v>0.9061954704274046</v>
      </c>
      <c r="CC117" s="5">
        <f>IF(BP117="direct",BW117*(BU117-BT117),CF117)</f>
        <v>0.010416039889970176</v>
      </c>
      <c r="CD117" s="5">
        <f>IF(BP117="direct",CB117*BV117*C117/365,0)</f>
        <v>0.000006206818290598661</v>
      </c>
      <c r="CE117" s="5">
        <f>CC117-CD117</f>
        <v>0.010409833071679656</v>
      </c>
      <c r="CF117" s="4">
        <v>0.010409833071679656</v>
      </c>
      <c r="CG117" s="5">
        <f>CF117-CE117</f>
        <v>7.832852476439417e-17</v>
      </c>
      <c r="CH117" s="4">
        <v>0</v>
      </c>
      <c r="CI117" s="4">
        <v>0.9166053034990841</v>
      </c>
      <c r="CJ117" s="4">
        <v>1.566</v>
      </c>
      <c r="CK117" s="4">
        <v>1.584</v>
      </c>
      <c r="CL117" s="6"/>
      <c r="CM117" s="6"/>
      <c r="CN117" s="6"/>
      <c r="CO117" s="9"/>
      <c r="CP117" s="7">
        <f>IFERROR(CE117/F117,0)</f>
        <v>0.008592389855433247</v>
      </c>
      <c r="CQ117" t="inlineStr">
        <is>
          <t xml:space="preserve">Treasury collateral</t>
        </is>
      </c>
      <c r="CR117" t="inlineStr">
        <is>
          <t xml:space="preserve">treasury</t>
        </is>
      </c>
      <c r="CS117" t="inlineStr">
        <is>
          <t xml:space="preserve">lease</t>
        </is>
      </c>
      <c r="CT117" t="inlineStr">
        <is>
          <t xml:space="preserve">long</t>
        </is>
      </c>
      <c r="CU117"/>
      <c r="CV117" s="4">
        <v>102.93332365167277</v>
      </c>
      <c r="CW117" s="4">
        <v>102.95128763171829</v>
      </c>
      <c r="CX117" s="6"/>
      <c r="CY117" s="4">
        <v>0.0029662144141076306</v>
      </c>
      <c r="CZ117" s="5">
        <f>IF(CR117="direct",IFERROR(DF117/CW117,0),0)</f>
        <v>0</v>
      </c>
      <c r="DA117" s="5">
        <f>IF(CR117="direct",CY117-CZ117,IF(CR117="cash",DK117,CY117))</f>
        <v>0.0029662144141076306</v>
      </c>
      <c r="DB117" s="6">
        <v>0.25201636630243907</v>
      </c>
      <c r="DC117" s="4">
        <v>0.30532230830759766</v>
      </c>
      <c r="DD117" s="4">
        <v>0.30532230830759766</v>
      </c>
      <c r="DE117" s="5">
        <f>IF(CR117="direct",CY117*(CW117-CV117),DH117)</f>
        <v>0.00005328501654576927</v>
      </c>
      <c r="DF117" s="5">
        <f>IF(CR117="direct",DD117*CX117*C117/365,0)</f>
        <v>0</v>
      </c>
      <c r="DG117" s="5">
        <f>DE117-DF117</f>
        <v>0.00005328501654573691</v>
      </c>
      <c r="DH117" s="4">
        <v>0.00005328501654573691</v>
      </c>
      <c r="DI117" s="5">
        <f>DH117-DG117</f>
        <v>-3.235665858511427e-17</v>
      </c>
      <c r="DJ117" s="4">
        <v>4.186375638509654e-17</v>
      </c>
      <c r="DK117" s="4">
        <v>0.30537559332414344</v>
      </c>
      <c r="DL117" s="4">
        <v>1.566</v>
      </c>
      <c r="DM117" s="4">
        <v>1.584</v>
      </c>
      <c r="DN117" s="6"/>
      <c r="DO117" s="6"/>
      <c r="DP117" s="6"/>
      <c r="DQ117" s="9">
        <v>36</v>
      </c>
      <c r="DR117" s="7">
        <f>IFERROR(DG117/F117,0)</f>
        <v>0.000043982034338261286</v>
      </c>
      <c r="DS117" t="inlineStr">
        <is>
          <t xml:space="preserve">SI69N</t>
        </is>
      </c>
      <c r="DT117" t="inlineStr">
        <is>
          <t xml:space="preserve">future</t>
        </is>
      </c>
      <c r="DU117" t="inlineStr">
        <is>
          <t xml:space="preserve">lease</t>
        </is>
      </c>
      <c r="DV117" t="inlineStr">
        <is>
          <t xml:space="preserve">long</t>
        </is>
      </c>
      <c r="DW117" t="inlineStr">
        <is>
          <t xml:space="preserve">regular</t>
        </is>
      </c>
      <c r="DX117" s="4">
        <v>1.57</v>
      </c>
      <c r="DY117" s="4">
        <v>1.574</v>
      </c>
      <c r="DZ117" s="6"/>
      <c r="EA117" s="4">
        <v>0.19447280783923418</v>
      </c>
      <c r="EB117" s="5">
        <f>IF(DT117="direct",IFERROR(EH117/DY117,0),0)</f>
        <v>0</v>
      </c>
      <c r="EC117" s="5">
        <f>IF(DT117="direct",EA117-EB117,IF(DT117="cash",EM117,EA117))</f>
        <v>0.19447280783923418</v>
      </c>
      <c r="ED117" s="6">
        <v>0.25201636630243907</v>
      </c>
      <c r="EE117" s="4">
        <v>0.30532230830759766</v>
      </c>
      <c r="EF117" s="4">
        <v>0</v>
      </c>
      <c r="EG117" s="5">
        <f>IF(DT117="direct",EA117*(DY117-DX117),EJ117)</f>
        <v>0.0007778912313569365</v>
      </c>
      <c r="EH117" s="5">
        <f>IF(DT117="direct",EF117*DZ117*C117/365,0)</f>
        <v>0</v>
      </c>
      <c r="EI117" s="5">
        <f>EG117-EH117</f>
        <v>0.0007778912313569365</v>
      </c>
      <c r="EJ117" s="4">
        <v>0.0007778912313569365</v>
      </c>
      <c r="EK117" s="5">
        <f>EJ117-EI117</f>
        <v>0</v>
      </c>
      <c r="EL117" s="4">
        <v>-0.0007778912313569365</v>
      </c>
      <c r="EM117" s="4">
        <v>0</v>
      </c>
      <c r="EN117" s="4">
        <v>1.566</v>
      </c>
      <c r="EO117" s="4">
        <v>1.584</v>
      </c>
      <c r="EP117" s="6">
        <v>0.0025542784163474774</v>
      </c>
      <c r="EQ117" s="6">
        <v>0.0637</v>
      </c>
      <c r="ER117" s="6">
        <v>0.03780245494536586</v>
      </c>
      <c r="ES117" s="9">
        <v>36</v>
      </c>
      <c r="ET117" s="7">
        <f>IFERROR(EI117/F117,0)</f>
        <v>0.0006420799141463415</v>
      </c>
      <c r="EU117" t="inlineStr">
        <is>
          <t xml:space="preserve">Lease cash / margin / financing</t>
        </is>
      </c>
      <c r="EV117" t="inlineStr">
        <is>
          <t xml:space="preserve">cash</t>
        </is>
      </c>
      <c r="EW117" t="inlineStr">
        <is>
          <t xml:space="preserve">lease</t>
        </is>
      </c>
      <c r="EX117" t="inlineStr">
        <is>
          <t xml:space="preserve">cash</t>
        </is>
      </c>
      <c r="EY117"/>
      <c r="EZ117" s="4">
        <v>1</v>
      </c>
      <c r="FA117" s="4">
        <v>1</v>
      </c>
      <c r="FB117" s="6"/>
      <c r="FC117" s="4">
        <v>6.661338147750939e-16</v>
      </c>
      <c r="FD117" s="5">
        <f>IF(EV117="direct",IFERROR(FJ117/FA117,0),0)</f>
        <v>0</v>
      </c>
      <c r="FE117" s="5">
        <f>IF(EV117="direct",FC117-FD117,IF(EV117="cash",FO117,FC117))</f>
        <v>0.0007778912313575608</v>
      </c>
      <c r="FF117" s="6"/>
      <c r="FG117" s="4">
        <v>6.661338147750939e-16</v>
      </c>
      <c r="FH117" s="4">
        <v>6.661338147750939e-16</v>
      </c>
      <c r="FI117" s="5">
        <f>IF(EV117="direct",FC117*(FA117-EZ117),FL117)</f>
        <v>0</v>
      </c>
      <c r="FJ117" s="5">
        <f>IF(EV117="direct",FH117*FB117*C117/365,0)</f>
        <v>0</v>
      </c>
      <c r="FK117" s="5">
        <f>FI117-FJ117</f>
        <v>0</v>
      </c>
      <c r="FL117" s="4">
        <v>0</v>
      </c>
      <c r="FM117" s="5">
        <f>FL117-FK117</f>
        <v>0</v>
      </c>
      <c r="FN117" s="4">
        <v>0.0007778912313568946</v>
      </c>
      <c r="FO117" s="4">
        <v>0.0007778912313575608</v>
      </c>
      <c r="FP117" s="4">
        <v>1.566</v>
      </c>
      <c r="FQ117" s="4">
        <v>1.584</v>
      </c>
      <c r="FR117" s="6"/>
      <c r="FS117" s="6"/>
      <c r="FT117" s="6"/>
      <c r="FU117" s="9"/>
      <c r="FV117" s="7">
        <f>IFERROR(FK117/F117,0)</f>
        <v>0</v>
      </c>
      <c r="FW117" t="inlineStr">
        <is>
          <t xml:space="preserve">Keep cash / margin / financing</t>
        </is>
      </c>
      <c r="FX117" t="inlineStr">
        <is>
          <t xml:space="preserve">cash</t>
        </is>
      </c>
      <c r="FY117" t="inlineStr">
        <is>
          <t xml:space="preserve">keep</t>
        </is>
      </c>
      <c r="FZ117" t="inlineStr">
        <is>
          <t xml:space="preserve">cash</t>
        </is>
      </c>
      <c r="GA117"/>
      <c r="GB117" s="4">
        <v>1</v>
      </c>
      <c r="GC117" s="4">
        <v>1</v>
      </c>
      <c r="GD117" s="6"/>
      <c r="GE117" s="4">
        <v>0</v>
      </c>
      <c r="GF117" s="5">
        <f>IF(FX117="direct",IFERROR(GL117/GC117,0),0)</f>
        <v>0</v>
      </c>
      <c r="GG117" s="5">
        <f>IF(FX117="direct",GE117-GF117,IF(FX117="cash",GQ117,GE117))</f>
        <v>0</v>
      </c>
      <c r="GH117" s="6"/>
      <c r="GI117" s="4">
        <v>0</v>
      </c>
      <c r="GJ117" s="4">
        <v>0</v>
      </c>
      <c r="GK117" s="5">
        <f>IF(FX117="direct",GE117*(GC117-GB117),GN117)</f>
        <v>0</v>
      </c>
      <c r="GL117" s="5">
        <f>IF(FX117="direct",GJ117*GD117*C117/365,0)</f>
        <v>0</v>
      </c>
      <c r="GM117" s="5">
        <f>GK117-GL117</f>
        <v>0</v>
      </c>
      <c r="GN117" s="4">
        <v>0</v>
      </c>
      <c r="GO117" s="5">
        <f>GN117-GM117</f>
        <v>0</v>
      </c>
      <c r="GP117" s="4">
        <v>0</v>
      </c>
      <c r="GQ117" s="4">
        <v>0</v>
      </c>
      <c r="GR117" s="4">
        <v>1.566</v>
      </c>
      <c r="GS117" s="4">
        <v>1.584</v>
      </c>
      <c r="GT117" s="6"/>
      <c r="GU117" s="6"/>
      <c r="GV117" s="6"/>
      <c r="GW117" s="9"/>
      <c r="GX117" s="7">
        <f>IFERROR(GM117/F117,0)</f>
        <v>0</v>
      </c>
      <c r="GY117"/>
      <c r="GZ117"/>
      <c r="HA117"/>
      <c r="HB117"/>
      <c r="HC117"/>
      <c r="HD117" s="4"/>
      <c r="HE117" s="4"/>
      <c r="HF117" s="6"/>
      <c r="HG117" s="4"/>
      <c r="HH117" s="5">
        <v>0</v>
      </c>
      <c r="HI117" s="5"/>
      <c r="HJ117" s="6"/>
      <c r="HK117" s="4"/>
      <c r="HL117" s="4"/>
      <c r="HM117" s="5">
        <v>0</v>
      </c>
      <c r="HN117" s="5">
        <v>0</v>
      </c>
      <c r="HO117" s="5"/>
      <c r="HP117" s="4"/>
      <c r="HQ117" s="5">
        <v>0</v>
      </c>
      <c r="HR117" s="4"/>
      <c r="HS117" s="4"/>
      <c r="HT117" s="4"/>
      <c r="HU117" s="4"/>
      <c r="HV117" s="6"/>
      <c r="HW117" s="6"/>
      <c r="HX117" s="6"/>
      <c r="HY117" s="9"/>
      <c r="HZ117"/>
      <c r="IA117"/>
      <c r="IB117"/>
      <c r="IC117"/>
      <c r="ID117"/>
      <c r="IE117"/>
      <c r="IF117" s="4"/>
      <c r="IG117" s="4"/>
      <c r="IH117" s="6"/>
      <c r="II117" s="4"/>
      <c r="IJ117" s="5">
        <v>0</v>
      </c>
      <c r="IK117" s="5"/>
      <c r="IL117" s="6"/>
      <c r="IM117" s="4"/>
      <c r="IN117" s="4"/>
      <c r="IO117" s="5">
        <v>0</v>
      </c>
      <c r="IP117" s="5">
        <v>0</v>
      </c>
      <c r="IQ117" s="5"/>
      <c r="IR117" s="4"/>
      <c r="IS117" s="5">
        <v>0</v>
      </c>
      <c r="IT117" s="4"/>
      <c r="IU117" s="4"/>
      <c r="IV117" s="4"/>
      <c r="IW117" s="4"/>
      <c r="IX117" s="6"/>
      <c r="IY117" s="6"/>
      <c r="IZ117" s="6"/>
      <c r="JA117" s="9"/>
      <c r="JB117"/>
      <c r="JC117"/>
      <c r="JD117"/>
      <c r="JE117"/>
      <c r="JF117"/>
      <c r="JG117"/>
      <c r="JH117" s="4"/>
      <c r="JI117" s="4"/>
      <c r="JJ117" s="6"/>
      <c r="JK117" s="4"/>
      <c r="JL117" s="5">
        <v>0</v>
      </c>
      <c r="JM117" s="5"/>
      <c r="JN117" s="6"/>
      <c r="JO117" s="4"/>
      <c r="JP117" s="4"/>
      <c r="JQ117" s="5">
        <v>0</v>
      </c>
      <c r="JR117" s="5">
        <v>0</v>
      </c>
      <c r="JS117" s="5"/>
      <c r="JT117" s="4"/>
      <c r="JU117" s="5">
        <v>0</v>
      </c>
      <c r="JV117" s="4"/>
      <c r="JW117" s="4"/>
      <c r="JX117" s="4"/>
      <c r="JY117" s="4"/>
      <c r="JZ117" s="6"/>
      <c r="KA117" s="6"/>
      <c r="KB117" s="6"/>
      <c r="KC117" s="9"/>
      <c r="KD117"/>
      <c r="KE117"/>
      <c r="KF117"/>
      <c r="KG117"/>
      <c r="KH117"/>
      <c r="KI117"/>
      <c r="KJ117" s="4"/>
      <c r="KK117" s="4"/>
      <c r="KL117" s="6"/>
      <c r="KM117" s="4"/>
      <c r="KN117" s="5">
        <v>0</v>
      </c>
      <c r="KO117" s="5"/>
      <c r="KP117" s="6"/>
      <c r="KQ117" s="4"/>
      <c r="KR117" s="4"/>
      <c r="KS117" s="5">
        <v>0</v>
      </c>
      <c r="KT117" s="5">
        <v>0</v>
      </c>
      <c r="KU117" s="5"/>
      <c r="KV117" s="4"/>
      <c r="KW117" s="5">
        <v>0</v>
      </c>
      <c r="KX117" s="4"/>
      <c r="KY117" s="4"/>
      <c r="KZ117" s="4"/>
      <c r="LA117" s="4"/>
      <c r="LB117" s="6"/>
      <c r="LC117" s="6"/>
      <c r="LD117" s="6"/>
      <c r="LE117" s="9"/>
      <c r="LF117"/>
      <c r="LG117"/>
      <c r="LH117"/>
      <c r="LI117"/>
      <c r="LJ117"/>
      <c r="LK117"/>
      <c r="LL117" s="4"/>
      <c r="LM117" s="4"/>
      <c r="LN117" s="6"/>
      <c r="LO117" s="4"/>
      <c r="LP117" s="5">
        <v>0</v>
      </c>
      <c r="LQ117" s="5"/>
      <c r="LR117" s="6"/>
      <c r="LS117" s="4"/>
      <c r="LT117" s="4"/>
      <c r="LU117" s="5">
        <v>0</v>
      </c>
      <c r="LV117" s="5">
        <v>0</v>
      </c>
      <c r="LW117" s="5"/>
      <c r="LX117" s="4"/>
      <c r="LY117" s="5">
        <v>0</v>
      </c>
      <c r="LZ117" s="4"/>
      <c r="MA117" s="4"/>
      <c r="MB117" s="4"/>
      <c r="MC117" s="4"/>
      <c r="MD117" s="6"/>
      <c r="ME117" s="6"/>
      <c r="MF117" s="6"/>
      <c r="MG117" s="9"/>
      <c r="MH117"/>
    </row>
    <row r="118">
      <c r="A118" s="8">
        <v>25378</v>
      </c>
      <c r="B118" s="8">
        <v>25379</v>
      </c>
      <c r="C118" s="9">
        <f>B118-A118</f>
        <v>1</v>
      </c>
      <c r="D118" s="8">
        <v>25378</v>
      </c>
      <c r="E118" t="inlineStr">
        <is>
          <t xml:space="preserve">positive</t>
        </is>
      </c>
      <c r="F118" s="4">
        <v>1.2227587880545847</v>
      </c>
      <c r="G118" s="6">
        <v>-0.005699334723535363</v>
      </c>
      <c r="H118" s="7">
        <f>SUM(CP118,DR118,ET118,FV118,GX118,HZ118,JB118,KD118,LF118,MH118)</f>
        <v>-0.005699334723535363</v>
      </c>
      <c r="I118" s="7">
        <f>G118-H118</f>
        <v>0</v>
      </c>
      <c r="J118" s="5">
        <f>F118*(1+H118)</f>
        <v>1.2157898764353172</v>
      </c>
      <c r="K118" s="4">
        <v>1.2157898764353172</v>
      </c>
      <c r="L118" s="5">
        <f>K118-J118</f>
        <v>0</v>
      </c>
      <c r="M118" s="4">
        <v>1.584</v>
      </c>
      <c r="N118" s="4">
        <v>1.587</v>
      </c>
      <c r="O118" s="5">
        <f>M118/$M$3</f>
        <v>0.8089887640449439</v>
      </c>
      <c r="P118" s="5">
        <f>N118/$M$3</f>
        <v>0.8105209397344229</v>
      </c>
      <c r="Q118" s="7">
        <f>IFERROR(N118/M118-1,0)</f>
        <v>0.0018939393939392257</v>
      </c>
      <c r="R118" s="5">
        <f>SUM(IF(BQ118="lease",CB118,0),IF(CS118="lease",DD118,0),IF(DU118="lease",EF118,0),IF(EW118="lease",FH118,0),IF(FY118="lease",GJ118,0),IF(HA118="lease",HL118,0),IF(IC118="lease",IN118,0),IF(JE118="lease",JP118,0),IF(KG118="lease",KR118,0),IF(LI118="lease",LT118,0))</f>
        <v>1.2227587880545852</v>
      </c>
      <c r="S118" s="5">
        <f>SUM(IF(BQ118="lease",CI118,0),IF(CS118="lease",DK118,0),IF(DU118="lease",EM118,0),IF(EW118="lease",FO118,0),IF(FY118="lease",GQ118,0),IF(HA118="lease",HS118,0),IF(IC118="lease",IU118,0),IF(JE118="lease",JW118,0),IF(KG118="lease",KY118,0),IF(LI118="lease",MA118,0))</f>
        <v>1.2157898764353177</v>
      </c>
      <c r="T118" s="5">
        <f>SUM(IF(BQ118="keep",CB118,0),IF(CS118="keep",DD118,0),IF(DU118="keep",EF118,0),IF(EW118="keep",FH118,0),IF(FY118="keep",GJ118,0),IF(HA118="keep",HL118,0),IF(IC118="keep",IN118,0),IF(JE118="keep",JP118,0),IF(KG118="keep",KR118,0),IF(LI118="keep",LT118,0))</f>
        <v>0</v>
      </c>
      <c r="U118" s="5">
        <f>SUM(IF(BQ118="keep",CI118,0),IF(CS118="keep",DK118,0),IF(DU118="keep",EM118,0),IF(EW118="keep",FO118,0),IF(FY118="keep",GQ118,0),IF(HA118="keep",HS118,0),IF(IC118="keep",IU118,0),IF(JE118="keep",JW118,0),IF(KG118="keep",KY118,0),IF(LI118="keep",MA118,0))</f>
        <v>0</v>
      </c>
      <c r="V118" s="5">
        <f>R118/O118</f>
        <v>1.5114657241230287</v>
      </c>
      <c r="W118" s="5">
        <f>S118/P118</f>
        <v>1.5000104461627928</v>
      </c>
      <c r="X118" s="5">
        <f>T118/O118</f>
        <v>0</v>
      </c>
      <c r="Y118" s="5">
        <f>U118/P118</f>
        <v>0</v>
      </c>
      <c r="Z118" s="5">
        <f>V118+X118</f>
        <v>1.5114657241230287</v>
      </c>
      <c r="AA118" s="7">
        <f>IFERROR(W118/V118-1,0)</f>
        <v>-0.007578920102129572</v>
      </c>
      <c r="AB118" s="7">
        <f>IFERROR((W118-V118)/Z118,0)</f>
        <v>-0.007578920102129625</v>
      </c>
      <c r="AC118" s="7">
        <f>IFERROR(Y118/X118-1,0)</f>
        <v>0</v>
      </c>
      <c r="AD118" s="7">
        <f>IFERROR((Y118-X118)/Z118,0)</f>
        <v>0</v>
      </c>
      <c r="AE118" s="7">
        <f>AB118+AD118</f>
        <v>-0.007578920102129625</v>
      </c>
      <c r="AF118" s="7">
        <f>(1+Q118)*(1+AE118)-1</f>
        <v>-0.005699334723535232</v>
      </c>
      <c r="AG118" s="7">
        <f>G118-AF118</f>
        <v>-1.3097162243624894e-16</v>
      </c>
      <c r="AH118" s="5">
        <f>SUM(IF(BQ118="lease",CE118,0),IF(CS118="lease",DG118,0),IF(DU118="lease",EI118,0),IF(EW118="lease",FK118,0),IF(FY118="lease",GM118,0),IF(HA118="lease",HO118,0),IF(IC118="lease",IQ118,0),IF(JE118="lease",JS118,0),IF(KG118="lease",KU118,0),IF(LI118="lease",LW118,0))</f>
        <v>-0.006968911619267512</v>
      </c>
      <c r="AI118" s="5">
        <f>SUM(IF(BQ118="keep",CE118,0),IF(CS118="keep",DG118,0),IF(DU118="keep",EI118,0),IF(EW118="keep",FK118,0),IF(FY118="keep",GM118,0),IF(HA118="keep",HO118,0),IF(IC118="keep",IQ118,0),IF(JE118="keep",JS118,0),IF(KG118="keep",KU118,0),IF(LI118="keep",LW118,0))</f>
        <v>0</v>
      </c>
      <c r="AJ118" s="5">
        <f>SUM(IF(BQ118="lease",CH118,0),IF(CS118="lease",DJ118,0),IF(DU118="lease",EL118,0),IF(EW118="lease",FN118,0),IF(FY118="lease",GP118,0),IF(HA118="lease",HR118,0),IF(IC118="lease",IT118,0),IF(JE118="lease",JV118,0),IF(KG118="lease",KX118,0),IF(LI118="lease",LZ118,0))</f>
        <v>0</v>
      </c>
      <c r="AK118" s="5">
        <f>SUM(IF(BQ118="keep",CH118,0),IF(CS118="keep",DJ118,0),IF(DU118="keep",EL118,0),IF(EW118="keep",FN118,0),IF(FY118="keep",GP118,0),IF(HA118="keep",HR118,0),IF(IC118="keep",IT118,0),IF(JE118="keep",JV118,0),IF(KG118="keep",KX118,0),IF(LI118="keep",LZ118,0))</f>
        <v>0</v>
      </c>
      <c r="AL118" s="5">
        <f>R118-S117</f>
        <v>0</v>
      </c>
      <c r="AM118" s="5">
        <f>T118-U117</f>
        <v>0</v>
      </c>
      <c r="AN118" s="5">
        <f>AN117</f>
        <v>1</v>
      </c>
      <c r="AO118" s="5">
        <f>AO117+AH118</f>
        <v>0.21578987643531777</v>
      </c>
      <c r="AP118" s="5">
        <f>AP117+AL118</f>
        <v>-4.440892098500626e-16</v>
      </c>
      <c r="AQ118" s="5">
        <f>AN118+AO118+AP118</f>
        <v>1.2157898764353172</v>
      </c>
      <c r="AR118" s="5">
        <f>S118-AQ118</f>
        <v>4.440892098500626e-16</v>
      </c>
      <c r="AS118" s="5">
        <f>AS117</f>
        <v>0</v>
      </c>
      <c r="AT118" s="5">
        <f>AT117+AI118</f>
        <v>0</v>
      </c>
      <c r="AU118" s="5">
        <f>AU117+AM118</f>
        <v>0</v>
      </c>
      <c r="AV118" s="5">
        <f>AS118+AT118+AU118</f>
        <v>0</v>
      </c>
      <c r="AW118" s="5">
        <f>U118-AV118</f>
        <v>0</v>
      </c>
      <c r="AX118" s="4">
        <v>1.2227587880545852</v>
      </c>
      <c r="AY118" s="4">
        <v>1.2157898764353177</v>
      </c>
      <c r="AZ118" s="5">
        <f>S118-AY118</f>
        <v>0</v>
      </c>
      <c r="BA118" s="4">
        <v>0</v>
      </c>
      <c r="BB118" s="4">
        <v>0</v>
      </c>
      <c r="BC118" s="5">
        <f>U118-BB118</f>
        <v>0</v>
      </c>
      <c r="BD118" s="7">
        <f>SUM(IF(BP118="direct",CC118/F118,0),IF(CR118="direct",DE118/F118,0),IF(DT118="direct",EG118/F118,0),IF(EV118="direct",FI118/F118,0),IF(FX118="direct",GK118/F118,0),IF(GZ118="direct",HM118/F118,0),IF(IB118="direct",IO118/F118,0),IF(JD118="direct",JQ118/F118,0),IF(KF118="direct",KS118/F118,0),IF(LH118="direct",LU118/F118,0))</f>
        <v>0.00024195781771538998</v>
      </c>
      <c r="BE118" s="7">
        <f>-SUM(IF(BP118="direct",CD118/F118,0),IF(CR118="direct",DF118/F118,0),IF(DT118="direct",EH118/F118,0),IF(EV118="direct",FJ118/F118,0),IF(FX118="direct",GL118/F118,0),IF(GZ118="direct",HN118/F118,0),IF(IB118="direct",IP118/F118,0),IF(JD118="direct",JR118/F118,0),IF(KF118="direct",KT118/F118,0),IF(LH118="direct",LV118/F118,0))</f>
        <v>-8.750255325597979e-7</v>
      </c>
      <c r="BF118" s="7">
        <f>BD118+BE118</f>
        <v>0.00024108279218283018</v>
      </c>
      <c r="BG118" s="7">
        <f>BF118-SUM(IF(BP118="direct",CP118,0),IF(CR118="direct",DR118,0),IF(DT118="direct",ET118,0),IF(EV118="direct",FV118,0),IF(FX118="direct",GX118,0),IF(GZ118="direct",HZ118,0),IF(IB118="direct",JB118,0),IF(JD118="direct",KD118,0),IF(KF118="direct",LF118,0),IF(LH118="direct",MH118,0))</f>
        <v>1.2793585635328952e-17</v>
      </c>
      <c r="BH118" s="7">
        <f>SUM(IF(BP118="treasury",CP118,0),IF(CR118="treasury",DR118,0),IF(DT118="treasury",ET118,0),IF(EV118="treasury",FV118,0),IF(FX118="treasury",GX118,0),IF(GZ118="treasury",HZ118,0),IF(IB118="treasury",JB118,0),IF(JD118="treasury",KD118,0),IF(KF118="treasury",LF118,0),IF(LH118="treasury",MH118,0))</f>
        <v>0.00015533152793426717</v>
      </c>
      <c r="BI118" s="7">
        <f>SUM(IF(BP118="future",CP118,0),IF(CR118="future",DR118,0),IF(DT118="future",ET118,0),IF(EV118="future",FV118,0),IF(FX118="future",GX118,0),IF(GZ118="future",HZ118,0),IF(IB118="future",JB118,0),IF(JD118="future",KD118,0),IF(KF118="future",LF118,0),IF(LH118="future",MH118,0))</f>
        <v>-0.006095749043652447</v>
      </c>
      <c r="BJ118" s="7">
        <f>SUM(IF(BP118="cash",CP118,0),IF(CR118="cash",DR118,0),IF(DT118="cash",ET118,0),IF(EV118="cash",FV118,0),IF(FX118="cash",GX118,0),IF(GZ118="cash",HZ118,0),IF(IB118="cash",JB118,0),IF(JD118="cash",KD118,0),IF(KF118="cash",LF118,0),IF(LH118="cash",MH118,0))</f>
        <v>0</v>
      </c>
      <c r="BK118" s="7">
        <f>SUM(BF118,BH118,BI118,BJ118)</f>
        <v>-0.005699334723535363</v>
      </c>
      <c r="BL118" s="7">
        <f>G118-BK118</f>
        <v>0</v>
      </c>
      <c r="BM118" s="5">
        <f>MAX(ABS(CG118),ABS(DI118),ABS(EK118),ABS(FM118),ABS(GO118),ABS(HQ118),ABS(IS118),ABS(JU118),ABS(KW118),ABS(LY118))</f>
        <v>9.14524532491523e-17</v>
      </c>
      <c r="BN118" s="9">
        <f>COUNTA(BO118,CQ118,DS118,EU118,FW118,GY118,IA118,JC118,KE118,LG118)</f>
        <v>5</v>
      </c>
      <c r="BO118" t="inlineStr">
        <is>
          <t xml:space="preserve">Direct commodity holding</t>
        </is>
      </c>
      <c r="BP118" t="inlineStr">
        <is>
          <t xml:space="preserve">direct</t>
        </is>
      </c>
      <c r="BQ118" t="inlineStr">
        <is>
          <t xml:space="preserve">lease</t>
        </is>
      </c>
      <c r="BR118" t="inlineStr">
        <is>
          <t xml:space="preserve">long</t>
        </is>
      </c>
      <c r="BS118"/>
      <c r="BT118" s="4">
        <v>1.584</v>
      </c>
      <c r="BU118" s="4">
        <v>1.587</v>
      </c>
      <c r="BV118" s="6">
        <v>0.0025</v>
      </c>
      <c r="BW118" s="4">
        <v>0.09861868265000434</v>
      </c>
      <c r="BX118" s="5">
        <f>IF(BP118="direct",IFERROR(CD118/BU118,0),0)</f>
        <v>6.74193547391075e-7</v>
      </c>
      <c r="BY118" s="5">
        <f>IF(BP118="direct",BW118-BX118,IF(BP118="cash",CI118,BW118))</f>
        <v>0.09861800845645695</v>
      </c>
      <c r="BZ118" s="6">
        <v>0.1277537277537305</v>
      </c>
      <c r="CA118" s="4">
        <v>0.15621199331760688</v>
      </c>
      <c r="CB118" s="4">
        <v>0.15621199331760688</v>
      </c>
      <c r="CC118" s="5">
        <f>IF(BP118="direct",BW118*(BU118-BT118),CF118)</f>
        <v>0.00029585604795000236</v>
      </c>
      <c r="CD118" s="5">
        <f>IF(BP118="direct",CB118*BV118*C118/365,0)</f>
        <v>0.000001069945159709636</v>
      </c>
      <c r="CE118" s="5">
        <f>CC118-CD118</f>
        <v>0.0002947861027902771</v>
      </c>
      <c r="CF118" s="4">
        <v>0.0002947861027902771</v>
      </c>
      <c r="CG118" s="5">
        <f>CF118-CE118</f>
        <v>-1.561526414086984e-17</v>
      </c>
      <c r="CH118" s="4">
        <v>0</v>
      </c>
      <c r="CI118" s="4">
        <v>0.15650677942039717</v>
      </c>
      <c r="CJ118" s="4">
        <v>1.584</v>
      </c>
      <c r="CK118" s="4">
        <v>1.587</v>
      </c>
      <c r="CL118" s="6"/>
      <c r="CM118" s="6"/>
      <c r="CN118" s="6"/>
      <c r="CO118" s="9"/>
      <c r="CP118" s="7">
        <f>IFERROR(CE118/F118,0)</f>
        <v>0.00024108279218281738</v>
      </c>
      <c r="CQ118" t="inlineStr">
        <is>
          <t xml:space="preserve">Treasury collateral</t>
        </is>
      </c>
      <c r="CR118" t="inlineStr">
        <is>
          <t xml:space="preserve">treasury</t>
        </is>
      </c>
      <c r="CS118" t="inlineStr">
        <is>
          <t xml:space="preserve">lease</t>
        </is>
      </c>
      <c r="CT118" t="inlineStr">
        <is>
          <t xml:space="preserve">long</t>
        </is>
      </c>
      <c r="CU118"/>
      <c r="CV118" s="4">
        <v>102.95128763171829</v>
      </c>
      <c r="CW118" s="4">
        <v>102.96962142266639</v>
      </c>
      <c r="CX118" s="6"/>
      <c r="CY118" s="4">
        <v>0.010359722731708555</v>
      </c>
      <c r="CZ118" s="5">
        <f>IF(CR118="direct",IFERROR(DF118/CW118,0),0)</f>
        <v>0</v>
      </c>
      <c r="DA118" s="5">
        <f>IF(CR118="direct",CY118-CZ118,IF(CR118="cash",DK118,CY118))</f>
        <v>0.010359722731708555</v>
      </c>
      <c r="DB118" s="6">
        <v>0.8722462722462694</v>
      </c>
      <c r="DC118" s="4">
        <v>1.0665467947369778</v>
      </c>
      <c r="DD118" s="4">
        <v>1.0665467947369778</v>
      </c>
      <c r="DE118" s="5">
        <f>IF(CR118="direct",CY118*(CW118-CV118),DH118)</f>
        <v>0.00018993299084347993</v>
      </c>
      <c r="DF118" s="5">
        <f>IF(CR118="direct",DD118*CX118*C118/365,0)</f>
        <v>0</v>
      </c>
      <c r="DG118" s="5">
        <f>DE118-DF118</f>
        <v>0.00018993299084357139</v>
      </c>
      <c r="DH118" s="4">
        <v>0.00018993299084357139</v>
      </c>
      <c r="DI118" s="5">
        <f>DH118-DG118</f>
        <v>9.14524532491523e-17</v>
      </c>
      <c r="DJ118" s="4">
        <v>-1.04788139970724e-16</v>
      </c>
      <c r="DK118" s="4">
        <v>1.0667367277278212</v>
      </c>
      <c r="DL118" s="4">
        <v>1.584</v>
      </c>
      <c r="DM118" s="4">
        <v>1.587</v>
      </c>
      <c r="DN118" s="6"/>
      <c r="DO118" s="6"/>
      <c r="DP118" s="6"/>
      <c r="DQ118" s="9">
        <v>35</v>
      </c>
      <c r="DR118" s="7">
        <f>IFERROR(DG118/F118,0)</f>
        <v>0.00015533152793426717</v>
      </c>
      <c r="DS118" t="inlineStr">
        <is>
          <t xml:space="preserve">SI69N</t>
        </is>
      </c>
      <c r="DT118" t="inlineStr">
        <is>
          <t xml:space="preserve">future</t>
        </is>
      </c>
      <c r="DU118" t="inlineStr">
        <is>
          <t xml:space="preserve">lease</t>
        </is>
      </c>
      <c r="DV118" t="inlineStr">
        <is>
          <t xml:space="preserve">long</t>
        </is>
      </c>
      <c r="DW118" t="inlineStr">
        <is>
          <t xml:space="preserve">regular</t>
        </is>
      </c>
      <c r="DX118" s="4">
        <v>1.574</v>
      </c>
      <c r="DY118" s="4">
        <v>1.5630000000000002</v>
      </c>
      <c r="DZ118" s="6"/>
      <c r="EA118" s="4">
        <v>0.6776027920819426</v>
      </c>
      <c r="EB118" s="5">
        <f>IF(DT118="direct",IFERROR(EH118/DY118,0),0)</f>
        <v>0</v>
      </c>
      <c r="EC118" s="5">
        <f>IF(DT118="direct",EA118-EB118,IF(DT118="cash",EM118,EA118))</f>
        <v>0.6776027920819426</v>
      </c>
      <c r="ED118" s="6">
        <v>0.8722462722462694</v>
      </c>
      <c r="EE118" s="4">
        <v>1.0665467947369778</v>
      </c>
      <c r="EF118" s="4">
        <v>0</v>
      </c>
      <c r="EG118" s="5">
        <f>IF(DT118="direct",EA118*(DY118-DX118),EJ118)</f>
        <v>-0.0074536307129013605</v>
      </c>
      <c r="EH118" s="5">
        <f>IF(DT118="direct",EF118*DZ118*C118/365,0)</f>
        <v>0</v>
      </c>
      <c r="EI118" s="5">
        <f>EG118-EH118</f>
        <v>-0.0074536307129013605</v>
      </c>
      <c r="EJ118" s="4">
        <v>-0.0074536307129013605</v>
      </c>
      <c r="EK118" s="5">
        <f>EJ118-EI118</f>
        <v>0</v>
      </c>
      <c r="EL118" s="4">
        <v>0.0074536307129013605</v>
      </c>
      <c r="EM118" s="4">
        <v>0</v>
      </c>
      <c r="EN118" s="4">
        <v>1.584</v>
      </c>
      <c r="EO118" s="4">
        <v>1.587</v>
      </c>
      <c r="EP118" s="6">
        <v>-0.0063131313131312705</v>
      </c>
      <c r="EQ118" s="6">
        <v>0.065</v>
      </c>
      <c r="ER118" s="6">
        <v>0.13083694083694042</v>
      </c>
      <c r="ES118" s="9">
        <v>35</v>
      </c>
      <c r="ET118" s="7">
        <f>IFERROR(EI118/F118,0)</f>
        <v>-0.006095749043652447</v>
      </c>
      <c r="EU118" t="inlineStr">
        <is>
          <t xml:space="preserve">Lease cash / margin / financing</t>
        </is>
      </c>
      <c r="EV118" t="inlineStr">
        <is>
          <t xml:space="preserve">cash</t>
        </is>
      </c>
      <c r="EW118" t="inlineStr">
        <is>
          <t xml:space="preserve">lease</t>
        </is>
      </c>
      <c r="EX118" t="inlineStr">
        <is>
          <t xml:space="preserve">cash</t>
        </is>
      </c>
      <c r="EY118"/>
      <c r="EZ118" s="4">
        <v>1</v>
      </c>
      <c r="FA118" s="4">
        <v>1</v>
      </c>
      <c r="FB118" s="6"/>
      <c r="FC118" s="4">
        <v>4.440892098500626e-16</v>
      </c>
      <c r="FD118" s="5">
        <f>IF(EV118="direct",IFERROR(FJ118/FA118,0),0)</f>
        <v>0</v>
      </c>
      <c r="FE118" s="5">
        <f>IF(EV118="direct",FC118-FD118,IF(EV118="cash",FO118,FC118))</f>
        <v>-0.0074536307129008115</v>
      </c>
      <c r="FF118" s="6"/>
      <c r="FG118" s="4">
        <v>4.440892098500626e-16</v>
      </c>
      <c r="FH118" s="4">
        <v>4.440892098500626e-16</v>
      </c>
      <c r="FI118" s="5">
        <f>IF(EV118="direct",FC118*(FA118-EZ118),FL118)</f>
        <v>0</v>
      </c>
      <c r="FJ118" s="5">
        <f>IF(EV118="direct",FH118*FB118*C118/365,0)</f>
        <v>0</v>
      </c>
      <c r="FK118" s="5">
        <f>FI118-FJ118</f>
        <v>0</v>
      </c>
      <c r="FL118" s="4">
        <v>0</v>
      </c>
      <c r="FM118" s="5">
        <f>FL118-FK118</f>
        <v>0</v>
      </c>
      <c r="FN118" s="4">
        <v>-0.0074536307129012555</v>
      </c>
      <c r="FO118" s="4">
        <v>-0.0074536307129008115</v>
      </c>
      <c r="FP118" s="4">
        <v>1.584</v>
      </c>
      <c r="FQ118" s="4">
        <v>1.587</v>
      </c>
      <c r="FR118" s="6"/>
      <c r="FS118" s="6"/>
      <c r="FT118" s="6"/>
      <c r="FU118" s="9"/>
      <c r="FV118" s="7">
        <f>IFERROR(FK118/F118,0)</f>
        <v>0</v>
      </c>
      <c r="FW118" t="inlineStr">
        <is>
          <t xml:space="preserve">Keep cash / margin / financing</t>
        </is>
      </c>
      <c r="FX118" t="inlineStr">
        <is>
          <t xml:space="preserve">cash</t>
        </is>
      </c>
      <c r="FY118" t="inlineStr">
        <is>
          <t xml:space="preserve">keep</t>
        </is>
      </c>
      <c r="FZ118" t="inlineStr">
        <is>
          <t xml:space="preserve">cash</t>
        </is>
      </c>
      <c r="GA118"/>
      <c r="GB118" s="4">
        <v>1</v>
      </c>
      <c r="GC118" s="4">
        <v>1</v>
      </c>
      <c r="GD118" s="6"/>
      <c r="GE118" s="4">
        <v>0</v>
      </c>
      <c r="GF118" s="5">
        <f>IF(FX118="direct",IFERROR(GL118/GC118,0),0)</f>
        <v>0</v>
      </c>
      <c r="GG118" s="5">
        <f>IF(FX118="direct",GE118-GF118,IF(FX118="cash",GQ118,GE118))</f>
        <v>0</v>
      </c>
      <c r="GH118" s="6"/>
      <c r="GI118" s="4">
        <v>0</v>
      </c>
      <c r="GJ118" s="4">
        <v>0</v>
      </c>
      <c r="GK118" s="5">
        <f>IF(FX118="direct",GE118*(GC118-GB118),GN118)</f>
        <v>0</v>
      </c>
      <c r="GL118" s="5">
        <f>IF(FX118="direct",GJ118*GD118*C118/365,0)</f>
        <v>0</v>
      </c>
      <c r="GM118" s="5">
        <f>GK118-GL118</f>
        <v>0</v>
      </c>
      <c r="GN118" s="4">
        <v>0</v>
      </c>
      <c r="GO118" s="5">
        <f>GN118-GM118</f>
        <v>0</v>
      </c>
      <c r="GP118" s="4">
        <v>0</v>
      </c>
      <c r="GQ118" s="4">
        <v>0</v>
      </c>
      <c r="GR118" s="4">
        <v>1.584</v>
      </c>
      <c r="GS118" s="4">
        <v>1.587</v>
      </c>
      <c r="GT118" s="6"/>
      <c r="GU118" s="6"/>
      <c r="GV118" s="6"/>
      <c r="GW118" s="9"/>
      <c r="GX118" s="7">
        <f>IFERROR(GM118/F118,0)</f>
        <v>0</v>
      </c>
      <c r="GY118"/>
      <c r="GZ118"/>
      <c r="HA118"/>
      <c r="HB118"/>
      <c r="HC118"/>
      <c r="HD118" s="4"/>
      <c r="HE118" s="4"/>
      <c r="HF118" s="6"/>
      <c r="HG118" s="4"/>
      <c r="HH118" s="5">
        <v>0</v>
      </c>
      <c r="HI118" s="5"/>
      <c r="HJ118" s="6"/>
      <c r="HK118" s="4"/>
      <c r="HL118" s="4"/>
      <c r="HM118" s="5">
        <v>0</v>
      </c>
      <c r="HN118" s="5">
        <v>0</v>
      </c>
      <c r="HO118" s="5"/>
      <c r="HP118" s="4"/>
      <c r="HQ118" s="5">
        <v>0</v>
      </c>
      <c r="HR118" s="4"/>
      <c r="HS118" s="4"/>
      <c r="HT118" s="4"/>
      <c r="HU118" s="4"/>
      <c r="HV118" s="6"/>
      <c r="HW118" s="6"/>
      <c r="HX118" s="6"/>
      <c r="HY118" s="9"/>
      <c r="HZ118"/>
      <c r="IA118"/>
      <c r="IB118"/>
      <c r="IC118"/>
      <c r="ID118"/>
      <c r="IE118"/>
      <c r="IF118" s="4"/>
      <c r="IG118" s="4"/>
      <c r="IH118" s="6"/>
      <c r="II118" s="4"/>
      <c r="IJ118" s="5">
        <v>0</v>
      </c>
      <c r="IK118" s="5"/>
      <c r="IL118" s="6"/>
      <c r="IM118" s="4"/>
      <c r="IN118" s="4"/>
      <c r="IO118" s="5">
        <v>0</v>
      </c>
      <c r="IP118" s="5">
        <v>0</v>
      </c>
      <c r="IQ118" s="5"/>
      <c r="IR118" s="4"/>
      <c r="IS118" s="5">
        <v>0</v>
      </c>
      <c r="IT118" s="4"/>
      <c r="IU118" s="4"/>
      <c r="IV118" s="4"/>
      <c r="IW118" s="4"/>
      <c r="IX118" s="6"/>
      <c r="IY118" s="6"/>
      <c r="IZ118" s="6"/>
      <c r="JA118" s="9"/>
      <c r="JB118"/>
      <c r="JC118"/>
      <c r="JD118"/>
      <c r="JE118"/>
      <c r="JF118"/>
      <c r="JG118"/>
      <c r="JH118" s="4"/>
      <c r="JI118" s="4"/>
      <c r="JJ118" s="6"/>
      <c r="JK118" s="4"/>
      <c r="JL118" s="5">
        <v>0</v>
      </c>
      <c r="JM118" s="5"/>
      <c r="JN118" s="6"/>
      <c r="JO118" s="4"/>
      <c r="JP118" s="4"/>
      <c r="JQ118" s="5">
        <v>0</v>
      </c>
      <c r="JR118" s="5">
        <v>0</v>
      </c>
      <c r="JS118" s="5"/>
      <c r="JT118" s="4"/>
      <c r="JU118" s="5">
        <v>0</v>
      </c>
      <c r="JV118" s="4"/>
      <c r="JW118" s="4"/>
      <c r="JX118" s="4"/>
      <c r="JY118" s="4"/>
      <c r="JZ118" s="6"/>
      <c r="KA118" s="6"/>
      <c r="KB118" s="6"/>
      <c r="KC118" s="9"/>
      <c r="KD118"/>
      <c r="KE118"/>
      <c r="KF118"/>
      <c r="KG118"/>
      <c r="KH118"/>
      <c r="KI118"/>
      <c r="KJ118" s="4"/>
      <c r="KK118" s="4"/>
      <c r="KL118" s="6"/>
      <c r="KM118" s="4"/>
      <c r="KN118" s="5">
        <v>0</v>
      </c>
      <c r="KO118" s="5"/>
      <c r="KP118" s="6"/>
      <c r="KQ118" s="4"/>
      <c r="KR118" s="4"/>
      <c r="KS118" s="5">
        <v>0</v>
      </c>
      <c r="KT118" s="5">
        <v>0</v>
      </c>
      <c r="KU118" s="5"/>
      <c r="KV118" s="4"/>
      <c r="KW118" s="5">
        <v>0</v>
      </c>
      <c r="KX118" s="4"/>
      <c r="KY118" s="4"/>
      <c r="KZ118" s="4"/>
      <c r="LA118" s="4"/>
      <c r="LB118" s="6"/>
      <c r="LC118" s="6"/>
      <c r="LD118" s="6"/>
      <c r="LE118" s="9"/>
      <c r="LF118"/>
      <c r="LG118"/>
      <c r="LH118"/>
      <c r="LI118"/>
      <c r="LJ118"/>
      <c r="LK118"/>
      <c r="LL118" s="4"/>
      <c r="LM118" s="4"/>
      <c r="LN118" s="6"/>
      <c r="LO118" s="4"/>
      <c r="LP118" s="5">
        <v>0</v>
      </c>
      <c r="LQ118" s="5"/>
      <c r="LR118" s="6"/>
      <c r="LS118" s="4"/>
      <c r="LT118" s="4"/>
      <c r="LU118" s="5">
        <v>0</v>
      </c>
      <c r="LV118" s="5">
        <v>0</v>
      </c>
      <c r="LW118" s="5"/>
      <c r="LX118" s="4"/>
      <c r="LY118" s="5">
        <v>0</v>
      </c>
      <c r="LZ118" s="4"/>
      <c r="MA118" s="4"/>
      <c r="MB118" s="4"/>
      <c r="MC118" s="4"/>
      <c r="MD118" s="6"/>
      <c r="ME118" s="6"/>
      <c r="MF118" s="6"/>
      <c r="MG118" s="9"/>
      <c r="MH118"/>
    </row>
    <row r="119">
      <c r="A119" s="8">
        <v>25379</v>
      </c>
      <c r="B119" s="8">
        <v>25380</v>
      </c>
      <c r="C119" s="9">
        <f>B119-A119</f>
        <v>1</v>
      </c>
      <c r="D119" s="8">
        <v>25379</v>
      </c>
      <c r="E119" t="inlineStr">
        <is>
          <t xml:space="preserve">positive</t>
        </is>
      </c>
      <c r="F119" s="4">
        <v>1.2157898764353172</v>
      </c>
      <c r="G119" s="6">
        <v>-0.013260358110062575</v>
      </c>
      <c r="H119" s="7">
        <f>SUM(CP119,DR119,ET119,FV119,GX119,HZ119,JB119,KD119,LF119,MH119)</f>
        <v>-0.013260358110062577</v>
      </c>
      <c r="I119" s="7">
        <f>G119-H119</f>
        <v>1.734723475976807e-18</v>
      </c>
      <c r="J119" s="5">
        <f>F119*(1+H119)</f>
        <v>1.1996680672871962</v>
      </c>
      <c r="K119" s="4">
        <v>1.1996680672871962</v>
      </c>
      <c r="L119" s="5">
        <f>K119-J119</f>
        <v>0</v>
      </c>
      <c r="M119" s="4">
        <v>1.587</v>
      </c>
      <c r="N119" s="4">
        <v>1.579</v>
      </c>
      <c r="O119" s="5">
        <f>M119/$M$3</f>
        <v>0.8105209397344229</v>
      </c>
      <c r="P119" s="5">
        <f>N119/$M$3</f>
        <v>0.806435137895812</v>
      </c>
      <c r="Q119" s="7">
        <f>IFERROR(N119/M119-1,0)</f>
        <v>-0.00504095778197855</v>
      </c>
      <c r="R119" s="5">
        <f>SUM(IF(BQ119="lease",CB119,0),IF(CS119="lease",DD119,0),IF(DU119="lease",EF119,0),IF(EW119="lease",FH119,0),IF(FY119="lease",GJ119,0),IF(HA119="lease",HL119,0),IF(IC119="lease",IN119,0),IF(JE119="lease",JP119,0),IF(KG119="lease",KR119,0),IF(LI119="lease",LT119,0))</f>
        <v>1.2157898764353177</v>
      </c>
      <c r="S119" s="5">
        <f>SUM(IF(BQ119="lease",CI119,0),IF(CS119="lease",DK119,0),IF(DU119="lease",EM119,0),IF(EW119="lease",FO119,0),IF(FY119="lease",GQ119,0),IF(HA119="lease",HS119,0),IF(IC119="lease",IU119,0),IF(JE119="lease",JW119,0),IF(KG119="lease",KY119,0),IF(LI119="lease",MA119,0))</f>
        <v>1.1996680672871967</v>
      </c>
      <c r="T119" s="5">
        <f>SUM(IF(BQ119="keep",CB119,0),IF(CS119="keep",DD119,0),IF(DU119="keep",EF119,0),IF(EW119="keep",FH119,0),IF(FY119="keep",GJ119,0),IF(HA119="keep",HL119,0),IF(IC119="keep",IN119,0),IF(JE119="keep",JP119,0),IF(KG119="keep",KR119,0),IF(LI119="keep",LT119,0))</f>
        <v>0</v>
      </c>
      <c r="U119" s="5">
        <f>SUM(IF(BQ119="keep",CI119,0),IF(CS119="keep",DK119,0),IF(DU119="keep",EM119,0),IF(EW119="keep",FO119,0),IF(FY119="keep",GQ119,0),IF(HA119="keep",HS119,0),IF(IC119="keep",IU119,0),IF(JE119="keep",JW119,0),IF(KG119="keep",KY119,0),IF(LI119="keep",MA119,0))</f>
        <v>0</v>
      </c>
      <c r="V119" s="5">
        <f>R119/O119</f>
        <v>1.5000104461627928</v>
      </c>
      <c r="W119" s="5">
        <f>S119/P119</f>
        <v>1.4876187940141425</v>
      </c>
      <c r="X119" s="5">
        <f>T119/O119</f>
        <v>0</v>
      </c>
      <c r="Y119" s="5">
        <f>U119/P119</f>
        <v>0</v>
      </c>
      <c r="Z119" s="5">
        <f>V119+X119</f>
        <v>1.5000104461627928</v>
      </c>
      <c r="AA119" s="7">
        <f>IFERROR(W119/V119-1,0)</f>
        <v>-0.008261043901627185</v>
      </c>
      <c r="AB119" s="7">
        <f>IFERROR((W119-V119)/Z119,0)</f>
        <v>-0.0082610439016272</v>
      </c>
      <c r="AC119" s="7">
        <f>IFERROR(Y119/X119-1,0)</f>
        <v>0</v>
      </c>
      <c r="AD119" s="7">
        <f>IFERROR((Y119-X119)/Z119,0)</f>
        <v>0</v>
      </c>
      <c r="AE119" s="7">
        <f>AB119+AD119</f>
        <v>-0.0082610439016272</v>
      </c>
      <c r="AF119" s="7">
        <f>(1+Q119)*(1+AE119)-1</f>
        <v>-0.013260358110062542</v>
      </c>
      <c r="AG119" s="7">
        <f>G119-AF119</f>
        <v>-3.2959746043559335e-17</v>
      </c>
      <c r="AH119" s="5">
        <f>SUM(IF(BQ119="lease",CE119,0),IF(CS119="lease",DG119,0),IF(DU119="lease",EI119,0),IF(EW119="lease",FK119,0),IF(FY119="lease",GM119,0),IF(HA119="lease",HO119,0),IF(IC119="lease",IQ119,0),IF(JE119="lease",JS119,0),IF(KG119="lease",KU119,0),IF(LI119="lease",LW119,0))</f>
        <v>-0.016121809148121037</v>
      </c>
      <c r="AI119" s="5">
        <f>SUM(IF(BQ119="keep",CE119,0),IF(CS119="keep",DG119,0),IF(DU119="keep",EI119,0),IF(EW119="keep",FK119,0),IF(FY119="keep",GM119,0),IF(HA119="keep",HO119,0),IF(IC119="keep",IQ119,0),IF(JE119="keep",JS119,0),IF(KG119="keep",KU119,0),IF(LI119="keep",LW119,0))</f>
        <v>0</v>
      </c>
      <c r="AJ119" s="5">
        <f>SUM(IF(BQ119="lease",CH119,0),IF(CS119="lease",DJ119,0),IF(DU119="lease",EL119,0),IF(EW119="lease",FN119,0),IF(FY119="lease",GP119,0),IF(HA119="lease",HR119,0),IF(IC119="lease",IT119,0),IF(JE119="lease",JV119,0),IF(KG119="lease",KX119,0),IF(LI119="lease",LZ119,0))</f>
        <v>0</v>
      </c>
      <c r="AK119" s="5">
        <f>SUM(IF(BQ119="keep",CH119,0),IF(CS119="keep",DJ119,0),IF(DU119="keep",EL119,0),IF(EW119="keep",FN119,0),IF(FY119="keep",GP119,0),IF(HA119="keep",HR119,0),IF(IC119="keep",IT119,0),IF(JE119="keep",JV119,0),IF(KG119="keep",KX119,0),IF(LI119="keep",LZ119,0))</f>
        <v>0</v>
      </c>
      <c r="AL119" s="5">
        <f>R119-S118</f>
        <v>0</v>
      </c>
      <c r="AM119" s="5">
        <f>T119-U118</f>
        <v>0</v>
      </c>
      <c r="AN119" s="5">
        <f>AN118</f>
        <v>1</v>
      </c>
      <c r="AO119" s="5">
        <f>AO118+AH119</f>
        <v>0.19966806728719674</v>
      </c>
      <c r="AP119" s="5">
        <f>AP118+AL119</f>
        <v>-4.440892098500626e-16</v>
      </c>
      <c r="AQ119" s="5">
        <f>AN119+AO119+AP119</f>
        <v>1.1996680672871962</v>
      </c>
      <c r="AR119" s="5">
        <f>S119-AQ119</f>
        <v>4.440892098500626e-16</v>
      </c>
      <c r="AS119" s="5">
        <f>AS118</f>
        <v>0</v>
      </c>
      <c r="AT119" s="5">
        <f>AT118+AI119</f>
        <v>0</v>
      </c>
      <c r="AU119" s="5">
        <f>AU118+AM119</f>
        <v>0</v>
      </c>
      <c r="AV119" s="5">
        <f>AS119+AT119+AU119</f>
        <v>0</v>
      </c>
      <c r="AW119" s="5">
        <f>U119-AV119</f>
        <v>0</v>
      </c>
      <c r="AX119" s="4">
        <v>1.2157898764353177</v>
      </c>
      <c r="AY119" s="4">
        <v>1.1996680672871967</v>
      </c>
      <c r="AZ119" s="5">
        <f>S119-AY119</f>
        <v>0</v>
      </c>
      <c r="BA119" s="4">
        <v>0</v>
      </c>
      <c r="BB119" s="4">
        <v>0</v>
      </c>
      <c r="BC119" s="5">
        <f>U119-BB119</f>
        <v>0</v>
      </c>
      <c r="BD119" s="7">
        <f>SUM(IF(BP119="direct",CC119/F119,0),IF(CR119="direct",DE119/F119,0),IF(DT119="direct",EG119/F119,0),IF(EV119="direct",FI119/F119,0),IF(FX119="direct",GK119/F119,0),IF(GZ119="direct",HM119/F119,0),IF(IB119="direct",IO119/F119,0),IF(JD119="direct",JQ119/F119,0),IF(KF119="direct",KS119/F119,0),IF(LH119="direct",LU119/F119,0))</f>
        <v>0</v>
      </c>
      <c r="BE119" s="7">
        <f>-SUM(IF(BP119="direct",CD119/F119,0),IF(CR119="direct",DF119/F119,0),IF(DT119="direct",EH119/F119,0),IF(EV119="direct",FJ119/F119,0),IF(FX119="direct",GL119/F119,0),IF(GZ119="direct",HN119/F119,0),IF(IB119="direct",IP119/F119,0),IF(JD119="direct",JR119/F119,0),IF(KF119="direct",KT119/F119,0),IF(LH119="direct",LV119/F119,0))</f>
        <v>0</v>
      </c>
      <c r="BF119" s="7">
        <f>BD119+BE119</f>
        <v>0</v>
      </c>
      <c r="BG119" s="7">
        <f>BF119-SUM(IF(BP119="direct",CP119,0),IF(CR119="direct",DR119,0),IF(DT119="direct",ET119,0),IF(EV119="direct",FV119,0),IF(FX119="direct",GX119,0),IF(GZ119="direct",HZ119,0),IF(IB119="direct",JB119,0),IF(JD119="direct",KD119,0),IF(KF119="direct",LF119,0),IF(LH119="direct",MH119,0))</f>
        <v>0</v>
      </c>
      <c r="BH119" s="7">
        <f>SUM(IF(BP119="treasury",CP119,0),IF(CR119="treasury",DR119,0),IF(DT119="treasury",ET119,0),IF(EV119="treasury",FV119,0),IF(FX119="treasury",GX119,0),IF(GZ119="treasury",HZ119,0),IF(IB119="treasury",JB119,0),IF(JD119="treasury",KD119,0),IF(KF119="treasury",LF119,0),IF(LH119="treasury",MH119,0))</f>
        <v>0.00017534246575342467</v>
      </c>
      <c r="BI119" s="7">
        <f>SUM(IF(BP119="future",CP119,0),IF(CR119="future",DR119,0),IF(DT119="future",ET119,0),IF(EV119="future",FV119,0),IF(FX119="future",GX119,0),IF(GZ119="future",HZ119,0),IF(IB119="future",JB119,0),IF(JD119="future",KD119,0),IF(KF119="future",LF119,0),IF(LH119="future",MH119,0))</f>
        <v>-0.013435700575816</v>
      </c>
      <c r="BJ119" s="7">
        <f>SUM(IF(BP119="cash",CP119,0),IF(CR119="cash",DR119,0),IF(DT119="cash",ET119,0),IF(EV119="cash",FV119,0),IF(FX119="cash",GX119,0),IF(GZ119="cash",HZ119,0),IF(IB119="cash",JB119,0),IF(JD119="cash",KD119,0),IF(KF119="cash",LF119,0),IF(LH119="cash",MH119,0))</f>
        <v>0</v>
      </c>
      <c r="BK119" s="7">
        <f>SUM(BF119,BH119,BI119,BJ119)</f>
        <v>-0.013260358110062577</v>
      </c>
      <c r="BL119" s="7">
        <f>G119-BK119</f>
        <v>1.734723475976807e-18</v>
      </c>
      <c r="BM119" s="5">
        <f>MAX(ABS(CG119),ABS(DI119),ABS(EK119),ABS(FM119),ABS(GO119),ABS(HQ119),ABS(IS119),ABS(JU119),ABS(KW119),ABS(LY119))</f>
        <v>3.1496073110703904e-17</v>
      </c>
      <c r="BN119" s="9">
        <f>COUNTA(BO119,CQ119,DS119,EU119,FW119,GY119,IA119,JC119,KE119,LG119)</f>
        <v>4</v>
      </c>
      <c r="BO119" t="inlineStr">
        <is>
          <t xml:space="preserve">Treasury collateral</t>
        </is>
      </c>
      <c r="BP119" t="inlineStr">
        <is>
          <t xml:space="preserve">treasury</t>
        </is>
      </c>
      <c r="BQ119" t="inlineStr">
        <is>
          <t xml:space="preserve">lease</t>
        </is>
      </c>
      <c r="BR119" t="inlineStr">
        <is>
          <t xml:space="preserve">long</t>
        </is>
      </c>
      <c r="BS119"/>
      <c r="BT119" s="4">
        <v>102.96962142266639</v>
      </c>
      <c r="BU119" s="4">
        <v>102.98767636998434</v>
      </c>
      <c r="BV119" s="6"/>
      <c r="BW119" s="4">
        <v>0.011807267615802742</v>
      </c>
      <c r="BX119" s="5">
        <f>IF(BP119="direct",IFERROR(CD119/BU119,0),0)</f>
        <v>0</v>
      </c>
      <c r="BY119" s="5">
        <f>IF(BP119="direct",BW119-BX119,IF(BP119="cash",CI119,BW119))</f>
        <v>0.011807267615802742</v>
      </c>
      <c r="BZ119" s="6">
        <v>1</v>
      </c>
      <c r="CA119" s="4">
        <v>1.2157898764353172</v>
      </c>
      <c r="CB119" s="4">
        <v>1.2157898764353172</v>
      </c>
      <c r="CC119" s="5">
        <f>IF(BP119="direct",BW119*(BU119-BT119),CF119)</f>
        <v>0.00021317959477225152</v>
      </c>
      <c r="CD119" s="5">
        <f>IF(BP119="direct",CB119*BV119*C119/365,0)</f>
        <v>0</v>
      </c>
      <c r="CE119" s="5">
        <f>CC119-CD119</f>
        <v>0.00021317959477222003</v>
      </c>
      <c r="CF119" s="4">
        <v>0.00021317959477222003</v>
      </c>
      <c r="CG119" s="5">
        <f>CF119-CE119</f>
        <v>-3.1496073110703904e-17</v>
      </c>
      <c r="CH119" s="4">
        <v>-3.629366772395226e-17</v>
      </c>
      <c r="CI119" s="4">
        <v>1.2160030560300894</v>
      </c>
      <c r="CJ119" s="4">
        <v>1.587</v>
      </c>
      <c r="CK119" s="4">
        <v>1.579</v>
      </c>
      <c r="CL119" s="6"/>
      <c r="CM119" s="6"/>
      <c r="CN119" s="6"/>
      <c r="CO119" s="9">
        <v>34</v>
      </c>
      <c r="CP119" s="7">
        <f>IFERROR(CE119/F119,0)</f>
        <v>0.00017534246575342467</v>
      </c>
      <c r="CQ119" t="inlineStr">
        <is>
          <t xml:space="preserve">SI69N</t>
        </is>
      </c>
      <c r="CR119" t="inlineStr">
        <is>
          <t xml:space="preserve">future</t>
        </is>
      </c>
      <c r="CS119" t="inlineStr">
        <is>
          <t xml:space="preserve">lease</t>
        </is>
      </c>
      <c r="CT119" t="inlineStr">
        <is>
          <t xml:space="preserve">long</t>
        </is>
      </c>
      <c r="CU119" t="inlineStr">
        <is>
          <t xml:space="preserve">regular</t>
        </is>
      </c>
      <c r="CV119" s="4">
        <v>1.5630000000000002</v>
      </c>
      <c r="CW119" s="4">
        <v>1.5419999999999998</v>
      </c>
      <c r="CX119" s="6"/>
      <c r="CY119" s="4">
        <v>0.7778566068044254</v>
      </c>
      <c r="CZ119" s="5">
        <f>IF(CR119="direct",IFERROR(DF119/CW119,0),0)</f>
        <v>0</v>
      </c>
      <c r="DA119" s="5">
        <f>IF(CR119="direct",CY119-CZ119,IF(CR119="cash",DK119,CY119))</f>
        <v>0.7778566068044254</v>
      </c>
      <c r="DB119" s="6">
        <v>0.9999999999999999</v>
      </c>
      <c r="DC119" s="4">
        <v>1.215789876435317</v>
      </c>
      <c r="DD119" s="4">
        <v>0</v>
      </c>
      <c r="DE119" s="5">
        <f>IF(CR119="direct",CY119*(CW119-CV119),DH119)</f>
        <v>-0.016334988742893256</v>
      </c>
      <c r="DF119" s="5">
        <f>IF(CR119="direct",DD119*CX119*C119/365,0)</f>
        <v>0</v>
      </c>
      <c r="DG119" s="5">
        <f>DE119-DF119</f>
        <v>-0.016334988742893256</v>
      </c>
      <c r="DH119" s="4">
        <v>-0.016334988742893256</v>
      </c>
      <c r="DI119" s="5">
        <f>DH119-DG119</f>
        <v>0</v>
      </c>
      <c r="DJ119" s="4">
        <v>0.016334988742893256</v>
      </c>
      <c r="DK119" s="4">
        <v>0</v>
      </c>
      <c r="DL119" s="4">
        <v>1.587</v>
      </c>
      <c r="DM119" s="4">
        <v>1.579</v>
      </c>
      <c r="DN119" s="6">
        <v>-0.01512287334593565</v>
      </c>
      <c r="DO119" s="6">
        <v>0.064</v>
      </c>
      <c r="DP119" s="6">
        <v>0.2263484932725445</v>
      </c>
      <c r="DQ119" s="9">
        <v>34</v>
      </c>
      <c r="DR119" s="7">
        <f>IFERROR(DG119/F119,0)</f>
        <v>-0.013435700575816</v>
      </c>
      <c r="DS119" t="inlineStr">
        <is>
          <t xml:space="preserve">Lease cash / margin / financing</t>
        </is>
      </c>
      <c r="DT119" t="inlineStr">
        <is>
          <t xml:space="preserve">cash</t>
        </is>
      </c>
      <c r="DU119" t="inlineStr">
        <is>
          <t xml:space="preserve">lease</t>
        </is>
      </c>
      <c r="DV119" t="inlineStr">
        <is>
          <t xml:space="preserve">cash</t>
        </is>
      </c>
      <c r="DW119"/>
      <c r="DX119" s="4">
        <v>1</v>
      </c>
      <c r="DY119" s="4">
        <v>1</v>
      </c>
      <c r="DZ119" s="6"/>
      <c r="EA119" s="4">
        <v>4.440892098500626e-16</v>
      </c>
      <c r="EB119" s="5">
        <f>IF(DT119="direct",IFERROR(EH119/DY119,0),0)</f>
        <v>0</v>
      </c>
      <c r="EC119" s="5">
        <f>IF(DT119="direct",EA119-EB119,IF(DT119="cash",EM119,EA119))</f>
        <v>-0.016334988742892777</v>
      </c>
      <c r="ED119" s="6"/>
      <c r="EE119" s="4">
        <v>4.440892098500626e-16</v>
      </c>
      <c r="EF119" s="4">
        <v>4.440892098500626e-16</v>
      </c>
      <c r="EG119" s="5">
        <f>IF(DT119="direct",EA119*(DY119-DX119),EJ119)</f>
        <v>0</v>
      </c>
      <c r="EH119" s="5">
        <f>IF(DT119="direct",EF119*DZ119*C119/365,0)</f>
        <v>0</v>
      </c>
      <c r="EI119" s="5">
        <f>EG119-EH119</f>
        <v>0</v>
      </c>
      <c r="EJ119" s="4">
        <v>0</v>
      </c>
      <c r="EK119" s="5">
        <f>EJ119-EI119</f>
        <v>0</v>
      </c>
      <c r="EL119" s="4">
        <v>-0.01633498874289322</v>
      </c>
      <c r="EM119" s="4">
        <v>-0.016334988742892777</v>
      </c>
      <c r="EN119" s="4">
        <v>1.587</v>
      </c>
      <c r="EO119" s="4">
        <v>1.579</v>
      </c>
      <c r="EP119" s="6"/>
      <c r="EQ119" s="6"/>
      <c r="ER119" s="6"/>
      <c r="ES119" s="9"/>
      <c r="ET119" s="7">
        <f>IFERROR(EI119/F119,0)</f>
        <v>0</v>
      </c>
      <c r="EU119" t="inlineStr">
        <is>
          <t xml:space="preserve">Keep cash / margin / financing</t>
        </is>
      </c>
      <c r="EV119" t="inlineStr">
        <is>
          <t xml:space="preserve">cash</t>
        </is>
      </c>
      <c r="EW119" t="inlineStr">
        <is>
          <t xml:space="preserve">keep</t>
        </is>
      </c>
      <c r="EX119" t="inlineStr">
        <is>
          <t xml:space="preserve">cash</t>
        </is>
      </c>
      <c r="EY119"/>
      <c r="EZ119" s="4">
        <v>1</v>
      </c>
      <c r="FA119" s="4">
        <v>1</v>
      </c>
      <c r="FB119" s="6"/>
      <c r="FC119" s="4">
        <v>0</v>
      </c>
      <c r="FD119" s="5">
        <f>IF(EV119="direct",IFERROR(FJ119/FA119,0),0)</f>
        <v>0</v>
      </c>
      <c r="FE119" s="5">
        <f>IF(EV119="direct",FC119-FD119,IF(EV119="cash",FO119,FC119))</f>
        <v>0</v>
      </c>
      <c r="FF119" s="6"/>
      <c r="FG119" s="4">
        <v>0</v>
      </c>
      <c r="FH119" s="4">
        <v>0</v>
      </c>
      <c r="FI119" s="5">
        <f>IF(EV119="direct",FC119*(FA119-EZ119),FL119)</f>
        <v>0</v>
      </c>
      <c r="FJ119" s="5">
        <f>IF(EV119="direct",FH119*FB119*C119/365,0)</f>
        <v>0</v>
      </c>
      <c r="FK119" s="5">
        <f>FI119-FJ119</f>
        <v>0</v>
      </c>
      <c r="FL119" s="4">
        <v>0</v>
      </c>
      <c r="FM119" s="5">
        <f>FL119-FK119</f>
        <v>0</v>
      </c>
      <c r="FN119" s="4">
        <v>0</v>
      </c>
      <c r="FO119" s="4">
        <v>0</v>
      </c>
      <c r="FP119" s="4">
        <v>1.587</v>
      </c>
      <c r="FQ119" s="4">
        <v>1.579</v>
      </c>
      <c r="FR119" s="6"/>
      <c r="FS119" s="6"/>
      <c r="FT119" s="6"/>
      <c r="FU119" s="9"/>
      <c r="FV119" s="7">
        <f>IFERROR(FK119/F119,0)</f>
        <v>0</v>
      </c>
      <c r="FW119"/>
      <c r="FX119"/>
      <c r="FY119"/>
      <c r="FZ119"/>
      <c r="GA119"/>
      <c r="GB119" s="4"/>
      <c r="GC119" s="4"/>
      <c r="GD119" s="6"/>
      <c r="GE119" s="4"/>
      <c r="GF119" s="5">
        <v>0</v>
      </c>
      <c r="GG119" s="5"/>
      <c r="GH119" s="6"/>
      <c r="GI119" s="4"/>
      <c r="GJ119" s="4"/>
      <c r="GK119" s="5">
        <v>0</v>
      </c>
      <c r="GL119" s="5">
        <v>0</v>
      </c>
      <c r="GM119" s="5"/>
      <c r="GN119" s="4"/>
      <c r="GO119" s="5">
        <v>0</v>
      </c>
      <c r="GP119" s="4"/>
      <c r="GQ119" s="4"/>
      <c r="GR119" s="4"/>
      <c r="GS119" s="4"/>
      <c r="GT119" s="6"/>
      <c r="GU119" s="6"/>
      <c r="GV119" s="6"/>
      <c r="GW119" s="9"/>
      <c r="GX119"/>
      <c r="GY119"/>
      <c r="GZ119"/>
      <c r="HA119"/>
      <c r="HB119"/>
      <c r="HC119"/>
      <c r="HD119" s="4"/>
      <c r="HE119" s="4"/>
      <c r="HF119" s="6"/>
      <c r="HG119" s="4"/>
      <c r="HH119" s="5">
        <v>0</v>
      </c>
      <c r="HI119" s="5"/>
      <c r="HJ119" s="6"/>
      <c r="HK119" s="4"/>
      <c r="HL119" s="4"/>
      <c r="HM119" s="5">
        <v>0</v>
      </c>
      <c r="HN119" s="5">
        <v>0</v>
      </c>
      <c r="HO119" s="5"/>
      <c r="HP119" s="4"/>
      <c r="HQ119" s="5">
        <v>0</v>
      </c>
      <c r="HR119" s="4"/>
      <c r="HS119" s="4"/>
      <c r="HT119" s="4"/>
      <c r="HU119" s="4"/>
      <c r="HV119" s="6"/>
      <c r="HW119" s="6"/>
      <c r="HX119" s="6"/>
      <c r="HY119" s="9"/>
      <c r="HZ119"/>
      <c r="IA119"/>
      <c r="IB119"/>
      <c r="IC119"/>
      <c r="ID119"/>
      <c r="IE119"/>
      <c r="IF119" s="4"/>
      <c r="IG119" s="4"/>
      <c r="IH119" s="6"/>
      <c r="II119" s="4"/>
      <c r="IJ119" s="5">
        <v>0</v>
      </c>
      <c r="IK119" s="5"/>
      <c r="IL119" s="6"/>
      <c r="IM119" s="4"/>
      <c r="IN119" s="4"/>
      <c r="IO119" s="5">
        <v>0</v>
      </c>
      <c r="IP119" s="5">
        <v>0</v>
      </c>
      <c r="IQ119" s="5"/>
      <c r="IR119" s="4"/>
      <c r="IS119" s="5">
        <v>0</v>
      </c>
      <c r="IT119" s="4"/>
      <c r="IU119" s="4"/>
      <c r="IV119" s="4"/>
      <c r="IW119" s="4"/>
      <c r="IX119" s="6"/>
      <c r="IY119" s="6"/>
      <c r="IZ119" s="6"/>
      <c r="JA119" s="9"/>
      <c r="JB119"/>
      <c r="JC119"/>
      <c r="JD119"/>
      <c r="JE119"/>
      <c r="JF119"/>
      <c r="JG119"/>
      <c r="JH119" s="4"/>
      <c r="JI119" s="4"/>
      <c r="JJ119" s="6"/>
      <c r="JK119" s="4"/>
      <c r="JL119" s="5">
        <v>0</v>
      </c>
      <c r="JM119" s="5"/>
      <c r="JN119" s="6"/>
      <c r="JO119" s="4"/>
      <c r="JP119" s="4"/>
      <c r="JQ119" s="5">
        <v>0</v>
      </c>
      <c r="JR119" s="5">
        <v>0</v>
      </c>
      <c r="JS119" s="5"/>
      <c r="JT119" s="4"/>
      <c r="JU119" s="5">
        <v>0</v>
      </c>
      <c r="JV119" s="4"/>
      <c r="JW119" s="4"/>
      <c r="JX119" s="4"/>
      <c r="JY119" s="4"/>
      <c r="JZ119" s="6"/>
      <c r="KA119" s="6"/>
      <c r="KB119" s="6"/>
      <c r="KC119" s="9"/>
      <c r="KD119"/>
      <c r="KE119"/>
      <c r="KF119"/>
      <c r="KG119"/>
      <c r="KH119"/>
      <c r="KI119"/>
      <c r="KJ119" s="4"/>
      <c r="KK119" s="4"/>
      <c r="KL119" s="6"/>
      <c r="KM119" s="4"/>
      <c r="KN119" s="5">
        <v>0</v>
      </c>
      <c r="KO119" s="5"/>
      <c r="KP119" s="6"/>
      <c r="KQ119" s="4"/>
      <c r="KR119" s="4"/>
      <c r="KS119" s="5">
        <v>0</v>
      </c>
      <c r="KT119" s="5">
        <v>0</v>
      </c>
      <c r="KU119" s="5"/>
      <c r="KV119" s="4"/>
      <c r="KW119" s="5">
        <v>0</v>
      </c>
      <c r="KX119" s="4"/>
      <c r="KY119" s="4"/>
      <c r="KZ119" s="4"/>
      <c r="LA119" s="4"/>
      <c r="LB119" s="6"/>
      <c r="LC119" s="6"/>
      <c r="LD119" s="6"/>
      <c r="LE119" s="9"/>
      <c r="LF119"/>
      <c r="LG119"/>
      <c r="LH119"/>
      <c r="LI119"/>
      <c r="LJ119"/>
      <c r="LK119"/>
      <c r="LL119" s="4"/>
      <c r="LM119" s="4"/>
      <c r="LN119" s="6"/>
      <c r="LO119" s="4"/>
      <c r="LP119" s="5">
        <v>0</v>
      </c>
      <c r="LQ119" s="5"/>
      <c r="LR119" s="6"/>
      <c r="LS119" s="4"/>
      <c r="LT119" s="4"/>
      <c r="LU119" s="5">
        <v>0</v>
      </c>
      <c r="LV119" s="5">
        <v>0</v>
      </c>
      <c r="LW119" s="5"/>
      <c r="LX119" s="4"/>
      <c r="LY119" s="5">
        <v>0</v>
      </c>
      <c r="LZ119" s="4"/>
      <c r="MA119" s="4"/>
      <c r="MB119" s="4"/>
      <c r="MC119" s="4"/>
      <c r="MD119" s="6"/>
      <c r="ME119" s="6"/>
      <c r="MF119" s="6"/>
      <c r="MG119" s="9"/>
      <c r="MH119"/>
    </row>
    <row r="120">
      <c r="A120" s="8">
        <v>25380</v>
      </c>
      <c r="B120" s="8">
        <v>25381</v>
      </c>
      <c r="C120" s="9">
        <f>B120-A120</f>
        <v>1</v>
      </c>
      <c r="D120" s="8">
        <v>25380</v>
      </c>
      <c r="E120" t="inlineStr">
        <is>
          <t xml:space="preserve">positive</t>
        </is>
      </c>
      <c r="F120" s="4">
        <v>1.1996680672871962</v>
      </c>
      <c r="G120" s="6">
        <v>-0.004373257644404155</v>
      </c>
      <c r="H120" s="7">
        <f>SUM(CP120,DR120,ET120,FV120,GX120,HZ120,JB120,KD120,LF120,MH120)</f>
        <v>-0.004373257644404155</v>
      </c>
      <c r="I120" s="7">
        <f>G120-H120</f>
        <v>0</v>
      </c>
      <c r="J120" s="5">
        <f>F120*(1+H120)</f>
        <v>1.194421609741185</v>
      </c>
      <c r="K120" s="4">
        <v>1.194421609741185</v>
      </c>
      <c r="L120" s="5">
        <f>K120-J120</f>
        <v>0</v>
      </c>
      <c r="M120" s="4">
        <v>1.579</v>
      </c>
      <c r="N120" s="4">
        <v>1.559</v>
      </c>
      <c r="O120" s="5">
        <f>M120/$M$3</f>
        <v>0.806435137895812</v>
      </c>
      <c r="P120" s="5">
        <f>N120/$M$3</f>
        <v>0.7962206332992849</v>
      </c>
      <c r="Q120" s="7">
        <f>IFERROR(N120/M120-1,0)</f>
        <v>-0.01266624445851805</v>
      </c>
      <c r="R120" s="5">
        <f>SUM(IF(BQ120="lease",CB120,0),IF(CS120="lease",DD120,0),IF(DU120="lease",EF120,0),IF(EW120="lease",FH120,0),IF(FY120="lease",GJ120,0),IF(HA120="lease",HL120,0),IF(IC120="lease",IN120,0),IF(JE120="lease",JP120,0),IF(KG120="lease",KR120,0),IF(LI120="lease",LT120,0))</f>
        <v>1.1996680672871967</v>
      </c>
      <c r="S120" s="5">
        <f>SUM(IF(BQ120="lease",CI120,0),IF(CS120="lease",DK120,0),IF(DU120="lease",EM120,0),IF(EW120="lease",FO120,0),IF(FY120="lease",GQ120,0),IF(HA120="lease",HS120,0),IF(IC120="lease",IU120,0),IF(JE120="lease",JW120,0),IF(KG120="lease",KY120,0),IF(LI120="lease",MA120,0))</f>
        <v>1.1944216097411853</v>
      </c>
      <c r="T120" s="5">
        <f>SUM(IF(BQ120="keep",CB120,0),IF(CS120="keep",DD120,0),IF(DU120="keep",EF120,0),IF(EW120="keep",FH120,0),IF(FY120="keep",GJ120,0),IF(HA120="keep",HL120,0),IF(IC120="keep",IN120,0),IF(JE120="keep",JP120,0),IF(KG120="keep",KR120,0),IF(LI120="keep",LT120,0))</f>
        <v>0</v>
      </c>
      <c r="U120" s="5">
        <f>SUM(IF(BQ120="keep",CI120,0),IF(CS120="keep",DK120,0),IF(DU120="keep",EM120,0),IF(EW120="keep",FO120,0),IF(FY120="keep",GQ120,0),IF(HA120="keep",HS120,0),IF(IC120="keep",IU120,0),IF(JE120="keep",JW120,0),IF(KG120="keep",KY120,0),IF(LI120="keep",MA120,0))</f>
        <v>0</v>
      </c>
      <c r="V120" s="5">
        <f>R120/O120</f>
        <v>1.4876187940141425</v>
      </c>
      <c r="W120" s="5">
        <f>S120/P120</f>
        <v>1.500113862651213</v>
      </c>
      <c r="X120" s="5">
        <f>T120/O120</f>
        <v>0</v>
      </c>
      <c r="Y120" s="5">
        <f>U120/P120</f>
        <v>0</v>
      </c>
      <c r="Z120" s="5">
        <f>V120+X120</f>
        <v>1.4876187940141425</v>
      </c>
      <c r="AA120" s="7">
        <f>IFERROR(W120/V120-1,0)</f>
        <v>0.008399375355667704</v>
      </c>
      <c r="AB120" s="7">
        <f>IFERROR((W120-V120)/Z120,0)</f>
        <v>0.008399375355667633</v>
      </c>
      <c r="AC120" s="7">
        <f>IFERROR(Y120/X120-1,0)</f>
        <v>0</v>
      </c>
      <c r="AD120" s="7">
        <f>IFERROR((Y120-X120)/Z120,0)</f>
        <v>0</v>
      </c>
      <c r="AE120" s="7">
        <f>AB120+AD120</f>
        <v>0.008399375355667633</v>
      </c>
      <c r="AF120" s="7">
        <f>(1+Q120)*(1+AE120)-1</f>
        <v>-0.004373257644404105</v>
      </c>
      <c r="AG120" s="7">
        <f>G120-AF120</f>
        <v>-5.0306980803327406e-17</v>
      </c>
      <c r="AH120" s="5">
        <f>SUM(IF(BQ120="lease",CE120,0),IF(CS120="lease",DG120,0),IF(DU120="lease",EI120,0),IF(EW120="lease",FK120,0),IF(FY120="lease",GM120,0),IF(HA120="lease",HO120,0),IF(IC120="lease",IQ120,0),IF(JE120="lease",JS120,0),IF(KG120="lease",KU120,0),IF(LI120="lease",LW120,0))</f>
        <v>-0.0052464575460112895</v>
      </c>
      <c r="AI120" s="5">
        <f>SUM(IF(BQ120="keep",CE120,0),IF(CS120="keep",DG120,0),IF(DU120="keep",EI120,0),IF(EW120="keep",FK120,0),IF(FY120="keep",GM120,0),IF(HA120="keep",HO120,0),IF(IC120="keep",IQ120,0),IF(JE120="keep",JS120,0),IF(KG120="keep",KU120,0),IF(LI120="keep",LW120,0))</f>
        <v>0</v>
      </c>
      <c r="AJ120" s="5">
        <f>SUM(IF(BQ120="lease",CH120,0),IF(CS120="lease",DJ120,0),IF(DU120="lease",EL120,0),IF(EW120="lease",FN120,0),IF(FY120="lease",GP120,0),IF(HA120="lease",HR120,0),IF(IC120="lease",IT120,0),IF(JE120="lease",JV120,0),IF(KG120="lease",KX120,0),IF(LI120="lease",LZ120,0))</f>
        <v>0</v>
      </c>
      <c r="AK120" s="5">
        <f>SUM(IF(BQ120="keep",CH120,0),IF(CS120="keep",DJ120,0),IF(DU120="keep",EL120,0),IF(EW120="keep",FN120,0),IF(FY120="keep",GP120,0),IF(HA120="keep",HR120,0),IF(IC120="keep",IT120,0),IF(JE120="keep",JV120,0),IF(KG120="keep",KX120,0),IF(LI120="keep",LZ120,0))</f>
        <v>0</v>
      </c>
      <c r="AL120" s="5">
        <f>R120-S119</f>
        <v>0</v>
      </c>
      <c r="AM120" s="5">
        <f>T120-U119</f>
        <v>0</v>
      </c>
      <c r="AN120" s="5">
        <f>AN119</f>
        <v>1</v>
      </c>
      <c r="AO120" s="5">
        <f>AO119+AH120</f>
        <v>0.19442160974118544</v>
      </c>
      <c r="AP120" s="5">
        <f>AP119+AL120</f>
        <v>-4.440892098500626e-16</v>
      </c>
      <c r="AQ120" s="5">
        <f>AN120+AO120+AP120</f>
        <v>1.194421609741185</v>
      </c>
      <c r="AR120" s="5">
        <f>S120-AQ120</f>
        <v>2.220446049250313e-16</v>
      </c>
      <c r="AS120" s="5">
        <f>AS119</f>
        <v>0</v>
      </c>
      <c r="AT120" s="5">
        <f>AT119+AI120</f>
        <v>0</v>
      </c>
      <c r="AU120" s="5">
        <f>AU119+AM120</f>
        <v>0</v>
      </c>
      <c r="AV120" s="5">
        <f>AS120+AT120+AU120</f>
        <v>0</v>
      </c>
      <c r="AW120" s="5">
        <f>U120-AV120</f>
        <v>0</v>
      </c>
      <c r="AX120" s="4">
        <v>1.1996680672871967</v>
      </c>
      <c r="AY120" s="4">
        <v>1.1944216097411853</v>
      </c>
      <c r="AZ120" s="5">
        <f>S120-AY120</f>
        <v>0</v>
      </c>
      <c r="BA120" s="4">
        <v>0</v>
      </c>
      <c r="BB120" s="4">
        <v>0</v>
      </c>
      <c r="BC120" s="5">
        <f>U120-BB120</f>
        <v>0</v>
      </c>
      <c r="BD120" s="7">
        <f>SUM(IF(BP120="direct",CC120/F120,0),IF(CR120="direct",DE120/F120,0),IF(DT120="direct",EG120/F120,0),IF(EV120="direct",FI120/F120,0),IF(FX120="direct",GK120/F120,0),IF(GZ120="direct",HM120/F120,0),IF(IB120="direct",IO120/F120,0),IF(JD120="direct",JQ120/F120,0),IF(KF120="direct",KS120/F120,0),IF(LH120="direct",LU120/F120,0))</f>
        <v>0</v>
      </c>
      <c r="BE120" s="7">
        <f>-SUM(IF(BP120="direct",CD120/F120,0),IF(CR120="direct",DF120/F120,0),IF(DT120="direct",EH120/F120,0),IF(EV120="direct",FJ120/F120,0),IF(FX120="direct",GL120/F120,0),IF(GZ120="direct",HN120/F120,0),IF(IB120="direct",IP120/F120,0),IF(JD120="direct",JR120/F120,0),IF(KF120="direct",KT120/F120,0),IF(LH120="direct",LV120/F120,0))</f>
        <v>0</v>
      </c>
      <c r="BF120" s="7">
        <f>BD120+BE120</f>
        <v>0</v>
      </c>
      <c r="BG120" s="7">
        <f>BF120-SUM(IF(BP120="direct",CP120,0),IF(CR120="direct",DR120,0),IF(DT120="direct",ET120,0),IF(EV120="direct",FV120,0),IF(FX120="direct",GX120,0),IF(GZ120="direct",HZ120,0),IF(IB120="direct",JB120,0),IF(JD120="direct",KD120,0),IF(KF120="direct",LF120,0),IF(LH120="direct",MH120,0))</f>
        <v>0</v>
      </c>
      <c r="BH120" s="7">
        <f>SUM(IF(BP120="treasury",CP120,0),IF(CR120="treasury",DR120,0),IF(DT120="treasury",ET120,0),IF(EV120="treasury",FV120,0),IF(FX120="treasury",GX120,0),IF(GZ120="treasury",HZ120,0),IF(IB120="treasury",JB120,0),IF(JD120="treasury",KD120,0),IF(KF120="treasury",LF120,0),IF(LH120="treasury",MH120,0))</f>
        <v>0.00016630136986301372</v>
      </c>
      <c r="BI120" s="7">
        <f>SUM(IF(BP120="future",CP120,0),IF(CR120="future",DR120,0),IF(DT120="future",ET120,0),IF(EV120="future",FV120,0),IF(FX120="future",GX120,0),IF(GZ120="future",HZ120,0),IF(IB120="future",JB120,0),IF(JD120="future",KD120,0),IF(KF120="future",LF120,0),IF(LH120="future",MH120,0))</f>
        <v>-0.004539559014267169</v>
      </c>
      <c r="BJ120" s="7">
        <f>SUM(IF(BP120="cash",CP120,0),IF(CR120="cash",DR120,0),IF(DT120="cash",ET120,0),IF(EV120="cash",FV120,0),IF(FX120="cash",GX120,0),IF(GZ120="cash",HZ120,0),IF(IB120="cash",JB120,0),IF(JD120="cash",KD120,0),IF(KF120="cash",LF120,0),IF(LH120="cash",MH120,0))</f>
        <v>0</v>
      </c>
      <c r="BK120" s="7">
        <f>SUM(BF120,BH120,BI120,BJ120)</f>
        <v>-0.004373257644404155</v>
      </c>
      <c r="BL120" s="7">
        <f>G120-BK120</f>
        <v>0</v>
      </c>
      <c r="BM120" s="5">
        <f>MAX(ABS(CG120),ABS(DI120),ABS(EK120),ABS(FM120),ABS(GO120),ABS(HQ120),ABS(IS120),ABS(JU120),ABS(KW120),ABS(LY120))</f>
        <v>1.4552703660186683e-16</v>
      </c>
      <c r="BN120" s="9">
        <f>COUNTA(BO120,CQ120,DS120,EU120,FW120,GY120,IA120,JC120,KE120,LG120)</f>
        <v>4</v>
      </c>
      <c r="BO120" t="inlineStr">
        <is>
          <t xml:space="preserve">Treasury collateral</t>
        </is>
      </c>
      <c r="BP120" t="inlineStr">
        <is>
          <t xml:space="preserve">treasury</t>
        </is>
      </c>
      <c r="BQ120" t="inlineStr">
        <is>
          <t xml:space="preserve">lease</t>
        </is>
      </c>
      <c r="BR120" t="inlineStr">
        <is>
          <t xml:space="preserve">long</t>
        </is>
      </c>
      <c r="BS120"/>
      <c r="BT120" s="4">
        <v>102.98767636998434</v>
      </c>
      <c r="BU120" s="4">
        <v>103.00480336164367</v>
      </c>
      <c r="BV120" s="6"/>
      <c r="BW120" s="4">
        <v>0.011648656514759841</v>
      </c>
      <c r="BX120" s="5">
        <f>IF(BP120="direct",IFERROR(CD120/BU120,0),0)</f>
        <v>0</v>
      </c>
      <c r="BY120" s="5">
        <f>IF(BP120="direct",BW120-BX120,IF(BP120="cash",CI120,BW120))</f>
        <v>0.011648656514759841</v>
      </c>
      <c r="BZ120" s="6">
        <v>1</v>
      </c>
      <c r="CA120" s="4">
        <v>1.1996680672871962</v>
      </c>
      <c r="CB120" s="4">
        <v>1.1996680672871962</v>
      </c>
      <c r="CC120" s="5">
        <f>IF(BP120="direct",BW120*(BU120-BT120),CF120)</f>
        <v>0.00019950644297062932</v>
      </c>
      <c r="CD120" s="5">
        <f>IF(BP120="direct",CB120*BV120*C120/365,0)</f>
        <v>0</v>
      </c>
      <c r="CE120" s="5">
        <f>CC120-CD120</f>
        <v>0.00019950644297077484</v>
      </c>
      <c r="CF120" s="4">
        <v>0.00019950644297077484</v>
      </c>
      <c r="CG120" s="5">
        <f>CF120-CE120</f>
        <v>1.4552703660186683e-16</v>
      </c>
      <c r="CH120" s="4">
        <v>-4.323256162785949e-17</v>
      </c>
      <c r="CI120" s="4">
        <v>1.199867573730167</v>
      </c>
      <c r="CJ120" s="4">
        <v>1.579</v>
      </c>
      <c r="CK120" s="4">
        <v>1.559</v>
      </c>
      <c r="CL120" s="6"/>
      <c r="CM120" s="6"/>
      <c r="CN120" s="6"/>
      <c r="CO120" s="9">
        <v>33</v>
      </c>
      <c r="CP120" s="7">
        <f>IFERROR(CE120/F120,0)</f>
        <v>0.00016630136986301372</v>
      </c>
      <c r="CQ120" t="inlineStr">
        <is>
          <t xml:space="preserve">SI69N</t>
        </is>
      </c>
      <c r="CR120" t="inlineStr">
        <is>
          <t xml:space="preserve">future</t>
        </is>
      </c>
      <c r="CS120" t="inlineStr">
        <is>
          <t xml:space="preserve">lease</t>
        </is>
      </c>
      <c r="CT120" t="inlineStr">
        <is>
          <t xml:space="preserve">long</t>
        </is>
      </c>
      <c r="CU120" t="inlineStr">
        <is>
          <t xml:space="preserve">regular</t>
        </is>
      </c>
      <c r="CV120" s="4">
        <v>1.5419999999999998</v>
      </c>
      <c r="CW120" s="4">
        <v>1.535</v>
      </c>
      <c r="CX120" s="6"/>
      <c r="CY120" s="4">
        <v>0.7779948555688693</v>
      </c>
      <c r="CZ120" s="5">
        <f>IF(CR120="direct",IFERROR(DF120/CW120,0),0)</f>
        <v>0</v>
      </c>
      <c r="DA120" s="5">
        <f>IF(CR120="direct",CY120-CZ120,IF(CR120="cash",DK120,CY120))</f>
        <v>0.7779948555688693</v>
      </c>
      <c r="DB120" s="6">
        <v>1</v>
      </c>
      <c r="DC120" s="4">
        <v>1.1996680672871962</v>
      </c>
      <c r="DD120" s="4">
        <v>0</v>
      </c>
      <c r="DE120" s="5">
        <f>IF(CR120="direct",CY120*(CW120-CV120),DH120)</f>
        <v>-0.0054459639889820645</v>
      </c>
      <c r="DF120" s="5">
        <f>IF(CR120="direct",DD120*CX120*C120/365,0)</f>
        <v>0</v>
      </c>
      <c r="DG120" s="5">
        <f>DE120-DF120</f>
        <v>-0.0054459639889820645</v>
      </c>
      <c r="DH120" s="4">
        <v>-0.0054459639889820645</v>
      </c>
      <c r="DI120" s="5">
        <f>DH120-DG120</f>
        <v>0</v>
      </c>
      <c r="DJ120" s="4">
        <v>0.0054459639889820645</v>
      </c>
      <c r="DK120" s="4">
        <v>0</v>
      </c>
      <c r="DL120" s="4">
        <v>1.579</v>
      </c>
      <c r="DM120" s="4">
        <v>1.559</v>
      </c>
      <c r="DN120" s="6">
        <v>-0.023432552248258465</v>
      </c>
      <c r="DO120" s="6">
        <v>0.0607</v>
      </c>
      <c r="DP120" s="6">
        <v>0.3198782294125557</v>
      </c>
      <c r="DQ120" s="9">
        <v>33</v>
      </c>
      <c r="DR120" s="7">
        <f>IFERROR(DG120/F120,0)</f>
        <v>-0.004539559014267169</v>
      </c>
      <c r="DS120" t="inlineStr">
        <is>
          <t xml:space="preserve">Lease cash / margin / financing</t>
        </is>
      </c>
      <c r="DT120" t="inlineStr">
        <is>
          <t xml:space="preserve">cash</t>
        </is>
      </c>
      <c r="DU120" t="inlineStr">
        <is>
          <t xml:space="preserve">lease</t>
        </is>
      </c>
      <c r="DV120" t="inlineStr">
        <is>
          <t xml:space="preserve">cash</t>
        </is>
      </c>
      <c r="DW120"/>
      <c r="DX120" s="4">
        <v>1</v>
      </c>
      <c r="DY120" s="4">
        <v>1</v>
      </c>
      <c r="DZ120" s="6"/>
      <c r="EA120" s="4">
        <v>4.440892098500626e-16</v>
      </c>
      <c r="EB120" s="5">
        <f>IF(DT120="direct",IFERROR(EH120/DY120,0),0)</f>
        <v>0</v>
      </c>
      <c r="EC120" s="5">
        <f>IF(DT120="direct",EA120-EB120,IF(DT120="cash",EM120,EA120))</f>
        <v>-0.005445963988981577</v>
      </c>
      <c r="ED120" s="6"/>
      <c r="EE120" s="4">
        <v>4.440892098500626e-16</v>
      </c>
      <c r="EF120" s="4">
        <v>4.440892098500626e-16</v>
      </c>
      <c r="EG120" s="5">
        <f>IF(DT120="direct",EA120*(DY120-DX120),EJ120)</f>
        <v>0</v>
      </c>
      <c r="EH120" s="5">
        <f>IF(DT120="direct",EF120*DZ120*C120/365,0)</f>
        <v>0</v>
      </c>
      <c r="EI120" s="5">
        <f>EG120-EH120</f>
        <v>0</v>
      </c>
      <c r="EJ120" s="4">
        <v>0</v>
      </c>
      <c r="EK120" s="5">
        <f>EJ120-EI120</f>
        <v>0</v>
      </c>
      <c r="EL120" s="4">
        <v>-0.005445963988982021</v>
      </c>
      <c r="EM120" s="4">
        <v>-0.005445963988981577</v>
      </c>
      <c r="EN120" s="4">
        <v>1.579</v>
      </c>
      <c r="EO120" s="4">
        <v>1.559</v>
      </c>
      <c r="EP120" s="6"/>
      <c r="EQ120" s="6"/>
      <c r="ER120" s="6"/>
      <c r="ES120" s="9"/>
      <c r="ET120" s="7">
        <f>IFERROR(EI120/F120,0)</f>
        <v>0</v>
      </c>
      <c r="EU120" t="inlineStr">
        <is>
          <t xml:space="preserve">Keep cash / margin / financing</t>
        </is>
      </c>
      <c r="EV120" t="inlineStr">
        <is>
          <t xml:space="preserve">cash</t>
        </is>
      </c>
      <c r="EW120" t="inlineStr">
        <is>
          <t xml:space="preserve">keep</t>
        </is>
      </c>
      <c r="EX120" t="inlineStr">
        <is>
          <t xml:space="preserve">cash</t>
        </is>
      </c>
      <c r="EY120"/>
      <c r="EZ120" s="4">
        <v>1</v>
      </c>
      <c r="FA120" s="4">
        <v>1</v>
      </c>
      <c r="FB120" s="6"/>
      <c r="FC120" s="4">
        <v>0</v>
      </c>
      <c r="FD120" s="5">
        <f>IF(EV120="direct",IFERROR(FJ120/FA120,0),0)</f>
        <v>0</v>
      </c>
      <c r="FE120" s="5">
        <f>IF(EV120="direct",FC120-FD120,IF(EV120="cash",FO120,FC120))</f>
        <v>0</v>
      </c>
      <c r="FF120" s="6"/>
      <c r="FG120" s="4">
        <v>0</v>
      </c>
      <c r="FH120" s="4">
        <v>0</v>
      </c>
      <c r="FI120" s="5">
        <f>IF(EV120="direct",FC120*(FA120-EZ120),FL120)</f>
        <v>0</v>
      </c>
      <c r="FJ120" s="5">
        <f>IF(EV120="direct",FH120*FB120*C120/365,0)</f>
        <v>0</v>
      </c>
      <c r="FK120" s="5">
        <f>FI120-FJ120</f>
        <v>0</v>
      </c>
      <c r="FL120" s="4">
        <v>0</v>
      </c>
      <c r="FM120" s="5">
        <f>FL120-FK120</f>
        <v>0</v>
      </c>
      <c r="FN120" s="4">
        <v>0</v>
      </c>
      <c r="FO120" s="4">
        <v>0</v>
      </c>
      <c r="FP120" s="4">
        <v>1.579</v>
      </c>
      <c r="FQ120" s="4">
        <v>1.559</v>
      </c>
      <c r="FR120" s="6"/>
      <c r="FS120" s="6"/>
      <c r="FT120" s="6"/>
      <c r="FU120" s="9"/>
      <c r="FV120" s="7">
        <f>IFERROR(FK120/F120,0)</f>
        <v>0</v>
      </c>
      <c r="FW120"/>
      <c r="FX120"/>
      <c r="FY120"/>
      <c r="FZ120"/>
      <c r="GA120"/>
      <c r="GB120" s="4"/>
      <c r="GC120" s="4"/>
      <c r="GD120" s="6"/>
      <c r="GE120" s="4"/>
      <c r="GF120" s="5">
        <v>0</v>
      </c>
      <c r="GG120" s="5"/>
      <c r="GH120" s="6"/>
      <c r="GI120" s="4"/>
      <c r="GJ120" s="4"/>
      <c r="GK120" s="5">
        <v>0</v>
      </c>
      <c r="GL120" s="5">
        <v>0</v>
      </c>
      <c r="GM120" s="5"/>
      <c r="GN120" s="4"/>
      <c r="GO120" s="5">
        <v>0</v>
      </c>
      <c r="GP120" s="4"/>
      <c r="GQ120" s="4"/>
      <c r="GR120" s="4"/>
      <c r="GS120" s="4"/>
      <c r="GT120" s="6"/>
      <c r="GU120" s="6"/>
      <c r="GV120" s="6"/>
      <c r="GW120" s="9"/>
      <c r="GX120"/>
      <c r="GY120"/>
      <c r="GZ120"/>
      <c r="HA120"/>
      <c r="HB120"/>
      <c r="HC120"/>
      <c r="HD120" s="4"/>
      <c r="HE120" s="4"/>
      <c r="HF120" s="6"/>
      <c r="HG120" s="4"/>
      <c r="HH120" s="5">
        <v>0</v>
      </c>
      <c r="HI120" s="5"/>
      <c r="HJ120" s="6"/>
      <c r="HK120" s="4"/>
      <c r="HL120" s="4"/>
      <c r="HM120" s="5">
        <v>0</v>
      </c>
      <c r="HN120" s="5">
        <v>0</v>
      </c>
      <c r="HO120" s="5"/>
      <c r="HP120" s="4"/>
      <c r="HQ120" s="5">
        <v>0</v>
      </c>
      <c r="HR120" s="4"/>
      <c r="HS120" s="4"/>
      <c r="HT120" s="4"/>
      <c r="HU120" s="4"/>
      <c r="HV120" s="6"/>
      <c r="HW120" s="6"/>
      <c r="HX120" s="6"/>
      <c r="HY120" s="9"/>
      <c r="HZ120"/>
      <c r="IA120"/>
      <c r="IB120"/>
      <c r="IC120"/>
      <c r="ID120"/>
      <c r="IE120"/>
      <c r="IF120" s="4"/>
      <c r="IG120" s="4"/>
      <c r="IH120" s="6"/>
      <c r="II120" s="4"/>
      <c r="IJ120" s="5">
        <v>0</v>
      </c>
      <c r="IK120" s="5"/>
      <c r="IL120" s="6"/>
      <c r="IM120" s="4"/>
      <c r="IN120" s="4"/>
      <c r="IO120" s="5">
        <v>0</v>
      </c>
      <c r="IP120" s="5">
        <v>0</v>
      </c>
      <c r="IQ120" s="5"/>
      <c r="IR120" s="4"/>
      <c r="IS120" s="5">
        <v>0</v>
      </c>
      <c r="IT120" s="4"/>
      <c r="IU120" s="4"/>
      <c r="IV120" s="4"/>
      <c r="IW120" s="4"/>
      <c r="IX120" s="6"/>
      <c r="IY120" s="6"/>
      <c r="IZ120" s="6"/>
      <c r="JA120" s="9"/>
      <c r="JB120"/>
      <c r="JC120"/>
      <c r="JD120"/>
      <c r="JE120"/>
      <c r="JF120"/>
      <c r="JG120"/>
      <c r="JH120" s="4"/>
      <c r="JI120" s="4"/>
      <c r="JJ120" s="6"/>
      <c r="JK120" s="4"/>
      <c r="JL120" s="5">
        <v>0</v>
      </c>
      <c r="JM120" s="5"/>
      <c r="JN120" s="6"/>
      <c r="JO120" s="4"/>
      <c r="JP120" s="4"/>
      <c r="JQ120" s="5">
        <v>0</v>
      </c>
      <c r="JR120" s="5">
        <v>0</v>
      </c>
      <c r="JS120" s="5"/>
      <c r="JT120" s="4"/>
      <c r="JU120" s="5">
        <v>0</v>
      </c>
      <c r="JV120" s="4"/>
      <c r="JW120" s="4"/>
      <c r="JX120" s="4"/>
      <c r="JY120" s="4"/>
      <c r="JZ120" s="6"/>
      <c r="KA120" s="6"/>
      <c r="KB120" s="6"/>
      <c r="KC120" s="9"/>
      <c r="KD120"/>
      <c r="KE120"/>
      <c r="KF120"/>
      <c r="KG120"/>
      <c r="KH120"/>
      <c r="KI120"/>
      <c r="KJ120" s="4"/>
      <c r="KK120" s="4"/>
      <c r="KL120" s="6"/>
      <c r="KM120" s="4"/>
      <c r="KN120" s="5">
        <v>0</v>
      </c>
      <c r="KO120" s="5"/>
      <c r="KP120" s="6"/>
      <c r="KQ120" s="4"/>
      <c r="KR120" s="4"/>
      <c r="KS120" s="5">
        <v>0</v>
      </c>
      <c r="KT120" s="5">
        <v>0</v>
      </c>
      <c r="KU120" s="5"/>
      <c r="KV120" s="4"/>
      <c r="KW120" s="5">
        <v>0</v>
      </c>
      <c r="KX120" s="4"/>
      <c r="KY120" s="4"/>
      <c r="KZ120" s="4"/>
      <c r="LA120" s="4"/>
      <c r="LB120" s="6"/>
      <c r="LC120" s="6"/>
      <c r="LD120" s="6"/>
      <c r="LE120" s="9"/>
      <c r="LF120"/>
      <c r="LG120"/>
      <c r="LH120"/>
      <c r="LI120"/>
      <c r="LJ120"/>
      <c r="LK120"/>
      <c r="LL120" s="4"/>
      <c r="LM120" s="4"/>
      <c r="LN120" s="6"/>
      <c r="LO120" s="4"/>
      <c r="LP120" s="5">
        <v>0</v>
      </c>
      <c r="LQ120" s="5"/>
      <c r="LR120" s="6"/>
      <c r="LS120" s="4"/>
      <c r="LT120" s="4"/>
      <c r="LU120" s="5">
        <v>0</v>
      </c>
      <c r="LV120" s="5">
        <v>0</v>
      </c>
      <c r="LW120" s="5"/>
      <c r="LX120" s="4"/>
      <c r="LY120" s="5">
        <v>0</v>
      </c>
      <c r="LZ120" s="4"/>
      <c r="MA120" s="4"/>
      <c r="MB120" s="4"/>
      <c r="MC120" s="4"/>
      <c r="MD120" s="6"/>
      <c r="ME120" s="6"/>
      <c r="MF120" s="6"/>
      <c r="MG120" s="9"/>
      <c r="MH120"/>
    </row>
    <row r="121">
      <c r="A121" s="8">
        <v>25381</v>
      </c>
      <c r="B121" s="8">
        <v>25384</v>
      </c>
      <c r="C121" s="9">
        <f>B121-A121</f>
        <v>3</v>
      </c>
      <c r="D121" s="8">
        <v>25381</v>
      </c>
      <c r="E121" t="inlineStr">
        <is>
          <t xml:space="preserve">positive</t>
        </is>
      </c>
      <c r="F121" s="4">
        <v>1.194421609741185</v>
      </c>
      <c r="G121" s="6">
        <v>0.023306782383650897</v>
      </c>
      <c r="H121" s="7">
        <f>SUM(CP121,DR121,ET121,FV121,GX121,HZ121,JB121,KD121,LF121,MH121)</f>
        <v>0.023306782383650897</v>
      </c>
      <c r="I121" s="7">
        <f>G121-H121</f>
        <v>0</v>
      </c>
      <c r="J121" s="5">
        <f>F121*(1+H121)</f>
        <v>1.2222597342737527</v>
      </c>
      <c r="K121" s="4">
        <v>1.2222597342737527</v>
      </c>
      <c r="L121" s="5">
        <f>K121-J121</f>
        <v>0</v>
      </c>
      <c r="M121" s="4">
        <v>1.559</v>
      </c>
      <c r="N121" s="4">
        <v>1.564</v>
      </c>
      <c r="O121" s="5">
        <f>M121/$M$3</f>
        <v>0.7962206332992849</v>
      </c>
      <c r="P121" s="5">
        <f>N121/$M$3</f>
        <v>0.7987742594484168</v>
      </c>
      <c r="Q121" s="7">
        <f>IFERROR(N121/M121-1,0)</f>
        <v>0.003207184092366866</v>
      </c>
      <c r="R121" s="5">
        <f>SUM(IF(BQ121="lease",CB121,0),IF(CS121="lease",DD121,0),IF(DU121="lease",EF121,0),IF(EW121="lease",FH121,0),IF(FY121="lease",GJ121,0),IF(HA121="lease",HL121,0),IF(IC121="lease",IN121,0),IF(JE121="lease",JP121,0),IF(KG121="lease",KR121,0),IF(LI121="lease",LT121,0))</f>
        <v>1.1944216097411853</v>
      </c>
      <c r="S121" s="5">
        <f>SUM(IF(BQ121="lease",CI121,0),IF(CS121="lease",DK121,0),IF(DU121="lease",EM121,0),IF(EW121="lease",FO121,0),IF(FY121="lease",GQ121,0),IF(HA121="lease",HS121,0),IF(IC121="lease",IU121,0),IF(JE121="lease",JW121,0),IF(KG121="lease",KY121,0),IF(LI121="lease",MA121,0))</f>
        <v>1.2222597342737531</v>
      </c>
      <c r="T121" s="5">
        <f>SUM(IF(BQ121="keep",CB121,0),IF(CS121="keep",DD121,0),IF(DU121="keep",EF121,0),IF(EW121="keep",FH121,0),IF(FY121="keep",GJ121,0),IF(HA121="keep",HL121,0),IF(IC121="keep",IN121,0),IF(JE121="keep",JP121,0),IF(KG121="keep",KR121,0),IF(LI121="keep",LT121,0))</f>
        <v>0</v>
      </c>
      <c r="U121" s="5">
        <f>SUM(IF(BQ121="keep",CI121,0),IF(CS121="keep",DK121,0),IF(DU121="keep",EM121,0),IF(EW121="keep",FO121,0),IF(FY121="keep",GQ121,0),IF(HA121="keep",HS121,0),IF(IC121="keep",IU121,0),IF(JE121="keep",JW121,0),IF(KG121="keep",KY121,0),IF(LI121="keep",MA121,0))</f>
        <v>0</v>
      </c>
      <c r="V121" s="5">
        <f>R121/O121</f>
        <v>1.500113862651213</v>
      </c>
      <c r="W121" s="5">
        <f>S121/P121</f>
        <v>1.5301691558235346</v>
      </c>
      <c r="X121" s="5">
        <f>T121/O121</f>
        <v>0</v>
      </c>
      <c r="Y121" s="5">
        <f>U121/P121</f>
        <v>0</v>
      </c>
      <c r="Z121" s="5">
        <f>V121+X121</f>
        <v>1.500113862651213</v>
      </c>
      <c r="AA121" s="7">
        <f>IFERROR(W121/V121-1,0)</f>
        <v>0.020035341263498374</v>
      </c>
      <c r="AB121" s="7">
        <f>IFERROR((W121-V121)/Z121,0)</f>
        <v>0.02003534126349832</v>
      </c>
      <c r="AC121" s="7">
        <f>IFERROR(Y121/X121-1,0)</f>
        <v>0</v>
      </c>
      <c r="AD121" s="7">
        <f>IFERROR((Y121-X121)/Z121,0)</f>
        <v>0</v>
      </c>
      <c r="AE121" s="7">
        <f>AB121+AD121</f>
        <v>0.02003534126349832</v>
      </c>
      <c r="AF121" s="7">
        <f>(1+Q121)*(1+AE121)-1</f>
        <v>0.02330678238365058</v>
      </c>
      <c r="AG121" s="7">
        <f>G121-AF121</f>
        <v>3.157196726277789e-16</v>
      </c>
      <c r="AH121" s="5">
        <f>SUM(IF(BQ121="lease",CE121,0),IF(CS121="lease",DG121,0),IF(DU121="lease",EI121,0),IF(EW121="lease",FK121,0),IF(FY121="lease",GM121,0),IF(HA121="lease",HO121,0),IF(IC121="lease",IQ121,0),IF(JE121="lease",JS121,0),IF(KG121="lease",KU121,0),IF(LI121="lease",LW121,0))</f>
        <v>0.027838124532567798</v>
      </c>
      <c r="AI121" s="5">
        <f>SUM(IF(BQ121="keep",CE121,0),IF(CS121="keep",DG121,0),IF(DU121="keep",EI121,0),IF(EW121="keep",FK121,0),IF(FY121="keep",GM121,0),IF(HA121="keep",HO121,0),IF(IC121="keep",IQ121,0),IF(JE121="keep",JS121,0),IF(KG121="keep",KU121,0),IF(LI121="keep",LW121,0))</f>
        <v>0</v>
      </c>
      <c r="AJ121" s="5">
        <f>SUM(IF(BQ121="lease",CH121,0),IF(CS121="lease",DJ121,0),IF(DU121="lease",EL121,0),IF(EW121="lease",FN121,0),IF(FY121="lease",GP121,0),IF(HA121="lease",HR121,0),IF(IC121="lease",IT121,0),IF(JE121="lease",JV121,0),IF(KG121="lease",KX121,0),IF(LI121="lease",LZ121,0))</f>
        <v>0</v>
      </c>
      <c r="AK121" s="5">
        <f>SUM(IF(BQ121="keep",CH121,0),IF(CS121="keep",DJ121,0),IF(DU121="keep",EL121,0),IF(EW121="keep",FN121,0),IF(FY121="keep",GP121,0),IF(HA121="keep",HR121,0),IF(IC121="keep",IT121,0),IF(JE121="keep",JV121,0),IF(KG121="keep",KX121,0),IF(LI121="keep",LZ121,0))</f>
        <v>0</v>
      </c>
      <c r="AL121" s="5">
        <f>R121-S120</f>
        <v>0</v>
      </c>
      <c r="AM121" s="5">
        <f>T121-U120</f>
        <v>0</v>
      </c>
      <c r="AN121" s="5">
        <f>AN120</f>
        <v>1</v>
      </c>
      <c r="AO121" s="5">
        <f>AO120+AH121</f>
        <v>0.22225973427375323</v>
      </c>
      <c r="AP121" s="5">
        <f>AP120+AL121</f>
        <v>-4.440892098500626e-16</v>
      </c>
      <c r="AQ121" s="5">
        <f>AN121+AO121+AP121</f>
        <v>1.2222597342737527</v>
      </c>
      <c r="AR121" s="5">
        <f>S121-AQ121</f>
        <v>4.440892098500626e-16</v>
      </c>
      <c r="AS121" s="5">
        <f>AS120</f>
        <v>0</v>
      </c>
      <c r="AT121" s="5">
        <f>AT120+AI121</f>
        <v>0</v>
      </c>
      <c r="AU121" s="5">
        <f>AU120+AM121</f>
        <v>0</v>
      </c>
      <c r="AV121" s="5">
        <f>AS121+AT121+AU121</f>
        <v>0</v>
      </c>
      <c r="AW121" s="5">
        <f>U121-AV121</f>
        <v>0</v>
      </c>
      <c r="AX121" s="4">
        <v>1.1944216097411853</v>
      </c>
      <c r="AY121" s="4">
        <v>1.2222597342737531</v>
      </c>
      <c r="AZ121" s="5">
        <f>S121-AY121</f>
        <v>0</v>
      </c>
      <c r="BA121" s="4">
        <v>0</v>
      </c>
      <c r="BB121" s="4">
        <v>0</v>
      </c>
      <c r="BC121" s="5">
        <f>U121-BB121</f>
        <v>0</v>
      </c>
      <c r="BD121" s="7">
        <f>SUM(IF(BP121="direct",CC121/F121,0),IF(CR121="direct",DE121/F121,0),IF(DT121="direct",EG121/F121,0),IF(EV121="direct",FI121/F121,0),IF(FX121="direct",GK121/F121,0),IF(GZ121="direct",HM121/F121,0),IF(IB121="direct",IO121/F121,0),IF(JD121="direct",JQ121/F121,0),IF(KF121="direct",KS121/F121,0),IF(LH121="direct",LU121/F121,0))</f>
        <v>0</v>
      </c>
      <c r="BE121" s="7">
        <f>-SUM(IF(BP121="direct",CD121/F121,0),IF(CR121="direct",DF121/F121,0),IF(DT121="direct",EH121/F121,0),IF(EV121="direct",FJ121/F121,0),IF(FX121="direct",GL121/F121,0),IF(GZ121="direct",HN121/F121,0),IF(IB121="direct",IP121/F121,0),IF(JD121="direct",JR121/F121,0),IF(KF121="direct",KT121/F121,0),IF(LH121="direct",LV121/F121,0))</f>
        <v>0</v>
      </c>
      <c r="BF121" s="7">
        <f>BD121+BE121</f>
        <v>0</v>
      </c>
      <c r="BG121" s="7">
        <f>BF121-SUM(IF(BP121="direct",CP121,0),IF(CR121="direct",DR121,0),IF(DT121="direct",ET121,0),IF(EV121="direct",FV121,0),IF(FX121="direct",GX121,0),IF(GZ121="direct",HZ121,0),IF(IB121="direct",JB121,0),IF(JD121="direct",KD121,0),IF(KF121="direct",LF121,0),IF(LH121="direct",MH121,0))</f>
        <v>0</v>
      </c>
      <c r="BH121" s="7">
        <f>SUM(IF(BP121="treasury",CP121,0),IF(CR121="treasury",DR121,0),IF(DT121="treasury",ET121,0),IF(EV121="treasury",FV121,0),IF(FX121="treasury",GX121,0),IF(GZ121="treasury",HZ121,0),IF(IB121="treasury",JB121,0),IF(JD121="treasury",KD121,0),IF(KF121="treasury",LF121,0),IF(LH121="treasury",MH121,0))</f>
        <v>0.0005054794520547946</v>
      </c>
      <c r="BI121" s="7">
        <f>SUM(IF(BP121="future",CP121,0),IF(CR121="future",DR121,0),IF(DT121="future",ET121,0),IF(EV121="future",FV121,0),IF(FX121="future",GX121,0),IF(GZ121="future",HZ121,0),IF(IB121="future",JB121,0),IF(JD121="future",KD121,0),IF(KF121="future",LF121,0),IF(LH121="future",MH121,0))</f>
        <v>0.0228013029315961</v>
      </c>
      <c r="BJ121" s="7">
        <f>SUM(IF(BP121="cash",CP121,0),IF(CR121="cash",DR121,0),IF(DT121="cash",ET121,0),IF(EV121="cash",FV121,0),IF(FX121="cash",GX121,0),IF(GZ121="cash",HZ121,0),IF(IB121="cash",JB121,0),IF(JD121="cash",KD121,0),IF(KF121="cash",LF121,0),IF(LH121="cash",MH121,0))</f>
        <v>0</v>
      </c>
      <c r="BK121" s="7">
        <f>SUM(BF121,BH121,BI121,BJ121)</f>
        <v>0.023306782383650897</v>
      </c>
      <c r="BL121" s="7">
        <f>G121-BK121</f>
        <v>0</v>
      </c>
      <c r="BM121" s="5">
        <f>MAX(ABS(CG121),ABS(DI121),ABS(EK121),ABS(FM121),ABS(GO121),ABS(HQ121),ABS(IS121),ABS(JU121),ABS(KW121),ABS(LY121))</f>
        <v>1.6414820891430537e-16</v>
      </c>
      <c r="BN121" s="9">
        <f>COUNTA(BO121,CQ121,DS121,EU121,FW121,GY121,IA121,JC121,KE121,LG121)</f>
        <v>4</v>
      </c>
      <c r="BO121" t="inlineStr">
        <is>
          <t xml:space="preserve">Treasury collateral</t>
        </is>
      </c>
      <c r="BP121" t="inlineStr">
        <is>
          <t xml:space="preserve">treasury</t>
        </is>
      </c>
      <c r="BQ121" t="inlineStr">
        <is>
          <t xml:space="preserve">lease</t>
        </is>
      </c>
      <c r="BR121" t="inlineStr">
        <is>
          <t xml:space="preserve">long</t>
        </is>
      </c>
      <c r="BS121"/>
      <c r="BT121" s="4">
        <v>103.00480336164367</v>
      </c>
      <c r="BU121" s="4">
        <v>103.05687017320591</v>
      </c>
      <c r="BV121" s="6"/>
      <c r="BW121" s="4">
        <v>0.011595785543589095</v>
      </c>
      <c r="BX121" s="5">
        <f>IF(BP121="direct",IFERROR(CD121/BU121,0),0)</f>
        <v>0</v>
      </c>
      <c r="BY121" s="5">
        <f>IF(BP121="direct",BW121-BX121,IF(BP121="cash",CI121,BW121))</f>
        <v>0.011595785543589095</v>
      </c>
      <c r="BZ121" s="6">
        <v>1</v>
      </c>
      <c r="CA121" s="4">
        <v>1.194421609741185</v>
      </c>
      <c r="CB121" s="4">
        <v>1.194421609741185</v>
      </c>
      <c r="CC121" s="5">
        <f>IF(BP121="direct",BW121*(BU121-BT121),CF121)</f>
        <v>0.0006037555808142158</v>
      </c>
      <c r="CD121" s="5">
        <f>IF(BP121="direct",CB121*BV121*C121/365,0)</f>
        <v>0</v>
      </c>
      <c r="CE121" s="5">
        <f>CC121-CD121</f>
        <v>0.00060375558081438</v>
      </c>
      <c r="CF121" s="4">
        <v>0.00060375558081438</v>
      </c>
      <c r="CG121" s="5">
        <f>CF121-CE121</f>
        <v>1.6414820891430537e-16</v>
      </c>
      <c r="CH121" s="4">
        <v>-1.1080546202801855e-16</v>
      </c>
      <c r="CI121" s="4">
        <v>1.1950253653219993</v>
      </c>
      <c r="CJ121" s="4">
        <v>1.559</v>
      </c>
      <c r="CK121" s="4">
        <v>1.564</v>
      </c>
      <c r="CL121" s="6"/>
      <c r="CM121" s="6"/>
      <c r="CN121" s="6"/>
      <c r="CO121" s="9">
        <v>32</v>
      </c>
      <c r="CP121" s="7">
        <f>IFERROR(CE121/F121,0)</f>
        <v>0.0005054794520547946</v>
      </c>
      <c r="CQ121" t="inlineStr">
        <is>
          <t xml:space="preserve">SI69N</t>
        </is>
      </c>
      <c r="CR121" t="inlineStr">
        <is>
          <t xml:space="preserve">future</t>
        </is>
      </c>
      <c r="CS121" t="inlineStr">
        <is>
          <t xml:space="preserve">lease</t>
        </is>
      </c>
      <c r="CT121" t="inlineStr">
        <is>
          <t xml:space="preserve">long</t>
        </is>
      </c>
      <c r="CU121" t="inlineStr">
        <is>
          <t xml:space="preserve">regular</t>
        </is>
      </c>
      <c r="CV121" s="4">
        <v>1.535</v>
      </c>
      <c r="CW121" s="4">
        <v>1.57</v>
      </c>
      <c r="CX121" s="6"/>
      <c r="CY121" s="4">
        <v>0.7781248271929545</v>
      </c>
      <c r="CZ121" s="5">
        <f>IF(CR121="direct",IFERROR(DF121/CW121,0),0)</f>
        <v>0</v>
      </c>
      <c r="DA121" s="5">
        <f>IF(CR121="direct",CY121-CZ121,IF(CR121="cash",DK121,CY121))</f>
        <v>0.7781248271929545</v>
      </c>
      <c r="DB121" s="6">
        <v>1</v>
      </c>
      <c r="DC121" s="4">
        <v>1.194421609741185</v>
      </c>
      <c r="DD121" s="4">
        <v>0</v>
      </c>
      <c r="DE121" s="5">
        <f>IF(CR121="direct",CY121*(CW121-CV121),DH121)</f>
        <v>0.027234368951753418</v>
      </c>
      <c r="DF121" s="5">
        <f>IF(CR121="direct",DD121*CX121*C121/365,0)</f>
        <v>0</v>
      </c>
      <c r="DG121" s="5">
        <f>DE121-DF121</f>
        <v>0.027234368951753418</v>
      </c>
      <c r="DH121" s="4">
        <v>0.027234368951753418</v>
      </c>
      <c r="DI121" s="5">
        <f>DH121-DG121</f>
        <v>0</v>
      </c>
      <c r="DJ121" s="4">
        <v>-0.027234368951753418</v>
      </c>
      <c r="DK121" s="4">
        <v>0</v>
      </c>
      <c r="DL121" s="4">
        <v>1.559</v>
      </c>
      <c r="DM121" s="4">
        <v>1.564</v>
      </c>
      <c r="DN121" s="6">
        <v>-0.015394483643361156</v>
      </c>
      <c r="DO121" s="6">
        <v>0.061500000000000006</v>
      </c>
      <c r="DP121" s="6">
        <v>0.2370933290570882</v>
      </c>
      <c r="DQ121" s="9">
        <v>32</v>
      </c>
      <c r="DR121" s="7">
        <f>IFERROR(DG121/F121,0)</f>
        <v>0.0228013029315961</v>
      </c>
      <c r="DS121" t="inlineStr">
        <is>
          <t xml:space="preserve">Lease cash / margin / financing</t>
        </is>
      </c>
      <c r="DT121" t="inlineStr">
        <is>
          <t xml:space="preserve">cash</t>
        </is>
      </c>
      <c r="DU121" t="inlineStr">
        <is>
          <t xml:space="preserve">lease</t>
        </is>
      </c>
      <c r="DV121" t="inlineStr">
        <is>
          <t xml:space="preserve">cash</t>
        </is>
      </c>
      <c r="DW121"/>
      <c r="DX121" s="4">
        <v>1</v>
      </c>
      <c r="DY121" s="4">
        <v>1</v>
      </c>
      <c r="DZ121" s="6"/>
      <c r="EA121" s="4">
        <v>2.220446049250313e-16</v>
      </c>
      <c r="EB121" s="5">
        <f>IF(DT121="direct",IFERROR(EH121/DY121,0),0)</f>
        <v>0</v>
      </c>
      <c r="EC121" s="5">
        <f>IF(DT121="direct",EA121-EB121,IF(DT121="cash",EM121,EA121))</f>
        <v>0.02723436895175375</v>
      </c>
      <c r="ED121" s="6"/>
      <c r="EE121" s="4">
        <v>2.220446049250313e-16</v>
      </c>
      <c r="EF121" s="4">
        <v>2.220446049250313e-16</v>
      </c>
      <c r="EG121" s="5">
        <f>IF(DT121="direct",EA121*(DY121-DX121),EJ121)</f>
        <v>0</v>
      </c>
      <c r="EH121" s="5">
        <f>IF(DT121="direct",EF121*DZ121*C121/365,0)</f>
        <v>0</v>
      </c>
      <c r="EI121" s="5">
        <f>EG121-EH121</f>
        <v>0</v>
      </c>
      <c r="EJ121" s="4">
        <v>0</v>
      </c>
      <c r="EK121" s="5">
        <f>EJ121-EI121</f>
        <v>0</v>
      </c>
      <c r="EL121" s="4">
        <v>0.02723436895175353</v>
      </c>
      <c r="EM121" s="4">
        <v>0.02723436895175375</v>
      </c>
      <c r="EN121" s="4">
        <v>1.559</v>
      </c>
      <c r="EO121" s="4">
        <v>1.564</v>
      </c>
      <c r="EP121" s="6"/>
      <c r="EQ121" s="6"/>
      <c r="ER121" s="6"/>
      <c r="ES121" s="9"/>
      <c r="ET121" s="7">
        <f>IFERROR(EI121/F121,0)</f>
        <v>0</v>
      </c>
      <c r="EU121" t="inlineStr">
        <is>
          <t xml:space="preserve">Keep cash / margin / financing</t>
        </is>
      </c>
      <c r="EV121" t="inlineStr">
        <is>
          <t xml:space="preserve">cash</t>
        </is>
      </c>
      <c r="EW121" t="inlineStr">
        <is>
          <t xml:space="preserve">keep</t>
        </is>
      </c>
      <c r="EX121" t="inlineStr">
        <is>
          <t xml:space="preserve">cash</t>
        </is>
      </c>
      <c r="EY121"/>
      <c r="EZ121" s="4">
        <v>1</v>
      </c>
      <c r="FA121" s="4">
        <v>1</v>
      </c>
      <c r="FB121" s="6"/>
      <c r="FC121" s="4">
        <v>0</v>
      </c>
      <c r="FD121" s="5">
        <f>IF(EV121="direct",IFERROR(FJ121/FA121,0),0)</f>
        <v>0</v>
      </c>
      <c r="FE121" s="5">
        <f>IF(EV121="direct",FC121-FD121,IF(EV121="cash",FO121,FC121))</f>
        <v>0</v>
      </c>
      <c r="FF121" s="6"/>
      <c r="FG121" s="4">
        <v>0</v>
      </c>
      <c r="FH121" s="4">
        <v>0</v>
      </c>
      <c r="FI121" s="5">
        <f>IF(EV121="direct",FC121*(FA121-EZ121),FL121)</f>
        <v>0</v>
      </c>
      <c r="FJ121" s="5">
        <f>IF(EV121="direct",FH121*FB121*C121/365,0)</f>
        <v>0</v>
      </c>
      <c r="FK121" s="5">
        <f>FI121-FJ121</f>
        <v>0</v>
      </c>
      <c r="FL121" s="4">
        <v>0</v>
      </c>
      <c r="FM121" s="5">
        <f>FL121-FK121</f>
        <v>0</v>
      </c>
      <c r="FN121" s="4">
        <v>0</v>
      </c>
      <c r="FO121" s="4">
        <v>0</v>
      </c>
      <c r="FP121" s="4">
        <v>1.559</v>
      </c>
      <c r="FQ121" s="4">
        <v>1.564</v>
      </c>
      <c r="FR121" s="6"/>
      <c r="FS121" s="6"/>
      <c r="FT121" s="6"/>
      <c r="FU121" s="9"/>
      <c r="FV121" s="7">
        <f>IFERROR(FK121/F121,0)</f>
        <v>0</v>
      </c>
      <c r="FW121"/>
      <c r="FX121"/>
      <c r="FY121"/>
      <c r="FZ121"/>
      <c r="GA121"/>
      <c r="GB121" s="4"/>
      <c r="GC121" s="4"/>
      <c r="GD121" s="6"/>
      <c r="GE121" s="4"/>
      <c r="GF121" s="5">
        <v>0</v>
      </c>
      <c r="GG121" s="5"/>
      <c r="GH121" s="6"/>
      <c r="GI121" s="4"/>
      <c r="GJ121" s="4"/>
      <c r="GK121" s="5">
        <v>0</v>
      </c>
      <c r="GL121" s="5">
        <v>0</v>
      </c>
      <c r="GM121" s="5"/>
      <c r="GN121" s="4"/>
      <c r="GO121" s="5">
        <v>0</v>
      </c>
      <c r="GP121" s="4"/>
      <c r="GQ121" s="4"/>
      <c r="GR121" s="4"/>
      <c r="GS121" s="4"/>
      <c r="GT121" s="6"/>
      <c r="GU121" s="6"/>
      <c r="GV121" s="6"/>
      <c r="GW121" s="9"/>
      <c r="GX121"/>
      <c r="GY121"/>
      <c r="GZ121"/>
      <c r="HA121"/>
      <c r="HB121"/>
      <c r="HC121"/>
      <c r="HD121" s="4"/>
      <c r="HE121" s="4"/>
      <c r="HF121" s="6"/>
      <c r="HG121" s="4"/>
      <c r="HH121" s="5">
        <v>0</v>
      </c>
      <c r="HI121" s="5"/>
      <c r="HJ121" s="6"/>
      <c r="HK121" s="4"/>
      <c r="HL121" s="4"/>
      <c r="HM121" s="5">
        <v>0</v>
      </c>
      <c r="HN121" s="5">
        <v>0</v>
      </c>
      <c r="HO121" s="5"/>
      <c r="HP121" s="4"/>
      <c r="HQ121" s="5">
        <v>0</v>
      </c>
      <c r="HR121" s="4"/>
      <c r="HS121" s="4"/>
      <c r="HT121" s="4"/>
      <c r="HU121" s="4"/>
      <c r="HV121" s="6"/>
      <c r="HW121" s="6"/>
      <c r="HX121" s="6"/>
      <c r="HY121" s="9"/>
      <c r="HZ121"/>
      <c r="IA121"/>
      <c r="IB121"/>
      <c r="IC121"/>
      <c r="ID121"/>
      <c r="IE121"/>
      <c r="IF121" s="4"/>
      <c r="IG121" s="4"/>
      <c r="IH121" s="6"/>
      <c r="II121" s="4"/>
      <c r="IJ121" s="5">
        <v>0</v>
      </c>
      <c r="IK121" s="5"/>
      <c r="IL121" s="6"/>
      <c r="IM121" s="4"/>
      <c r="IN121" s="4"/>
      <c r="IO121" s="5">
        <v>0</v>
      </c>
      <c r="IP121" s="5">
        <v>0</v>
      </c>
      <c r="IQ121" s="5"/>
      <c r="IR121" s="4"/>
      <c r="IS121" s="5">
        <v>0</v>
      </c>
      <c r="IT121" s="4"/>
      <c r="IU121" s="4"/>
      <c r="IV121" s="4"/>
      <c r="IW121" s="4"/>
      <c r="IX121" s="6"/>
      <c r="IY121" s="6"/>
      <c r="IZ121" s="6"/>
      <c r="JA121" s="9"/>
      <c r="JB121"/>
      <c r="JC121"/>
      <c r="JD121"/>
      <c r="JE121"/>
      <c r="JF121"/>
      <c r="JG121"/>
      <c r="JH121" s="4"/>
      <c r="JI121" s="4"/>
      <c r="JJ121" s="6"/>
      <c r="JK121" s="4"/>
      <c r="JL121" s="5">
        <v>0</v>
      </c>
      <c r="JM121" s="5"/>
      <c r="JN121" s="6"/>
      <c r="JO121" s="4"/>
      <c r="JP121" s="4"/>
      <c r="JQ121" s="5">
        <v>0</v>
      </c>
      <c r="JR121" s="5">
        <v>0</v>
      </c>
      <c r="JS121" s="5"/>
      <c r="JT121" s="4"/>
      <c r="JU121" s="5">
        <v>0</v>
      </c>
      <c r="JV121" s="4"/>
      <c r="JW121" s="4"/>
      <c r="JX121" s="4"/>
      <c r="JY121" s="4"/>
      <c r="JZ121" s="6"/>
      <c r="KA121" s="6"/>
      <c r="KB121" s="6"/>
      <c r="KC121" s="9"/>
      <c r="KD121"/>
      <c r="KE121"/>
      <c r="KF121"/>
      <c r="KG121"/>
      <c r="KH121"/>
      <c r="KI121"/>
      <c r="KJ121" s="4"/>
      <c r="KK121" s="4"/>
      <c r="KL121" s="6"/>
      <c r="KM121" s="4"/>
      <c r="KN121" s="5">
        <v>0</v>
      </c>
      <c r="KO121" s="5"/>
      <c r="KP121" s="6"/>
      <c r="KQ121" s="4"/>
      <c r="KR121" s="4"/>
      <c r="KS121" s="5">
        <v>0</v>
      </c>
      <c r="KT121" s="5">
        <v>0</v>
      </c>
      <c r="KU121" s="5"/>
      <c r="KV121" s="4"/>
      <c r="KW121" s="5">
        <v>0</v>
      </c>
      <c r="KX121" s="4"/>
      <c r="KY121" s="4"/>
      <c r="KZ121" s="4"/>
      <c r="LA121" s="4"/>
      <c r="LB121" s="6"/>
      <c r="LC121" s="6"/>
      <c r="LD121" s="6"/>
      <c r="LE121" s="9"/>
      <c r="LF121"/>
      <c r="LG121"/>
      <c r="LH121"/>
      <c r="LI121"/>
      <c r="LJ121"/>
      <c r="LK121"/>
      <c r="LL121" s="4"/>
      <c r="LM121" s="4"/>
      <c r="LN121" s="6"/>
      <c r="LO121" s="4"/>
      <c r="LP121" s="5">
        <v>0</v>
      </c>
      <c r="LQ121" s="5"/>
      <c r="LR121" s="6"/>
      <c r="LS121" s="4"/>
      <c r="LT121" s="4"/>
      <c r="LU121" s="5">
        <v>0</v>
      </c>
      <c r="LV121" s="5">
        <v>0</v>
      </c>
      <c r="LW121" s="5"/>
      <c r="LX121" s="4"/>
      <c r="LY121" s="5">
        <v>0</v>
      </c>
      <c r="LZ121" s="4"/>
      <c r="MA121" s="4"/>
      <c r="MB121" s="4"/>
      <c r="MC121" s="4"/>
      <c r="MD121" s="6"/>
      <c r="ME121" s="6"/>
      <c r="MF121" s="6"/>
      <c r="MG121" s="9"/>
      <c r="MH121"/>
    </row>
    <row r="122">
      <c r="A122" s="8">
        <v>25384</v>
      </c>
      <c r="B122" s="8">
        <v>25385</v>
      </c>
      <c r="C122" s="9">
        <f>B122-A122</f>
        <v>1</v>
      </c>
      <c r="D122" s="8">
        <v>25384</v>
      </c>
      <c r="E122" t="inlineStr">
        <is>
          <t xml:space="preserve">positive</t>
        </is>
      </c>
      <c r="F122" s="4">
        <v>1.2222597342737527</v>
      </c>
      <c r="G122" s="6">
        <v>0.016659099329095036</v>
      </c>
      <c r="H122" s="7">
        <f>SUM(CP122,DR122,ET122,FV122,GX122,HZ122,JB122,KD122,LF122,MH122)</f>
        <v>0.016659099329095036</v>
      </c>
      <c r="I122" s="7">
        <f>G122-H122</f>
        <v>0</v>
      </c>
      <c r="J122" s="5">
        <f>F122*(1+H122)</f>
        <v>1.2426214805929723</v>
      </c>
      <c r="K122" s="4">
        <v>1.2426214805929723</v>
      </c>
      <c r="L122" s="5">
        <f>K122-J122</f>
        <v>0</v>
      </c>
      <c r="M122" s="4">
        <v>1.564</v>
      </c>
      <c r="N122" s="4">
        <v>1.595</v>
      </c>
      <c r="O122" s="5">
        <f>M122/$M$3</f>
        <v>0.7987742594484168</v>
      </c>
      <c r="P122" s="5">
        <f>N122/$M$3</f>
        <v>0.8146067415730337</v>
      </c>
      <c r="Q122" s="7">
        <f>IFERROR(N122/M122-1,0)</f>
        <v>0.01982097186700771</v>
      </c>
      <c r="R122" s="5">
        <f>SUM(IF(BQ122="lease",CB122,0),IF(CS122="lease",DD122,0),IF(DU122="lease",EF122,0),IF(EW122="lease",FH122,0),IF(FY122="lease",GJ122,0),IF(HA122="lease",HL122,0),IF(IC122="lease",IN122,0),IF(JE122="lease",JP122,0),IF(KG122="lease",KR122,0),IF(LI122="lease",LT122,0))</f>
        <v>1.2222597342737531</v>
      </c>
      <c r="S122" s="5">
        <f>SUM(IF(BQ122="lease",CI122,0),IF(CS122="lease",DK122,0),IF(DU122="lease",EM122,0),IF(EW122="lease",FO122,0),IF(FY122="lease",GQ122,0),IF(HA122="lease",HS122,0),IF(IC122="lease",IU122,0),IF(JE122="lease",JW122,0),IF(KG122="lease",KY122,0),IF(LI122="lease",MA122,0))</f>
        <v>1.2426214805929727</v>
      </c>
      <c r="T122" s="5">
        <f>SUM(IF(BQ122="keep",CB122,0),IF(CS122="keep",DD122,0),IF(DU122="keep",EF122,0),IF(EW122="keep",FH122,0),IF(FY122="keep",GJ122,0),IF(HA122="keep",HL122,0),IF(IC122="keep",IN122,0),IF(JE122="keep",JP122,0),IF(KG122="keep",KR122,0),IF(LI122="keep",LT122,0))</f>
        <v>0</v>
      </c>
      <c r="U122" s="5">
        <f>SUM(IF(BQ122="keep",CI122,0),IF(CS122="keep",DK122,0),IF(DU122="keep",EM122,0),IF(EW122="keep",FO122,0),IF(FY122="keep",GQ122,0),IF(HA122="keep",HS122,0),IF(IC122="keep",IU122,0),IF(JE122="keep",JW122,0),IF(KG122="keep",KY122,0),IF(LI122="keep",MA122,0))</f>
        <v>0</v>
      </c>
      <c r="V122" s="5">
        <f>R122/O122</f>
        <v>1.5301691558235346</v>
      </c>
      <c r="W122" s="5">
        <f>S122/P122</f>
        <v>1.5254249899693044</v>
      </c>
      <c r="X122" s="5">
        <f>T122/O122</f>
        <v>0</v>
      </c>
      <c r="Y122" s="5">
        <f>U122/P122</f>
        <v>0</v>
      </c>
      <c r="Z122" s="5">
        <f>V122+X122</f>
        <v>1.5301691558235346</v>
      </c>
      <c r="AA122" s="7">
        <f>IFERROR(W122/V122-1,0)</f>
        <v>-0.0031004192158591293</v>
      </c>
      <c r="AB122" s="7">
        <f>IFERROR((W122-V122)/Z122,0)</f>
        <v>-0.0031004192158591163</v>
      </c>
      <c r="AC122" s="7">
        <f>IFERROR(Y122/X122-1,0)</f>
        <v>0</v>
      </c>
      <c r="AD122" s="7">
        <f>IFERROR((Y122-X122)/Z122,0)</f>
        <v>0</v>
      </c>
      <c r="AE122" s="7">
        <f>AB122+AD122</f>
        <v>-0.0031004192158591163</v>
      </c>
      <c r="AF122" s="7">
        <f>(1+Q122)*(1+AE122)-1</f>
        <v>0.01665909932909515</v>
      </c>
      <c r="AG122" s="7">
        <f>G122-AF122</f>
        <v>-1.1449174941446927e-16</v>
      </c>
      <c r="AH122" s="5">
        <f>SUM(IF(BQ122="lease",CE122,0),IF(CS122="lease",DG122,0),IF(DU122="lease",EI122,0),IF(EW122="lease",FK122,0),IF(FY122="lease",GM122,0),IF(HA122="lease",HO122,0),IF(IC122="lease",IQ122,0),IF(JE122="lease",JS122,0),IF(KG122="lease",KU122,0),IF(LI122="lease",LW122,0))</f>
        <v>0.02036174631921975</v>
      </c>
      <c r="AI122" s="5">
        <f>SUM(IF(BQ122="keep",CE122,0),IF(CS122="keep",DG122,0),IF(DU122="keep",EI122,0),IF(EW122="keep",FK122,0),IF(FY122="keep",GM122,0),IF(HA122="keep",HO122,0),IF(IC122="keep",IQ122,0),IF(JE122="keep",JS122,0),IF(KG122="keep",KU122,0),IF(LI122="keep",LW122,0))</f>
        <v>0</v>
      </c>
      <c r="AJ122" s="5">
        <f>SUM(IF(BQ122="lease",CH122,0),IF(CS122="lease",DJ122,0),IF(DU122="lease",EL122,0),IF(EW122="lease",FN122,0),IF(FY122="lease",GP122,0),IF(HA122="lease",HR122,0),IF(IC122="lease",IT122,0),IF(JE122="lease",JV122,0),IF(KG122="lease",KX122,0),IF(LI122="lease",LZ122,0))</f>
        <v>0</v>
      </c>
      <c r="AK122" s="5">
        <f>SUM(IF(BQ122="keep",CH122,0),IF(CS122="keep",DJ122,0),IF(DU122="keep",EL122,0),IF(EW122="keep",FN122,0),IF(FY122="keep",GP122,0),IF(HA122="keep",HR122,0),IF(IC122="keep",IT122,0),IF(JE122="keep",JV122,0),IF(KG122="keep",KX122,0),IF(LI122="keep",LZ122,0))</f>
        <v>0</v>
      </c>
      <c r="AL122" s="5">
        <f>R122-S121</f>
        <v>0</v>
      </c>
      <c r="AM122" s="5">
        <f>T122-U121</f>
        <v>0</v>
      </c>
      <c r="AN122" s="5">
        <f>AN121</f>
        <v>1</v>
      </c>
      <c r="AO122" s="5">
        <f>AO121+AH122</f>
        <v>0.24262148059297298</v>
      </c>
      <c r="AP122" s="5">
        <f>AP121+AL122</f>
        <v>-4.440892098500626e-16</v>
      </c>
      <c r="AQ122" s="5">
        <f>AN122+AO122+AP122</f>
        <v>1.2426214805929725</v>
      </c>
      <c r="AR122" s="5">
        <f>S122-AQ122</f>
        <v>2.220446049250313e-16</v>
      </c>
      <c r="AS122" s="5">
        <f>AS121</f>
        <v>0</v>
      </c>
      <c r="AT122" s="5">
        <f>AT121+AI122</f>
        <v>0</v>
      </c>
      <c r="AU122" s="5">
        <f>AU121+AM122</f>
        <v>0</v>
      </c>
      <c r="AV122" s="5">
        <f>AS122+AT122+AU122</f>
        <v>0</v>
      </c>
      <c r="AW122" s="5">
        <f>U122-AV122</f>
        <v>0</v>
      </c>
      <c r="AX122" s="4">
        <v>1.2222597342737531</v>
      </c>
      <c r="AY122" s="4">
        <v>1.242621480592973</v>
      </c>
      <c r="AZ122" s="5">
        <f>S122-AY122</f>
        <v>-2.220446049250313e-16</v>
      </c>
      <c r="BA122" s="4">
        <v>0</v>
      </c>
      <c r="BB122" s="4">
        <v>0</v>
      </c>
      <c r="BC122" s="5">
        <f>U122-BB122</f>
        <v>0</v>
      </c>
      <c r="BD122" s="7">
        <f>SUM(IF(BP122="direct",CC122/F122,0),IF(CR122="direct",DE122/F122,0),IF(DT122="direct",EG122/F122,0),IF(EV122="direct",FI122/F122,0),IF(FX122="direct",GK122/F122,0),IF(GZ122="direct",HM122/F122,0),IF(IB122="direct",IO122/F122,0),IF(JD122="direct",JQ122/F122,0),IF(KF122="direct",KS122/F122,0),IF(LH122="direct",LU122/F122,0))</f>
        <v>0.017889706380448796</v>
      </c>
      <c r="BE122" s="7">
        <f>-SUM(IF(BP122="direct",CD122/F122,0),IF(CR122="direct",DF122/F122,0),IF(DT122="direct",EH122/F122,0),IF(EV122="direct",FJ122/F122,0),IF(FX122="direct",GL122/F122,0),IF(GZ122="direct",HN122/F122,0),IF(IB122="direct",IP122/F122,0),IF(JD122="direct",JR122/F122,0),IF(KF122="direct",KT122/F122,0),IF(LH122="direct",LV122/F122,0))</f>
        <v>-0.000006181948912731329</v>
      </c>
      <c r="BF122" s="7">
        <f>BD122+BE122</f>
        <v>0.017883524431536065</v>
      </c>
      <c r="BG122" s="7">
        <f>BF122-SUM(IF(BP122="direct",CP122,0),IF(CR122="direct",DR122,0),IF(DT122="direct",ET122,0),IF(EV122="direct",FV122,0),IF(FX122="direct",GX122,0),IF(GZ122="direct",HZ122,0),IF(IB122="direct",JB122,0),IF(JD122="direct",KD122,0),IF(KF122="direct",LF122,0),IF(LH122="direct",MH122,0))</f>
        <v>-7.979727989493313e-17</v>
      </c>
      <c r="BH122" s="7">
        <f>SUM(IF(BP122="treasury",CP122,0),IF(CR122="treasury",DR122,0),IF(DT122="treasury",ET122,0),IF(EV122="treasury",FV122,0),IF(FX122="treasury",GX122,0),IF(GZ122="treasury",HZ122,0),IF(IB122="treasury",JB122,0),IF(JD122="treasury",KD122,0),IF(KF122="treasury",LF122,0),IF(LH122="treasury",MH122,0))</f>
        <v>0.000016790932478967448</v>
      </c>
      <c r="BI122" s="7">
        <f>SUM(IF(BP122="future",CP122,0),IF(CR122="future",DR122,0),IF(DT122="future",ET122,0),IF(EV122="future",FV122,0),IF(FX122="future",GX122,0),IF(GZ122="future",HZ122,0),IF(IB122="future",JB122,0),IF(JD122="future",KD122,0),IF(KF122="future",LF122,0),IF(LH122="future",MH122,0))</f>
        <v>-0.0012412160349200769</v>
      </c>
      <c r="BJ122" s="7">
        <f>SUM(IF(BP122="cash",CP122,0),IF(CR122="cash",DR122,0),IF(DT122="cash",ET122,0),IF(EV122="cash",FV122,0),IF(FX122="cash",GX122,0),IF(GZ122="cash",HZ122,0),IF(IB122="cash",JB122,0),IF(JD122="cash",KD122,0),IF(KF122="cash",LF122,0),IF(LH122="cash",MH122,0))</f>
        <v>0</v>
      </c>
      <c r="BK122" s="7">
        <f>SUM(BF122,BH122,BI122,BJ122)</f>
        <v>0.016659099329095036</v>
      </c>
      <c r="BL122" s="7">
        <f>G122-BK122</f>
        <v>0</v>
      </c>
      <c r="BM122" s="5">
        <f>MAX(ABS(CG122),ABS(DI122),ABS(EK122),ABS(FM122),ABS(GO122),ABS(HQ122),ABS(IS122),ABS(JU122),ABS(KW122),ABS(LY122))</f>
        <v>1.0015148161745396e-16</v>
      </c>
      <c r="BN122" s="9">
        <f>COUNTA(BO122,CQ122,DS122,EU122,FW122,GY122,IA122,JC122,KE122,LG122)</f>
        <v>5</v>
      </c>
      <c r="BO122" t="inlineStr">
        <is>
          <t xml:space="preserve">Direct commodity holding</t>
        </is>
      </c>
      <c r="BP122" t="inlineStr">
        <is>
          <t xml:space="preserve">direct</t>
        </is>
      </c>
      <c r="BQ122" t="inlineStr">
        <is>
          <t xml:space="preserve">lease</t>
        </is>
      </c>
      <c r="BR122" t="inlineStr">
        <is>
          <t xml:space="preserve">long</t>
        </is>
      </c>
      <c r="BS122"/>
      <c r="BT122" s="4">
        <v>1.564</v>
      </c>
      <c r="BU122" s="4">
        <v>1.595</v>
      </c>
      <c r="BV122" s="6">
        <v>0.0025</v>
      </c>
      <c r="BW122" s="4">
        <v>0.7053505731226729</v>
      </c>
      <c r="BX122" s="5">
        <f>IF(BP122="direct",IFERROR(CD122/BU122,0),0)</f>
        <v>0.000004737270993961698</v>
      </c>
      <c r="BY122" s="5">
        <f>IF(BP122="direct",BW122-BX122,IF(BP122="cash",CI122,BW122))</f>
        <v>0.705345835851679</v>
      </c>
      <c r="BZ122" s="6">
        <v>0.902564541258774</v>
      </c>
      <c r="CA122" s="4">
        <v>1.1031682963638605</v>
      </c>
      <c r="CB122" s="4">
        <v>1.1031682963638605</v>
      </c>
      <c r="CC122" s="5">
        <f>IF(BP122="direct",BW122*(BU122-BT122),CF122)</f>
        <v>0.021865867766802802</v>
      </c>
      <c r="CD122" s="5">
        <f>IF(BP122="direct",CB122*BV122*C122/365,0)</f>
        <v>0.000007555947235368908</v>
      </c>
      <c r="CE122" s="5">
        <f>CC122-CD122</f>
        <v>0.021858311819567534</v>
      </c>
      <c r="CF122" s="4">
        <v>0.021858311819567534</v>
      </c>
      <c r="CG122" s="5">
        <f>CF122-CE122</f>
        <v>1.0015148161745396e-16</v>
      </c>
      <c r="CH122" s="4">
        <v>0</v>
      </c>
      <c r="CI122" s="4">
        <v>1.125026608183428</v>
      </c>
      <c r="CJ122" s="4">
        <v>1.564</v>
      </c>
      <c r="CK122" s="4">
        <v>1.595</v>
      </c>
      <c r="CL122" s="6"/>
      <c r="CM122" s="6"/>
      <c r="CN122" s="6"/>
      <c r="CO122" s="9"/>
      <c r="CP122" s="7">
        <f>IFERROR(CE122/F122,0)</f>
        <v>0.017883524431536145</v>
      </c>
      <c r="CQ122" t="inlineStr">
        <is>
          <t xml:space="preserve">Treasury collateral</t>
        </is>
      </c>
      <c r="CR122" t="inlineStr">
        <is>
          <t xml:space="preserve">treasury</t>
        </is>
      </c>
      <c r="CS122" t="inlineStr">
        <is>
          <t xml:space="preserve">lease</t>
        </is>
      </c>
      <c r="CT122" t="inlineStr">
        <is>
          <t xml:space="preserve">long</t>
        </is>
      </c>
      <c r="CU122"/>
      <c r="CV122" s="4">
        <v>103.05687017320591</v>
      </c>
      <c r="CW122" s="4">
        <v>103.07462983658644</v>
      </c>
      <c r="CX122" s="6"/>
      <c r="CY122" s="4">
        <v>0.0011555895081010827</v>
      </c>
      <c r="CZ122" s="5">
        <f>IF(CR122="direct",IFERROR(DF122/CW122,0),0)</f>
        <v>0</v>
      </c>
      <c r="DA122" s="5">
        <f>IF(CR122="direct",CY122-CZ122,IF(CR122="cash",DK122,CY122))</f>
        <v>0.0011555895081010827</v>
      </c>
      <c r="DB122" s="6">
        <v>0.09743545874122607</v>
      </c>
      <c r="DC122" s="4">
        <v>0.11909143790989216</v>
      </c>
      <c r="DD122" s="4">
        <v>0.11909143790989216</v>
      </c>
      <c r="DE122" s="5">
        <f>IF(CR122="direct",CY122*(CW122-CV122),DH122)</f>
        <v>0.000020522880669948412</v>
      </c>
      <c r="DF122" s="5">
        <f>IF(CR122="direct",DD122*CX122*C122/365,0)</f>
        <v>0</v>
      </c>
      <c r="DG122" s="5">
        <f>DE122-DF122</f>
        <v>0.000020522880669951275</v>
      </c>
      <c r="DH122" s="4">
        <v>0.000020522880669951275</v>
      </c>
      <c r="DI122" s="5">
        <f>DH122-DG122</f>
        <v>2.862971361719535e-18</v>
      </c>
      <c r="DJ122" s="4">
        <v>-2.6020852139652106e-18</v>
      </c>
      <c r="DK122" s="4">
        <v>0.1191119607905621</v>
      </c>
      <c r="DL122" s="4">
        <v>1.564</v>
      </c>
      <c r="DM122" s="4">
        <v>1.595</v>
      </c>
      <c r="DN122" s="6"/>
      <c r="DO122" s="6"/>
      <c r="DP122" s="6"/>
      <c r="DQ122" s="9">
        <v>29</v>
      </c>
      <c r="DR122" s="7">
        <f>IFERROR(DG122/F122,0)</f>
        <v>0.000016790932478967448</v>
      </c>
      <c r="DS122" t="inlineStr">
        <is>
          <t xml:space="preserve">SI69N</t>
        </is>
      </c>
      <c r="DT122" t="inlineStr">
        <is>
          <t xml:space="preserve">future</t>
        </is>
      </c>
      <c r="DU122" t="inlineStr">
        <is>
          <t xml:space="preserve">lease</t>
        </is>
      </c>
      <c r="DV122" t="inlineStr">
        <is>
          <t xml:space="preserve">long</t>
        </is>
      </c>
      <c r="DW122" t="inlineStr">
        <is>
          <t xml:space="preserve">regular</t>
        </is>
      </c>
      <c r="DX122" s="4">
        <v>1.57</v>
      </c>
      <c r="DY122" s="4">
        <v>1.55</v>
      </c>
      <c r="DZ122" s="6"/>
      <c r="EA122" s="4">
        <v>0.07585441905088672</v>
      </c>
      <c r="EB122" s="5">
        <f>IF(DT122="direct",IFERROR(EH122/DY122,0),0)</f>
        <v>0</v>
      </c>
      <c r="EC122" s="5">
        <f>IF(DT122="direct",EA122-EB122,IF(DT122="cash",EM122,EA122))</f>
        <v>0.07585441905088672</v>
      </c>
      <c r="ED122" s="6">
        <v>0.09743545874122607</v>
      </c>
      <c r="EE122" s="4">
        <v>0.11909143790989216</v>
      </c>
      <c r="EF122" s="4">
        <v>0</v>
      </c>
      <c r="EG122" s="5">
        <f>IF(DT122="direct",EA122*(DY122-DX122),EJ122)</f>
        <v>-0.001517088381017734</v>
      </c>
      <c r="EH122" s="5">
        <f>IF(DT122="direct",EF122*DZ122*C122/365,0)</f>
        <v>0</v>
      </c>
      <c r="EI122" s="5">
        <f>EG122-EH122</f>
        <v>-0.001517088381017734</v>
      </c>
      <c r="EJ122" s="4">
        <v>-0.001517088381017734</v>
      </c>
      <c r="EK122" s="5">
        <f>EJ122-EI122</f>
        <v>0</v>
      </c>
      <c r="EL122" s="4">
        <v>0.001517088381017734</v>
      </c>
      <c r="EM122" s="4">
        <v>0</v>
      </c>
      <c r="EN122" s="4">
        <v>1.564</v>
      </c>
      <c r="EO122" s="4">
        <v>1.595</v>
      </c>
      <c r="EP122" s="6">
        <v>0.0038363171355497716</v>
      </c>
      <c r="EQ122" s="6">
        <v>0.0629</v>
      </c>
      <c r="ER122" s="6">
        <v>0.014615318811183907</v>
      </c>
      <c r="ES122" s="9">
        <v>29</v>
      </c>
      <c r="ET122" s="7">
        <f>IFERROR(EI122/F122,0)</f>
        <v>-0.0012412160349200769</v>
      </c>
      <c r="EU122" t="inlineStr">
        <is>
          <t xml:space="preserve">Lease cash / margin / financing</t>
        </is>
      </c>
      <c r="EV122" t="inlineStr">
        <is>
          <t xml:space="preserve">cash</t>
        </is>
      </c>
      <c r="EW122" t="inlineStr">
        <is>
          <t xml:space="preserve">lease</t>
        </is>
      </c>
      <c r="EX122" t="inlineStr">
        <is>
          <t xml:space="preserve">cash</t>
        </is>
      </c>
      <c r="EY122"/>
      <c r="EZ122" s="4">
        <v>1</v>
      </c>
      <c r="FA122" s="4">
        <v>1</v>
      </c>
      <c r="FB122" s="6"/>
      <c r="FC122" s="4">
        <v>4.440892098500626e-16</v>
      </c>
      <c r="FD122" s="5">
        <f>IF(EV122="direct",IFERROR(FJ122/FA122,0),0)</f>
        <v>0</v>
      </c>
      <c r="FE122" s="5">
        <f>IF(EV122="direct",FC122-FD122,IF(EV122="cash",FO122,FC122))</f>
        <v>-0.0015170883810172874</v>
      </c>
      <c r="FF122" s="6"/>
      <c r="FG122" s="4">
        <v>4.440892098500626e-16</v>
      </c>
      <c r="FH122" s="4">
        <v>4.440892098500626e-16</v>
      </c>
      <c r="FI122" s="5">
        <f>IF(EV122="direct",FC122*(FA122-EZ122),FL122)</f>
        <v>0</v>
      </c>
      <c r="FJ122" s="5">
        <f>IF(EV122="direct",FH122*FB122*C122/365,0)</f>
        <v>0</v>
      </c>
      <c r="FK122" s="5">
        <f>FI122-FJ122</f>
        <v>0</v>
      </c>
      <c r="FL122" s="4">
        <v>0</v>
      </c>
      <c r="FM122" s="5">
        <f>FL122-FK122</f>
        <v>0</v>
      </c>
      <c r="FN122" s="4">
        <v>-0.0015170883810177315</v>
      </c>
      <c r="FO122" s="4">
        <v>-0.0015170883810172874</v>
      </c>
      <c r="FP122" s="4">
        <v>1.564</v>
      </c>
      <c r="FQ122" s="4">
        <v>1.595</v>
      </c>
      <c r="FR122" s="6"/>
      <c r="FS122" s="6"/>
      <c r="FT122" s="6"/>
      <c r="FU122" s="9"/>
      <c r="FV122" s="7">
        <f>IFERROR(FK122/F122,0)</f>
        <v>0</v>
      </c>
      <c r="FW122" t="inlineStr">
        <is>
          <t xml:space="preserve">Keep cash / margin / financing</t>
        </is>
      </c>
      <c r="FX122" t="inlineStr">
        <is>
          <t xml:space="preserve">cash</t>
        </is>
      </c>
      <c r="FY122" t="inlineStr">
        <is>
          <t xml:space="preserve">keep</t>
        </is>
      </c>
      <c r="FZ122" t="inlineStr">
        <is>
          <t xml:space="preserve">cash</t>
        </is>
      </c>
      <c r="GA122"/>
      <c r="GB122" s="4">
        <v>1</v>
      </c>
      <c r="GC122" s="4">
        <v>1</v>
      </c>
      <c r="GD122" s="6"/>
      <c r="GE122" s="4">
        <v>0</v>
      </c>
      <c r="GF122" s="5">
        <f>IF(FX122="direct",IFERROR(GL122/GC122,0),0)</f>
        <v>0</v>
      </c>
      <c r="GG122" s="5">
        <f>IF(FX122="direct",GE122-GF122,IF(FX122="cash",GQ122,GE122))</f>
        <v>0</v>
      </c>
      <c r="GH122" s="6"/>
      <c r="GI122" s="4">
        <v>0</v>
      </c>
      <c r="GJ122" s="4">
        <v>0</v>
      </c>
      <c r="GK122" s="5">
        <f>IF(FX122="direct",GE122*(GC122-GB122),GN122)</f>
        <v>0</v>
      </c>
      <c r="GL122" s="5">
        <f>IF(FX122="direct",GJ122*GD122*C122/365,0)</f>
        <v>0</v>
      </c>
      <c r="GM122" s="5">
        <f>GK122-GL122</f>
        <v>0</v>
      </c>
      <c r="GN122" s="4">
        <v>0</v>
      </c>
      <c r="GO122" s="5">
        <f>GN122-GM122</f>
        <v>0</v>
      </c>
      <c r="GP122" s="4">
        <v>0</v>
      </c>
      <c r="GQ122" s="4">
        <v>0</v>
      </c>
      <c r="GR122" s="4">
        <v>1.564</v>
      </c>
      <c r="GS122" s="4">
        <v>1.595</v>
      </c>
      <c r="GT122" s="6"/>
      <c r="GU122" s="6"/>
      <c r="GV122" s="6"/>
      <c r="GW122" s="9"/>
      <c r="GX122" s="7">
        <f>IFERROR(GM122/F122,0)</f>
        <v>0</v>
      </c>
      <c r="GY122"/>
      <c r="GZ122"/>
      <c r="HA122"/>
      <c r="HB122"/>
      <c r="HC122"/>
      <c r="HD122" s="4"/>
      <c r="HE122" s="4"/>
      <c r="HF122" s="6"/>
      <c r="HG122" s="4"/>
      <c r="HH122" s="5">
        <v>0</v>
      </c>
      <c r="HI122" s="5"/>
      <c r="HJ122" s="6"/>
      <c r="HK122" s="4"/>
      <c r="HL122" s="4"/>
      <c r="HM122" s="5">
        <v>0</v>
      </c>
      <c r="HN122" s="5">
        <v>0</v>
      </c>
      <c r="HO122" s="5"/>
      <c r="HP122" s="4"/>
      <c r="HQ122" s="5">
        <v>0</v>
      </c>
      <c r="HR122" s="4"/>
      <c r="HS122" s="4"/>
      <c r="HT122" s="4"/>
      <c r="HU122" s="4"/>
      <c r="HV122" s="6"/>
      <c r="HW122" s="6"/>
      <c r="HX122" s="6"/>
      <c r="HY122" s="9"/>
      <c r="HZ122"/>
      <c r="IA122"/>
      <c r="IB122"/>
      <c r="IC122"/>
      <c r="ID122"/>
      <c r="IE122"/>
      <c r="IF122" s="4"/>
      <c r="IG122" s="4"/>
      <c r="IH122" s="6"/>
      <c r="II122" s="4"/>
      <c r="IJ122" s="5">
        <v>0</v>
      </c>
      <c r="IK122" s="5"/>
      <c r="IL122" s="6"/>
      <c r="IM122" s="4"/>
      <c r="IN122" s="4"/>
      <c r="IO122" s="5">
        <v>0</v>
      </c>
      <c r="IP122" s="5">
        <v>0</v>
      </c>
      <c r="IQ122" s="5"/>
      <c r="IR122" s="4"/>
      <c r="IS122" s="5">
        <v>0</v>
      </c>
      <c r="IT122" s="4"/>
      <c r="IU122" s="4"/>
      <c r="IV122" s="4"/>
      <c r="IW122" s="4"/>
      <c r="IX122" s="6"/>
      <c r="IY122" s="6"/>
      <c r="IZ122" s="6"/>
      <c r="JA122" s="9"/>
      <c r="JB122"/>
      <c r="JC122"/>
      <c r="JD122"/>
      <c r="JE122"/>
      <c r="JF122"/>
      <c r="JG122"/>
      <c r="JH122" s="4"/>
      <c r="JI122" s="4"/>
      <c r="JJ122" s="6"/>
      <c r="JK122" s="4"/>
      <c r="JL122" s="5">
        <v>0</v>
      </c>
      <c r="JM122" s="5"/>
      <c r="JN122" s="6"/>
      <c r="JO122" s="4"/>
      <c r="JP122" s="4"/>
      <c r="JQ122" s="5">
        <v>0</v>
      </c>
      <c r="JR122" s="5">
        <v>0</v>
      </c>
      <c r="JS122" s="5"/>
      <c r="JT122" s="4"/>
      <c r="JU122" s="5">
        <v>0</v>
      </c>
      <c r="JV122" s="4"/>
      <c r="JW122" s="4"/>
      <c r="JX122" s="4"/>
      <c r="JY122" s="4"/>
      <c r="JZ122" s="6"/>
      <c r="KA122" s="6"/>
      <c r="KB122" s="6"/>
      <c r="KC122" s="9"/>
      <c r="KD122"/>
      <c r="KE122"/>
      <c r="KF122"/>
      <c r="KG122"/>
      <c r="KH122"/>
      <c r="KI122"/>
      <c r="KJ122" s="4"/>
      <c r="KK122" s="4"/>
      <c r="KL122" s="6"/>
      <c r="KM122" s="4"/>
      <c r="KN122" s="5">
        <v>0</v>
      </c>
      <c r="KO122" s="5"/>
      <c r="KP122" s="6"/>
      <c r="KQ122" s="4"/>
      <c r="KR122" s="4"/>
      <c r="KS122" s="5">
        <v>0</v>
      </c>
      <c r="KT122" s="5">
        <v>0</v>
      </c>
      <c r="KU122" s="5"/>
      <c r="KV122" s="4"/>
      <c r="KW122" s="5">
        <v>0</v>
      </c>
      <c r="KX122" s="4"/>
      <c r="KY122" s="4"/>
      <c r="KZ122" s="4"/>
      <c r="LA122" s="4"/>
      <c r="LB122" s="6"/>
      <c r="LC122" s="6"/>
      <c r="LD122" s="6"/>
      <c r="LE122" s="9"/>
      <c r="LF122"/>
      <c r="LG122"/>
      <c r="LH122"/>
      <c r="LI122"/>
      <c r="LJ122"/>
      <c r="LK122"/>
      <c r="LL122" s="4"/>
      <c r="LM122" s="4"/>
      <c r="LN122" s="6"/>
      <c r="LO122" s="4"/>
      <c r="LP122" s="5">
        <v>0</v>
      </c>
      <c r="LQ122" s="5"/>
      <c r="LR122" s="6"/>
      <c r="LS122" s="4"/>
      <c r="LT122" s="4"/>
      <c r="LU122" s="5">
        <v>0</v>
      </c>
      <c r="LV122" s="5">
        <v>0</v>
      </c>
      <c r="LW122" s="5"/>
      <c r="LX122" s="4"/>
      <c r="LY122" s="5">
        <v>0</v>
      </c>
      <c r="LZ122" s="4"/>
      <c r="MA122" s="4"/>
      <c r="MB122" s="4"/>
      <c r="MC122" s="4"/>
      <c r="MD122" s="6"/>
      <c r="ME122" s="6"/>
      <c r="MF122" s="6"/>
      <c r="MG122" s="9"/>
      <c r="MH122"/>
    </row>
    <row r="123">
      <c r="A123" s="8">
        <v>25385</v>
      </c>
      <c r="B123" s="8">
        <v>25386</v>
      </c>
      <c r="C123" s="9">
        <f>B123-A123</f>
        <v>1</v>
      </c>
      <c r="D123" s="8">
        <v>25385</v>
      </c>
      <c r="E123" t="inlineStr">
        <is>
          <t xml:space="preserve">positive</t>
        </is>
      </c>
      <c r="F123" s="4">
        <v>1.2426214805929723</v>
      </c>
      <c r="G123" s="6">
        <v>0.0034085461776402533</v>
      </c>
      <c r="H123" s="7">
        <f>SUM(CP123,DR123,ET123,FV123,GX123,HZ123,JB123,KD123,LF123,MH123)</f>
        <v>0.0034085461776402533</v>
      </c>
      <c r="I123" s="7">
        <f>G123-H123</f>
        <v>0</v>
      </c>
      <c r="J123" s="5">
        <f>F123*(1+H123)</f>
        <v>1.2468570132909012</v>
      </c>
      <c r="K123" s="4">
        <v>1.2468570132909012</v>
      </c>
      <c r="L123" s="5">
        <f>K123-J123</f>
        <v>0</v>
      </c>
      <c r="M123" s="4">
        <v>1.595</v>
      </c>
      <c r="N123" s="4">
        <v>1.57</v>
      </c>
      <c r="O123" s="5">
        <f>M123/$M$3</f>
        <v>0.8146067415730337</v>
      </c>
      <c r="P123" s="5">
        <f>N123/$M$3</f>
        <v>0.801838610827375</v>
      </c>
      <c r="Q123" s="7">
        <f>IFERROR(N123/M123-1,0)</f>
        <v>-0.01567398119122254</v>
      </c>
      <c r="R123" s="5">
        <f>SUM(IF(BQ123="lease",CB123,0),IF(CS123="lease",DD123,0),IF(DU123="lease",EF123,0),IF(EW123="lease",FH123,0),IF(FY123="lease",GJ123,0),IF(HA123="lease",HL123,0),IF(IC123="lease",IN123,0),IF(JE123="lease",JP123,0),IF(KG123="lease",KR123,0),IF(LI123="lease",LT123,0))</f>
        <v>1.242621480592973</v>
      </c>
      <c r="S123" s="5">
        <f>SUM(IF(BQ123="lease",CI123,0),IF(CS123="lease",DK123,0),IF(DU123="lease",EM123,0),IF(EW123="lease",FO123,0),IF(FY123="lease",GQ123,0),IF(HA123="lease",HS123,0),IF(IC123="lease",IU123,0),IF(JE123="lease",JW123,0),IF(KG123="lease",KY123,0),IF(LI123="lease",MA123,0))</f>
        <v>1.2468570132909018</v>
      </c>
      <c r="T123" s="5">
        <f>SUM(IF(BQ123="keep",CB123,0),IF(CS123="keep",DD123,0),IF(DU123="keep",EF123,0),IF(EW123="keep",FH123,0),IF(FY123="keep",GJ123,0),IF(HA123="keep",HL123,0),IF(IC123="keep",IN123,0),IF(JE123="keep",JP123,0),IF(KG123="keep",KR123,0),IF(LI123="keep",LT123,0))</f>
        <v>0</v>
      </c>
      <c r="U123" s="5">
        <f>SUM(IF(BQ123="keep",CI123,0),IF(CS123="keep",DK123,0),IF(DU123="keep",EM123,0),IF(EW123="keep",FO123,0),IF(FY123="keep",GQ123,0),IF(HA123="keep",HS123,0),IF(IC123="keep",IU123,0),IF(JE123="keep",JW123,0),IF(KG123="keep",KY123,0),IF(LI123="keep",MA123,0))</f>
        <v>0</v>
      </c>
      <c r="V123" s="5">
        <f>R123/O123</f>
        <v>1.5254249899693046</v>
      </c>
      <c r="W123" s="5">
        <f>S123/P123</f>
        <v>1.5549974726264877</v>
      </c>
      <c r="X123" s="5">
        <f>T123/O123</f>
        <v>0</v>
      </c>
      <c r="Y123" s="5">
        <f>U123/P123</f>
        <v>0</v>
      </c>
      <c r="Z123" s="5">
        <f>V123+X123</f>
        <v>1.5254249899693046</v>
      </c>
      <c r="AA123" s="7">
        <f>IFERROR(W123/V123-1,0)</f>
        <v>0.01938638926964087</v>
      </c>
      <c r="AB123" s="7">
        <f>IFERROR((W123-V123)/Z123,0)</f>
        <v>0.019386389269640925</v>
      </c>
      <c r="AC123" s="7">
        <f>IFERROR(Y123/X123-1,0)</f>
        <v>0</v>
      </c>
      <c r="AD123" s="7">
        <f>IFERROR((Y123-X123)/Z123,0)</f>
        <v>0</v>
      </c>
      <c r="AE123" s="7">
        <f>AB123+AD123</f>
        <v>0.019386389269640925</v>
      </c>
      <c r="AF123" s="7">
        <f>(1+Q123)*(1+AE123)-1</f>
        <v>0.0034085461776403037</v>
      </c>
      <c r="AG123" s="7">
        <f>G123-AF123</f>
        <v>-5.0306980803327406e-17</v>
      </c>
      <c r="AH123" s="5">
        <f>SUM(IF(BQ123="lease",CE123,0),IF(CS123="lease",DG123,0),IF(DU123="lease",EI123,0),IF(EW123="lease",FK123,0),IF(FY123="lease",GM123,0),IF(HA123="lease",HO123,0),IF(IC123="lease",IQ123,0),IF(JE123="lease",JS123,0),IF(KG123="lease",KU123,0),IF(LI123="lease",LW123,0))</f>
        <v>0.004235532697928848</v>
      </c>
      <c r="AI123" s="5">
        <f>SUM(IF(BQ123="keep",CE123,0),IF(CS123="keep",DG123,0),IF(DU123="keep",EI123,0),IF(EW123="keep",FK123,0),IF(FY123="keep",GM123,0),IF(HA123="keep",HO123,0),IF(IC123="keep",IQ123,0),IF(JE123="keep",JS123,0),IF(KG123="keep",KU123,0),IF(LI123="keep",LW123,0))</f>
        <v>0</v>
      </c>
      <c r="AJ123" s="5">
        <f>SUM(IF(BQ123="lease",CH123,0),IF(CS123="lease",DJ123,0),IF(DU123="lease",EL123,0),IF(EW123="lease",FN123,0),IF(FY123="lease",GP123,0),IF(HA123="lease",HR123,0),IF(IC123="lease",IT123,0),IF(JE123="lease",JV123,0),IF(KG123="lease",KX123,0),IF(LI123="lease",LZ123,0))</f>
        <v>0</v>
      </c>
      <c r="AK123" s="5">
        <f>SUM(IF(BQ123="keep",CH123,0),IF(CS123="keep",DJ123,0),IF(DU123="keep",EL123,0),IF(EW123="keep",FN123,0),IF(FY123="keep",GP123,0),IF(HA123="keep",HR123,0),IF(IC123="keep",IT123,0),IF(JE123="keep",JV123,0),IF(KG123="keep",KX123,0),IF(LI123="keep",LZ123,0))</f>
        <v>0</v>
      </c>
      <c r="AL123" s="5">
        <f>R123-S122</f>
        <v>2.220446049250313e-16</v>
      </c>
      <c r="AM123" s="5">
        <f>T123-U122</f>
        <v>0</v>
      </c>
      <c r="AN123" s="5">
        <f>AN122</f>
        <v>1</v>
      </c>
      <c r="AO123" s="5">
        <f>AO122+AH123</f>
        <v>0.24685701329090182</v>
      </c>
      <c r="AP123" s="5">
        <f>AP122+AL123</f>
        <v>-2.220446049250313e-16</v>
      </c>
      <c r="AQ123" s="5">
        <f>AN123+AO123+AP123</f>
        <v>1.2468570132909016</v>
      </c>
      <c r="AR123" s="5">
        <f>S123-AQ123</f>
        <v>2.220446049250313e-16</v>
      </c>
      <c r="AS123" s="5">
        <f>AS122</f>
        <v>0</v>
      </c>
      <c r="AT123" s="5">
        <f>AT122+AI123</f>
        <v>0</v>
      </c>
      <c r="AU123" s="5">
        <f>AU122+AM123</f>
        <v>0</v>
      </c>
      <c r="AV123" s="5">
        <f>AS123+AT123+AU123</f>
        <v>0</v>
      </c>
      <c r="AW123" s="5">
        <f>U123-AV123</f>
        <v>0</v>
      </c>
      <c r="AX123" s="4">
        <v>1.242621480592973</v>
      </c>
      <c r="AY123" s="4">
        <v>1.2468570132909018</v>
      </c>
      <c r="AZ123" s="5">
        <f>S123-AY123</f>
        <v>0</v>
      </c>
      <c r="BA123" s="4">
        <v>0</v>
      </c>
      <c r="BB123" s="4">
        <v>0</v>
      </c>
      <c r="BC123" s="5">
        <f>U123-BB123</f>
        <v>0</v>
      </c>
      <c r="BD123" s="7">
        <f>SUM(IF(BP123="direct",CC123/F123,0),IF(CR123="direct",DE123/F123,0),IF(DT123="direct",EG123/F123,0),IF(EV123="direct",FI123/F123,0),IF(FX123="direct",GK123/F123,0),IF(GZ123="direct",HM123/F123,0),IF(IB123="direct",IO123/F123,0),IF(JD123="direct",JQ123/F123,0),IF(KF123="direct",KS123/F123,0),IF(LH123="direct",LU123/F123,0))</f>
        <v>0</v>
      </c>
      <c r="BE123" s="7">
        <f>-SUM(IF(BP123="direct",CD123/F123,0),IF(CR123="direct",DF123/F123,0),IF(DT123="direct",EH123/F123,0),IF(EV123="direct",FJ123/F123,0),IF(FX123="direct",GL123/F123,0),IF(GZ123="direct",HN123/F123,0),IF(IB123="direct",IP123/F123,0),IF(JD123="direct",JR123/F123,0),IF(KF123="direct",KT123/F123,0),IF(LH123="direct",LV123/F123,0))</f>
        <v>0</v>
      </c>
      <c r="BF123" s="7">
        <f>BD123+BE123</f>
        <v>0</v>
      </c>
      <c r="BG123" s="7">
        <f>BF123-SUM(IF(BP123="direct",CP123,0),IF(CR123="direct",DR123,0),IF(DT123="direct",ET123,0),IF(EV123="direct",FV123,0),IF(FX123="direct",GX123,0),IF(GZ123="direct",HZ123,0),IF(IB123="direct",JB123,0),IF(JD123="direct",KD123,0),IF(KF123="direct",LF123,0),IF(LH123="direct",MH123,0))</f>
        <v>0</v>
      </c>
      <c r="BH123" s="7">
        <f>SUM(IF(BP123="treasury",CP123,0),IF(CR123="treasury",DR123,0),IF(DT123="treasury",ET123,0),IF(EV123="treasury",FV123,0),IF(FX123="treasury",GX123,0),IF(GZ123="treasury",HZ123,0),IF(IB123="treasury",JB123,0),IF(JD123="treasury",KD123,0),IF(KF123="treasury",LF123,0),IF(LH123="treasury",MH123,0))</f>
        <v>0.00018273972602739726</v>
      </c>
      <c r="BI123" s="7">
        <f>SUM(IF(BP123="future",CP123,0),IF(CR123="future",DR123,0),IF(DT123="future",ET123,0),IF(EV123="future",FV123,0),IF(FX123="future",GX123,0),IF(GZ123="future",HZ123,0),IF(IB123="future",JB123,0),IF(JD123="future",KD123,0),IF(KF123="future",LF123,0),IF(LH123="future",MH123,0))</f>
        <v>0.003225806451612856</v>
      </c>
      <c r="BJ123" s="7">
        <f>SUM(IF(BP123="cash",CP123,0),IF(CR123="cash",DR123,0),IF(DT123="cash",ET123,0),IF(EV123="cash",FV123,0),IF(FX123="cash",GX123,0),IF(GZ123="cash",HZ123,0),IF(IB123="cash",JB123,0),IF(JD123="cash",KD123,0),IF(KF123="cash",LF123,0),IF(LH123="cash",MH123,0))</f>
        <v>0</v>
      </c>
      <c r="BK123" s="7">
        <f>SUM(BF123,BH123,BI123,BJ123)</f>
        <v>0.0034085461776402533</v>
      </c>
      <c r="BL123" s="7">
        <f>G123-BK123</f>
        <v>0</v>
      </c>
      <c r="BM123" s="5">
        <f>MAX(ABS(CG123),ABS(DI123),ABS(EK123),ABS(FM123),ABS(GO123),ABS(HQ123),ABS(IS123),ABS(JU123),ABS(KW123),ABS(LY123))</f>
        <v>2.4708967510944646e-16</v>
      </c>
      <c r="BN123" s="9">
        <f>COUNTA(BO123,CQ123,DS123,EU123,FW123,GY123,IA123,JC123,KE123,LG123)</f>
        <v>4</v>
      </c>
      <c r="BO123" t="inlineStr">
        <is>
          <t xml:space="preserve">Treasury collateral</t>
        </is>
      </c>
      <c r="BP123" t="inlineStr">
        <is>
          <t xml:space="preserve">treasury</t>
        </is>
      </c>
      <c r="BQ123" t="inlineStr">
        <is>
          <t xml:space="preserve">lease</t>
        </is>
      </c>
      <c r="BR123" t="inlineStr">
        <is>
          <t xml:space="preserve">long</t>
        </is>
      </c>
      <c r="BS123"/>
      <c r="BT123" s="4">
        <v>103.07462983658644</v>
      </c>
      <c r="BU123" s="4">
        <v>103.09346566620317</v>
      </c>
      <c r="BV123" s="6"/>
      <c r="BW123" s="4">
        <v>0.012055551230821908</v>
      </c>
      <c r="BX123" s="5">
        <f>IF(BP123="direct",IFERROR(CD123/BU123,0),0)</f>
        <v>0</v>
      </c>
      <c r="BY123" s="5">
        <f>IF(BP123="direct",BW123-BX123,IF(BP123="cash",CI123,BW123))</f>
        <v>0.012055551230821908</v>
      </c>
      <c r="BZ123" s="6">
        <v>1</v>
      </c>
      <c r="CA123" s="4">
        <v>1.2426214805929723</v>
      </c>
      <c r="CB123" s="4">
        <v>1.2426214805929723</v>
      </c>
      <c r="CC123" s="5">
        <f>IF(BP123="direct",BW123*(BU123-BT123),CF123)</f>
        <v>0.0002270763089195656</v>
      </c>
      <c r="CD123" s="5">
        <f>IF(BP123="direct",CB123*BV123*C123/365,0)</f>
        <v>0</v>
      </c>
      <c r="CE123" s="5">
        <f>CC123-CD123</f>
        <v>0.0002270763089193185</v>
      </c>
      <c r="CF123" s="4">
        <v>0.0002270763089193185</v>
      </c>
      <c r="CG123" s="5">
        <f>CF123-CE123</f>
        <v>-2.4708967510944646e-16</v>
      </c>
      <c r="CH123" s="4">
        <v>6.429318882839041e-17</v>
      </c>
      <c r="CI123" s="4">
        <v>1.2428485569018917</v>
      </c>
      <c r="CJ123" s="4">
        <v>1.595</v>
      </c>
      <c r="CK123" s="4">
        <v>1.57</v>
      </c>
      <c r="CL123" s="6"/>
      <c r="CM123" s="6"/>
      <c r="CN123" s="6"/>
      <c r="CO123" s="9">
        <v>28</v>
      </c>
      <c r="CP123" s="7">
        <f>IFERROR(CE123/F123,0)</f>
        <v>0.00018273972602739726</v>
      </c>
      <c r="CQ123" t="inlineStr">
        <is>
          <t xml:space="preserve">SI69N</t>
        </is>
      </c>
      <c r="CR123" t="inlineStr">
        <is>
          <t xml:space="preserve">future</t>
        </is>
      </c>
      <c r="CS123" t="inlineStr">
        <is>
          <t xml:space="preserve">lease</t>
        </is>
      </c>
      <c r="CT123" t="inlineStr">
        <is>
          <t xml:space="preserve">long</t>
        </is>
      </c>
      <c r="CU123" t="inlineStr">
        <is>
          <t xml:space="preserve">regular</t>
        </is>
      </c>
      <c r="CV123" s="4">
        <v>1.55</v>
      </c>
      <c r="CW123" s="4">
        <v>1.555</v>
      </c>
      <c r="CX123" s="6"/>
      <c r="CY123" s="4">
        <v>0.8016912778019176</v>
      </c>
      <c r="CZ123" s="5">
        <f>IF(CR123="direct",IFERROR(DF123/CW123,0),0)</f>
        <v>0</v>
      </c>
      <c r="DA123" s="5">
        <f>IF(CR123="direct",CY123-CZ123,IF(CR123="cash",DK123,CY123))</f>
        <v>0.8016912778019176</v>
      </c>
      <c r="DB123" s="6">
        <v>1</v>
      </c>
      <c r="DC123" s="4">
        <v>1.2426214805929723</v>
      </c>
      <c r="DD123" s="4">
        <v>0</v>
      </c>
      <c r="DE123" s="5">
        <f>IF(CR123="direct",CY123*(CW123-CV123),DH123)</f>
        <v>0.004008456389009529</v>
      </c>
      <c r="DF123" s="5">
        <f>IF(CR123="direct",DD123*CX123*C123/365,0)</f>
        <v>0</v>
      </c>
      <c r="DG123" s="5">
        <f>DE123-DF123</f>
        <v>0.004008456389009529</v>
      </c>
      <c r="DH123" s="4">
        <v>0.004008456389009529</v>
      </c>
      <c r="DI123" s="5">
        <f>DH123-DG123</f>
        <v>0</v>
      </c>
      <c r="DJ123" s="4">
        <v>-0.004008456389009529</v>
      </c>
      <c r="DK123" s="4">
        <v>0</v>
      </c>
      <c r="DL123" s="4">
        <v>1.595</v>
      </c>
      <c r="DM123" s="4">
        <v>1.57</v>
      </c>
      <c r="DN123" s="6">
        <v>-0.028213166144200552</v>
      </c>
      <c r="DO123" s="6">
        <v>0.0667</v>
      </c>
      <c r="DP123" s="6">
        <v>0.43447877295118575</v>
      </c>
      <c r="DQ123" s="9">
        <v>28</v>
      </c>
      <c r="DR123" s="7">
        <f>IFERROR(DG123/F123,0)</f>
        <v>0.003225806451612856</v>
      </c>
      <c r="DS123" t="inlineStr">
        <is>
          <t xml:space="preserve">Lease cash / margin / financing</t>
        </is>
      </c>
      <c r="DT123" t="inlineStr">
        <is>
          <t xml:space="preserve">cash</t>
        </is>
      </c>
      <c r="DU123" t="inlineStr">
        <is>
          <t xml:space="preserve">lease</t>
        </is>
      </c>
      <c r="DV123" t="inlineStr">
        <is>
          <t xml:space="preserve">cash</t>
        </is>
      </c>
      <c r="DW123"/>
      <c r="DX123" s="4">
        <v>1</v>
      </c>
      <c r="DY123" s="4">
        <v>1</v>
      </c>
      <c r="DZ123" s="6"/>
      <c r="EA123" s="4">
        <v>6.661338147750939e-16</v>
      </c>
      <c r="EB123" s="5">
        <f>IF(DT123="direct",IFERROR(EH123/DY123,0),0)</f>
        <v>0</v>
      </c>
      <c r="EC123" s="5">
        <f>IF(DT123="direct",EA123-EB123,IF(DT123="cash",EM123,EA123))</f>
        <v>0.004008456389010131</v>
      </c>
      <c r="ED123" s="6"/>
      <c r="EE123" s="4">
        <v>6.661338147750939e-16</v>
      </c>
      <c r="EF123" s="4">
        <v>6.661338147750939e-16</v>
      </c>
      <c r="EG123" s="5">
        <f>IF(DT123="direct",EA123*(DY123-DX123),EJ123)</f>
        <v>0</v>
      </c>
      <c r="EH123" s="5">
        <f>IF(DT123="direct",EF123*DZ123*C123/365,0)</f>
        <v>0</v>
      </c>
      <c r="EI123" s="5">
        <f>EG123-EH123</f>
        <v>0</v>
      </c>
      <c r="EJ123" s="4">
        <v>0</v>
      </c>
      <c r="EK123" s="5">
        <f>EJ123-EI123</f>
        <v>0</v>
      </c>
      <c r="EL123" s="4">
        <v>0.004008456389009465</v>
      </c>
      <c r="EM123" s="4">
        <v>0.004008456389010131</v>
      </c>
      <c r="EN123" s="4">
        <v>1.595</v>
      </c>
      <c r="EO123" s="4">
        <v>1.57</v>
      </c>
      <c r="EP123" s="6"/>
      <c r="EQ123" s="6"/>
      <c r="ER123" s="6"/>
      <c r="ES123" s="9"/>
      <c r="ET123" s="7">
        <f>IFERROR(EI123/F123,0)</f>
        <v>0</v>
      </c>
      <c r="EU123" t="inlineStr">
        <is>
          <t xml:space="preserve">Keep cash / margin / financing</t>
        </is>
      </c>
      <c r="EV123" t="inlineStr">
        <is>
          <t xml:space="preserve">cash</t>
        </is>
      </c>
      <c r="EW123" t="inlineStr">
        <is>
          <t xml:space="preserve">keep</t>
        </is>
      </c>
      <c r="EX123" t="inlineStr">
        <is>
          <t xml:space="preserve">cash</t>
        </is>
      </c>
      <c r="EY123"/>
      <c r="EZ123" s="4">
        <v>1</v>
      </c>
      <c r="FA123" s="4">
        <v>1</v>
      </c>
      <c r="FB123" s="6"/>
      <c r="FC123" s="4">
        <v>0</v>
      </c>
      <c r="FD123" s="5">
        <f>IF(EV123="direct",IFERROR(FJ123/FA123,0),0)</f>
        <v>0</v>
      </c>
      <c r="FE123" s="5">
        <f>IF(EV123="direct",FC123-FD123,IF(EV123="cash",FO123,FC123))</f>
        <v>0</v>
      </c>
      <c r="FF123" s="6"/>
      <c r="FG123" s="4">
        <v>0</v>
      </c>
      <c r="FH123" s="4">
        <v>0</v>
      </c>
      <c r="FI123" s="5">
        <f>IF(EV123="direct",FC123*(FA123-EZ123),FL123)</f>
        <v>0</v>
      </c>
      <c r="FJ123" s="5">
        <f>IF(EV123="direct",FH123*FB123*C123/365,0)</f>
        <v>0</v>
      </c>
      <c r="FK123" s="5">
        <f>FI123-FJ123</f>
        <v>0</v>
      </c>
      <c r="FL123" s="4">
        <v>0</v>
      </c>
      <c r="FM123" s="5">
        <f>FL123-FK123</f>
        <v>0</v>
      </c>
      <c r="FN123" s="4">
        <v>0</v>
      </c>
      <c r="FO123" s="4">
        <v>0</v>
      </c>
      <c r="FP123" s="4">
        <v>1.595</v>
      </c>
      <c r="FQ123" s="4">
        <v>1.57</v>
      </c>
      <c r="FR123" s="6"/>
      <c r="FS123" s="6"/>
      <c r="FT123" s="6"/>
      <c r="FU123" s="9"/>
      <c r="FV123" s="7">
        <f>IFERROR(FK123/F123,0)</f>
        <v>0</v>
      </c>
      <c r="FW123"/>
      <c r="FX123"/>
      <c r="FY123"/>
      <c r="FZ123"/>
      <c r="GA123"/>
      <c r="GB123" s="4"/>
      <c r="GC123" s="4"/>
      <c r="GD123" s="6"/>
      <c r="GE123" s="4"/>
      <c r="GF123" s="5">
        <v>0</v>
      </c>
      <c r="GG123" s="5"/>
      <c r="GH123" s="6"/>
      <c r="GI123" s="4"/>
      <c r="GJ123" s="4"/>
      <c r="GK123" s="5">
        <v>0</v>
      </c>
      <c r="GL123" s="5">
        <v>0</v>
      </c>
      <c r="GM123" s="5"/>
      <c r="GN123" s="4"/>
      <c r="GO123" s="5">
        <v>0</v>
      </c>
      <c r="GP123" s="4"/>
      <c r="GQ123" s="4"/>
      <c r="GR123" s="4"/>
      <c r="GS123" s="4"/>
      <c r="GT123" s="6"/>
      <c r="GU123" s="6"/>
      <c r="GV123" s="6"/>
      <c r="GW123" s="9"/>
      <c r="GX123"/>
      <c r="GY123"/>
      <c r="GZ123"/>
      <c r="HA123"/>
      <c r="HB123"/>
      <c r="HC123"/>
      <c r="HD123" s="4"/>
      <c r="HE123" s="4"/>
      <c r="HF123" s="6"/>
      <c r="HG123" s="4"/>
      <c r="HH123" s="5">
        <v>0</v>
      </c>
      <c r="HI123" s="5"/>
      <c r="HJ123" s="6"/>
      <c r="HK123" s="4"/>
      <c r="HL123" s="4"/>
      <c r="HM123" s="5">
        <v>0</v>
      </c>
      <c r="HN123" s="5">
        <v>0</v>
      </c>
      <c r="HO123" s="5"/>
      <c r="HP123" s="4"/>
      <c r="HQ123" s="5">
        <v>0</v>
      </c>
      <c r="HR123" s="4"/>
      <c r="HS123" s="4"/>
      <c r="HT123" s="4"/>
      <c r="HU123" s="4"/>
      <c r="HV123" s="6"/>
      <c r="HW123" s="6"/>
      <c r="HX123" s="6"/>
      <c r="HY123" s="9"/>
      <c r="HZ123"/>
      <c r="IA123"/>
      <c r="IB123"/>
      <c r="IC123"/>
      <c r="ID123"/>
      <c r="IE123"/>
      <c r="IF123" s="4"/>
      <c r="IG123" s="4"/>
      <c r="IH123" s="6"/>
      <c r="II123" s="4"/>
      <c r="IJ123" s="5">
        <v>0</v>
      </c>
      <c r="IK123" s="5"/>
      <c r="IL123" s="6"/>
      <c r="IM123" s="4"/>
      <c r="IN123" s="4"/>
      <c r="IO123" s="5">
        <v>0</v>
      </c>
      <c r="IP123" s="5">
        <v>0</v>
      </c>
      <c r="IQ123" s="5"/>
      <c r="IR123" s="4"/>
      <c r="IS123" s="5">
        <v>0</v>
      </c>
      <c r="IT123" s="4"/>
      <c r="IU123" s="4"/>
      <c r="IV123" s="4"/>
      <c r="IW123" s="4"/>
      <c r="IX123" s="6"/>
      <c r="IY123" s="6"/>
      <c r="IZ123" s="6"/>
      <c r="JA123" s="9"/>
      <c r="JB123"/>
      <c r="JC123"/>
      <c r="JD123"/>
      <c r="JE123"/>
      <c r="JF123"/>
      <c r="JG123"/>
      <c r="JH123" s="4"/>
      <c r="JI123" s="4"/>
      <c r="JJ123" s="6"/>
      <c r="JK123" s="4"/>
      <c r="JL123" s="5">
        <v>0</v>
      </c>
      <c r="JM123" s="5"/>
      <c r="JN123" s="6"/>
      <c r="JO123" s="4"/>
      <c r="JP123" s="4"/>
      <c r="JQ123" s="5">
        <v>0</v>
      </c>
      <c r="JR123" s="5">
        <v>0</v>
      </c>
      <c r="JS123" s="5"/>
      <c r="JT123" s="4"/>
      <c r="JU123" s="5">
        <v>0</v>
      </c>
      <c r="JV123" s="4"/>
      <c r="JW123" s="4"/>
      <c r="JX123" s="4"/>
      <c r="JY123" s="4"/>
      <c r="JZ123" s="6"/>
      <c r="KA123" s="6"/>
      <c r="KB123" s="6"/>
      <c r="KC123" s="9"/>
      <c r="KD123"/>
      <c r="KE123"/>
      <c r="KF123"/>
      <c r="KG123"/>
      <c r="KH123"/>
      <c r="KI123"/>
      <c r="KJ123" s="4"/>
      <c r="KK123" s="4"/>
      <c r="KL123" s="6"/>
      <c r="KM123" s="4"/>
      <c r="KN123" s="5">
        <v>0</v>
      </c>
      <c r="KO123" s="5"/>
      <c r="KP123" s="6"/>
      <c r="KQ123" s="4"/>
      <c r="KR123" s="4"/>
      <c r="KS123" s="5">
        <v>0</v>
      </c>
      <c r="KT123" s="5">
        <v>0</v>
      </c>
      <c r="KU123" s="5"/>
      <c r="KV123" s="4"/>
      <c r="KW123" s="5">
        <v>0</v>
      </c>
      <c r="KX123" s="4"/>
      <c r="KY123" s="4"/>
      <c r="KZ123" s="4"/>
      <c r="LA123" s="4"/>
      <c r="LB123" s="6"/>
      <c r="LC123" s="6"/>
      <c r="LD123" s="6"/>
      <c r="LE123" s="9"/>
      <c r="LF123"/>
      <c r="LG123"/>
      <c r="LH123"/>
      <c r="LI123"/>
      <c r="LJ123"/>
      <c r="LK123"/>
      <c r="LL123" s="4"/>
      <c r="LM123" s="4"/>
      <c r="LN123" s="6"/>
      <c r="LO123" s="4"/>
      <c r="LP123" s="5">
        <v>0</v>
      </c>
      <c r="LQ123" s="5"/>
      <c r="LR123" s="6"/>
      <c r="LS123" s="4"/>
      <c r="LT123" s="4"/>
      <c r="LU123" s="5">
        <v>0</v>
      </c>
      <c r="LV123" s="5">
        <v>0</v>
      </c>
      <c r="LW123" s="5"/>
      <c r="LX123" s="4"/>
      <c r="LY123" s="5">
        <v>0</v>
      </c>
      <c r="LZ123" s="4"/>
      <c r="MA123" s="4"/>
      <c r="MB123" s="4"/>
      <c r="MC123" s="4"/>
      <c r="MD123" s="6"/>
      <c r="ME123" s="6"/>
      <c r="MF123" s="6"/>
      <c r="MG123" s="9"/>
      <c r="MH123"/>
    </row>
    <row r="124">
      <c r="A124" s="8">
        <v>25386</v>
      </c>
      <c r="B124" s="8">
        <v>25387</v>
      </c>
      <c r="C124" s="9">
        <f>B124-A124</f>
        <v>1</v>
      </c>
      <c r="D124" s="8">
        <v>25386</v>
      </c>
      <c r="E124" t="inlineStr">
        <is>
          <t xml:space="preserve">positive</t>
        </is>
      </c>
      <c r="F124" s="4">
        <v>1.2468570132909012</v>
      </c>
      <c r="G124" s="6">
        <v>0.0027570048011278446</v>
      </c>
      <c r="H124" s="7">
        <f>SUM(CP124,DR124,ET124,FV124,GX124,HZ124,JB124,KD124,LF124,MH124)</f>
        <v>0.0027570048011278455</v>
      </c>
      <c r="I124" s="7">
        <f>G124-H124</f>
        <v>-8.673617379884035e-19</v>
      </c>
      <c r="J124" s="5">
        <f>F124*(1+H124)</f>
        <v>1.2502946040628642</v>
      </c>
      <c r="K124" s="4">
        <v>1.2502946040628642</v>
      </c>
      <c r="L124" s="5">
        <f>K124-J124</f>
        <v>0</v>
      </c>
      <c r="M124" s="4">
        <v>1.57</v>
      </c>
      <c r="N124" s="4">
        <v>1.573</v>
      </c>
      <c r="O124" s="5">
        <f>M124/$M$3</f>
        <v>0.801838610827375</v>
      </c>
      <c r="P124" s="5">
        <f>N124/$M$3</f>
        <v>0.8033707865168539</v>
      </c>
      <c r="Q124" s="7">
        <f>IFERROR(N124/M124-1,0)</f>
        <v>0.0019108280254775956</v>
      </c>
      <c r="R124" s="5">
        <f>SUM(IF(BQ124="lease",CB124,0),IF(CS124="lease",DD124,0),IF(DU124="lease",EF124,0),IF(EW124="lease",FH124,0),IF(FY124="lease",GJ124,0),IF(HA124="lease",HL124,0),IF(IC124="lease",IN124,0),IF(JE124="lease",JP124,0),IF(KG124="lease",KR124,0),IF(LI124="lease",LT124,0))</f>
        <v>1.2468570132909018</v>
      </c>
      <c r="S124" s="5">
        <f>SUM(IF(BQ124="lease",CI124,0),IF(CS124="lease",DK124,0),IF(DU124="lease",EM124,0),IF(EW124="lease",FO124,0),IF(FY124="lease",GQ124,0),IF(HA124="lease",HS124,0),IF(IC124="lease",IU124,0),IF(JE124="lease",JW124,0),IF(KG124="lease",KY124,0),IF(LI124="lease",MA124,0))</f>
        <v>1.2502946040628649</v>
      </c>
      <c r="T124" s="5">
        <f>SUM(IF(BQ124="keep",CB124,0),IF(CS124="keep",DD124,0),IF(DU124="keep",EF124,0),IF(EW124="keep",FH124,0),IF(FY124="keep",GJ124,0),IF(HA124="keep",HL124,0),IF(IC124="keep",IN124,0),IF(JE124="keep",JP124,0),IF(KG124="keep",KR124,0),IF(LI124="keep",LT124,0))</f>
        <v>0</v>
      </c>
      <c r="U124" s="5">
        <f>SUM(IF(BQ124="keep",CI124,0),IF(CS124="keep",DK124,0),IF(DU124="keep",EM124,0),IF(EW124="keep",FO124,0),IF(FY124="keep",GQ124,0),IF(HA124="keep",HS124,0),IF(IC124="keep",IU124,0),IF(JE124="keep",JW124,0),IF(KG124="keep",KY124,0),IF(LI124="keep",MA124,0))</f>
        <v>0</v>
      </c>
      <c r="V124" s="5">
        <f>R124/O124</f>
        <v>1.5549974726264877</v>
      </c>
      <c r="W124" s="5">
        <f>S124/P124</f>
        <v>1.5563107658964332</v>
      </c>
      <c r="X124" s="5">
        <f>T124/O124</f>
        <v>0</v>
      </c>
      <c r="Y124" s="5">
        <f>U124/P124</f>
        <v>0</v>
      </c>
      <c r="Z124" s="5">
        <f>V124+X124</f>
        <v>1.5549974726264877</v>
      </c>
      <c r="AA124" s="7">
        <f>IFERROR(W124/V124-1,0)</f>
        <v>0.000844562961074935</v>
      </c>
      <c r="AB124" s="7">
        <f>IFERROR((W124-V124)/Z124,0)</f>
        <v>0.0008445629610749944</v>
      </c>
      <c r="AC124" s="7">
        <f>IFERROR(Y124/X124-1,0)</f>
        <v>0</v>
      </c>
      <c r="AD124" s="7">
        <f>IFERROR((Y124-X124)/Z124,0)</f>
        <v>0</v>
      </c>
      <c r="AE124" s="7">
        <f>AB124+AD124</f>
        <v>0.0008445629610749944</v>
      </c>
      <c r="AF124" s="7">
        <f>(1+Q124)*(1+AE124)-1</f>
        <v>0.002757004801127838</v>
      </c>
      <c r="AG124" s="7">
        <f>G124-AF124</f>
        <v>6.5052130349130266e-18</v>
      </c>
      <c r="AH124" s="5">
        <f>SUM(IF(BQ124="lease",CE124,0),IF(CS124="lease",DG124,0),IF(DU124="lease",EI124,0),IF(EW124="lease",FK124,0),IF(FY124="lease",GM124,0),IF(HA124="lease",HO124,0),IF(IC124="lease",IQ124,0),IF(JE124="lease",JS124,0),IF(KG124="lease",KU124,0),IF(LI124="lease",LW124,0))</f>
        <v>0.00343759077196294</v>
      </c>
      <c r="AI124" s="5">
        <f>SUM(IF(BQ124="keep",CE124,0),IF(CS124="keep",DG124,0),IF(DU124="keep",EI124,0),IF(EW124="keep",FK124,0),IF(FY124="keep",GM124,0),IF(HA124="keep",HO124,0),IF(IC124="keep",IQ124,0),IF(JE124="keep",JS124,0),IF(KG124="keep",KU124,0),IF(LI124="keep",LW124,0))</f>
        <v>0</v>
      </c>
      <c r="AJ124" s="5">
        <f>SUM(IF(BQ124="lease",CH124,0),IF(CS124="lease",DJ124,0),IF(DU124="lease",EL124,0),IF(EW124="lease",FN124,0),IF(FY124="lease",GP124,0),IF(HA124="lease",HR124,0),IF(IC124="lease",IT124,0),IF(JE124="lease",JV124,0),IF(KG124="lease",KX124,0),IF(LI124="lease",LZ124,0))</f>
        <v>0</v>
      </c>
      <c r="AK124" s="5">
        <f>SUM(IF(BQ124="keep",CH124,0),IF(CS124="keep",DJ124,0),IF(DU124="keep",EL124,0),IF(EW124="keep",FN124,0),IF(FY124="keep",GP124,0),IF(HA124="keep",HR124,0),IF(IC124="keep",IT124,0),IF(JE124="keep",JV124,0),IF(KG124="keep",KX124,0),IF(LI124="keep",LZ124,0))</f>
        <v>0</v>
      </c>
      <c r="AL124" s="5">
        <f>R124-S123</f>
        <v>0</v>
      </c>
      <c r="AM124" s="5">
        <f>T124-U123</f>
        <v>0</v>
      </c>
      <c r="AN124" s="5">
        <f>AN123</f>
        <v>1</v>
      </c>
      <c r="AO124" s="5">
        <f>AO123+AH124</f>
        <v>0.25029460406286475</v>
      </c>
      <c r="AP124" s="5">
        <f>AP123+AL124</f>
        <v>-2.220446049250313e-16</v>
      </c>
      <c r="AQ124" s="5">
        <f>AN124+AO124+AP124</f>
        <v>1.2502946040628646</v>
      </c>
      <c r="AR124" s="5">
        <f>S124-AQ124</f>
        <v>2.220446049250313e-16</v>
      </c>
      <c r="AS124" s="5">
        <f>AS123</f>
        <v>0</v>
      </c>
      <c r="AT124" s="5">
        <f>AT123+AI124</f>
        <v>0</v>
      </c>
      <c r="AU124" s="5">
        <f>AU123+AM124</f>
        <v>0</v>
      </c>
      <c r="AV124" s="5">
        <f>AS124+AT124+AU124</f>
        <v>0</v>
      </c>
      <c r="AW124" s="5">
        <f>U124-AV124</f>
        <v>0</v>
      </c>
      <c r="AX124" s="4">
        <v>1.2468570132909018</v>
      </c>
      <c r="AY124" s="4">
        <v>1.2502946040628649</v>
      </c>
      <c r="AZ124" s="5">
        <f>S124-AY124</f>
        <v>0</v>
      </c>
      <c r="BA124" s="4">
        <v>0</v>
      </c>
      <c r="BB124" s="4">
        <v>0</v>
      </c>
      <c r="BC124" s="5">
        <f>U124-BB124</f>
        <v>0</v>
      </c>
      <c r="BD124" s="7">
        <f>SUM(IF(BP124="direct",CC124/F124,0),IF(CR124="direct",DE124/F124,0),IF(DT124="direct",EG124/F124,0),IF(EV124="direct",FI124/F124,0),IF(FX124="direct",GK124/F124,0),IF(GZ124="direct",HM124/F124,0),IF(IB124="direct",IO124/F124,0),IF(JD124="direct",JQ124/F124,0),IF(KF124="direct",KS124/F124,0),IF(LH124="direct",LU124/F124,0))</f>
        <v>0</v>
      </c>
      <c r="BE124" s="7">
        <f>-SUM(IF(BP124="direct",CD124/F124,0),IF(CR124="direct",DF124/F124,0),IF(DT124="direct",EH124/F124,0),IF(EV124="direct",FJ124/F124,0),IF(FX124="direct",GL124/F124,0),IF(GZ124="direct",HN124/F124,0),IF(IB124="direct",IP124/F124,0),IF(JD124="direct",JR124/F124,0),IF(KF124="direct",KT124/F124,0),IF(LH124="direct",LV124/F124,0))</f>
        <v>0</v>
      </c>
      <c r="BF124" s="7">
        <f>BD124+BE124</f>
        <v>0</v>
      </c>
      <c r="BG124" s="7">
        <f>BF124-SUM(IF(BP124="direct",CP124,0),IF(CR124="direct",DR124,0),IF(DT124="direct",ET124,0),IF(EV124="direct",FV124,0),IF(FX124="direct",GX124,0),IF(GZ124="direct",HZ124,0),IF(IB124="direct",JB124,0),IF(JD124="direct",KD124,0),IF(KF124="direct",LF124,0),IF(LH124="direct",MH124,0))</f>
        <v>0</v>
      </c>
      <c r="BH124" s="7">
        <f>SUM(IF(BP124="treasury",CP124,0),IF(CR124="treasury",DR124,0),IF(DT124="treasury",ET124,0),IF(EV124="treasury",FV124,0),IF(FX124="treasury",GX124,0),IF(GZ124="treasury",HZ124,0),IF(IB124="treasury",JB124,0),IF(JD124="treasury",KD124,0),IF(KF124="treasury",LF124,0),IF(LH124="treasury",MH124,0))</f>
        <v>0.00018465753424657535</v>
      </c>
      <c r="BI124" s="7">
        <f>SUM(IF(BP124="future",CP124,0),IF(CR124="future",DR124,0),IF(DT124="future",ET124,0),IF(EV124="future",FV124,0),IF(FX124="future",GX124,0),IF(GZ124="future",HZ124,0),IF(IB124="future",JB124,0),IF(JD124="future",KD124,0),IF(KF124="future",LF124,0),IF(LH124="future",MH124,0))</f>
        <v>0.0025723472668812697</v>
      </c>
      <c r="BJ124" s="7">
        <f>SUM(IF(BP124="cash",CP124,0),IF(CR124="cash",DR124,0),IF(DT124="cash",ET124,0),IF(EV124="cash",FV124,0),IF(FX124="cash",GX124,0),IF(GZ124="cash",HZ124,0),IF(IB124="cash",JB124,0),IF(JD124="cash",KD124,0),IF(KF124="cash",LF124,0),IF(LH124="cash",MH124,0))</f>
        <v>0</v>
      </c>
      <c r="BK124" s="7">
        <f>SUM(BF124,BH124,BI124,BJ124)</f>
        <v>0.002757004801127845</v>
      </c>
      <c r="BL124" s="7">
        <f>G124-BK124</f>
        <v>-4.336808689942018e-19</v>
      </c>
      <c r="BM124" s="5">
        <f>MAX(ABS(CG124),ABS(DI124),ABS(EK124),ABS(FM124),ABS(GO124),ABS(HQ124),ABS(IS124),ABS(JU124),ABS(KW124),ABS(LY124))</f>
        <v>7.003946034256359e-17</v>
      </c>
      <c r="BN124" s="9">
        <f>COUNTA(BO124,CQ124,DS124,EU124,FW124,GY124,IA124,JC124,KE124,LG124)</f>
        <v>4</v>
      </c>
      <c r="BO124" t="inlineStr">
        <is>
          <t xml:space="preserve">Treasury collateral</t>
        </is>
      </c>
      <c r="BP124" t="inlineStr">
        <is>
          <t xml:space="preserve">treasury</t>
        </is>
      </c>
      <c r="BQ124" t="inlineStr">
        <is>
          <t xml:space="preserve">lease</t>
        </is>
      </c>
      <c r="BR124" t="inlineStr">
        <is>
          <t xml:space="preserve">long</t>
        </is>
      </c>
      <c r="BS124"/>
      <c r="BT124" s="4">
        <v>103.09346566620317</v>
      </c>
      <c r="BU124" s="4">
        <v>103.11250265137002</v>
      </c>
      <c r="BV124" s="6"/>
      <c r="BW124" s="4">
        <v>0.0120944330005161</v>
      </c>
      <c r="BX124" s="5">
        <f>IF(BP124="direct",IFERROR(CD124/BU124,0),0)</f>
        <v>0</v>
      </c>
      <c r="BY124" s="5">
        <f>IF(BP124="direct",BW124-BX124,IF(BP124="cash",CI124,BW124))</f>
        <v>0.0120944330005161</v>
      </c>
      <c r="BZ124" s="6">
        <v>1</v>
      </c>
      <c r="CA124" s="4">
        <v>1.2468570132909012</v>
      </c>
      <c r="CB124" s="4">
        <v>1.2468570132909012</v>
      </c>
      <c r="CC124" s="5">
        <f>IF(BP124="direct",BW124*(BU124-BT124),CF124)</f>
        <v>0.0002302415416322772</v>
      </c>
      <c r="CD124" s="5">
        <f>IF(BP124="direct",CB124*BV124*C124/365,0)</f>
        <v>0</v>
      </c>
      <c r="CE124" s="5">
        <f>CC124-CD124</f>
        <v>0.00023024154163234724</v>
      </c>
      <c r="CF124" s="4">
        <v>0.00023024154163234724</v>
      </c>
      <c r="CG124" s="5">
        <f>CF124-CE124</f>
        <v>7.003946034256359e-17</v>
      </c>
      <c r="CH124" s="4">
        <v>-1.4379231312589003e-16</v>
      </c>
      <c r="CI124" s="4">
        <v>1.2470872548325334</v>
      </c>
      <c r="CJ124" s="4">
        <v>1.57</v>
      </c>
      <c r="CK124" s="4">
        <v>1.573</v>
      </c>
      <c r="CL124" s="6"/>
      <c r="CM124" s="6"/>
      <c r="CN124" s="6"/>
      <c r="CO124" s="9">
        <v>27</v>
      </c>
      <c r="CP124" s="7">
        <f>IFERROR(CE124/F124,0)</f>
        <v>0.00018465753424657535</v>
      </c>
      <c r="CQ124" t="inlineStr">
        <is>
          <t xml:space="preserve">SI69N</t>
        </is>
      </c>
      <c r="CR124" t="inlineStr">
        <is>
          <t xml:space="preserve">future</t>
        </is>
      </c>
      <c r="CS124" t="inlineStr">
        <is>
          <t xml:space="preserve">lease</t>
        </is>
      </c>
      <c r="CT124" t="inlineStr">
        <is>
          <t xml:space="preserve">long</t>
        </is>
      </c>
      <c r="CU124" t="inlineStr">
        <is>
          <t xml:space="preserve">regular</t>
        </is>
      </c>
      <c r="CV124" s="4">
        <v>1.555</v>
      </c>
      <c r="CW124" s="4">
        <v>1.5590000000000002</v>
      </c>
      <c r="CX124" s="6"/>
      <c r="CY124" s="4">
        <v>0.8018373075825731</v>
      </c>
      <c r="CZ124" s="5">
        <f>IF(CR124="direct",IFERROR(DF124/CW124,0),0)</f>
        <v>0</v>
      </c>
      <c r="DA124" s="5">
        <f>IF(CR124="direct",CY124-CZ124,IF(CR124="cash",DK124,CY124))</f>
        <v>0.8018373075825731</v>
      </c>
      <c r="DB124" s="6">
        <v>1</v>
      </c>
      <c r="DC124" s="4">
        <v>1.2468570132909012</v>
      </c>
      <c r="DD124" s="4">
        <v>0</v>
      </c>
      <c r="DE124" s="5">
        <f>IF(CR124="direct",CY124*(CW124-CV124),DH124)</f>
        <v>0.0032073492303305927</v>
      </c>
      <c r="DF124" s="5">
        <f>IF(CR124="direct",DD124*CX124*C124/365,0)</f>
        <v>0</v>
      </c>
      <c r="DG124" s="5">
        <f>DE124-DF124</f>
        <v>0.0032073492303305927</v>
      </c>
      <c r="DH124" s="4">
        <v>0.0032073492303305927</v>
      </c>
      <c r="DI124" s="5">
        <f>DH124-DG124</f>
        <v>0</v>
      </c>
      <c r="DJ124" s="4">
        <v>-0.0032073492303305927</v>
      </c>
      <c r="DK124" s="4">
        <v>0</v>
      </c>
      <c r="DL124" s="4">
        <v>1.57</v>
      </c>
      <c r="DM124" s="4">
        <v>1.573</v>
      </c>
      <c r="DN124" s="6">
        <v>-0.009554140127388644</v>
      </c>
      <c r="DO124" s="6">
        <v>0.0674</v>
      </c>
      <c r="DP124" s="6">
        <v>0.19655782024062426</v>
      </c>
      <c r="DQ124" s="9">
        <v>27</v>
      </c>
      <c r="DR124" s="7">
        <f>IFERROR(DG124/F124,0)</f>
        <v>0.0025723472668812697</v>
      </c>
      <c r="DS124" t="inlineStr">
        <is>
          <t xml:space="preserve">Lease cash / margin / financing</t>
        </is>
      </c>
      <c r="DT124" t="inlineStr">
        <is>
          <t xml:space="preserve">cash</t>
        </is>
      </c>
      <c r="DU124" t="inlineStr">
        <is>
          <t xml:space="preserve">lease</t>
        </is>
      </c>
      <c r="DV124" t="inlineStr">
        <is>
          <t xml:space="preserve">cash</t>
        </is>
      </c>
      <c r="DW124"/>
      <c r="DX124" s="4">
        <v>1</v>
      </c>
      <c r="DY124" s="4">
        <v>1</v>
      </c>
      <c r="DZ124" s="6"/>
      <c r="EA124" s="4">
        <v>6.661338147750939e-16</v>
      </c>
      <c r="EB124" s="5">
        <f>IF(DT124="direct",IFERROR(EH124/DY124,0),0)</f>
        <v>0</v>
      </c>
      <c r="EC124" s="5">
        <f>IF(DT124="direct",EA124-EB124,IF(DT124="cash",EM124,EA124))</f>
        <v>0.003207349230331403</v>
      </c>
      <c r="ED124" s="6"/>
      <c r="EE124" s="4">
        <v>6.661338147750939e-16</v>
      </c>
      <c r="EF124" s="4">
        <v>6.661338147750939e-16</v>
      </c>
      <c r="EG124" s="5">
        <f>IF(DT124="direct",EA124*(DY124-DX124),EJ124)</f>
        <v>0</v>
      </c>
      <c r="EH124" s="5">
        <f>IF(DT124="direct",EF124*DZ124*C124/365,0)</f>
        <v>0</v>
      </c>
      <c r="EI124" s="5">
        <f>EG124-EH124</f>
        <v>0</v>
      </c>
      <c r="EJ124" s="4">
        <v>0</v>
      </c>
      <c r="EK124" s="5">
        <f>EJ124-EI124</f>
        <v>0</v>
      </c>
      <c r="EL124" s="4">
        <v>0.0032073492303307367</v>
      </c>
      <c r="EM124" s="4">
        <v>0.003207349230331403</v>
      </c>
      <c r="EN124" s="4">
        <v>1.57</v>
      </c>
      <c r="EO124" s="4">
        <v>1.573</v>
      </c>
      <c r="EP124" s="6"/>
      <c r="EQ124" s="6"/>
      <c r="ER124" s="6"/>
      <c r="ES124" s="9"/>
      <c r="ET124" s="7">
        <f>IFERROR(EI124/F124,0)</f>
        <v>0</v>
      </c>
      <c r="EU124" t="inlineStr">
        <is>
          <t xml:space="preserve">Keep cash / margin / financing</t>
        </is>
      </c>
      <c r="EV124" t="inlineStr">
        <is>
          <t xml:space="preserve">cash</t>
        </is>
      </c>
      <c r="EW124" t="inlineStr">
        <is>
          <t xml:space="preserve">keep</t>
        </is>
      </c>
      <c r="EX124" t="inlineStr">
        <is>
          <t xml:space="preserve">cash</t>
        </is>
      </c>
      <c r="EY124"/>
      <c r="EZ124" s="4">
        <v>1</v>
      </c>
      <c r="FA124" s="4">
        <v>1</v>
      </c>
      <c r="FB124" s="6"/>
      <c r="FC124" s="4">
        <v>0</v>
      </c>
      <c r="FD124" s="5">
        <f>IF(EV124="direct",IFERROR(FJ124/FA124,0),0)</f>
        <v>0</v>
      </c>
      <c r="FE124" s="5">
        <f>IF(EV124="direct",FC124-FD124,IF(EV124="cash",FO124,FC124))</f>
        <v>0</v>
      </c>
      <c r="FF124" s="6"/>
      <c r="FG124" s="4">
        <v>0</v>
      </c>
      <c r="FH124" s="4">
        <v>0</v>
      </c>
      <c r="FI124" s="5">
        <f>IF(EV124="direct",FC124*(FA124-EZ124),FL124)</f>
        <v>0</v>
      </c>
      <c r="FJ124" s="5">
        <f>IF(EV124="direct",FH124*FB124*C124/365,0)</f>
        <v>0</v>
      </c>
      <c r="FK124" s="5">
        <f>FI124-FJ124</f>
        <v>0</v>
      </c>
      <c r="FL124" s="4">
        <v>0</v>
      </c>
      <c r="FM124" s="5">
        <f>FL124-FK124</f>
        <v>0</v>
      </c>
      <c r="FN124" s="4">
        <v>0</v>
      </c>
      <c r="FO124" s="4">
        <v>0</v>
      </c>
      <c r="FP124" s="4">
        <v>1.57</v>
      </c>
      <c r="FQ124" s="4">
        <v>1.573</v>
      </c>
      <c r="FR124" s="6"/>
      <c r="FS124" s="6"/>
      <c r="FT124" s="6"/>
      <c r="FU124" s="9"/>
      <c r="FV124" s="7">
        <f>IFERROR(FK124/F124,0)</f>
        <v>0</v>
      </c>
      <c r="FW124"/>
      <c r="FX124"/>
      <c r="FY124"/>
      <c r="FZ124"/>
      <c r="GA124"/>
      <c r="GB124" s="4"/>
      <c r="GC124" s="4"/>
      <c r="GD124" s="6"/>
      <c r="GE124" s="4"/>
      <c r="GF124" s="5">
        <v>0</v>
      </c>
      <c r="GG124" s="5"/>
      <c r="GH124" s="6"/>
      <c r="GI124" s="4"/>
      <c r="GJ124" s="4"/>
      <c r="GK124" s="5">
        <v>0</v>
      </c>
      <c r="GL124" s="5">
        <v>0</v>
      </c>
      <c r="GM124" s="5"/>
      <c r="GN124" s="4"/>
      <c r="GO124" s="5">
        <v>0</v>
      </c>
      <c r="GP124" s="4"/>
      <c r="GQ124" s="4"/>
      <c r="GR124" s="4"/>
      <c r="GS124" s="4"/>
      <c r="GT124" s="6"/>
      <c r="GU124" s="6"/>
      <c r="GV124" s="6"/>
      <c r="GW124" s="9"/>
      <c r="GX124"/>
      <c r="GY124"/>
      <c r="GZ124"/>
      <c r="HA124"/>
      <c r="HB124"/>
      <c r="HC124"/>
      <c r="HD124" s="4"/>
      <c r="HE124" s="4"/>
      <c r="HF124" s="6"/>
      <c r="HG124" s="4"/>
      <c r="HH124" s="5">
        <v>0</v>
      </c>
      <c r="HI124" s="5"/>
      <c r="HJ124" s="6"/>
      <c r="HK124" s="4"/>
      <c r="HL124" s="4"/>
      <c r="HM124" s="5">
        <v>0</v>
      </c>
      <c r="HN124" s="5">
        <v>0</v>
      </c>
      <c r="HO124" s="5"/>
      <c r="HP124" s="4"/>
      <c r="HQ124" s="5">
        <v>0</v>
      </c>
      <c r="HR124" s="4"/>
      <c r="HS124" s="4"/>
      <c r="HT124" s="4"/>
      <c r="HU124" s="4"/>
      <c r="HV124" s="6"/>
      <c r="HW124" s="6"/>
      <c r="HX124" s="6"/>
      <c r="HY124" s="9"/>
      <c r="HZ124"/>
      <c r="IA124"/>
      <c r="IB124"/>
      <c r="IC124"/>
      <c r="ID124"/>
      <c r="IE124"/>
      <c r="IF124" s="4"/>
      <c r="IG124" s="4"/>
      <c r="IH124" s="6"/>
      <c r="II124" s="4"/>
      <c r="IJ124" s="5">
        <v>0</v>
      </c>
      <c r="IK124" s="5"/>
      <c r="IL124" s="6"/>
      <c r="IM124" s="4"/>
      <c r="IN124" s="4"/>
      <c r="IO124" s="5">
        <v>0</v>
      </c>
      <c r="IP124" s="5">
        <v>0</v>
      </c>
      <c r="IQ124" s="5"/>
      <c r="IR124" s="4"/>
      <c r="IS124" s="5">
        <v>0</v>
      </c>
      <c r="IT124" s="4"/>
      <c r="IU124" s="4"/>
      <c r="IV124" s="4"/>
      <c r="IW124" s="4"/>
      <c r="IX124" s="6"/>
      <c r="IY124" s="6"/>
      <c r="IZ124" s="6"/>
      <c r="JA124" s="9"/>
      <c r="JB124"/>
      <c r="JC124"/>
      <c r="JD124"/>
      <c r="JE124"/>
      <c r="JF124"/>
      <c r="JG124"/>
      <c r="JH124" s="4"/>
      <c r="JI124" s="4"/>
      <c r="JJ124" s="6"/>
      <c r="JK124" s="4"/>
      <c r="JL124" s="5">
        <v>0</v>
      </c>
      <c r="JM124" s="5"/>
      <c r="JN124" s="6"/>
      <c r="JO124" s="4"/>
      <c r="JP124" s="4"/>
      <c r="JQ124" s="5">
        <v>0</v>
      </c>
      <c r="JR124" s="5">
        <v>0</v>
      </c>
      <c r="JS124" s="5"/>
      <c r="JT124" s="4"/>
      <c r="JU124" s="5">
        <v>0</v>
      </c>
      <c r="JV124" s="4"/>
      <c r="JW124" s="4"/>
      <c r="JX124" s="4"/>
      <c r="JY124" s="4"/>
      <c r="JZ124" s="6"/>
      <c r="KA124" s="6"/>
      <c r="KB124" s="6"/>
      <c r="KC124" s="9"/>
      <c r="KD124"/>
      <c r="KE124"/>
      <c r="KF124"/>
      <c r="KG124"/>
      <c r="KH124"/>
      <c r="KI124"/>
      <c r="KJ124" s="4"/>
      <c r="KK124" s="4"/>
      <c r="KL124" s="6"/>
      <c r="KM124" s="4"/>
      <c r="KN124" s="5">
        <v>0</v>
      </c>
      <c r="KO124" s="5"/>
      <c r="KP124" s="6"/>
      <c r="KQ124" s="4"/>
      <c r="KR124" s="4"/>
      <c r="KS124" s="5">
        <v>0</v>
      </c>
      <c r="KT124" s="5">
        <v>0</v>
      </c>
      <c r="KU124" s="5"/>
      <c r="KV124" s="4"/>
      <c r="KW124" s="5">
        <v>0</v>
      </c>
      <c r="KX124" s="4"/>
      <c r="KY124" s="4"/>
      <c r="KZ124" s="4"/>
      <c r="LA124" s="4"/>
      <c r="LB124" s="6"/>
      <c r="LC124" s="6"/>
      <c r="LD124" s="6"/>
      <c r="LE124" s="9"/>
      <c r="LF124"/>
      <c r="LG124"/>
      <c r="LH124"/>
      <c r="LI124"/>
      <c r="LJ124"/>
      <c r="LK124"/>
      <c r="LL124" s="4"/>
      <c r="LM124" s="4"/>
      <c r="LN124" s="6"/>
      <c r="LO124" s="4"/>
      <c r="LP124" s="5">
        <v>0</v>
      </c>
      <c r="LQ124" s="5"/>
      <c r="LR124" s="6"/>
      <c r="LS124" s="4"/>
      <c r="LT124" s="4"/>
      <c r="LU124" s="5">
        <v>0</v>
      </c>
      <c r="LV124" s="5">
        <v>0</v>
      </c>
      <c r="LW124" s="5"/>
      <c r="LX124" s="4"/>
      <c r="LY124" s="5">
        <v>0</v>
      </c>
      <c r="LZ124" s="4"/>
      <c r="MA124" s="4"/>
      <c r="MB124" s="4"/>
      <c r="MC124" s="4"/>
      <c r="MD124" s="6"/>
      <c r="ME124" s="6"/>
      <c r="MF124" s="6"/>
      <c r="MG124" s="9"/>
      <c r="MH124"/>
    </row>
    <row r="125">
      <c r="A125" s="8">
        <v>25387</v>
      </c>
      <c r="B125" s="8">
        <v>25391</v>
      </c>
      <c r="C125" s="9">
        <f>B125-A125</f>
        <v>4</v>
      </c>
      <c r="D125" s="8">
        <v>25387</v>
      </c>
      <c r="E125" t="inlineStr">
        <is>
          <t xml:space="preserve">positive</t>
        </is>
      </c>
      <c r="F125" s="4">
        <v>1.2502946040628642</v>
      </c>
      <c r="G125" s="6">
        <v>0.022555153197958012</v>
      </c>
      <c r="H125" s="7">
        <f>SUM(CP125,DR125,ET125,FV125,GX125,HZ125,JB125,KD125,LF125,MH125)</f>
        <v>0.022555153197958012</v>
      </c>
      <c r="I125" s="7">
        <f>G125-H125</f>
        <v>0</v>
      </c>
      <c r="J125" s="5">
        <f>F125*(1+H125)</f>
        <v>1.2784951904000823</v>
      </c>
      <c r="K125" s="4">
        <v>1.2784951904000823</v>
      </c>
      <c r="L125" s="5">
        <f>K125-J125</f>
        <v>0</v>
      </c>
      <c r="M125" s="4">
        <v>1.573</v>
      </c>
      <c r="N125" s="4">
        <v>1.594</v>
      </c>
      <c r="O125" s="5">
        <f>M125/$M$3</f>
        <v>0.8033707865168539</v>
      </c>
      <c r="P125" s="5">
        <f>N125/$M$3</f>
        <v>0.8140960163432074</v>
      </c>
      <c r="Q125" s="7">
        <f>IFERROR(N125/M125-1,0)</f>
        <v>0.013350286077558948</v>
      </c>
      <c r="R125" s="5">
        <f>SUM(IF(BQ125="lease",CB125,0),IF(CS125="lease",DD125,0),IF(DU125="lease",EF125,0),IF(EW125="lease",FH125,0),IF(FY125="lease",GJ125,0),IF(HA125="lease",HL125,0),IF(IC125="lease",IN125,0),IF(JE125="lease",JP125,0),IF(KG125="lease",KR125,0),IF(LI125="lease",LT125,0))</f>
        <v>1.2502946040628649</v>
      </c>
      <c r="S125" s="5">
        <f>SUM(IF(BQ125="lease",CI125,0),IF(CS125="lease",DK125,0),IF(DU125="lease",EM125,0),IF(EW125="lease",FO125,0),IF(FY125="lease",GQ125,0),IF(HA125="lease",HS125,0),IF(IC125="lease",IU125,0),IF(JE125="lease",JW125,0),IF(KG125="lease",KY125,0),IF(LI125="lease",MA125,0))</f>
        <v>1.278495190400083</v>
      </c>
      <c r="T125" s="5">
        <f>SUM(IF(BQ125="keep",CB125,0),IF(CS125="keep",DD125,0),IF(DU125="keep",EF125,0),IF(EW125="keep",FH125,0),IF(FY125="keep",GJ125,0),IF(HA125="keep",HL125,0),IF(IC125="keep",IN125,0),IF(JE125="keep",JP125,0),IF(KG125="keep",KR125,0),IF(LI125="keep",LT125,0))</f>
        <v>0</v>
      </c>
      <c r="U125" s="5">
        <f>SUM(IF(BQ125="keep",CI125,0),IF(CS125="keep",DK125,0),IF(DU125="keep",EM125,0),IF(EW125="keep",FO125,0),IF(FY125="keep",GQ125,0),IF(HA125="keep",HS125,0),IF(IC125="keep",IU125,0),IF(JE125="keep",JW125,0),IF(KG125="keep",KY125,0),IF(LI125="keep",MA125,0))</f>
        <v>0</v>
      </c>
      <c r="V125" s="5">
        <f>R125/O125</f>
        <v>1.5563107658964332</v>
      </c>
      <c r="W125" s="5">
        <f>S125/P125</f>
        <v>1.5704476680071282</v>
      </c>
      <c r="X125" s="5">
        <f>T125/O125</f>
        <v>0</v>
      </c>
      <c r="Y125" s="5">
        <f>U125/P125</f>
        <v>0</v>
      </c>
      <c r="Z125" s="5">
        <f>V125+X125</f>
        <v>1.5563107658964332</v>
      </c>
      <c r="AA125" s="7">
        <f>IFERROR(W125/V125-1,0)</f>
        <v>0.009083598482050093</v>
      </c>
      <c r="AB125" s="7">
        <f>IFERROR((W125-V125)/Z125,0)</f>
        <v>0.00908359848205003</v>
      </c>
      <c r="AC125" s="7">
        <f>IFERROR(Y125/X125-1,0)</f>
        <v>0</v>
      </c>
      <c r="AD125" s="7">
        <f>IFERROR((Y125-X125)/Z125,0)</f>
        <v>0</v>
      </c>
      <c r="AE125" s="7">
        <f>AB125+AD125</f>
        <v>0.00908359848205003</v>
      </c>
      <c r="AF125" s="7">
        <f>(1+Q125)*(1+AE125)-1</f>
        <v>0.0225551531979582</v>
      </c>
      <c r="AG125" s="7">
        <f>G125-AF125</f>
        <v>-1.8735013540549517e-16</v>
      </c>
      <c r="AH125" s="5">
        <f>SUM(IF(BQ125="lease",CE125,0),IF(CS125="lease",DG125,0),IF(DU125="lease",EI125,0),IF(EW125="lease",FK125,0),IF(FY125="lease",GM125,0),IF(HA125="lease",HO125,0),IF(IC125="lease",IQ125,0),IF(JE125="lease",JS125,0),IF(KG125="lease",KU125,0),IF(LI125="lease",LW125,0))</f>
        <v>0.02820058633721816</v>
      </c>
      <c r="AI125" s="5">
        <f>SUM(IF(BQ125="keep",CE125,0),IF(CS125="keep",DG125,0),IF(DU125="keep",EI125,0),IF(EW125="keep",FK125,0),IF(FY125="keep",GM125,0),IF(HA125="keep",HO125,0),IF(IC125="keep",IQ125,0),IF(JE125="keep",JS125,0),IF(KG125="keep",KU125,0),IF(LI125="keep",LW125,0))</f>
        <v>0</v>
      </c>
      <c r="AJ125" s="5">
        <f>SUM(IF(BQ125="lease",CH125,0),IF(CS125="lease",DJ125,0),IF(DU125="lease",EL125,0),IF(EW125="lease",FN125,0),IF(FY125="lease",GP125,0),IF(HA125="lease",HR125,0),IF(IC125="lease",IT125,0),IF(JE125="lease",JV125,0),IF(KG125="lease",KX125,0),IF(LI125="lease",LZ125,0))</f>
        <v>0</v>
      </c>
      <c r="AK125" s="5">
        <f>SUM(IF(BQ125="keep",CH125,0),IF(CS125="keep",DJ125,0),IF(DU125="keep",EL125,0),IF(EW125="keep",FN125,0),IF(FY125="keep",GP125,0),IF(HA125="keep",HR125,0),IF(IC125="keep",IT125,0),IF(JE125="keep",JV125,0),IF(KG125="keep",KX125,0),IF(LI125="keep",LZ125,0))</f>
        <v>0</v>
      </c>
      <c r="AL125" s="5">
        <f>R125-S124</f>
        <v>0</v>
      </c>
      <c r="AM125" s="5">
        <f>T125-U124</f>
        <v>0</v>
      </c>
      <c r="AN125" s="5">
        <f>AN124</f>
        <v>1</v>
      </c>
      <c r="AO125" s="5">
        <f>AO124+AH125</f>
        <v>0.2784951904000829</v>
      </c>
      <c r="AP125" s="5">
        <f>AP124+AL125</f>
        <v>-2.220446049250313e-16</v>
      </c>
      <c r="AQ125" s="5">
        <f>AN125+AO125+AP125</f>
        <v>1.2784951904000827</v>
      </c>
      <c r="AR125" s="5">
        <f>S125-AQ125</f>
        <v>2.220446049250313e-16</v>
      </c>
      <c r="AS125" s="5">
        <f>AS124</f>
        <v>0</v>
      </c>
      <c r="AT125" s="5">
        <f>AT124+AI125</f>
        <v>0</v>
      </c>
      <c r="AU125" s="5">
        <f>AU124+AM125</f>
        <v>0</v>
      </c>
      <c r="AV125" s="5">
        <f>AS125+AT125+AU125</f>
        <v>0</v>
      </c>
      <c r="AW125" s="5">
        <f>U125-AV125</f>
        <v>0</v>
      </c>
      <c r="AX125" s="4">
        <v>1.2502946040628649</v>
      </c>
      <c r="AY125" s="4">
        <v>1.278495190400083</v>
      </c>
      <c r="AZ125" s="5">
        <f>S125-AY125</f>
        <v>0</v>
      </c>
      <c r="BA125" s="4">
        <v>0</v>
      </c>
      <c r="BB125" s="4">
        <v>0</v>
      </c>
      <c r="BC125" s="5">
        <f>U125-BB125</f>
        <v>0</v>
      </c>
      <c r="BD125" s="7">
        <f>SUM(IF(BP125="direct",CC125/F125,0),IF(CR125="direct",DE125/F125,0),IF(DT125="direct",EG125/F125,0),IF(EV125="direct",FI125/F125,0),IF(FX125="direct",GK125/F125,0),IF(GZ125="direct",HM125/F125,0),IF(IB125="direct",IO125/F125,0),IF(JD125="direct",JQ125/F125,0),IF(KF125="direct",KS125/F125,0),IF(LH125="direct",LU125/F125,0))</f>
        <v>0</v>
      </c>
      <c r="BE125" s="7">
        <f>-SUM(IF(BP125="direct",CD125/F125,0),IF(CR125="direct",DF125/F125,0),IF(DT125="direct",EH125/F125,0),IF(EV125="direct",FJ125/F125,0),IF(FX125="direct",GL125/F125,0),IF(GZ125="direct",HN125/F125,0),IF(IB125="direct",IP125/F125,0),IF(JD125="direct",JR125/F125,0),IF(KF125="direct",KT125/F125,0),IF(LH125="direct",LV125/F125,0))</f>
        <v>0</v>
      </c>
      <c r="BF125" s="7">
        <f>BD125+BE125</f>
        <v>0</v>
      </c>
      <c r="BG125" s="7">
        <f>BF125-SUM(IF(BP125="direct",CP125,0),IF(CR125="direct",DR125,0),IF(DT125="direct",ET125,0),IF(EV125="direct",FV125,0),IF(FX125="direct",GX125,0),IF(GZ125="direct",HZ125,0),IF(IB125="direct",JB125,0),IF(JD125="direct",KD125,0),IF(KF125="direct",LF125,0),IF(LH125="direct",MH125,0))</f>
        <v>0</v>
      </c>
      <c r="BH125" s="7">
        <f>SUM(IF(BP125="treasury",CP125,0),IF(CR125="treasury",DR125,0),IF(DT125="treasury",ET125,0),IF(EV125="treasury",FV125,0),IF(FX125="treasury",GX125,0),IF(GZ125="treasury",HZ125,0),IF(IB125="treasury",JB125,0),IF(JD125="treasury",KD125,0),IF(KF125="treasury",LF125,0),IF(LH125="treasury",MH125,0))</f>
        <v>0.0007463013698630136</v>
      </c>
      <c r="BI125" s="7">
        <f>SUM(IF(BP125="future",CP125,0),IF(CR125="future",DR125,0),IF(DT125="future",ET125,0),IF(EV125="future",FV125,0),IF(FX125="future",GX125,0),IF(GZ125="future",HZ125,0),IF(IB125="future",JB125,0),IF(JD125="future",KD125,0),IF(KF125="future",LF125,0),IF(LH125="future",MH125,0))</f>
        <v>0.021808851828095</v>
      </c>
      <c r="BJ125" s="7">
        <f>SUM(IF(BP125="cash",CP125,0),IF(CR125="cash",DR125,0),IF(DT125="cash",ET125,0),IF(EV125="cash",FV125,0),IF(FX125="cash",GX125,0),IF(GZ125="cash",HZ125,0),IF(IB125="cash",JB125,0),IF(JD125="cash",KD125,0),IF(KF125="cash",LF125,0),IF(LH125="cash",MH125,0))</f>
        <v>0</v>
      </c>
      <c r="BK125" s="7">
        <f>SUM(BF125,BH125,BI125,BJ125)</f>
        <v>0.022555153197958012</v>
      </c>
      <c r="BL125" s="7">
        <f>G125-BK125</f>
        <v>0</v>
      </c>
      <c r="BM125" s="5">
        <f>MAX(ABS(CG125),ABS(DI125),ABS(EK125),ABS(FM125),ABS(GO125),ABS(HQ125),ABS(IS125),ABS(JU125),ABS(KW125),ABS(LY125))</f>
        <v>1.8214596497756474e-17</v>
      </c>
      <c r="BN125" s="9">
        <f>COUNTA(BO125,CQ125,DS125,EU125,FW125,GY125,IA125,JC125,KE125,LG125)</f>
        <v>4</v>
      </c>
      <c r="BO125" t="inlineStr">
        <is>
          <t xml:space="preserve">Treasury collateral</t>
        </is>
      </c>
      <c r="BP125" t="inlineStr">
        <is>
          <t xml:space="preserve">treasury</t>
        </is>
      </c>
      <c r="BQ125" t="inlineStr">
        <is>
          <t xml:space="preserve">lease</t>
        </is>
      </c>
      <c r="BR125" t="inlineStr">
        <is>
          <t xml:space="preserve">long</t>
        </is>
      </c>
      <c r="BS125"/>
      <c r="BT125" s="4">
        <v>103.11250265137002</v>
      </c>
      <c r="BU125" s="4">
        <v>103.18945565334874</v>
      </c>
      <c r="BV125" s="6"/>
      <c r="BW125" s="4">
        <v>0.012125538338354471</v>
      </c>
      <c r="BX125" s="5">
        <f>IF(BP125="direct",IFERROR(CD125/BU125,0),0)</f>
        <v>0</v>
      </c>
      <c r="BY125" s="5">
        <f>IF(BP125="direct",BW125-BX125,IF(BP125="cash",CI125,BW125))</f>
        <v>0.012125538338354471</v>
      </c>
      <c r="BZ125" s="6">
        <v>1</v>
      </c>
      <c r="CA125" s="4">
        <v>1.2502946040628642</v>
      </c>
      <c r="CB125" s="4">
        <v>1.2502946040628642</v>
      </c>
      <c r="CC125" s="5">
        <f>IF(BP125="direct",BW125*(BU125-BT125),CF125)</f>
        <v>0.000933096575744468</v>
      </c>
      <c r="CD125" s="5">
        <f>IF(BP125="direct",CB125*BV125*C125/365,0)</f>
        <v>0</v>
      </c>
      <c r="CE125" s="5">
        <f>CC125-CD125</f>
        <v>0.0009330965757444497</v>
      </c>
      <c r="CF125" s="4">
        <v>0.0009330965757444497</v>
      </c>
      <c r="CG125" s="5">
        <f>CF125-CE125</f>
        <v>-1.8214596497756474e-17</v>
      </c>
      <c r="CH125" s="4">
        <v>1.3552527156068805e-16</v>
      </c>
      <c r="CI125" s="4">
        <v>1.2512277006386088</v>
      </c>
      <c r="CJ125" s="4">
        <v>1.573</v>
      </c>
      <c r="CK125" s="4">
        <v>1.594</v>
      </c>
      <c r="CL125" s="6"/>
      <c r="CM125" s="6"/>
      <c r="CN125" s="6"/>
      <c r="CO125" s="9">
        <v>26</v>
      </c>
      <c r="CP125" s="7">
        <f>IFERROR(CE125/F125,0)</f>
        <v>0.0007463013698630136</v>
      </c>
      <c r="CQ125" t="inlineStr">
        <is>
          <t xml:space="preserve">SI69N</t>
        </is>
      </c>
      <c r="CR125" t="inlineStr">
        <is>
          <t xml:space="preserve">future</t>
        </is>
      </c>
      <c r="CS125" t="inlineStr">
        <is>
          <t xml:space="preserve">lease</t>
        </is>
      </c>
      <c r="CT125" t="inlineStr">
        <is>
          <t xml:space="preserve">long</t>
        </is>
      </c>
      <c r="CU125" t="inlineStr">
        <is>
          <t xml:space="preserve">regular</t>
        </is>
      </c>
      <c r="CV125" s="4">
        <v>1.5590000000000002</v>
      </c>
      <c r="CW125" s="4">
        <v>1.5930000000000002</v>
      </c>
      <c r="CX125" s="6"/>
      <c r="CY125" s="4">
        <v>0.8019849929845183</v>
      </c>
      <c r="CZ125" s="5">
        <f>IF(CR125="direct",IFERROR(DF125/CW125,0),0)</f>
        <v>0</v>
      </c>
      <c r="DA125" s="5">
        <f>IF(CR125="direct",CY125-CZ125,IF(CR125="cash",DK125,CY125))</f>
        <v>0.8019849929845183</v>
      </c>
      <c r="DB125" s="6">
        <v>1</v>
      </c>
      <c r="DC125" s="4">
        <v>1.2502946040628642</v>
      </c>
      <c r="DD125" s="4">
        <v>0</v>
      </c>
      <c r="DE125" s="5">
        <f>IF(CR125="direct",CY125*(CW125-CV125),DH125)</f>
        <v>0.02726748976147371</v>
      </c>
      <c r="DF125" s="5">
        <f>IF(CR125="direct",DD125*CX125*C125/365,0)</f>
        <v>0</v>
      </c>
      <c r="DG125" s="5">
        <f>DE125-DF125</f>
        <v>0.02726748976147371</v>
      </c>
      <c r="DH125" s="4">
        <v>0.02726748976147371</v>
      </c>
      <c r="DI125" s="5">
        <f>DH125-DG125</f>
        <v>0</v>
      </c>
      <c r="DJ125" s="4">
        <v>-0.02726748976147371</v>
      </c>
      <c r="DK125" s="4">
        <v>0</v>
      </c>
      <c r="DL125" s="4">
        <v>1.573</v>
      </c>
      <c r="DM125" s="4">
        <v>1.594</v>
      </c>
      <c r="DN125" s="6">
        <v>-0.008900190718372447</v>
      </c>
      <c r="DO125" s="6">
        <v>0.0681</v>
      </c>
      <c r="DP125" s="6">
        <v>0.19304498508484397</v>
      </c>
      <c r="DQ125" s="9">
        <v>26</v>
      </c>
      <c r="DR125" s="7">
        <f>IFERROR(DG125/F125,0)</f>
        <v>0.021808851828095</v>
      </c>
      <c r="DS125" t="inlineStr">
        <is>
          <t xml:space="preserve">Lease cash / margin / financing</t>
        </is>
      </c>
      <c r="DT125" t="inlineStr">
        <is>
          <t xml:space="preserve">cash</t>
        </is>
      </c>
      <c r="DU125" t="inlineStr">
        <is>
          <t xml:space="preserve">lease</t>
        </is>
      </c>
      <c r="DV125" t="inlineStr">
        <is>
          <t xml:space="preserve">cash</t>
        </is>
      </c>
      <c r="DW125"/>
      <c r="DX125" s="4">
        <v>1</v>
      </c>
      <c r="DY125" s="4">
        <v>1</v>
      </c>
      <c r="DZ125" s="6"/>
      <c r="EA125" s="4">
        <v>6.661338147750939e-16</v>
      </c>
      <c r="EB125" s="5">
        <f>IF(DT125="direct",IFERROR(EH125/DY125,0),0)</f>
        <v>0</v>
      </c>
      <c r="EC125" s="5">
        <f>IF(DT125="direct",EA125-EB125,IF(DT125="cash",EM125,EA125))</f>
        <v>0.02726748976147424</v>
      </c>
      <c r="ED125" s="6"/>
      <c r="EE125" s="4">
        <v>6.661338147750939e-16</v>
      </c>
      <c r="EF125" s="4">
        <v>6.661338147750939e-16</v>
      </c>
      <c r="EG125" s="5">
        <f>IF(DT125="direct",EA125*(DY125-DX125),EJ125)</f>
        <v>0</v>
      </c>
      <c r="EH125" s="5">
        <f>IF(DT125="direct",EF125*DZ125*C125/365,0)</f>
        <v>0</v>
      </c>
      <c r="EI125" s="5">
        <f>EG125-EH125</f>
        <v>0</v>
      </c>
      <c r="EJ125" s="4">
        <v>0</v>
      </c>
      <c r="EK125" s="5">
        <f>EJ125-EI125</f>
        <v>0</v>
      </c>
      <c r="EL125" s="4">
        <v>0.027267489761473574</v>
      </c>
      <c r="EM125" s="4">
        <v>0.02726748976147424</v>
      </c>
      <c r="EN125" s="4">
        <v>1.573</v>
      </c>
      <c r="EO125" s="4">
        <v>1.594</v>
      </c>
      <c r="EP125" s="6"/>
      <c r="EQ125" s="6"/>
      <c r="ER125" s="6"/>
      <c r="ES125" s="9"/>
      <c r="ET125" s="7">
        <f>IFERROR(EI125/F125,0)</f>
        <v>0</v>
      </c>
      <c r="EU125" t="inlineStr">
        <is>
          <t xml:space="preserve">Keep cash / margin / financing</t>
        </is>
      </c>
      <c r="EV125" t="inlineStr">
        <is>
          <t xml:space="preserve">cash</t>
        </is>
      </c>
      <c r="EW125" t="inlineStr">
        <is>
          <t xml:space="preserve">keep</t>
        </is>
      </c>
      <c r="EX125" t="inlineStr">
        <is>
          <t xml:space="preserve">cash</t>
        </is>
      </c>
      <c r="EY125"/>
      <c r="EZ125" s="4">
        <v>1</v>
      </c>
      <c r="FA125" s="4">
        <v>1</v>
      </c>
      <c r="FB125" s="6"/>
      <c r="FC125" s="4">
        <v>0</v>
      </c>
      <c r="FD125" s="5">
        <f>IF(EV125="direct",IFERROR(FJ125/FA125,0),0)</f>
        <v>0</v>
      </c>
      <c r="FE125" s="5">
        <f>IF(EV125="direct",FC125-FD125,IF(EV125="cash",FO125,FC125))</f>
        <v>0</v>
      </c>
      <c r="FF125" s="6"/>
      <c r="FG125" s="4">
        <v>0</v>
      </c>
      <c r="FH125" s="4">
        <v>0</v>
      </c>
      <c r="FI125" s="5">
        <f>IF(EV125="direct",FC125*(FA125-EZ125),FL125)</f>
        <v>0</v>
      </c>
      <c r="FJ125" s="5">
        <f>IF(EV125="direct",FH125*FB125*C125/365,0)</f>
        <v>0</v>
      </c>
      <c r="FK125" s="5">
        <f>FI125-FJ125</f>
        <v>0</v>
      </c>
      <c r="FL125" s="4">
        <v>0</v>
      </c>
      <c r="FM125" s="5">
        <f>FL125-FK125</f>
        <v>0</v>
      </c>
      <c r="FN125" s="4">
        <v>0</v>
      </c>
      <c r="FO125" s="4">
        <v>0</v>
      </c>
      <c r="FP125" s="4">
        <v>1.573</v>
      </c>
      <c r="FQ125" s="4">
        <v>1.594</v>
      </c>
      <c r="FR125" s="6"/>
      <c r="FS125" s="6"/>
      <c r="FT125" s="6"/>
      <c r="FU125" s="9"/>
      <c r="FV125" s="7">
        <f>IFERROR(FK125/F125,0)</f>
        <v>0</v>
      </c>
      <c r="FW125"/>
      <c r="FX125"/>
      <c r="FY125"/>
      <c r="FZ125"/>
      <c r="GA125"/>
      <c r="GB125" s="4"/>
      <c r="GC125" s="4"/>
      <c r="GD125" s="6"/>
      <c r="GE125" s="4"/>
      <c r="GF125" s="5">
        <v>0</v>
      </c>
      <c r="GG125" s="5"/>
      <c r="GH125" s="6"/>
      <c r="GI125" s="4"/>
      <c r="GJ125" s="4"/>
      <c r="GK125" s="5">
        <v>0</v>
      </c>
      <c r="GL125" s="5">
        <v>0</v>
      </c>
      <c r="GM125" s="5"/>
      <c r="GN125" s="4"/>
      <c r="GO125" s="5">
        <v>0</v>
      </c>
      <c r="GP125" s="4"/>
      <c r="GQ125" s="4"/>
      <c r="GR125" s="4"/>
      <c r="GS125" s="4"/>
      <c r="GT125" s="6"/>
      <c r="GU125" s="6"/>
      <c r="GV125" s="6"/>
      <c r="GW125" s="9"/>
      <c r="GX125"/>
      <c r="GY125"/>
      <c r="GZ125"/>
      <c r="HA125"/>
      <c r="HB125"/>
      <c r="HC125"/>
      <c r="HD125" s="4"/>
      <c r="HE125" s="4"/>
      <c r="HF125" s="6"/>
      <c r="HG125" s="4"/>
      <c r="HH125" s="5">
        <v>0</v>
      </c>
      <c r="HI125" s="5"/>
      <c r="HJ125" s="6"/>
      <c r="HK125" s="4"/>
      <c r="HL125" s="4"/>
      <c r="HM125" s="5">
        <v>0</v>
      </c>
      <c r="HN125" s="5">
        <v>0</v>
      </c>
      <c r="HO125" s="5"/>
      <c r="HP125" s="4"/>
      <c r="HQ125" s="5">
        <v>0</v>
      </c>
      <c r="HR125" s="4"/>
      <c r="HS125" s="4"/>
      <c r="HT125" s="4"/>
      <c r="HU125" s="4"/>
      <c r="HV125" s="6"/>
      <c r="HW125" s="6"/>
      <c r="HX125" s="6"/>
      <c r="HY125" s="9"/>
      <c r="HZ125"/>
      <c r="IA125"/>
      <c r="IB125"/>
      <c r="IC125"/>
      <c r="ID125"/>
      <c r="IE125"/>
      <c r="IF125" s="4"/>
      <c r="IG125" s="4"/>
      <c r="IH125" s="6"/>
      <c r="II125" s="4"/>
      <c r="IJ125" s="5">
        <v>0</v>
      </c>
      <c r="IK125" s="5"/>
      <c r="IL125" s="6"/>
      <c r="IM125" s="4"/>
      <c r="IN125" s="4"/>
      <c r="IO125" s="5">
        <v>0</v>
      </c>
      <c r="IP125" s="5">
        <v>0</v>
      </c>
      <c r="IQ125" s="5"/>
      <c r="IR125" s="4"/>
      <c r="IS125" s="5">
        <v>0</v>
      </c>
      <c r="IT125" s="4"/>
      <c r="IU125" s="4"/>
      <c r="IV125" s="4"/>
      <c r="IW125" s="4"/>
      <c r="IX125" s="6"/>
      <c r="IY125" s="6"/>
      <c r="IZ125" s="6"/>
      <c r="JA125" s="9"/>
      <c r="JB125"/>
      <c r="JC125"/>
      <c r="JD125"/>
      <c r="JE125"/>
      <c r="JF125"/>
      <c r="JG125"/>
      <c r="JH125" s="4"/>
      <c r="JI125" s="4"/>
      <c r="JJ125" s="6"/>
      <c r="JK125" s="4"/>
      <c r="JL125" s="5">
        <v>0</v>
      </c>
      <c r="JM125" s="5"/>
      <c r="JN125" s="6"/>
      <c r="JO125" s="4"/>
      <c r="JP125" s="4"/>
      <c r="JQ125" s="5">
        <v>0</v>
      </c>
      <c r="JR125" s="5">
        <v>0</v>
      </c>
      <c r="JS125" s="5"/>
      <c r="JT125" s="4"/>
      <c r="JU125" s="5">
        <v>0</v>
      </c>
      <c r="JV125" s="4"/>
      <c r="JW125" s="4"/>
      <c r="JX125" s="4"/>
      <c r="JY125" s="4"/>
      <c r="JZ125" s="6"/>
      <c r="KA125" s="6"/>
      <c r="KB125" s="6"/>
      <c r="KC125" s="9"/>
      <c r="KD125"/>
      <c r="KE125"/>
      <c r="KF125"/>
      <c r="KG125"/>
      <c r="KH125"/>
      <c r="KI125"/>
      <c r="KJ125" s="4"/>
      <c r="KK125" s="4"/>
      <c r="KL125" s="6"/>
      <c r="KM125" s="4"/>
      <c r="KN125" s="5">
        <v>0</v>
      </c>
      <c r="KO125" s="5"/>
      <c r="KP125" s="6"/>
      <c r="KQ125" s="4"/>
      <c r="KR125" s="4"/>
      <c r="KS125" s="5">
        <v>0</v>
      </c>
      <c r="KT125" s="5">
        <v>0</v>
      </c>
      <c r="KU125" s="5"/>
      <c r="KV125" s="4"/>
      <c r="KW125" s="5">
        <v>0</v>
      </c>
      <c r="KX125" s="4"/>
      <c r="KY125" s="4"/>
      <c r="KZ125" s="4"/>
      <c r="LA125" s="4"/>
      <c r="LB125" s="6"/>
      <c r="LC125" s="6"/>
      <c r="LD125" s="6"/>
      <c r="LE125" s="9"/>
      <c r="LF125"/>
      <c r="LG125"/>
      <c r="LH125"/>
      <c r="LI125"/>
      <c r="LJ125"/>
      <c r="LK125"/>
      <c r="LL125" s="4"/>
      <c r="LM125" s="4"/>
      <c r="LN125" s="6"/>
      <c r="LO125" s="4"/>
      <c r="LP125" s="5">
        <v>0</v>
      </c>
      <c r="LQ125" s="5"/>
      <c r="LR125" s="6"/>
      <c r="LS125" s="4"/>
      <c r="LT125" s="4"/>
      <c r="LU125" s="5">
        <v>0</v>
      </c>
      <c r="LV125" s="5">
        <v>0</v>
      </c>
      <c r="LW125" s="5"/>
      <c r="LX125" s="4"/>
      <c r="LY125" s="5">
        <v>0</v>
      </c>
      <c r="LZ125" s="4"/>
      <c r="MA125" s="4"/>
      <c r="MB125" s="4"/>
      <c r="MC125" s="4"/>
      <c r="MD125" s="6"/>
      <c r="ME125" s="6"/>
      <c r="MF125" s="6"/>
      <c r="MG125" s="9"/>
      <c r="MH125"/>
    </row>
    <row r="126">
      <c r="A126" s="8">
        <v>25391</v>
      </c>
      <c r="B126" s="8">
        <v>25392</v>
      </c>
      <c r="C126" s="9">
        <f>B126-A126</f>
        <v>1</v>
      </c>
      <c r="D126" s="8">
        <v>25391</v>
      </c>
      <c r="E126" t="inlineStr">
        <is>
          <t xml:space="preserve">positive</t>
        </is>
      </c>
      <c r="F126" s="4">
        <v>1.2784951904000823</v>
      </c>
      <c r="G126" s="6">
        <v>0.005721736757684743</v>
      </c>
      <c r="H126" s="7">
        <f>SUM(CP126,DR126,ET126,FV126,GX126,HZ126,JB126,KD126,LF126,MH126)</f>
        <v>0.005721736757684743</v>
      </c>
      <c r="I126" s="7">
        <f>G126-H126</f>
        <v>0</v>
      </c>
      <c r="J126" s="5">
        <f>F126*(1+H126)</f>
        <v>1.2858104033255175</v>
      </c>
      <c r="K126" s="4">
        <v>1.2858104033255175</v>
      </c>
      <c r="L126" s="5">
        <f>K126-J126</f>
        <v>0</v>
      </c>
      <c r="M126" s="4">
        <v>1.594</v>
      </c>
      <c r="N126" s="4">
        <v>1.613</v>
      </c>
      <c r="O126" s="5">
        <f>M126/$M$3</f>
        <v>0.8140960163432074</v>
      </c>
      <c r="P126" s="5">
        <f>N126/$M$3</f>
        <v>0.8237997957099081</v>
      </c>
      <c r="Q126" s="7">
        <f>IFERROR(N126/M126-1,0)</f>
        <v>0.011919698870765272</v>
      </c>
      <c r="R126" s="5">
        <f>SUM(IF(BQ126="lease",CB126,0),IF(CS126="lease",DD126,0),IF(DU126="lease",EF126,0),IF(EW126="lease",FH126,0),IF(FY126="lease",GJ126,0),IF(HA126="lease",HL126,0),IF(IC126="lease",IN126,0),IF(JE126="lease",JP126,0),IF(KG126="lease",KR126,0),IF(LI126="lease",LT126,0))</f>
        <v>1.278495190400083</v>
      </c>
      <c r="S126" s="5">
        <f>SUM(IF(BQ126="lease",CI126,0),IF(CS126="lease",DK126,0),IF(DU126="lease",EM126,0),IF(EW126="lease",FO126,0),IF(FY126="lease",GQ126,0),IF(HA126="lease",HS126,0),IF(IC126="lease",IU126,0),IF(JE126="lease",JW126,0),IF(KG126="lease",KY126,0),IF(LI126="lease",MA126,0))</f>
        <v>1.2858104033255182</v>
      </c>
      <c r="T126" s="5">
        <f>SUM(IF(BQ126="keep",CB126,0),IF(CS126="keep",DD126,0),IF(DU126="keep",EF126,0),IF(EW126="keep",FH126,0),IF(FY126="keep",GJ126,0),IF(HA126="keep",HL126,0),IF(IC126="keep",IN126,0),IF(JE126="keep",JP126,0),IF(KG126="keep",KR126,0),IF(LI126="keep",LT126,0))</f>
        <v>0</v>
      </c>
      <c r="U126" s="5">
        <f>SUM(IF(BQ126="keep",CI126,0),IF(CS126="keep",DK126,0),IF(DU126="keep",EM126,0),IF(EW126="keep",FO126,0),IF(FY126="keep",GQ126,0),IF(HA126="keep",HS126,0),IF(IC126="keep",IU126,0),IF(JE126="keep",JW126,0),IF(KG126="keep",KY126,0),IF(LI126="keep",MA126,0))</f>
        <v>0</v>
      </c>
      <c r="V126" s="5">
        <f>R126/O126</f>
        <v>1.5704476680071282</v>
      </c>
      <c r="W126" s="5">
        <f>S126/P126</f>
        <v>1.5608287474961962</v>
      </c>
      <c r="X126" s="5">
        <f>T126/O126</f>
        <v>0</v>
      </c>
      <c r="Y126" s="5">
        <f>U126/P126</f>
        <v>0</v>
      </c>
      <c r="Z126" s="5">
        <f>V126+X126</f>
        <v>1.5704476680071282</v>
      </c>
      <c r="AA126" s="7">
        <f>IFERROR(W126/V126-1,0)</f>
        <v>-0.006124954499845403</v>
      </c>
      <c r="AB126" s="7">
        <f>IFERROR((W126-V126)/Z126,0)</f>
        <v>-0.006124954499845447</v>
      </c>
      <c r="AC126" s="7">
        <f>IFERROR(Y126/X126-1,0)</f>
        <v>0</v>
      </c>
      <c r="AD126" s="7">
        <f>IFERROR((Y126-X126)/Z126,0)</f>
        <v>0</v>
      </c>
      <c r="AE126" s="7">
        <f>AB126+AD126</f>
        <v>-0.006124954499845447</v>
      </c>
      <c r="AF126" s="7">
        <f>(1+Q126)*(1+AE126)-1</f>
        <v>0.0057217367576845035</v>
      </c>
      <c r="AG126" s="7">
        <f>G126-AF126</f>
        <v>2.393918396847994e-16</v>
      </c>
      <c r="AH126" s="5">
        <f>SUM(IF(BQ126="lease",CE126,0),IF(CS126="lease",DG126,0),IF(DU126="lease",EI126,0),IF(EW126="lease",FK126,0),IF(FY126="lease",GM126,0),IF(HA126="lease",HO126,0),IF(IC126="lease",IQ126,0),IF(JE126="lease",JS126,0),IF(KG126="lease",KU126,0),IF(LI126="lease",LW126,0))</f>
        <v>0.007315212925435305</v>
      </c>
      <c r="AI126" s="5">
        <f>SUM(IF(BQ126="keep",CE126,0),IF(CS126="keep",DG126,0),IF(DU126="keep",EI126,0),IF(EW126="keep",FK126,0),IF(FY126="keep",GM126,0),IF(HA126="keep",HO126,0),IF(IC126="keep",IQ126,0),IF(JE126="keep",JS126,0),IF(KG126="keep",KU126,0),IF(LI126="keep",LW126,0))</f>
        <v>0</v>
      </c>
      <c r="AJ126" s="5">
        <f>SUM(IF(BQ126="lease",CH126,0),IF(CS126="lease",DJ126,0),IF(DU126="lease",EL126,0),IF(EW126="lease",FN126,0),IF(FY126="lease",GP126,0),IF(HA126="lease",HR126,0),IF(IC126="lease",IT126,0),IF(JE126="lease",JV126,0),IF(KG126="lease",KX126,0),IF(LI126="lease",LZ126,0))</f>
        <v>0</v>
      </c>
      <c r="AK126" s="5">
        <f>SUM(IF(BQ126="keep",CH126,0),IF(CS126="keep",DJ126,0),IF(DU126="keep",EL126,0),IF(EW126="keep",FN126,0),IF(FY126="keep",GP126,0),IF(HA126="keep",HR126,0),IF(IC126="keep",IT126,0),IF(JE126="keep",JV126,0),IF(KG126="keep",KX126,0),IF(LI126="keep",LZ126,0))</f>
        <v>0</v>
      </c>
      <c r="AL126" s="5">
        <f>R126-S125</f>
        <v>0</v>
      </c>
      <c r="AM126" s="5">
        <f>T126-U125</f>
        <v>0</v>
      </c>
      <c r="AN126" s="5">
        <f>AN125</f>
        <v>1</v>
      </c>
      <c r="AO126" s="5">
        <f>AO125+AH126</f>
        <v>0.2858104033255182</v>
      </c>
      <c r="AP126" s="5">
        <f>AP125+AL126</f>
        <v>-2.220446049250313e-16</v>
      </c>
      <c r="AQ126" s="5">
        <f>AN126+AO126+AP126</f>
        <v>1.285810403325518</v>
      </c>
      <c r="AR126" s="5">
        <f>S126-AQ126</f>
        <v>2.220446049250313e-16</v>
      </c>
      <c r="AS126" s="5">
        <f>AS125</f>
        <v>0</v>
      </c>
      <c r="AT126" s="5">
        <f>AT125+AI126</f>
        <v>0</v>
      </c>
      <c r="AU126" s="5">
        <f>AU125+AM126</f>
        <v>0</v>
      </c>
      <c r="AV126" s="5">
        <f>AS126+AT126+AU126</f>
        <v>0</v>
      </c>
      <c r="AW126" s="5">
        <f>U126-AV126</f>
        <v>0</v>
      </c>
      <c r="AX126" s="4">
        <v>1.278495190400083</v>
      </c>
      <c r="AY126" s="4">
        <v>1.2858104033255182</v>
      </c>
      <c r="AZ126" s="5">
        <f>S126-AY126</f>
        <v>0</v>
      </c>
      <c r="BA126" s="4">
        <v>0</v>
      </c>
      <c r="BB126" s="4">
        <v>0</v>
      </c>
      <c r="BC126" s="5">
        <f>U126-BB126</f>
        <v>0</v>
      </c>
      <c r="BD126" s="7">
        <f>SUM(IF(BP126="direct",CC126/F126,0),IF(CR126="direct",DE126/F126,0),IF(DT126="direct",EG126/F126,0),IF(EV126="direct",FI126/F126,0),IF(FX126="direct",GK126/F126,0),IF(GZ126="direct",HM126/F126,0),IF(IB126="direct",IO126/F126,0),IF(JD126="direct",JQ126/F126,0),IF(KF126="direct",KS126/F126,0),IF(LH126="direct",LU126/F126,0))</f>
        <v>0.00562543437743254</v>
      </c>
      <c r="BE126" s="7">
        <f>-SUM(IF(BP126="direct",CD126/F126,0),IF(CR126="direct",DF126/F126,0),IF(DT126="direct",EH126/F126,0),IF(EV126="direct",FJ126/F126,0),IF(FX126="direct",GL126/F126,0),IF(GZ126="direct",HN126/F126,0),IF(IB126="direct",IP126/F126,0),IF(JD126="direct",JR126/F126,0),IF(KF126="direct",KT126/F126,0),IF(LH126="direct",LV126/F126,0))</f>
        <v>-0.0000032324954569673807</v>
      </c>
      <c r="BF126" s="7">
        <f>BD126+BE126</f>
        <v>0.005622201881975573</v>
      </c>
      <c r="BG126" s="7">
        <f>BF126-SUM(IF(BP126="direct",CP126,0),IF(CR126="direct",DR126,0),IF(DT126="direct",ET126,0),IF(EV126="direct",FV126,0),IF(FX126="direct",GX126,0),IF(GZ126="direct",HZ126,0),IF(IB126="direct",JB126,0),IF(JD126="direct",KD126,0),IF(KF126="direct",LF126,0),IF(LH126="direct",MH126,0))</f>
        <v>1.8214596497756474e-17</v>
      </c>
      <c r="BH126" s="7">
        <f>SUM(IF(BP126="treasury",CP126,0),IF(CR126="treasury",DR126,0),IF(DT126="treasury",ET126,0),IF(EV126="treasury",FV126,0),IF(FX126="treasury",GX126,0),IF(GZ126="treasury",HZ126,0),IF(IB126="treasury",JB126,0),IF(JD126="treasury",KD126,0),IF(KF126="treasury",LF126,0),IF(LH126="treasury",MH126,0))</f>
        <v>0.0000995348757091892</v>
      </c>
      <c r="BI126" s="7">
        <f>SUM(IF(BP126="future",CP126,0),IF(CR126="future",DR126,0),IF(DT126="future",ET126,0),IF(EV126="future",FV126,0),IF(FX126="future",GX126,0),IF(GZ126="future",HZ126,0),IF(IB126="future",JB126,0),IF(JD126="future",KD126,0),IF(KF126="future",LF126,0),IF(LH126="future",MH126,0))</f>
        <v>0</v>
      </c>
      <c r="BJ126" s="7">
        <f>SUM(IF(BP126="cash",CP126,0),IF(CR126="cash",DR126,0),IF(DT126="cash",ET126,0),IF(EV126="cash",FV126,0),IF(FX126="cash",GX126,0),IF(GZ126="cash",HZ126,0),IF(IB126="cash",JB126,0),IF(JD126="cash",KD126,0),IF(KF126="cash",LF126,0),IF(LH126="cash",MH126,0))</f>
        <v>0</v>
      </c>
      <c r="BK126" s="7">
        <f>SUM(BF126,BH126,BI126,BJ126)</f>
        <v>0.005721736757684744</v>
      </c>
      <c r="BL126" s="7">
        <f>G126-BK126</f>
        <v>-8.673617379884035e-19</v>
      </c>
      <c r="BM126" s="5">
        <f>MAX(ABS(CG126),ABS(DI126),ABS(EK126),ABS(FM126),ABS(GO126),ABS(HQ126),ABS(IS126),ABS(JU126),ABS(KW126),ABS(LY126))</f>
        <v>9.175060884658581e-17</v>
      </c>
      <c r="BN126" s="9">
        <f>COUNTA(BO126,CQ126,DS126,EU126,FW126,GY126,IA126,JC126,KE126,LG126)</f>
        <v>5</v>
      </c>
      <c r="BO126" t="inlineStr">
        <is>
          <t xml:space="preserve">Direct commodity holding</t>
        </is>
      </c>
      <c r="BP126" t="inlineStr">
        <is>
          <t xml:space="preserve">direct</t>
        </is>
      </c>
      <c r="BQ126" t="inlineStr">
        <is>
          <t xml:space="preserve">lease</t>
        </is>
      </c>
      <c r="BR126" t="inlineStr">
        <is>
          <t xml:space="preserve">long</t>
        </is>
      </c>
      <c r="BS126"/>
      <c r="BT126" s="4">
        <v>1.594</v>
      </c>
      <c r="BU126" s="4">
        <v>1.613</v>
      </c>
      <c r="BV126" s="6">
        <v>0.0025</v>
      </c>
      <c r="BW126" s="4">
        <v>0.3785310944978326</v>
      </c>
      <c r="BX126" s="5">
        <f>IF(BP126="direct",IFERROR(CD126/BU126,0),0)</f>
        <v>0.000002562138806399822</v>
      </c>
      <c r="BY126" s="5">
        <f>IF(BP126="direct",BW126-BX126,IF(BP126="cash",CI126,BW126))</f>
        <v>0.3785285323590262</v>
      </c>
      <c r="BZ126" s="6">
        <v>0.47194433671723757</v>
      </c>
      <c r="CA126" s="4">
        <v>0.6033785646295452</v>
      </c>
      <c r="CB126" s="4">
        <v>0.6033785646295452</v>
      </c>
      <c r="CC126" s="5">
        <f>IF(BP126="direct",BW126*(BU126-BT126),CF126)</f>
        <v>0.007192090795458784</v>
      </c>
      <c r="CD126" s="5">
        <f>IF(BP126="direct",CB126*BV126*C126/365,0)</f>
        <v>0.000004132729894722913</v>
      </c>
      <c r="CE126" s="5">
        <f>CC126-CD126</f>
        <v>0.007187958065564037</v>
      </c>
      <c r="CF126" s="4">
        <v>0.007187958065564037</v>
      </c>
      <c r="CG126" s="5">
        <f>CF126-CE126</f>
        <v>-2.3733863182065496e-17</v>
      </c>
      <c r="CH126" s="4">
        <v>0</v>
      </c>
      <c r="CI126" s="4">
        <v>0.6105665226951092</v>
      </c>
      <c r="CJ126" s="4">
        <v>1.594</v>
      </c>
      <c r="CK126" s="4">
        <v>1.613</v>
      </c>
      <c r="CL126" s="6"/>
      <c r="CM126" s="6"/>
      <c r="CN126" s="6"/>
      <c r="CO126" s="9"/>
      <c r="CP126" s="7">
        <f>IFERROR(CE126/F126,0)</f>
        <v>0.0056222018819755545</v>
      </c>
      <c r="CQ126" t="inlineStr">
        <is>
          <t xml:space="preserve">Treasury collateral</t>
        </is>
      </c>
      <c r="CR126" t="inlineStr">
        <is>
          <t xml:space="preserve">treasury</t>
        </is>
      </c>
      <c r="CS126" t="inlineStr">
        <is>
          <t xml:space="preserve">lease</t>
        </is>
      </c>
      <c r="CT126" t="inlineStr">
        <is>
          <t xml:space="preserve">long</t>
        </is>
      </c>
      <c r="CU126"/>
      <c r="CV126" s="4">
        <v>103.18945565334874</v>
      </c>
      <c r="CW126" s="4">
        <v>103.20890615896232</v>
      </c>
      <c r="CX126" s="6"/>
      <c r="CY126" s="4">
        <v>0.006542496241461934</v>
      </c>
      <c r="CZ126" s="5">
        <f>IF(CR126="direct",IFERROR(DF126/CW126,0),0)</f>
        <v>0</v>
      </c>
      <c r="DA126" s="5">
        <f>IF(CR126="direct",CY126-CZ126,IF(CR126="cash",DK126,CY126))</f>
        <v>0.006542496241461934</v>
      </c>
      <c r="DB126" s="6">
        <v>0.5280556632827624</v>
      </c>
      <c r="DC126" s="4">
        <v>0.6751166257705371</v>
      </c>
      <c r="DD126" s="4">
        <v>0.6751166257705371</v>
      </c>
      <c r="DE126" s="5">
        <f>IF(CR126="direct",CY126*(CW126-CV126),DH126)</f>
        <v>0.00012725485987136013</v>
      </c>
      <c r="DF126" s="5">
        <f>IF(CR126="direct",DD126*CX126*C126/365,0)</f>
        <v>0</v>
      </c>
      <c r="DG126" s="5">
        <f>DE126-DF126</f>
        <v>0.00012725485987126838</v>
      </c>
      <c r="DH126" s="4">
        <v>0.00012725485987126838</v>
      </c>
      <c r="DI126" s="5">
        <f>DH126-DG126</f>
        <v>-9.175060884658581e-17</v>
      </c>
      <c r="DJ126" s="4">
        <v>3.797418109130479e-17</v>
      </c>
      <c r="DK126" s="4">
        <v>0.6752438806304084</v>
      </c>
      <c r="DL126" s="4">
        <v>1.594</v>
      </c>
      <c r="DM126" s="4">
        <v>1.613</v>
      </c>
      <c r="DN126" s="6"/>
      <c r="DO126" s="6"/>
      <c r="DP126" s="6"/>
      <c r="DQ126" s="9">
        <v>22</v>
      </c>
      <c r="DR126" s="7">
        <f>IFERROR(DG126/F126,0)</f>
        <v>0.0000995348757091892</v>
      </c>
      <c r="DS126" t="inlineStr">
        <is>
          <t xml:space="preserve">SI69N</t>
        </is>
      </c>
      <c r="DT126" t="inlineStr">
        <is>
          <t xml:space="preserve">future</t>
        </is>
      </c>
      <c r="DU126" t="inlineStr">
        <is>
          <t xml:space="preserve">lease</t>
        </is>
      </c>
      <c r="DV126" t="inlineStr">
        <is>
          <t xml:space="preserve">long</t>
        </is>
      </c>
      <c r="DW126" t="inlineStr">
        <is>
          <t xml:space="preserve">regular</t>
        </is>
      </c>
      <c r="DX126" s="4">
        <v>1.5930000000000002</v>
      </c>
      <c r="DY126" s="4">
        <v>1.5930000000000002</v>
      </c>
      <c r="DZ126" s="6"/>
      <c r="EA126" s="4">
        <v>0.42380202496581104</v>
      </c>
      <c r="EB126" s="5">
        <f>IF(DT126="direct",IFERROR(EH126/DY126,0),0)</f>
        <v>0</v>
      </c>
      <c r="EC126" s="5">
        <f>IF(DT126="direct",EA126-EB126,IF(DT126="cash",EM126,EA126))</f>
        <v>0.42380202496581104</v>
      </c>
      <c r="ED126" s="6">
        <v>0.5280556632827624</v>
      </c>
      <c r="EE126" s="4">
        <v>0.6751166257705371</v>
      </c>
      <c r="EF126" s="4">
        <v>0</v>
      </c>
      <c r="EG126" s="5">
        <f>IF(DT126="direct",EA126*(DY126-DX126),EJ126)</f>
        <v>0</v>
      </c>
      <c r="EH126" s="5">
        <f>IF(DT126="direct",EF126*DZ126*C126/365,0)</f>
        <v>0</v>
      </c>
      <c r="EI126" s="5">
        <f>EG126-EH126</f>
        <v>0</v>
      </c>
      <c r="EJ126" s="4">
        <v>0</v>
      </c>
      <c r="EK126" s="5">
        <f>EJ126-EI126</f>
        <v>0</v>
      </c>
      <c r="EL126" s="4">
        <v>0</v>
      </c>
      <c r="EM126" s="4">
        <v>0</v>
      </c>
      <c r="EN126" s="4">
        <v>1.594</v>
      </c>
      <c r="EO126" s="4">
        <v>1.613</v>
      </c>
      <c r="EP126" s="6">
        <v>-0.0006273525721455231</v>
      </c>
      <c r="EQ126" s="6">
        <v>0.0688</v>
      </c>
      <c r="ER126" s="6">
        <v>0.07920834949241436</v>
      </c>
      <c r="ES126" s="9">
        <v>22</v>
      </c>
      <c r="ET126" s="7">
        <f>IFERROR(EI126/F126,0)</f>
        <v>0</v>
      </c>
      <c r="EU126" t="inlineStr">
        <is>
          <t xml:space="preserve">Lease cash / margin / financing</t>
        </is>
      </c>
      <c r="EV126" t="inlineStr">
        <is>
          <t xml:space="preserve">cash</t>
        </is>
      </c>
      <c r="EW126" t="inlineStr">
        <is>
          <t xml:space="preserve">lease</t>
        </is>
      </c>
      <c r="EX126" t="inlineStr">
        <is>
          <t xml:space="preserve">cash</t>
        </is>
      </c>
      <c r="EY126"/>
      <c r="EZ126" s="4">
        <v>1</v>
      </c>
      <c r="FA126" s="4">
        <v>1</v>
      </c>
      <c r="FB126" s="6"/>
      <c r="FC126" s="4">
        <v>6.661338147750939e-16</v>
      </c>
      <c r="FD126" s="5">
        <f>IF(EV126="direct",IFERROR(FJ126/FA126,0),0)</f>
        <v>0</v>
      </c>
      <c r="FE126" s="5">
        <f>IF(EV126="direct",FC126-FD126,IF(EV126="cash",FO126,FC126))</f>
        <v>6.281596336837891e-16</v>
      </c>
      <c r="FF126" s="6"/>
      <c r="FG126" s="4">
        <v>6.661338147750939e-16</v>
      </c>
      <c r="FH126" s="4">
        <v>6.661338147750939e-16</v>
      </c>
      <c r="FI126" s="5">
        <f>IF(EV126="direct",FC126*(FA126-EZ126),FL126)</f>
        <v>0</v>
      </c>
      <c r="FJ126" s="5">
        <f>IF(EV126="direct",FH126*FB126*C126/365,0)</f>
        <v>0</v>
      </c>
      <c r="FK126" s="5">
        <f>FI126-FJ126</f>
        <v>0</v>
      </c>
      <c r="FL126" s="4">
        <v>0</v>
      </c>
      <c r="FM126" s="5">
        <f>FL126-FK126</f>
        <v>0</v>
      </c>
      <c r="FN126" s="4">
        <v>-3.797418109130479e-17</v>
      </c>
      <c r="FO126" s="4">
        <v>6.281596336837891e-16</v>
      </c>
      <c r="FP126" s="4">
        <v>1.594</v>
      </c>
      <c r="FQ126" s="4">
        <v>1.613</v>
      </c>
      <c r="FR126" s="6"/>
      <c r="FS126" s="6"/>
      <c r="FT126" s="6"/>
      <c r="FU126" s="9"/>
      <c r="FV126" s="7">
        <f>IFERROR(FK126/F126,0)</f>
        <v>0</v>
      </c>
      <c r="FW126" t="inlineStr">
        <is>
          <t xml:space="preserve">Keep cash / margin / financing</t>
        </is>
      </c>
      <c r="FX126" t="inlineStr">
        <is>
          <t xml:space="preserve">cash</t>
        </is>
      </c>
      <c r="FY126" t="inlineStr">
        <is>
          <t xml:space="preserve">keep</t>
        </is>
      </c>
      <c r="FZ126" t="inlineStr">
        <is>
          <t xml:space="preserve">cash</t>
        </is>
      </c>
      <c r="GA126"/>
      <c r="GB126" s="4">
        <v>1</v>
      </c>
      <c r="GC126" s="4">
        <v>1</v>
      </c>
      <c r="GD126" s="6"/>
      <c r="GE126" s="4">
        <v>0</v>
      </c>
      <c r="GF126" s="5">
        <f>IF(FX126="direct",IFERROR(GL126/GC126,0),0)</f>
        <v>0</v>
      </c>
      <c r="GG126" s="5">
        <f>IF(FX126="direct",GE126-GF126,IF(FX126="cash",GQ126,GE126))</f>
        <v>0</v>
      </c>
      <c r="GH126" s="6"/>
      <c r="GI126" s="4">
        <v>0</v>
      </c>
      <c r="GJ126" s="4">
        <v>0</v>
      </c>
      <c r="GK126" s="5">
        <f>IF(FX126="direct",GE126*(GC126-GB126),GN126)</f>
        <v>0</v>
      </c>
      <c r="GL126" s="5">
        <f>IF(FX126="direct",GJ126*GD126*C126/365,0)</f>
        <v>0</v>
      </c>
      <c r="GM126" s="5">
        <f>GK126-GL126</f>
        <v>0</v>
      </c>
      <c r="GN126" s="4">
        <v>0</v>
      </c>
      <c r="GO126" s="5">
        <f>GN126-GM126</f>
        <v>0</v>
      </c>
      <c r="GP126" s="4">
        <v>0</v>
      </c>
      <c r="GQ126" s="4">
        <v>0</v>
      </c>
      <c r="GR126" s="4">
        <v>1.594</v>
      </c>
      <c r="GS126" s="4">
        <v>1.613</v>
      </c>
      <c r="GT126" s="6"/>
      <c r="GU126" s="6"/>
      <c r="GV126" s="6"/>
      <c r="GW126" s="9"/>
      <c r="GX126" s="7">
        <f>IFERROR(GM126/F126,0)</f>
        <v>0</v>
      </c>
      <c r="GY126"/>
      <c r="GZ126"/>
      <c r="HA126"/>
      <c r="HB126"/>
      <c r="HC126"/>
      <c r="HD126" s="4"/>
      <c r="HE126" s="4"/>
      <c r="HF126" s="6"/>
      <c r="HG126" s="4"/>
      <c r="HH126" s="5">
        <v>0</v>
      </c>
      <c r="HI126" s="5"/>
      <c r="HJ126" s="6"/>
      <c r="HK126" s="4"/>
      <c r="HL126" s="4"/>
      <c r="HM126" s="5">
        <v>0</v>
      </c>
      <c r="HN126" s="5">
        <v>0</v>
      </c>
      <c r="HO126" s="5"/>
      <c r="HP126" s="4"/>
      <c r="HQ126" s="5">
        <v>0</v>
      </c>
      <c r="HR126" s="4"/>
      <c r="HS126" s="4"/>
      <c r="HT126" s="4"/>
      <c r="HU126" s="4"/>
      <c r="HV126" s="6"/>
      <c r="HW126" s="6"/>
      <c r="HX126" s="6"/>
      <c r="HY126" s="9"/>
      <c r="HZ126"/>
      <c r="IA126"/>
      <c r="IB126"/>
      <c r="IC126"/>
      <c r="ID126"/>
      <c r="IE126"/>
      <c r="IF126" s="4"/>
      <c r="IG126" s="4"/>
      <c r="IH126" s="6"/>
      <c r="II126" s="4"/>
      <c r="IJ126" s="5">
        <v>0</v>
      </c>
      <c r="IK126" s="5"/>
      <c r="IL126" s="6"/>
      <c r="IM126" s="4"/>
      <c r="IN126" s="4"/>
      <c r="IO126" s="5">
        <v>0</v>
      </c>
      <c r="IP126" s="5">
        <v>0</v>
      </c>
      <c r="IQ126" s="5"/>
      <c r="IR126" s="4"/>
      <c r="IS126" s="5">
        <v>0</v>
      </c>
      <c r="IT126" s="4"/>
      <c r="IU126" s="4"/>
      <c r="IV126" s="4"/>
      <c r="IW126" s="4"/>
      <c r="IX126" s="6"/>
      <c r="IY126" s="6"/>
      <c r="IZ126" s="6"/>
      <c r="JA126" s="9"/>
      <c r="JB126"/>
      <c r="JC126"/>
      <c r="JD126"/>
      <c r="JE126"/>
      <c r="JF126"/>
      <c r="JG126"/>
      <c r="JH126" s="4"/>
      <c r="JI126" s="4"/>
      <c r="JJ126" s="6"/>
      <c r="JK126" s="4"/>
      <c r="JL126" s="5">
        <v>0</v>
      </c>
      <c r="JM126" s="5"/>
      <c r="JN126" s="6"/>
      <c r="JO126" s="4"/>
      <c r="JP126" s="4"/>
      <c r="JQ126" s="5">
        <v>0</v>
      </c>
      <c r="JR126" s="5">
        <v>0</v>
      </c>
      <c r="JS126" s="5"/>
      <c r="JT126" s="4"/>
      <c r="JU126" s="5">
        <v>0</v>
      </c>
      <c r="JV126" s="4"/>
      <c r="JW126" s="4"/>
      <c r="JX126" s="4"/>
      <c r="JY126" s="4"/>
      <c r="JZ126" s="6"/>
      <c r="KA126" s="6"/>
      <c r="KB126" s="6"/>
      <c r="KC126" s="9"/>
      <c r="KD126"/>
      <c r="KE126"/>
      <c r="KF126"/>
      <c r="KG126"/>
      <c r="KH126"/>
      <c r="KI126"/>
      <c r="KJ126" s="4"/>
      <c r="KK126" s="4"/>
      <c r="KL126" s="6"/>
      <c r="KM126" s="4"/>
      <c r="KN126" s="5">
        <v>0</v>
      </c>
      <c r="KO126" s="5"/>
      <c r="KP126" s="6"/>
      <c r="KQ126" s="4"/>
      <c r="KR126" s="4"/>
      <c r="KS126" s="5">
        <v>0</v>
      </c>
      <c r="KT126" s="5">
        <v>0</v>
      </c>
      <c r="KU126" s="5"/>
      <c r="KV126" s="4"/>
      <c r="KW126" s="5">
        <v>0</v>
      </c>
      <c r="KX126" s="4"/>
      <c r="KY126" s="4"/>
      <c r="KZ126" s="4"/>
      <c r="LA126" s="4"/>
      <c r="LB126" s="6"/>
      <c r="LC126" s="6"/>
      <c r="LD126" s="6"/>
      <c r="LE126" s="9"/>
      <c r="LF126"/>
      <c r="LG126"/>
      <c r="LH126"/>
      <c r="LI126"/>
      <c r="LJ126"/>
      <c r="LK126"/>
      <c r="LL126" s="4"/>
      <c r="LM126" s="4"/>
      <c r="LN126" s="6"/>
      <c r="LO126" s="4"/>
      <c r="LP126" s="5">
        <v>0</v>
      </c>
      <c r="LQ126" s="5"/>
      <c r="LR126" s="6"/>
      <c r="LS126" s="4"/>
      <c r="LT126" s="4"/>
      <c r="LU126" s="5">
        <v>0</v>
      </c>
      <c r="LV126" s="5">
        <v>0</v>
      </c>
      <c r="LW126" s="5"/>
      <c r="LX126" s="4"/>
      <c r="LY126" s="5">
        <v>0</v>
      </c>
      <c r="LZ126" s="4"/>
      <c r="MA126" s="4"/>
      <c r="MB126" s="4"/>
      <c r="MC126" s="4"/>
      <c r="MD126" s="6"/>
      <c r="ME126" s="6"/>
      <c r="MF126" s="6"/>
      <c r="MG126" s="9"/>
      <c r="MH126"/>
    </row>
    <row r="127">
      <c r="A127" s="8">
        <v>25392</v>
      </c>
      <c r="B127" s="8">
        <v>25393</v>
      </c>
      <c r="C127" s="9">
        <f>B127-A127</f>
        <v>1</v>
      </c>
      <c r="D127" s="8">
        <v>25392</v>
      </c>
      <c r="E127" t="inlineStr">
        <is>
          <t xml:space="preserve">positive</t>
        </is>
      </c>
      <c r="F127" s="4">
        <v>1.2858104033255175</v>
      </c>
      <c r="G127" s="6">
        <v>0.025928834885500823</v>
      </c>
      <c r="H127" s="7">
        <f>SUM(CP127,DR127,ET127,FV127,GX127,HZ127,JB127,KD127,LF127,MH127)</f>
        <v>0.025928834885500827</v>
      </c>
      <c r="I127" s="7">
        <f>G127-H127</f>
        <v>-3.469446951953614e-18</v>
      </c>
      <c r="J127" s="5">
        <f>F127*(1+H127)</f>
        <v>1.3191499689674042</v>
      </c>
      <c r="K127" s="4">
        <v>1.3191499689674042</v>
      </c>
      <c r="L127" s="5">
        <f>K127-J127</f>
        <v>0</v>
      </c>
      <c r="M127" s="4">
        <v>1.613</v>
      </c>
      <c r="N127" s="4">
        <v>1.618</v>
      </c>
      <c r="O127" s="5">
        <f>M127/$M$3</f>
        <v>0.8237997957099081</v>
      </c>
      <c r="P127" s="5">
        <f>N127/$M$3</f>
        <v>0.8263534218590399</v>
      </c>
      <c r="Q127" s="7">
        <f>IFERROR(N127/M127-1,0)</f>
        <v>0.0030998140111593298</v>
      </c>
      <c r="R127" s="5">
        <f>SUM(IF(BQ127="lease",CB127,0),IF(CS127="lease",DD127,0),IF(DU127="lease",EF127,0),IF(EW127="lease",FH127,0),IF(FY127="lease",GJ127,0),IF(HA127="lease",HL127,0),IF(IC127="lease",IN127,0),IF(JE127="lease",JP127,0),IF(KG127="lease",KR127,0),IF(LI127="lease",LT127,0))</f>
        <v>1.2858104033255182</v>
      </c>
      <c r="S127" s="5">
        <f>SUM(IF(BQ127="lease",CI127,0),IF(CS127="lease",DK127,0),IF(DU127="lease",EM127,0),IF(EW127="lease",FO127,0),IF(FY127="lease",GQ127,0),IF(HA127="lease",HS127,0),IF(IC127="lease",IU127,0),IF(JE127="lease",JW127,0),IF(KG127="lease",KY127,0),IF(LI127="lease",MA127,0))</f>
        <v>1.3191499689674049</v>
      </c>
      <c r="T127" s="5">
        <f>SUM(IF(BQ127="keep",CB127,0),IF(CS127="keep",DD127,0),IF(DU127="keep",EF127,0),IF(EW127="keep",FH127,0),IF(FY127="keep",GJ127,0),IF(HA127="keep",HL127,0),IF(IC127="keep",IN127,0),IF(JE127="keep",JP127,0),IF(KG127="keep",KR127,0),IF(LI127="keep",LT127,0))</f>
        <v>0</v>
      </c>
      <c r="U127" s="5">
        <f>SUM(IF(BQ127="keep",CI127,0),IF(CS127="keep",DK127,0),IF(DU127="keep",EM127,0),IF(EW127="keep",FO127,0),IF(FY127="keep",GQ127,0),IF(HA127="keep",HS127,0),IF(IC127="keep",IU127,0),IF(JE127="keep",JW127,0),IF(KG127="keep",KY127,0),IF(LI127="keep",MA127,0))</f>
        <v>0</v>
      </c>
      <c r="V127" s="5">
        <f>R127/O127</f>
        <v>1.5608287474961962</v>
      </c>
      <c r="W127" s="5">
        <f>S127/P127</f>
        <v>1.5963508277121004</v>
      </c>
      <c r="X127" s="5">
        <f>T127/O127</f>
        <v>0</v>
      </c>
      <c r="Y127" s="5">
        <f>U127/P127</f>
        <v>0</v>
      </c>
      <c r="Z127" s="5">
        <f>V127+X127</f>
        <v>1.5608287474961962</v>
      </c>
      <c r="AA127" s="7">
        <f>IFERROR(W127/V127-1,0)</f>
        <v>0.022758473838265125</v>
      </c>
      <c r="AB127" s="7">
        <f>IFERROR((W127-V127)/Z127,0)</f>
        <v>0.022758473838265056</v>
      </c>
      <c r="AC127" s="7">
        <f>IFERROR(Y127/X127-1,0)</f>
        <v>0</v>
      </c>
      <c r="AD127" s="7">
        <f>IFERROR((Y127-X127)/Z127,0)</f>
        <v>0</v>
      </c>
      <c r="AE127" s="7">
        <f>AB127+AD127</f>
        <v>0.022758473838265056</v>
      </c>
      <c r="AF127" s="7">
        <f>(1+Q127)*(1+AE127)-1</f>
        <v>0.025928834885500907</v>
      </c>
      <c r="AG127" s="7">
        <f>G127-AF127</f>
        <v>-8.326672684688674e-17</v>
      </c>
      <c r="AH127" s="5">
        <f>SUM(IF(BQ127="lease",CE127,0),IF(CS127="lease",DG127,0),IF(DU127="lease",EI127,0),IF(EW127="lease",FK127,0),IF(FY127="lease",GM127,0),IF(HA127="lease",HO127,0),IF(IC127="lease",IQ127,0),IF(JE127="lease",JS127,0),IF(KG127="lease",KU127,0),IF(LI127="lease",LW127,0))</f>
        <v>0.033339565641886566</v>
      </c>
      <c r="AI127" s="5">
        <f>SUM(IF(BQ127="keep",CE127,0),IF(CS127="keep",DG127,0),IF(DU127="keep",EI127,0),IF(EW127="keep",FK127,0),IF(FY127="keep",GM127,0),IF(HA127="keep",HO127,0),IF(IC127="keep",IQ127,0),IF(JE127="keep",JS127,0),IF(KG127="keep",KU127,0),IF(LI127="keep",LW127,0))</f>
        <v>0</v>
      </c>
      <c r="AJ127" s="5">
        <f>SUM(IF(BQ127="lease",CH127,0),IF(CS127="lease",DJ127,0),IF(DU127="lease",EL127,0),IF(EW127="lease",FN127,0),IF(FY127="lease",GP127,0),IF(HA127="lease",HR127,0),IF(IC127="lease",IT127,0),IF(JE127="lease",JV127,0),IF(KG127="lease",KX127,0),IF(LI127="lease",LZ127,0))</f>
        <v>0</v>
      </c>
      <c r="AK127" s="5">
        <f>SUM(IF(BQ127="keep",CH127,0),IF(CS127="keep",DJ127,0),IF(DU127="keep",EL127,0),IF(EW127="keep",FN127,0),IF(FY127="keep",GP127,0),IF(HA127="keep",HR127,0),IF(IC127="keep",IT127,0),IF(JE127="keep",JV127,0),IF(KG127="keep",KX127,0),IF(LI127="keep",LZ127,0))</f>
        <v>0</v>
      </c>
      <c r="AL127" s="5">
        <f>R127-S126</f>
        <v>0</v>
      </c>
      <c r="AM127" s="5">
        <f>T127-U126</f>
        <v>0</v>
      </c>
      <c r="AN127" s="5">
        <f>AN126</f>
        <v>1</v>
      </c>
      <c r="AO127" s="5">
        <f>AO126+AH127</f>
        <v>0.3191499689674048</v>
      </c>
      <c r="AP127" s="5">
        <f>AP126+AL127</f>
        <v>-2.220446049250313e-16</v>
      </c>
      <c r="AQ127" s="5">
        <f>AN127+AO127+AP127</f>
        <v>1.3191499689674047</v>
      </c>
      <c r="AR127" s="5">
        <f>S127-AQ127</f>
        <v>2.220446049250313e-16</v>
      </c>
      <c r="AS127" s="5">
        <f>AS126</f>
        <v>0</v>
      </c>
      <c r="AT127" s="5">
        <f>AT126+AI127</f>
        <v>0</v>
      </c>
      <c r="AU127" s="5">
        <f>AU126+AM127</f>
        <v>0</v>
      </c>
      <c r="AV127" s="5">
        <f>AS127+AT127+AU127</f>
        <v>0</v>
      </c>
      <c r="AW127" s="5">
        <f>U127-AV127</f>
        <v>0</v>
      </c>
      <c r="AX127" s="4">
        <v>1.2858104033255182</v>
      </c>
      <c r="AY127" s="4">
        <v>1.3191499689674049</v>
      </c>
      <c r="AZ127" s="5">
        <f>S127-AY127</f>
        <v>0</v>
      </c>
      <c r="BA127" s="4">
        <v>0</v>
      </c>
      <c r="BB127" s="4">
        <v>0</v>
      </c>
      <c r="BC127" s="5">
        <f>U127-BB127</f>
        <v>0</v>
      </c>
      <c r="BD127" s="7">
        <f>SUM(IF(BP127="direct",CC127/F127,0),IF(CR127="direct",DE127/F127,0),IF(DT127="direct",EG127/F127,0),IF(EV127="direct",FI127/F127,0),IF(FX127="direct",GK127/F127,0),IF(GZ127="direct",HM127/F127,0),IF(IB127="direct",IO127/F127,0),IF(JD127="direct",JQ127/F127,0),IF(KF127="direct",KS127/F127,0),IF(LH127="direct",LU127/F127,0))</f>
        <v>0</v>
      </c>
      <c r="BE127" s="7">
        <f>-SUM(IF(BP127="direct",CD127/F127,0),IF(CR127="direct",DF127/F127,0),IF(DT127="direct",EH127/F127,0),IF(EV127="direct",FJ127/F127,0),IF(FX127="direct",GL127/F127,0),IF(GZ127="direct",HN127/F127,0),IF(IB127="direct",IP127/F127,0),IF(JD127="direct",JR127/F127,0),IF(KF127="direct",KT127/F127,0),IF(LH127="direct",LV127/F127,0))</f>
        <v>0</v>
      </c>
      <c r="BF127" s="7">
        <f>BD127+BE127</f>
        <v>0</v>
      </c>
      <c r="BG127" s="7">
        <f>BF127-SUM(IF(BP127="direct",CP127,0),IF(CR127="direct",DR127,0),IF(DT127="direct",ET127,0),IF(EV127="direct",FV127,0),IF(FX127="direct",GX127,0),IF(GZ127="direct",HZ127,0),IF(IB127="direct",JB127,0),IF(JD127="direct",KD127,0),IF(KF127="direct",LF127,0),IF(LH127="direct",MH127,0))</f>
        <v>0</v>
      </c>
      <c r="BH127" s="7">
        <f>SUM(IF(BP127="treasury",CP127,0),IF(CR127="treasury",DR127,0),IF(DT127="treasury",ET127,0),IF(EV127="treasury",FV127,0),IF(FX127="treasury",GX127,0),IF(GZ127="treasury",HZ127,0),IF(IB127="treasury",JB127,0),IF(JD127="treasury",KD127,0),IF(KF127="treasury",LF127,0),IF(LH127="treasury",MH127,0))</f>
        <v>0.00019123287671232877</v>
      </c>
      <c r="BI127" s="7">
        <f>SUM(IF(BP127="future",CP127,0),IF(CR127="future",DR127,0),IF(DT127="future",ET127,0),IF(EV127="future",FV127,0),IF(FX127="future",GX127,0),IF(GZ127="future",HZ127,0),IF(IB127="future",JB127,0),IF(JD127="future",KD127,0),IF(KF127="future",LF127,0),IF(LH127="future",MH127,0))</f>
        <v>0.025737602008788496</v>
      </c>
      <c r="BJ127" s="7">
        <f>SUM(IF(BP127="cash",CP127,0),IF(CR127="cash",DR127,0),IF(DT127="cash",ET127,0),IF(EV127="cash",FV127,0),IF(FX127="cash",GX127,0),IF(GZ127="cash",HZ127,0),IF(IB127="cash",JB127,0),IF(JD127="cash",KD127,0),IF(KF127="cash",LF127,0),IF(LH127="cash",MH127,0))</f>
        <v>0</v>
      </c>
      <c r="BK127" s="7">
        <f>SUM(BF127,BH127,BI127,BJ127)</f>
        <v>0.025928834885500823</v>
      </c>
      <c r="BL127" s="7">
        <f>G127-BK127</f>
        <v>0</v>
      </c>
      <c r="BM127" s="5">
        <f>MAX(ABS(CG127),ABS(DI127),ABS(EK127),ABS(FM127),ABS(GO127),ABS(HQ127),ABS(IS127),ABS(JU127),ABS(KW127),ABS(LY127))</f>
        <v>2.293087594806842e-16</v>
      </c>
      <c r="BN127" s="9">
        <f>COUNTA(BO127,CQ127,DS127,EU127,FW127,GY127,IA127,JC127,KE127,LG127)</f>
        <v>4</v>
      </c>
      <c r="BO127" t="inlineStr">
        <is>
          <t xml:space="preserve">Treasury collateral</t>
        </is>
      </c>
      <c r="BP127" t="inlineStr">
        <is>
          <t xml:space="preserve">treasury</t>
        </is>
      </c>
      <c r="BQ127" t="inlineStr">
        <is>
          <t xml:space="preserve">lease</t>
        </is>
      </c>
      <c r="BR127" t="inlineStr">
        <is>
          <t xml:space="preserve">long</t>
        </is>
      </c>
      <c r="BS127"/>
      <c r="BT127" s="4">
        <v>103.20890615896232</v>
      </c>
      <c r="BU127" s="4">
        <v>103.22864309498945</v>
      </c>
      <c r="BV127" s="6"/>
      <c r="BW127" s="4">
        <v>0.012458327979419846</v>
      </c>
      <c r="BX127" s="5">
        <f>IF(BP127="direct",IFERROR(CD127/BU127,0),0)</f>
        <v>0</v>
      </c>
      <c r="BY127" s="5">
        <f>IF(BP127="direct",BW127-BX127,IF(BP127="cash",CI127,BW127))</f>
        <v>0.012458327979419846</v>
      </c>
      <c r="BZ127" s="6">
        <v>1</v>
      </c>
      <c r="CA127" s="4">
        <v>1.2858104033255175</v>
      </c>
      <c r="CB127" s="4">
        <v>1.2858104033255175</v>
      </c>
      <c r="CC127" s="5">
        <f>IF(BP127="direct",BW127*(BU127-BT127),CF127)</f>
        <v>0.00024588922233480774</v>
      </c>
      <c r="CD127" s="5">
        <f>IF(BP127="direct",CB127*BV127*C127/365,0)</f>
        <v>0</v>
      </c>
      <c r="CE127" s="5">
        <f>CC127-CD127</f>
        <v>0.00024588922233457843</v>
      </c>
      <c r="CF127" s="4">
        <v>0.00024588922233457843</v>
      </c>
      <c r="CG127" s="5">
        <f>CF127-CE127</f>
        <v>-2.293087594806842e-16</v>
      </c>
      <c r="CH127" s="4">
        <v>1.269058642894283e-16</v>
      </c>
      <c r="CI127" s="4">
        <v>1.2860562925478523</v>
      </c>
      <c r="CJ127" s="4">
        <v>1.613</v>
      </c>
      <c r="CK127" s="4">
        <v>1.618</v>
      </c>
      <c r="CL127" s="6"/>
      <c r="CM127" s="6"/>
      <c r="CN127" s="6"/>
      <c r="CO127" s="9">
        <v>21</v>
      </c>
      <c r="CP127" s="7">
        <f>IFERROR(CE127/F127,0)</f>
        <v>0.00019123287671232877</v>
      </c>
      <c r="CQ127" t="inlineStr">
        <is>
          <t xml:space="preserve">SI69N</t>
        </is>
      </c>
      <c r="CR127" t="inlineStr">
        <is>
          <t xml:space="preserve">future</t>
        </is>
      </c>
      <c r="CS127" t="inlineStr">
        <is>
          <t xml:space="preserve">lease</t>
        </is>
      </c>
      <c r="CT127" t="inlineStr">
        <is>
          <t xml:space="preserve">long</t>
        </is>
      </c>
      <c r="CU127" t="inlineStr">
        <is>
          <t xml:space="preserve">regular</t>
        </is>
      </c>
      <c r="CV127" s="4">
        <v>1.5930000000000002</v>
      </c>
      <c r="CW127" s="4">
        <v>1.6340000000000001</v>
      </c>
      <c r="CX127" s="6"/>
      <c r="CY127" s="4">
        <v>0.8071628395012664</v>
      </c>
      <c r="CZ127" s="5">
        <f>IF(CR127="direct",IFERROR(DF127/CW127,0),0)</f>
        <v>0</v>
      </c>
      <c r="DA127" s="5">
        <f>IF(CR127="direct",CY127-CZ127,IF(CR127="cash",DK127,CY127))</f>
        <v>0.8071628395012664</v>
      </c>
      <c r="DB127" s="6">
        <v>1</v>
      </c>
      <c r="DC127" s="4">
        <v>1.2858104033255175</v>
      </c>
      <c r="DD127" s="4">
        <v>0</v>
      </c>
      <c r="DE127" s="5">
        <f>IF(CR127="direct",CY127*(CW127-CV127),DH127)</f>
        <v>0.033093676419551986</v>
      </c>
      <c r="DF127" s="5">
        <f>IF(CR127="direct",DD127*CX127*C127/365,0)</f>
        <v>0</v>
      </c>
      <c r="DG127" s="5">
        <f>DE127-DF127</f>
        <v>0.033093676419551986</v>
      </c>
      <c r="DH127" s="4">
        <v>0.033093676419551986</v>
      </c>
      <c r="DI127" s="5">
        <f>DH127-DG127</f>
        <v>0</v>
      </c>
      <c r="DJ127" s="4">
        <v>-0.033093676419551986</v>
      </c>
      <c r="DK127" s="4">
        <v>0</v>
      </c>
      <c r="DL127" s="4">
        <v>1.613</v>
      </c>
      <c r="DM127" s="4">
        <v>1.618</v>
      </c>
      <c r="DN127" s="6">
        <v>-0.012399256044637208</v>
      </c>
      <c r="DO127" s="6">
        <v>0.0698</v>
      </c>
      <c r="DP127" s="6">
        <v>0.28531087887107526</v>
      </c>
      <c r="DQ127" s="9">
        <v>21</v>
      </c>
      <c r="DR127" s="7">
        <f>IFERROR(DG127/F127,0)</f>
        <v>0.025737602008788496</v>
      </c>
      <c r="DS127" t="inlineStr">
        <is>
          <t xml:space="preserve">Lease cash / margin / financing</t>
        </is>
      </c>
      <c r="DT127" t="inlineStr">
        <is>
          <t xml:space="preserve">cash</t>
        </is>
      </c>
      <c r="DU127" t="inlineStr">
        <is>
          <t xml:space="preserve">lease</t>
        </is>
      </c>
      <c r="DV127" t="inlineStr">
        <is>
          <t xml:space="preserve">cash</t>
        </is>
      </c>
      <c r="DW127"/>
      <c r="DX127" s="4">
        <v>1</v>
      </c>
      <c r="DY127" s="4">
        <v>1</v>
      </c>
      <c r="DZ127" s="6"/>
      <c r="EA127" s="4">
        <v>6.661338147750939e-16</v>
      </c>
      <c r="EB127" s="5">
        <f>IF(DT127="direct",IFERROR(EH127/DY127,0),0)</f>
        <v>0</v>
      </c>
      <c r="EC127" s="5">
        <f>IF(DT127="direct",EA127-EB127,IF(DT127="cash",EM127,EA127))</f>
        <v>0.03309367641955253</v>
      </c>
      <c r="ED127" s="6"/>
      <c r="EE127" s="4">
        <v>6.661338147750939e-16</v>
      </c>
      <c r="EF127" s="4">
        <v>6.661338147750939e-16</v>
      </c>
      <c r="EG127" s="5">
        <f>IF(DT127="direct",EA127*(DY127-DX127),EJ127)</f>
        <v>0</v>
      </c>
      <c r="EH127" s="5">
        <f>IF(DT127="direct",EF127*DZ127*C127/365,0)</f>
        <v>0</v>
      </c>
      <c r="EI127" s="5">
        <f>EG127-EH127</f>
        <v>0</v>
      </c>
      <c r="EJ127" s="4">
        <v>0</v>
      </c>
      <c r="EK127" s="5">
        <f>EJ127-EI127</f>
        <v>0</v>
      </c>
      <c r="EL127" s="4">
        <v>0.03309367641955186</v>
      </c>
      <c r="EM127" s="4">
        <v>0.03309367641955253</v>
      </c>
      <c r="EN127" s="4">
        <v>1.613</v>
      </c>
      <c r="EO127" s="4">
        <v>1.618</v>
      </c>
      <c r="EP127" s="6"/>
      <c r="EQ127" s="6"/>
      <c r="ER127" s="6"/>
      <c r="ES127" s="9"/>
      <c r="ET127" s="7">
        <f>IFERROR(EI127/F127,0)</f>
        <v>0</v>
      </c>
      <c r="EU127" t="inlineStr">
        <is>
          <t xml:space="preserve">Keep cash / margin / financing</t>
        </is>
      </c>
      <c r="EV127" t="inlineStr">
        <is>
          <t xml:space="preserve">cash</t>
        </is>
      </c>
      <c r="EW127" t="inlineStr">
        <is>
          <t xml:space="preserve">keep</t>
        </is>
      </c>
      <c r="EX127" t="inlineStr">
        <is>
          <t xml:space="preserve">cash</t>
        </is>
      </c>
      <c r="EY127"/>
      <c r="EZ127" s="4">
        <v>1</v>
      </c>
      <c r="FA127" s="4">
        <v>1</v>
      </c>
      <c r="FB127" s="6"/>
      <c r="FC127" s="4">
        <v>0</v>
      </c>
      <c r="FD127" s="5">
        <f>IF(EV127="direct",IFERROR(FJ127/FA127,0),0)</f>
        <v>0</v>
      </c>
      <c r="FE127" s="5">
        <f>IF(EV127="direct",FC127-FD127,IF(EV127="cash",FO127,FC127))</f>
        <v>0</v>
      </c>
      <c r="FF127" s="6"/>
      <c r="FG127" s="4">
        <v>0</v>
      </c>
      <c r="FH127" s="4">
        <v>0</v>
      </c>
      <c r="FI127" s="5">
        <f>IF(EV127="direct",FC127*(FA127-EZ127),FL127)</f>
        <v>0</v>
      </c>
      <c r="FJ127" s="5">
        <f>IF(EV127="direct",FH127*FB127*C127/365,0)</f>
        <v>0</v>
      </c>
      <c r="FK127" s="5">
        <f>FI127-FJ127</f>
        <v>0</v>
      </c>
      <c r="FL127" s="4">
        <v>0</v>
      </c>
      <c r="FM127" s="5">
        <f>FL127-FK127</f>
        <v>0</v>
      </c>
      <c r="FN127" s="4">
        <v>0</v>
      </c>
      <c r="FO127" s="4">
        <v>0</v>
      </c>
      <c r="FP127" s="4">
        <v>1.613</v>
      </c>
      <c r="FQ127" s="4">
        <v>1.618</v>
      </c>
      <c r="FR127" s="6"/>
      <c r="FS127" s="6"/>
      <c r="FT127" s="6"/>
      <c r="FU127" s="9"/>
      <c r="FV127" s="7">
        <f>IFERROR(FK127/F127,0)</f>
        <v>0</v>
      </c>
      <c r="FW127"/>
      <c r="FX127"/>
      <c r="FY127"/>
      <c r="FZ127"/>
      <c r="GA127"/>
      <c r="GB127" s="4"/>
      <c r="GC127" s="4"/>
      <c r="GD127" s="6"/>
      <c r="GE127" s="4"/>
      <c r="GF127" s="5">
        <v>0</v>
      </c>
      <c r="GG127" s="5"/>
      <c r="GH127" s="6"/>
      <c r="GI127" s="4"/>
      <c r="GJ127" s="4"/>
      <c r="GK127" s="5">
        <v>0</v>
      </c>
      <c r="GL127" s="5">
        <v>0</v>
      </c>
      <c r="GM127" s="5"/>
      <c r="GN127" s="4"/>
      <c r="GO127" s="5">
        <v>0</v>
      </c>
      <c r="GP127" s="4"/>
      <c r="GQ127" s="4"/>
      <c r="GR127" s="4"/>
      <c r="GS127" s="4"/>
      <c r="GT127" s="6"/>
      <c r="GU127" s="6"/>
      <c r="GV127" s="6"/>
      <c r="GW127" s="9"/>
      <c r="GX127"/>
      <c r="GY127"/>
      <c r="GZ127"/>
      <c r="HA127"/>
      <c r="HB127"/>
      <c r="HC127"/>
      <c r="HD127" s="4"/>
      <c r="HE127" s="4"/>
      <c r="HF127" s="6"/>
      <c r="HG127" s="4"/>
      <c r="HH127" s="5">
        <v>0</v>
      </c>
      <c r="HI127" s="5"/>
      <c r="HJ127" s="6"/>
      <c r="HK127" s="4"/>
      <c r="HL127" s="4"/>
      <c r="HM127" s="5">
        <v>0</v>
      </c>
      <c r="HN127" s="5">
        <v>0</v>
      </c>
      <c r="HO127" s="5"/>
      <c r="HP127" s="4"/>
      <c r="HQ127" s="5">
        <v>0</v>
      </c>
      <c r="HR127" s="4"/>
      <c r="HS127" s="4"/>
      <c r="HT127" s="4"/>
      <c r="HU127" s="4"/>
      <c r="HV127" s="6"/>
      <c r="HW127" s="6"/>
      <c r="HX127" s="6"/>
      <c r="HY127" s="9"/>
      <c r="HZ127"/>
      <c r="IA127"/>
      <c r="IB127"/>
      <c r="IC127"/>
      <c r="ID127"/>
      <c r="IE127"/>
      <c r="IF127" s="4"/>
      <c r="IG127" s="4"/>
      <c r="IH127" s="6"/>
      <c r="II127" s="4"/>
      <c r="IJ127" s="5">
        <v>0</v>
      </c>
      <c r="IK127" s="5"/>
      <c r="IL127" s="6"/>
      <c r="IM127" s="4"/>
      <c r="IN127" s="4"/>
      <c r="IO127" s="5">
        <v>0</v>
      </c>
      <c r="IP127" s="5">
        <v>0</v>
      </c>
      <c r="IQ127" s="5"/>
      <c r="IR127" s="4"/>
      <c r="IS127" s="5">
        <v>0</v>
      </c>
      <c r="IT127" s="4"/>
      <c r="IU127" s="4"/>
      <c r="IV127" s="4"/>
      <c r="IW127" s="4"/>
      <c r="IX127" s="6"/>
      <c r="IY127" s="6"/>
      <c r="IZ127" s="6"/>
      <c r="JA127" s="9"/>
      <c r="JB127"/>
      <c r="JC127"/>
      <c r="JD127"/>
      <c r="JE127"/>
      <c r="JF127"/>
      <c r="JG127"/>
      <c r="JH127" s="4"/>
      <c r="JI127" s="4"/>
      <c r="JJ127" s="6"/>
      <c r="JK127" s="4"/>
      <c r="JL127" s="5">
        <v>0</v>
      </c>
      <c r="JM127" s="5"/>
      <c r="JN127" s="6"/>
      <c r="JO127" s="4"/>
      <c r="JP127" s="4"/>
      <c r="JQ127" s="5">
        <v>0</v>
      </c>
      <c r="JR127" s="5">
        <v>0</v>
      </c>
      <c r="JS127" s="5"/>
      <c r="JT127" s="4"/>
      <c r="JU127" s="5">
        <v>0</v>
      </c>
      <c r="JV127" s="4"/>
      <c r="JW127" s="4"/>
      <c r="JX127" s="4"/>
      <c r="JY127" s="4"/>
      <c r="JZ127" s="6"/>
      <c r="KA127" s="6"/>
      <c r="KB127" s="6"/>
      <c r="KC127" s="9"/>
      <c r="KD127"/>
      <c r="KE127"/>
      <c r="KF127"/>
      <c r="KG127"/>
      <c r="KH127"/>
      <c r="KI127"/>
      <c r="KJ127" s="4"/>
      <c r="KK127" s="4"/>
      <c r="KL127" s="6"/>
      <c r="KM127" s="4"/>
      <c r="KN127" s="5">
        <v>0</v>
      </c>
      <c r="KO127" s="5"/>
      <c r="KP127" s="6"/>
      <c r="KQ127" s="4"/>
      <c r="KR127" s="4"/>
      <c r="KS127" s="5">
        <v>0</v>
      </c>
      <c r="KT127" s="5">
        <v>0</v>
      </c>
      <c r="KU127" s="5"/>
      <c r="KV127" s="4"/>
      <c r="KW127" s="5">
        <v>0</v>
      </c>
      <c r="KX127" s="4"/>
      <c r="KY127" s="4"/>
      <c r="KZ127" s="4"/>
      <c r="LA127" s="4"/>
      <c r="LB127" s="6"/>
      <c r="LC127" s="6"/>
      <c r="LD127" s="6"/>
      <c r="LE127" s="9"/>
      <c r="LF127"/>
      <c r="LG127"/>
      <c r="LH127"/>
      <c r="LI127"/>
      <c r="LJ127"/>
      <c r="LK127"/>
      <c r="LL127" s="4"/>
      <c r="LM127" s="4"/>
      <c r="LN127" s="6"/>
      <c r="LO127" s="4"/>
      <c r="LP127" s="5">
        <v>0</v>
      </c>
      <c r="LQ127" s="5"/>
      <c r="LR127" s="6"/>
      <c r="LS127" s="4"/>
      <c r="LT127" s="4"/>
      <c r="LU127" s="5">
        <v>0</v>
      </c>
      <c r="LV127" s="5">
        <v>0</v>
      </c>
      <c r="LW127" s="5"/>
      <c r="LX127" s="4"/>
      <c r="LY127" s="5">
        <v>0</v>
      </c>
      <c r="LZ127" s="4"/>
      <c r="MA127" s="4"/>
      <c r="MB127" s="4"/>
      <c r="MC127" s="4"/>
      <c r="MD127" s="6"/>
      <c r="ME127" s="6"/>
      <c r="MF127" s="6"/>
      <c r="MG127" s="9"/>
      <c r="MH127"/>
    </row>
    <row r="128">
      <c r="A128" s="8">
        <v>25393</v>
      </c>
      <c r="B128" s="8">
        <v>25394</v>
      </c>
      <c r="C128" s="9">
        <f>B128-A128</f>
        <v>1</v>
      </c>
      <c r="D128" s="8">
        <v>25393</v>
      </c>
      <c r="E128" t="inlineStr">
        <is>
          <t xml:space="preserve">neutral</t>
        </is>
      </c>
      <c r="F128" s="4">
        <v>1.3191499689674042</v>
      </c>
      <c r="G128" s="6">
        <v>0.027805264405574136</v>
      </c>
      <c r="H128" s="7">
        <f>SUM(CP128,DR128,ET128,FV128,GX128,HZ128,JB128,KD128,LF128,MH128)</f>
        <v>0.027805264405574133</v>
      </c>
      <c r="I128" s="7">
        <f>G128-H128</f>
        <v>3.469446951953614e-18</v>
      </c>
      <c r="J128" s="5">
        <f>F128*(1+H128)</f>
        <v>1.355829282645148</v>
      </c>
      <c r="K128" s="4">
        <v>1.355829282645148</v>
      </c>
      <c r="L128" s="5">
        <f>K128-J128</f>
        <v>0</v>
      </c>
      <c r="M128" s="4">
        <v>1.618</v>
      </c>
      <c r="N128" s="4">
        <v>1.663</v>
      </c>
      <c r="O128" s="5">
        <f>M128/$M$3</f>
        <v>0.8263534218590399</v>
      </c>
      <c r="P128" s="5">
        <f>N128/$M$3</f>
        <v>0.8493360572012257</v>
      </c>
      <c r="Q128" s="7">
        <f>IFERROR(N128/M128-1,0)</f>
        <v>0.02781211372064263</v>
      </c>
      <c r="R128" s="5">
        <f>SUM(IF(BQ128="lease",CB128,0),IF(CS128="lease",DD128,0),IF(DU128="lease",EF128,0),IF(EW128="lease",FH128,0),IF(FY128="lease",GJ128,0),IF(HA128="lease",HL128,0),IF(IC128="lease",IN128,0),IF(JE128="lease",JP128,0),IF(KG128="lease",KR128,0),IF(LI128="lease",LT128,0))</f>
        <v>1.3191499689674049</v>
      </c>
      <c r="S128" s="5">
        <f>SUM(IF(BQ128="lease",CI128,0),IF(CS128="lease",DK128,0),IF(DU128="lease",EM128,0),IF(EW128="lease",FO128,0),IF(FY128="lease",GQ128,0),IF(HA128="lease",HS128,0),IF(IC128="lease",IU128,0),IF(JE128="lease",JW128,0),IF(KG128="lease",KY128,0),IF(LI128="lease",MA128,0))</f>
        <v>1.3558292826451488</v>
      </c>
      <c r="T128" s="5">
        <f>SUM(IF(BQ128="keep",CB128,0),IF(CS128="keep",DD128,0),IF(DU128="keep",EF128,0),IF(EW128="keep",FH128,0),IF(FY128="keep",GJ128,0),IF(HA128="keep",HL128,0),IF(IC128="keep",IN128,0),IF(JE128="keep",JP128,0),IF(KG128="keep",KR128,0),IF(LI128="keep",LT128,0))</f>
        <v>0</v>
      </c>
      <c r="U128" s="5">
        <f>SUM(IF(BQ128="keep",CI128,0),IF(CS128="keep",DK128,0),IF(DU128="keep",EM128,0),IF(EW128="keep",FO128,0),IF(FY128="keep",GQ128,0),IF(HA128="keep",HS128,0),IF(IC128="keep",IU128,0),IF(JE128="keep",JW128,0),IF(KG128="keep",KY128,0),IF(LI128="keep",MA128,0))</f>
        <v>0</v>
      </c>
      <c r="V128" s="5">
        <f>R128/O128</f>
        <v>1.5963508277121004</v>
      </c>
      <c r="W128" s="5">
        <f>S128/P128</f>
        <v>1.596340189668792</v>
      </c>
      <c r="X128" s="5">
        <f>T128/O128</f>
        <v>0</v>
      </c>
      <c r="Y128" s="5">
        <f>U128/P128</f>
        <v>0</v>
      </c>
      <c r="Z128" s="5">
        <f>V128+X128</f>
        <v>1.5963508277121004</v>
      </c>
      <c r="AA128" s="7">
        <f>IFERROR(W128/V128-1,0)</f>
        <v>-0.000006663975815057732</v>
      </c>
      <c r="AB128" s="7">
        <f>IFERROR((W128-V128)/Z128,0)</f>
        <v>-0.000006663975815077967</v>
      </c>
      <c r="AC128" s="7">
        <f>IFERROR(Y128/X128-1,0)</f>
        <v>0</v>
      </c>
      <c r="AD128" s="7">
        <f>IFERROR((Y128-X128)/Z128,0)</f>
        <v>0</v>
      </c>
      <c r="AE128" s="7">
        <f>AB128+AD128</f>
        <v>-0.000006663975815077967</v>
      </c>
      <c r="AF128" s="7">
        <f>(1+Q128)*(1+AE128)-1</f>
        <v>0.027805264405574404</v>
      </c>
      <c r="AG128" s="7">
        <f>G128-AF128</f>
        <v>-2.671474153004283e-16</v>
      </c>
      <c r="AH128" s="5">
        <f>SUM(IF(BQ128="lease",CE128,0),IF(CS128="lease",DG128,0),IF(DU128="lease",EI128,0),IF(EW128="lease",FK128,0),IF(FY128="lease",GM128,0),IF(HA128="lease",HO128,0),IF(IC128="lease",IQ128,0),IF(JE128="lease",JS128,0),IF(KG128="lease",KU128,0),IF(LI128="lease",LW128,0))</f>
        <v>0.03667931367774359</v>
      </c>
      <c r="AI128" s="5">
        <f>SUM(IF(BQ128="keep",CE128,0),IF(CS128="keep",DG128,0),IF(DU128="keep",EI128,0),IF(EW128="keep",FK128,0),IF(FY128="keep",GM128,0),IF(HA128="keep",HO128,0),IF(IC128="keep",IQ128,0),IF(JE128="keep",JS128,0),IF(KG128="keep",KU128,0),IF(LI128="keep",LW128,0))</f>
        <v>0</v>
      </c>
      <c r="AJ128" s="5">
        <f>SUM(IF(BQ128="lease",CH128,0),IF(CS128="lease",DJ128,0),IF(DU128="lease",EL128,0),IF(EW128="lease",FN128,0),IF(FY128="lease",GP128,0),IF(HA128="lease",HR128,0),IF(IC128="lease",IT128,0),IF(JE128="lease",JV128,0),IF(KG128="lease",KX128,0),IF(LI128="lease",LZ128,0))</f>
        <v>0</v>
      </c>
      <c r="AK128" s="5">
        <f>SUM(IF(BQ128="keep",CH128,0),IF(CS128="keep",DJ128,0),IF(DU128="keep",EL128,0),IF(EW128="keep",FN128,0),IF(FY128="keep",GP128,0),IF(HA128="keep",HR128,0),IF(IC128="keep",IT128,0),IF(JE128="keep",JV128,0),IF(KG128="keep",KX128,0),IF(LI128="keep",LZ128,0))</f>
        <v>0</v>
      </c>
      <c r="AL128" s="5">
        <f>R128-S127</f>
        <v>0</v>
      </c>
      <c r="AM128" s="5">
        <f>T128-U127</f>
        <v>0</v>
      </c>
      <c r="AN128" s="5">
        <f>AN127</f>
        <v>1</v>
      </c>
      <c r="AO128" s="5">
        <f>AO127+AH128</f>
        <v>0.35582928264514835</v>
      </c>
      <c r="AP128" s="5">
        <f>AP127+AL128</f>
        <v>-2.220446049250313e-16</v>
      </c>
      <c r="AQ128" s="5">
        <f>AN128+AO128+AP128</f>
        <v>1.3558292826451481</v>
      </c>
      <c r="AR128" s="5">
        <f>S128-AQ128</f>
        <v>6.661338147750939e-16</v>
      </c>
      <c r="AS128" s="5">
        <f>AS127</f>
        <v>0</v>
      </c>
      <c r="AT128" s="5">
        <f>AT127+AI128</f>
        <v>0</v>
      </c>
      <c r="AU128" s="5">
        <f>AU127+AM128</f>
        <v>0</v>
      </c>
      <c r="AV128" s="5">
        <f>AS128+AT128+AU128</f>
        <v>0</v>
      </c>
      <c r="AW128" s="5">
        <f>U128-AV128</f>
        <v>0</v>
      </c>
      <c r="AX128" s="4">
        <v>1.3191499689674049</v>
      </c>
      <c r="AY128" s="4">
        <v>1.3558292826451486</v>
      </c>
      <c r="AZ128" s="5">
        <f>S128-AY128</f>
        <v>2.220446049250313e-16</v>
      </c>
      <c r="BA128" s="4">
        <v>0</v>
      </c>
      <c r="BB128" s="4">
        <v>0</v>
      </c>
      <c r="BC128" s="5">
        <f>U128-BB128</f>
        <v>0</v>
      </c>
      <c r="BD128" s="7">
        <f>SUM(IF(BP128="direct",CC128/F128,0),IF(CR128="direct",DE128/F128,0),IF(DT128="direct",EG128/F128,0),IF(EV128="direct",FI128/F128,0),IF(FX128="direct",GK128/F128,0),IF(GZ128="direct",HM128/F128,0),IF(IB128="direct",IO128/F128,0),IF(JD128="direct",JQ128/F128,0),IF(KF128="direct",KS128/F128,0),IF(LH128="direct",LU128/F128,0))</f>
        <v>0.027812113720642725</v>
      </c>
      <c r="BE128" s="7">
        <f>-SUM(IF(BP128="direct",CD128/F128,0),IF(CR128="direct",DF128/F128,0),IF(DT128="direct",EH128/F128,0),IF(EV128="direct",FJ128/F128,0),IF(FX128="direct",GL128/F128,0),IF(GZ128="direct",HN128/F128,0),IF(IB128="direct",IP128/F128,0),IF(JD128="direct",JR128/F128,0),IF(KF128="direct",KT128/F128,0),IF(LH128="direct",LV128/F128,0))</f>
        <v>-0.000006849315068493152</v>
      </c>
      <c r="BF128" s="7">
        <f>BD128+BE128</f>
        <v>0.027805264405574234</v>
      </c>
      <c r="BG128" s="7">
        <f>BF128-SUM(IF(BP128="direct",CP128,0),IF(CR128="direct",DR128,0),IF(DT128="direct",ET128,0),IF(EV128="direct",FV128,0),IF(FX128="direct",GX128,0),IF(GZ128="direct",HZ128,0),IF(IB128="direct",JB128,0),IF(JD128="direct",KD128,0),IF(KF128="direct",LF128,0),IF(LH128="direct",MH128,0))</f>
        <v>1.0061396160665481e-16</v>
      </c>
      <c r="BH128" s="7">
        <f>SUM(IF(BP128="treasury",CP128,0),IF(CR128="treasury",DR128,0),IF(DT128="treasury",ET128,0),IF(EV128="treasury",FV128,0),IF(FX128="treasury",GX128,0),IF(GZ128="treasury",HZ128,0),IF(IB128="treasury",JB128,0),IF(JD128="treasury",KD128,0),IF(KF128="treasury",LF128,0),IF(LH128="treasury",MH128,0))</f>
        <v>0</v>
      </c>
      <c r="BI128" s="7">
        <f>SUM(IF(BP128="future",CP128,0),IF(CR128="future",DR128,0),IF(DT128="future",ET128,0),IF(EV128="future",FV128,0),IF(FX128="future",GX128,0),IF(GZ128="future",HZ128,0),IF(IB128="future",JB128,0),IF(JD128="future",KD128,0),IF(KF128="future",LF128,0),IF(LH128="future",MH128,0))</f>
        <v>0</v>
      </c>
      <c r="BJ128" s="7">
        <f>SUM(IF(BP128="cash",CP128,0),IF(CR128="cash",DR128,0),IF(DT128="cash",ET128,0),IF(EV128="cash",FV128,0),IF(FX128="cash",GX128,0),IF(GZ128="cash",HZ128,0),IF(IB128="cash",JB128,0),IF(JD128="cash",KD128,0),IF(KF128="cash",LF128,0),IF(LH128="cash",MH128,0))</f>
        <v>0</v>
      </c>
      <c r="BK128" s="7">
        <f>SUM(BF128,BH128,BI128,BJ128)</f>
        <v>0.027805264405574133</v>
      </c>
      <c r="BL128" s="7">
        <f>G128-BK128</f>
        <v>3.469446951953614e-18</v>
      </c>
      <c r="BM128" s="5">
        <f>MAX(ABS(CG128),ABS(DI128),ABS(EK128),ABS(FM128),ABS(GO128),ABS(HQ128),ABS(IS128),ABS(JU128),ABS(KW128),ABS(LY128))</f>
        <v>1.2799345459370282e-16</v>
      </c>
      <c r="BN128" s="9">
        <f>COUNTA(BO128,CQ128,DS128,EU128,FW128,GY128,IA128,JC128,KE128,LG128)</f>
        <v>3</v>
      </c>
      <c r="BO128" t="inlineStr">
        <is>
          <t xml:space="preserve">Direct commodity holding</t>
        </is>
      </c>
      <c r="BP128" t="inlineStr">
        <is>
          <t xml:space="preserve">direct</t>
        </is>
      </c>
      <c r="BQ128" t="inlineStr">
        <is>
          <t xml:space="preserve">lease</t>
        </is>
      </c>
      <c r="BR128" t="inlineStr">
        <is>
          <t xml:space="preserve">long</t>
        </is>
      </c>
      <c r="BS128"/>
      <c r="BT128" s="4">
        <v>1.618</v>
      </c>
      <c r="BU128" s="4">
        <v>1.663</v>
      </c>
      <c r="BV128" s="6">
        <v>0.0025</v>
      </c>
      <c r="BW128" s="4">
        <v>0.8152966433667517</v>
      </c>
      <c r="BX128" s="5">
        <f>IF(BP128="direct",IFERROR(CD128/BU128,0),0)</f>
        <v>0.000005433117113680526</v>
      </c>
      <c r="BY128" s="5">
        <f>IF(BP128="direct",BW128-BX128,IF(BP128="cash",CI128,BW128))</f>
        <v>0.815291210249638</v>
      </c>
      <c r="BZ128" s="6">
        <v>1</v>
      </c>
      <c r="CA128" s="4">
        <v>1.3191499689674042</v>
      </c>
      <c r="CB128" s="4">
        <v>1.3191499689674042</v>
      </c>
      <c r="CC128" s="5">
        <f>IF(BP128="direct",BW128*(BU128-BT128),CF128)</f>
        <v>0.03668834895150377</v>
      </c>
      <c r="CD128" s="5">
        <f>IF(BP128="direct",CB128*BV128*C128/365,0)</f>
        <v>0.000009035273760050715</v>
      </c>
      <c r="CE128" s="5">
        <f>CC128-CD128</f>
        <v>0.03667931367774359</v>
      </c>
      <c r="CF128" s="4">
        <v>0.03667931367774359</v>
      </c>
      <c r="CG128" s="5">
        <f>CF128-CE128</f>
        <v>-1.2799345459370282e-16</v>
      </c>
      <c r="CH128" s="4">
        <v>0</v>
      </c>
      <c r="CI128" s="4">
        <v>1.3558292826451481</v>
      </c>
      <c r="CJ128" s="4">
        <v>1.618</v>
      </c>
      <c r="CK128" s="4">
        <v>1.663</v>
      </c>
      <c r="CL128" s="6"/>
      <c r="CM128" s="6"/>
      <c r="CN128" s="6"/>
      <c r="CO128" s="9"/>
      <c r="CP128" s="7">
        <f>IFERROR(CE128/F128,0)</f>
        <v>0.027805264405574133</v>
      </c>
      <c r="CQ128" t="inlineStr">
        <is>
          <t xml:space="preserve">Lease cash / margin / financing</t>
        </is>
      </c>
      <c r="CR128" t="inlineStr">
        <is>
          <t xml:space="preserve">cash</t>
        </is>
      </c>
      <c r="CS128" t="inlineStr">
        <is>
          <t xml:space="preserve">lease</t>
        </is>
      </c>
      <c r="CT128" t="inlineStr">
        <is>
          <t xml:space="preserve">cash</t>
        </is>
      </c>
      <c r="CU128"/>
      <c r="CV128" s="4">
        <v>1</v>
      </c>
      <c r="CW128" s="4">
        <v>1</v>
      </c>
      <c r="CX128" s="6"/>
      <c r="CY128" s="4">
        <v>6.661338147750939e-16</v>
      </c>
      <c r="CZ128" s="5">
        <f>IF(CR128="direct",IFERROR(DF128/CW128,0),0)</f>
        <v>0</v>
      </c>
      <c r="DA128" s="5">
        <f>IF(CR128="direct",CY128-CZ128,IF(CR128="cash",DK128,CY128))</f>
        <v>6.661338147750939e-16</v>
      </c>
      <c r="DB128" s="6"/>
      <c r="DC128" s="4">
        <v>6.661338147750939e-16</v>
      </c>
      <c r="DD128" s="4">
        <v>6.661338147750939e-16</v>
      </c>
      <c r="DE128" s="5">
        <f>IF(CR128="direct",CY128*(CW128-CV128),DH128)</f>
        <v>0</v>
      </c>
      <c r="DF128" s="5">
        <f>IF(CR128="direct",DD128*CX128*C128/365,0)</f>
        <v>0</v>
      </c>
      <c r="DG128" s="5">
        <f>DE128-DF128</f>
        <v>0</v>
      </c>
      <c r="DH128" s="4">
        <v>0</v>
      </c>
      <c r="DI128" s="5">
        <f>DH128-DG128</f>
        <v>0</v>
      </c>
      <c r="DJ128" s="4">
        <v>0</v>
      </c>
      <c r="DK128" s="4">
        <v>6.661338147750939e-16</v>
      </c>
      <c r="DL128" s="4">
        <v>1.618</v>
      </c>
      <c r="DM128" s="4">
        <v>1.663</v>
      </c>
      <c r="DN128" s="6"/>
      <c r="DO128" s="6"/>
      <c r="DP128" s="6"/>
      <c r="DQ128" s="9"/>
      <c r="DR128" s="7">
        <f>IFERROR(DG128/F128,0)</f>
        <v>0</v>
      </c>
      <c r="DS128" t="inlineStr">
        <is>
          <t xml:space="preserve">Keep cash / margin / financing</t>
        </is>
      </c>
      <c r="DT128" t="inlineStr">
        <is>
          <t xml:space="preserve">cash</t>
        </is>
      </c>
      <c r="DU128" t="inlineStr">
        <is>
          <t xml:space="preserve">keep</t>
        </is>
      </c>
      <c r="DV128" t="inlineStr">
        <is>
          <t xml:space="preserve">cash</t>
        </is>
      </c>
      <c r="DW128"/>
      <c r="DX128" s="4">
        <v>1</v>
      </c>
      <c r="DY128" s="4">
        <v>1</v>
      </c>
      <c r="DZ128" s="6"/>
      <c r="EA128" s="4">
        <v>0</v>
      </c>
      <c r="EB128" s="5">
        <f>IF(DT128="direct",IFERROR(EH128/DY128,0),0)</f>
        <v>0</v>
      </c>
      <c r="EC128" s="5">
        <f>IF(DT128="direct",EA128-EB128,IF(DT128="cash",EM128,EA128))</f>
        <v>0</v>
      </c>
      <c r="ED128" s="6"/>
      <c r="EE128" s="4">
        <v>0</v>
      </c>
      <c r="EF128" s="4">
        <v>0</v>
      </c>
      <c r="EG128" s="5">
        <f>IF(DT128="direct",EA128*(DY128-DX128),EJ128)</f>
        <v>0</v>
      </c>
      <c r="EH128" s="5">
        <f>IF(DT128="direct",EF128*DZ128*C128/365,0)</f>
        <v>0</v>
      </c>
      <c r="EI128" s="5">
        <f>EG128-EH128</f>
        <v>0</v>
      </c>
      <c r="EJ128" s="4">
        <v>0</v>
      </c>
      <c r="EK128" s="5">
        <f>EJ128-EI128</f>
        <v>0</v>
      </c>
      <c r="EL128" s="4">
        <v>0</v>
      </c>
      <c r="EM128" s="4">
        <v>0</v>
      </c>
      <c r="EN128" s="4">
        <v>1.618</v>
      </c>
      <c r="EO128" s="4">
        <v>1.663</v>
      </c>
      <c r="EP128" s="6"/>
      <c r="EQ128" s="6"/>
      <c r="ER128" s="6"/>
      <c r="ES128" s="9"/>
      <c r="ET128" s="7">
        <f>IFERROR(EI128/F128,0)</f>
        <v>0</v>
      </c>
      <c r="EU128"/>
      <c r="EV128"/>
      <c r="EW128"/>
      <c r="EX128"/>
      <c r="EY128"/>
      <c r="EZ128" s="4"/>
      <c r="FA128" s="4"/>
      <c r="FB128" s="6"/>
      <c r="FC128" s="4"/>
      <c r="FD128" s="5">
        <v>0</v>
      </c>
      <c r="FE128" s="5"/>
      <c r="FF128" s="6"/>
      <c r="FG128" s="4"/>
      <c r="FH128" s="4"/>
      <c r="FI128" s="5">
        <v>0</v>
      </c>
      <c r="FJ128" s="5">
        <v>0</v>
      </c>
      <c r="FK128" s="5"/>
      <c r="FL128" s="4"/>
      <c r="FM128" s="5">
        <v>0</v>
      </c>
      <c r="FN128" s="4"/>
      <c r="FO128" s="4"/>
      <c r="FP128" s="4"/>
      <c r="FQ128" s="4"/>
      <c r="FR128" s="6"/>
      <c r="FS128" s="6"/>
      <c r="FT128" s="6"/>
      <c r="FU128" s="9"/>
      <c r="FV128"/>
      <c r="FW128"/>
      <c r="FX128"/>
      <c r="FY128"/>
      <c r="FZ128"/>
      <c r="GA128"/>
      <c r="GB128" s="4"/>
      <c r="GC128" s="4"/>
      <c r="GD128" s="6"/>
      <c r="GE128" s="4"/>
      <c r="GF128" s="5">
        <v>0</v>
      </c>
      <c r="GG128" s="5"/>
      <c r="GH128" s="6"/>
      <c r="GI128" s="4"/>
      <c r="GJ128" s="4"/>
      <c r="GK128" s="5">
        <v>0</v>
      </c>
      <c r="GL128" s="5">
        <v>0</v>
      </c>
      <c r="GM128" s="5"/>
      <c r="GN128" s="4"/>
      <c r="GO128" s="5">
        <v>0</v>
      </c>
      <c r="GP128" s="4"/>
      <c r="GQ128" s="4"/>
      <c r="GR128" s="4"/>
      <c r="GS128" s="4"/>
      <c r="GT128" s="6"/>
      <c r="GU128" s="6"/>
      <c r="GV128" s="6"/>
      <c r="GW128" s="9"/>
      <c r="GX128"/>
      <c r="GY128"/>
      <c r="GZ128"/>
      <c r="HA128"/>
      <c r="HB128"/>
      <c r="HC128"/>
      <c r="HD128" s="4"/>
      <c r="HE128" s="4"/>
      <c r="HF128" s="6"/>
      <c r="HG128" s="4"/>
      <c r="HH128" s="5">
        <v>0</v>
      </c>
      <c r="HI128" s="5"/>
      <c r="HJ128" s="6"/>
      <c r="HK128" s="4"/>
      <c r="HL128" s="4"/>
      <c r="HM128" s="5">
        <v>0</v>
      </c>
      <c r="HN128" s="5">
        <v>0</v>
      </c>
      <c r="HO128" s="5"/>
      <c r="HP128" s="4"/>
      <c r="HQ128" s="5">
        <v>0</v>
      </c>
      <c r="HR128" s="4"/>
      <c r="HS128" s="4"/>
      <c r="HT128" s="4"/>
      <c r="HU128" s="4"/>
      <c r="HV128" s="6"/>
      <c r="HW128" s="6"/>
      <c r="HX128" s="6"/>
      <c r="HY128" s="9"/>
      <c r="HZ128"/>
      <c r="IA128"/>
      <c r="IB128"/>
      <c r="IC128"/>
      <c r="ID128"/>
      <c r="IE128"/>
      <c r="IF128" s="4"/>
      <c r="IG128" s="4"/>
      <c r="IH128" s="6"/>
      <c r="II128" s="4"/>
      <c r="IJ128" s="5">
        <v>0</v>
      </c>
      <c r="IK128" s="5"/>
      <c r="IL128" s="6"/>
      <c r="IM128" s="4"/>
      <c r="IN128" s="4"/>
      <c r="IO128" s="5">
        <v>0</v>
      </c>
      <c r="IP128" s="5">
        <v>0</v>
      </c>
      <c r="IQ128" s="5"/>
      <c r="IR128" s="4"/>
      <c r="IS128" s="5">
        <v>0</v>
      </c>
      <c r="IT128" s="4"/>
      <c r="IU128" s="4"/>
      <c r="IV128" s="4"/>
      <c r="IW128" s="4"/>
      <c r="IX128" s="6"/>
      <c r="IY128" s="6"/>
      <c r="IZ128" s="6"/>
      <c r="JA128" s="9"/>
      <c r="JB128"/>
      <c r="JC128"/>
      <c r="JD128"/>
      <c r="JE128"/>
      <c r="JF128"/>
      <c r="JG128"/>
      <c r="JH128" s="4"/>
      <c r="JI128" s="4"/>
      <c r="JJ128" s="6"/>
      <c r="JK128" s="4"/>
      <c r="JL128" s="5">
        <v>0</v>
      </c>
      <c r="JM128" s="5"/>
      <c r="JN128" s="6"/>
      <c r="JO128" s="4"/>
      <c r="JP128" s="4"/>
      <c r="JQ128" s="5">
        <v>0</v>
      </c>
      <c r="JR128" s="5">
        <v>0</v>
      </c>
      <c r="JS128" s="5"/>
      <c r="JT128" s="4"/>
      <c r="JU128" s="5">
        <v>0</v>
      </c>
      <c r="JV128" s="4"/>
      <c r="JW128" s="4"/>
      <c r="JX128" s="4"/>
      <c r="JY128" s="4"/>
      <c r="JZ128" s="6"/>
      <c r="KA128" s="6"/>
      <c r="KB128" s="6"/>
      <c r="KC128" s="9"/>
      <c r="KD128"/>
      <c r="KE128"/>
      <c r="KF128"/>
      <c r="KG128"/>
      <c r="KH128"/>
      <c r="KI128"/>
      <c r="KJ128" s="4"/>
      <c r="KK128" s="4"/>
      <c r="KL128" s="6"/>
      <c r="KM128" s="4"/>
      <c r="KN128" s="5">
        <v>0</v>
      </c>
      <c r="KO128" s="5"/>
      <c r="KP128" s="6"/>
      <c r="KQ128" s="4"/>
      <c r="KR128" s="4"/>
      <c r="KS128" s="5">
        <v>0</v>
      </c>
      <c r="KT128" s="5">
        <v>0</v>
      </c>
      <c r="KU128" s="5"/>
      <c r="KV128" s="4"/>
      <c r="KW128" s="5">
        <v>0</v>
      </c>
      <c r="KX128" s="4"/>
      <c r="KY128" s="4"/>
      <c r="KZ128" s="4"/>
      <c r="LA128" s="4"/>
      <c r="LB128" s="6"/>
      <c r="LC128" s="6"/>
      <c r="LD128" s="6"/>
      <c r="LE128" s="9"/>
      <c r="LF128"/>
      <c r="LG128"/>
      <c r="LH128"/>
      <c r="LI128"/>
      <c r="LJ128"/>
      <c r="LK128"/>
      <c r="LL128" s="4"/>
      <c r="LM128" s="4"/>
      <c r="LN128" s="6"/>
      <c r="LO128" s="4"/>
      <c r="LP128" s="5">
        <v>0</v>
      </c>
      <c r="LQ128" s="5"/>
      <c r="LR128" s="6"/>
      <c r="LS128" s="4"/>
      <c r="LT128" s="4"/>
      <c r="LU128" s="5">
        <v>0</v>
      </c>
      <c r="LV128" s="5">
        <v>0</v>
      </c>
      <c r="LW128" s="5"/>
      <c r="LX128" s="4"/>
      <c r="LY128" s="5">
        <v>0</v>
      </c>
      <c r="LZ128" s="4"/>
      <c r="MA128" s="4"/>
      <c r="MB128" s="4"/>
      <c r="MC128" s="4"/>
      <c r="MD128" s="6"/>
      <c r="ME128" s="6"/>
      <c r="MF128" s="6"/>
      <c r="MG128" s="9"/>
      <c r="MH128"/>
    </row>
    <row r="129">
      <c r="A129" s="8">
        <v>25394</v>
      </c>
      <c r="B129" s="8">
        <v>25395</v>
      </c>
      <c r="C129" s="9">
        <f>B129-A129</f>
        <v>1</v>
      </c>
      <c r="D129" s="8">
        <v>25394</v>
      </c>
      <c r="E129" t="inlineStr">
        <is>
          <t xml:space="preserve">positive</t>
        </is>
      </c>
      <c r="F129" s="4">
        <v>1.355829282645148</v>
      </c>
      <c r="G129" s="6">
        <v>0.003886362102705842</v>
      </c>
      <c r="H129" s="7">
        <f>SUM(CP129,DR129,ET129,FV129,GX129,HZ129,JB129,KD129,LF129,MH129)</f>
        <v>0.0038863621027058425</v>
      </c>
      <c r="I129" s="7">
        <f>G129-H129</f>
        <v>-4.336808689942018e-19</v>
      </c>
      <c r="J129" s="5">
        <f>F129*(1+H129)</f>
        <v>1.3610985261869588</v>
      </c>
      <c r="K129" s="4">
        <v>1.3610985261869588</v>
      </c>
      <c r="L129" s="5">
        <f>K129-J129</f>
        <v>0</v>
      </c>
      <c r="M129" s="4">
        <v>1.663</v>
      </c>
      <c r="N129" s="4">
        <v>1.631</v>
      </c>
      <c r="O129" s="5">
        <f>M129/$M$3</f>
        <v>0.8493360572012257</v>
      </c>
      <c r="P129" s="5">
        <f>N129/$M$3</f>
        <v>0.8329928498467825</v>
      </c>
      <c r="Q129" s="7">
        <f>IFERROR(N129/M129-1,0)</f>
        <v>-0.019242333132892364</v>
      </c>
      <c r="R129" s="5">
        <f>SUM(IF(BQ129="lease",CB129,0),IF(CS129="lease",DD129,0),IF(DU129="lease",EF129,0),IF(EW129="lease",FH129,0),IF(FY129="lease",GJ129,0),IF(HA129="lease",HL129,0),IF(IC129="lease",IN129,0),IF(JE129="lease",JP129,0),IF(KG129="lease",KR129,0),IF(LI129="lease",LT129,0))</f>
        <v>1.3558292826451486</v>
      </c>
      <c r="S129" s="5">
        <f>SUM(IF(BQ129="lease",CI129,0),IF(CS129="lease",DK129,0),IF(DU129="lease",EM129,0),IF(EW129="lease",FO129,0),IF(FY129="lease",GQ129,0),IF(HA129="lease",HS129,0),IF(IC129="lease",IU129,0),IF(JE129="lease",JW129,0),IF(KG129="lease",KY129,0),IF(LI129="lease",MA129,0))</f>
        <v>1.3610985261869595</v>
      </c>
      <c r="T129" s="5">
        <f>SUM(IF(BQ129="keep",CB129,0),IF(CS129="keep",DD129,0),IF(DU129="keep",EF129,0),IF(EW129="keep",FH129,0),IF(FY129="keep",GJ129,0),IF(HA129="keep",HL129,0),IF(IC129="keep",IN129,0),IF(JE129="keep",JP129,0),IF(KG129="keep",KR129,0),IF(LI129="keep",LT129,0))</f>
        <v>0</v>
      </c>
      <c r="U129" s="5">
        <f>SUM(IF(BQ129="keep",CI129,0),IF(CS129="keep",DK129,0),IF(DU129="keep",EM129,0),IF(EW129="keep",FO129,0),IF(FY129="keep",GQ129,0),IF(HA129="keep",HS129,0),IF(IC129="keep",IU129,0),IF(JE129="keep",JW129,0),IF(KG129="keep",KY129,0),IF(LI129="keep",MA129,0))</f>
        <v>0</v>
      </c>
      <c r="V129" s="5">
        <f>R129/O129</f>
        <v>1.5963401896687919</v>
      </c>
      <c r="W129" s="5">
        <f>S129/P129</f>
        <v>1.633985845661598</v>
      </c>
      <c r="X129" s="5">
        <f>T129/O129</f>
        <v>0</v>
      </c>
      <c r="Y129" s="5">
        <f>U129/P129</f>
        <v>0</v>
      </c>
      <c r="Z129" s="5">
        <f>V129+X129</f>
        <v>1.5963401896687919</v>
      </c>
      <c r="AA129" s="7">
        <f>IFERROR(W129/V129-1,0)</f>
        <v>0.023582477116370182</v>
      </c>
      <c r="AB129" s="7">
        <f>IFERROR((W129-V129)/Z129,0)</f>
        <v>0.023582477116370123</v>
      </c>
      <c r="AC129" s="7">
        <f>IFERROR(Y129/X129-1,0)</f>
        <v>0</v>
      </c>
      <c r="AD129" s="7">
        <f>IFERROR((Y129-X129)/Z129,0)</f>
        <v>0</v>
      </c>
      <c r="AE129" s="7">
        <f>AB129+AD129</f>
        <v>0.023582477116370123</v>
      </c>
      <c r="AF129" s="7">
        <f>(1+Q129)*(1+AE129)-1</f>
        <v>0.003886362102705876</v>
      </c>
      <c r="AG129" s="7">
        <f>G129-AF129</f>
        <v>-3.382710778154774e-17</v>
      </c>
      <c r="AH129" s="5">
        <f>SUM(IF(BQ129="lease",CE129,0),IF(CS129="lease",DG129,0),IF(DU129="lease",EI129,0),IF(EW129="lease",FK129,0),IF(FY129="lease",GM129,0),IF(HA129="lease",HO129,0),IF(IC129="lease",IQ129,0),IF(JE129="lease",JS129,0),IF(KG129="lease",KU129,0),IF(LI129="lease",LW129,0))</f>
        <v>0.005269243541810951</v>
      </c>
      <c r="AI129" s="5">
        <f>SUM(IF(BQ129="keep",CE129,0),IF(CS129="keep",DG129,0),IF(DU129="keep",EI129,0),IF(EW129="keep",FK129,0),IF(FY129="keep",GM129,0),IF(HA129="keep",HO129,0),IF(IC129="keep",IQ129,0),IF(JE129="keep",JS129,0),IF(KG129="keep",KU129,0),IF(LI129="keep",LW129,0))</f>
        <v>0</v>
      </c>
      <c r="AJ129" s="5">
        <f>SUM(IF(BQ129="lease",CH129,0),IF(CS129="lease",DJ129,0),IF(DU129="lease",EL129,0),IF(EW129="lease",FN129,0),IF(FY129="lease",GP129,0),IF(HA129="lease",HR129,0),IF(IC129="lease",IT129,0),IF(JE129="lease",JV129,0),IF(KG129="lease",KX129,0),IF(LI129="lease",LZ129,0))</f>
        <v>0</v>
      </c>
      <c r="AK129" s="5">
        <f>SUM(IF(BQ129="keep",CH129,0),IF(CS129="keep",DJ129,0),IF(DU129="keep",EL129,0),IF(EW129="keep",FN129,0),IF(FY129="keep",GP129,0),IF(HA129="keep",HR129,0),IF(IC129="keep",IT129,0),IF(JE129="keep",JV129,0),IF(KG129="keep",KX129,0),IF(LI129="keep",LZ129,0))</f>
        <v>0</v>
      </c>
      <c r="AL129" s="5">
        <f>R129-S128</f>
        <v>-2.220446049250313e-16</v>
      </c>
      <c r="AM129" s="5">
        <f>T129-U128</f>
        <v>0</v>
      </c>
      <c r="AN129" s="5">
        <f>AN128</f>
        <v>1</v>
      </c>
      <c r="AO129" s="5">
        <f>AO128+AH129</f>
        <v>0.3610985261869593</v>
      </c>
      <c r="AP129" s="5">
        <f>AP128+AL129</f>
        <v>-4.440892098500626e-16</v>
      </c>
      <c r="AQ129" s="5">
        <f>AN129+AO129+AP129</f>
        <v>1.3610985261869588</v>
      </c>
      <c r="AR129" s="5">
        <f>S129-AQ129</f>
        <v>6.661338147750939e-16</v>
      </c>
      <c r="AS129" s="5">
        <f>AS128</f>
        <v>0</v>
      </c>
      <c r="AT129" s="5">
        <f>AT128+AI129</f>
        <v>0</v>
      </c>
      <c r="AU129" s="5">
        <f>AU128+AM129</f>
        <v>0</v>
      </c>
      <c r="AV129" s="5">
        <f>AS129+AT129+AU129</f>
        <v>0</v>
      </c>
      <c r="AW129" s="5">
        <f>U129-AV129</f>
        <v>0</v>
      </c>
      <c r="AX129" s="4">
        <v>1.3558292826451486</v>
      </c>
      <c r="AY129" s="4">
        <v>1.3610985261869595</v>
      </c>
      <c r="AZ129" s="5">
        <f>S129-AY129</f>
        <v>0</v>
      </c>
      <c r="BA129" s="4">
        <v>0</v>
      </c>
      <c r="BB129" s="4">
        <v>0</v>
      </c>
      <c r="BC129" s="5">
        <f>U129-BB129</f>
        <v>0</v>
      </c>
      <c r="BD129" s="7">
        <f>SUM(IF(BP129="direct",CC129/F129,0),IF(CR129="direct",DE129/F129,0),IF(DT129="direct",EG129/F129,0),IF(EV129="direct",FI129/F129,0),IF(FX129="direct",GK129/F129,0),IF(GZ129="direct",HM129/F129,0),IF(IB129="direct",IO129/F129,0),IF(JD129="direct",JQ129/F129,0),IF(KF129="direct",KS129/F129,0),IF(LH129="direct",LU129/F129,0))</f>
        <v>0</v>
      </c>
      <c r="BE129" s="7">
        <f>-SUM(IF(BP129="direct",CD129/F129,0),IF(CR129="direct",DF129/F129,0),IF(DT129="direct",EH129/F129,0),IF(EV129="direct",FJ129/F129,0),IF(FX129="direct",GL129/F129,0),IF(GZ129="direct",HN129/F129,0),IF(IB129="direct",IP129/F129,0),IF(JD129="direct",JR129/F129,0),IF(KF129="direct",KT129/F129,0),IF(LH129="direct",LV129/F129,0))</f>
        <v>0</v>
      </c>
      <c r="BF129" s="7">
        <f>BD129+BE129</f>
        <v>0</v>
      </c>
      <c r="BG129" s="7">
        <f>BF129-SUM(IF(BP129="direct",CP129,0),IF(CR129="direct",DR129,0),IF(DT129="direct",ET129,0),IF(EV129="direct",FV129,0),IF(FX129="direct",GX129,0),IF(GZ129="direct",HZ129,0),IF(IB129="direct",JB129,0),IF(JD129="direct",KD129,0),IF(KF129="direct",LF129,0),IF(LH129="direct",MH129,0))</f>
        <v>0</v>
      </c>
      <c r="BH129" s="7">
        <f>SUM(IF(BP129="treasury",CP129,0),IF(CR129="treasury",DR129,0),IF(DT129="treasury",ET129,0),IF(EV129="treasury",FV129,0),IF(FX129="treasury",GX129,0),IF(GZ129="treasury",HZ129,0),IF(IB129="treasury",JB129,0),IF(JD129="treasury",KD129,0),IF(KF129="treasury",LF129,0),IF(LH129="treasury",MH129,0))</f>
        <v>0.0001917808219178082</v>
      </c>
      <c r="BI129" s="7">
        <f>SUM(IF(BP129="future",CP129,0),IF(CR129="future",DR129,0),IF(DT129="future",ET129,0),IF(EV129="future",FV129,0),IF(FX129="future",GX129,0),IF(GZ129="future",HZ129,0),IF(IB129="future",JB129,0),IF(JD129="future",KD129,0),IF(KF129="future",LF129,0),IF(LH129="future",MH129,0))</f>
        <v>0.003694581280788034</v>
      </c>
      <c r="BJ129" s="7">
        <f>SUM(IF(BP129="cash",CP129,0),IF(CR129="cash",DR129,0),IF(DT129="cash",ET129,0),IF(EV129="cash",FV129,0),IF(FX129="cash",GX129,0),IF(GZ129="cash",HZ129,0),IF(IB129="cash",JB129,0),IF(JD129="cash",KD129,0),IF(KF129="cash",LF129,0),IF(LH129="cash",MH129,0))</f>
        <v>0</v>
      </c>
      <c r="BK129" s="7">
        <f>SUM(BF129,BH129,BI129,BJ129)</f>
        <v>0.003886362102705842</v>
      </c>
      <c r="BL129" s="7">
        <f>G129-BK129</f>
        <v>0</v>
      </c>
      <c r="BM129" s="5">
        <f>MAX(ABS(CG129),ABS(DI129),ABS(EK129),ABS(FM129),ABS(GO129),ABS(HQ129),ABS(IS129),ABS(JU129),ABS(KW129),ABS(LY129))</f>
        <v>3.366447745567491e-17</v>
      </c>
      <c r="BN129" s="9">
        <f>COUNTA(BO129,CQ129,DS129,EU129,FW129,GY129,IA129,JC129,KE129,LG129)</f>
        <v>4</v>
      </c>
      <c r="BO129" t="inlineStr">
        <is>
          <t xml:space="preserve">Treasury collateral</t>
        </is>
      </c>
      <c r="BP129" t="inlineStr">
        <is>
          <t xml:space="preserve">treasury</t>
        </is>
      </c>
      <c r="BQ129" t="inlineStr">
        <is>
          <t xml:space="preserve">lease</t>
        </is>
      </c>
      <c r="BR129" t="inlineStr">
        <is>
          <t xml:space="preserve">long</t>
        </is>
      </c>
      <c r="BS129"/>
      <c r="BT129" s="4">
        <v>103.24855349628777</v>
      </c>
      <c r="BU129" s="4">
        <v>103.26835458873911</v>
      </c>
      <c r="BV129" s="6"/>
      <c r="BW129" s="4">
        <v>0.01313170244747202</v>
      </c>
      <c r="BX129" s="5">
        <f>IF(BP129="direct",IFERROR(CD129/BU129,0),0)</f>
        <v>0</v>
      </c>
      <c r="BY129" s="5">
        <f>IF(BP129="direct",BW129-BX129,IF(BP129="cash",CI129,BW129))</f>
        <v>0.01313170244747202</v>
      </c>
      <c r="BZ129" s="6">
        <v>1</v>
      </c>
      <c r="CA129" s="4">
        <v>1.355829282645148</v>
      </c>
      <c r="CB129" s="4">
        <v>1.355829282645148</v>
      </c>
      <c r="CC129" s="5">
        <f>IF(BP129="direct",BW129*(BU129-BT129),CF129)</f>
        <v>0.00026002205420595244</v>
      </c>
      <c r="CD129" s="5">
        <f>IF(BP129="direct",CB129*BV129*C129/365,0)</f>
        <v>0</v>
      </c>
      <c r="CE129" s="5">
        <f>CC129-CD129</f>
        <v>0.0002600220542059188</v>
      </c>
      <c r="CF129" s="4">
        <v>0.0002600220542059188</v>
      </c>
      <c r="CG129" s="5">
        <f>CF129-CE129</f>
        <v>-3.366447745567491e-17</v>
      </c>
      <c r="CH129" s="4">
        <v>2.5153490401663703e-17</v>
      </c>
      <c r="CI129" s="4">
        <v>1.3560893046993538</v>
      </c>
      <c r="CJ129" s="4">
        <v>1.663</v>
      </c>
      <c r="CK129" s="4">
        <v>1.631</v>
      </c>
      <c r="CL129" s="6"/>
      <c r="CM129" s="6"/>
      <c r="CN129" s="6"/>
      <c r="CO129" s="9">
        <v>19</v>
      </c>
      <c r="CP129" s="7">
        <f>IFERROR(CE129/F129,0)</f>
        <v>0.0001917808219178082</v>
      </c>
      <c r="CQ129" t="inlineStr">
        <is>
          <t xml:space="preserve">SI69N</t>
        </is>
      </c>
      <c r="CR129" t="inlineStr">
        <is>
          <t xml:space="preserve">future</t>
        </is>
      </c>
      <c r="CS129" t="inlineStr">
        <is>
          <t xml:space="preserve">lease</t>
        </is>
      </c>
      <c r="CT129" t="inlineStr">
        <is>
          <t xml:space="preserve">long</t>
        </is>
      </c>
      <c r="CU129" t="inlineStr">
        <is>
          <t xml:space="preserve">regular</t>
        </is>
      </c>
      <c r="CV129" s="4">
        <v>1.624</v>
      </c>
      <c r="CW129" s="4">
        <v>1.63</v>
      </c>
      <c r="CX129" s="6"/>
      <c r="CY129" s="4">
        <v>0.8348702479342043</v>
      </c>
      <c r="CZ129" s="5">
        <f>IF(CR129="direct",IFERROR(DF129/CW129,0),0)</f>
        <v>0</v>
      </c>
      <c r="DA129" s="5">
        <f>IF(CR129="direct",CY129-CZ129,IF(CR129="cash",DK129,CY129))</f>
        <v>0.8348702479342043</v>
      </c>
      <c r="DB129" s="6">
        <v>1</v>
      </c>
      <c r="DC129" s="4">
        <v>1.355829282645148</v>
      </c>
      <c r="DD129" s="4">
        <v>0</v>
      </c>
      <c r="DE129" s="5">
        <f>IF(CR129="direct",CY129*(CW129-CV129),DH129)</f>
        <v>0.005009221487605032</v>
      </c>
      <c r="DF129" s="5">
        <f>IF(CR129="direct",DD129*CX129*C129/365,0)</f>
        <v>0</v>
      </c>
      <c r="DG129" s="5">
        <f>DE129-DF129</f>
        <v>0.005009221487605032</v>
      </c>
      <c r="DH129" s="4">
        <v>0.005009221487605032</v>
      </c>
      <c r="DI129" s="5">
        <f>DH129-DG129</f>
        <v>0</v>
      </c>
      <c r="DJ129" s="4">
        <v>-0.005009221487605032</v>
      </c>
      <c r="DK129" s="4">
        <v>0</v>
      </c>
      <c r="DL129" s="4">
        <v>1.663</v>
      </c>
      <c r="DM129" s="4">
        <v>1.631</v>
      </c>
      <c r="DN129" s="6">
        <v>-0.023451593505712576</v>
      </c>
      <c r="DO129" s="6">
        <v>0.07</v>
      </c>
      <c r="DP129" s="6">
        <v>0.520517454188689</v>
      </c>
      <c r="DQ129" s="9">
        <v>19</v>
      </c>
      <c r="DR129" s="7">
        <f>IFERROR(DG129/F129,0)</f>
        <v>0.003694581280788034</v>
      </c>
      <c r="DS129" t="inlineStr">
        <is>
          <t xml:space="preserve">Lease cash / margin / financing</t>
        </is>
      </c>
      <c r="DT129" t="inlineStr">
        <is>
          <t xml:space="preserve">cash</t>
        </is>
      </c>
      <c r="DU129" t="inlineStr">
        <is>
          <t xml:space="preserve">lease</t>
        </is>
      </c>
      <c r="DV129" t="inlineStr">
        <is>
          <t xml:space="preserve">cash</t>
        </is>
      </c>
      <c r="DW129"/>
      <c r="DX129" s="4">
        <v>1</v>
      </c>
      <c r="DY129" s="4">
        <v>1</v>
      </c>
      <c r="DZ129" s="6"/>
      <c r="EA129" s="4">
        <v>6.661338147750939e-16</v>
      </c>
      <c r="EB129" s="5">
        <f>IF(DT129="direct",IFERROR(EH129/DY129,0),0)</f>
        <v>0</v>
      </c>
      <c r="EC129" s="5">
        <f>IF(DT129="direct",EA129-EB129,IF(DT129="cash",EM129,EA129))</f>
        <v>0.005009221487605673</v>
      </c>
      <c r="ED129" s="6"/>
      <c r="EE129" s="4">
        <v>6.661338147750939e-16</v>
      </c>
      <c r="EF129" s="4">
        <v>6.661338147750939e-16</v>
      </c>
      <c r="EG129" s="5">
        <f>IF(DT129="direct",EA129*(DY129-DX129),EJ129)</f>
        <v>0</v>
      </c>
      <c r="EH129" s="5">
        <f>IF(DT129="direct",EF129*DZ129*C129/365,0)</f>
        <v>0</v>
      </c>
      <c r="EI129" s="5">
        <f>EG129-EH129</f>
        <v>0</v>
      </c>
      <c r="EJ129" s="4">
        <v>0</v>
      </c>
      <c r="EK129" s="5">
        <f>EJ129-EI129</f>
        <v>0</v>
      </c>
      <c r="EL129" s="4">
        <v>0.005009221487605007</v>
      </c>
      <c r="EM129" s="4">
        <v>0.005009221487605673</v>
      </c>
      <c r="EN129" s="4">
        <v>1.663</v>
      </c>
      <c r="EO129" s="4">
        <v>1.631</v>
      </c>
      <c r="EP129" s="6"/>
      <c r="EQ129" s="6"/>
      <c r="ER129" s="6"/>
      <c r="ES129" s="9"/>
      <c r="ET129" s="7">
        <f>IFERROR(EI129/F129,0)</f>
        <v>0</v>
      </c>
      <c r="EU129" t="inlineStr">
        <is>
          <t xml:space="preserve">Keep cash / margin / financing</t>
        </is>
      </c>
      <c r="EV129" t="inlineStr">
        <is>
          <t xml:space="preserve">cash</t>
        </is>
      </c>
      <c r="EW129" t="inlineStr">
        <is>
          <t xml:space="preserve">keep</t>
        </is>
      </c>
      <c r="EX129" t="inlineStr">
        <is>
          <t xml:space="preserve">cash</t>
        </is>
      </c>
      <c r="EY129"/>
      <c r="EZ129" s="4">
        <v>1</v>
      </c>
      <c r="FA129" s="4">
        <v>1</v>
      </c>
      <c r="FB129" s="6"/>
      <c r="FC129" s="4">
        <v>0</v>
      </c>
      <c r="FD129" s="5">
        <f>IF(EV129="direct",IFERROR(FJ129/FA129,0),0)</f>
        <v>0</v>
      </c>
      <c r="FE129" s="5">
        <f>IF(EV129="direct",FC129-FD129,IF(EV129="cash",FO129,FC129))</f>
        <v>0</v>
      </c>
      <c r="FF129" s="6"/>
      <c r="FG129" s="4">
        <v>0</v>
      </c>
      <c r="FH129" s="4">
        <v>0</v>
      </c>
      <c r="FI129" s="5">
        <f>IF(EV129="direct",FC129*(FA129-EZ129),FL129)</f>
        <v>0</v>
      </c>
      <c r="FJ129" s="5">
        <f>IF(EV129="direct",FH129*FB129*C129/365,0)</f>
        <v>0</v>
      </c>
      <c r="FK129" s="5">
        <f>FI129-FJ129</f>
        <v>0</v>
      </c>
      <c r="FL129" s="4">
        <v>0</v>
      </c>
      <c r="FM129" s="5">
        <f>FL129-FK129</f>
        <v>0</v>
      </c>
      <c r="FN129" s="4">
        <v>0</v>
      </c>
      <c r="FO129" s="4">
        <v>0</v>
      </c>
      <c r="FP129" s="4">
        <v>1.663</v>
      </c>
      <c r="FQ129" s="4">
        <v>1.631</v>
      </c>
      <c r="FR129" s="6"/>
      <c r="FS129" s="6"/>
      <c r="FT129" s="6"/>
      <c r="FU129" s="9"/>
      <c r="FV129" s="7">
        <f>IFERROR(FK129/F129,0)</f>
        <v>0</v>
      </c>
      <c r="FW129"/>
      <c r="FX129"/>
      <c r="FY129"/>
      <c r="FZ129"/>
      <c r="GA129"/>
      <c r="GB129" s="4"/>
      <c r="GC129" s="4"/>
      <c r="GD129" s="6"/>
      <c r="GE129" s="4"/>
      <c r="GF129" s="5">
        <v>0</v>
      </c>
      <c r="GG129" s="5"/>
      <c r="GH129" s="6"/>
      <c r="GI129" s="4"/>
      <c r="GJ129" s="4"/>
      <c r="GK129" s="5">
        <v>0</v>
      </c>
      <c r="GL129" s="5">
        <v>0</v>
      </c>
      <c r="GM129" s="5"/>
      <c r="GN129" s="4"/>
      <c r="GO129" s="5">
        <v>0</v>
      </c>
      <c r="GP129" s="4"/>
      <c r="GQ129" s="4"/>
      <c r="GR129" s="4"/>
      <c r="GS129" s="4"/>
      <c r="GT129" s="6"/>
      <c r="GU129" s="6"/>
      <c r="GV129" s="6"/>
      <c r="GW129" s="9"/>
      <c r="GX129"/>
      <c r="GY129"/>
      <c r="GZ129"/>
      <c r="HA129"/>
      <c r="HB129"/>
      <c r="HC129"/>
      <c r="HD129" s="4"/>
      <c r="HE129" s="4"/>
      <c r="HF129" s="6"/>
      <c r="HG129" s="4"/>
      <c r="HH129" s="5">
        <v>0</v>
      </c>
      <c r="HI129" s="5"/>
      <c r="HJ129" s="6"/>
      <c r="HK129" s="4"/>
      <c r="HL129" s="4"/>
      <c r="HM129" s="5">
        <v>0</v>
      </c>
      <c r="HN129" s="5">
        <v>0</v>
      </c>
      <c r="HO129" s="5"/>
      <c r="HP129" s="4"/>
      <c r="HQ129" s="5">
        <v>0</v>
      </c>
      <c r="HR129" s="4"/>
      <c r="HS129" s="4"/>
      <c r="HT129" s="4"/>
      <c r="HU129" s="4"/>
      <c r="HV129" s="6"/>
      <c r="HW129" s="6"/>
      <c r="HX129" s="6"/>
      <c r="HY129" s="9"/>
      <c r="HZ129"/>
      <c r="IA129"/>
      <c r="IB129"/>
      <c r="IC129"/>
      <c r="ID129"/>
      <c r="IE129"/>
      <c r="IF129" s="4"/>
      <c r="IG129" s="4"/>
      <c r="IH129" s="6"/>
      <c r="II129" s="4"/>
      <c r="IJ129" s="5">
        <v>0</v>
      </c>
      <c r="IK129" s="5"/>
      <c r="IL129" s="6"/>
      <c r="IM129" s="4"/>
      <c r="IN129" s="4"/>
      <c r="IO129" s="5">
        <v>0</v>
      </c>
      <c r="IP129" s="5">
        <v>0</v>
      </c>
      <c r="IQ129" s="5"/>
      <c r="IR129" s="4"/>
      <c r="IS129" s="5">
        <v>0</v>
      </c>
      <c r="IT129" s="4"/>
      <c r="IU129" s="4"/>
      <c r="IV129" s="4"/>
      <c r="IW129" s="4"/>
      <c r="IX129" s="6"/>
      <c r="IY129" s="6"/>
      <c r="IZ129" s="6"/>
      <c r="JA129" s="9"/>
      <c r="JB129"/>
      <c r="JC129"/>
      <c r="JD129"/>
      <c r="JE129"/>
      <c r="JF129"/>
      <c r="JG129"/>
      <c r="JH129" s="4"/>
      <c r="JI129" s="4"/>
      <c r="JJ129" s="6"/>
      <c r="JK129" s="4"/>
      <c r="JL129" s="5">
        <v>0</v>
      </c>
      <c r="JM129" s="5"/>
      <c r="JN129" s="6"/>
      <c r="JO129" s="4"/>
      <c r="JP129" s="4"/>
      <c r="JQ129" s="5">
        <v>0</v>
      </c>
      <c r="JR129" s="5">
        <v>0</v>
      </c>
      <c r="JS129" s="5"/>
      <c r="JT129" s="4"/>
      <c r="JU129" s="5">
        <v>0</v>
      </c>
      <c r="JV129" s="4"/>
      <c r="JW129" s="4"/>
      <c r="JX129" s="4"/>
      <c r="JY129" s="4"/>
      <c r="JZ129" s="6"/>
      <c r="KA129" s="6"/>
      <c r="KB129" s="6"/>
      <c r="KC129" s="9"/>
      <c r="KD129"/>
      <c r="KE129"/>
      <c r="KF129"/>
      <c r="KG129"/>
      <c r="KH129"/>
      <c r="KI129"/>
      <c r="KJ129" s="4"/>
      <c r="KK129" s="4"/>
      <c r="KL129" s="6"/>
      <c r="KM129" s="4"/>
      <c r="KN129" s="5">
        <v>0</v>
      </c>
      <c r="KO129" s="5"/>
      <c r="KP129" s="6"/>
      <c r="KQ129" s="4"/>
      <c r="KR129" s="4"/>
      <c r="KS129" s="5">
        <v>0</v>
      </c>
      <c r="KT129" s="5">
        <v>0</v>
      </c>
      <c r="KU129" s="5"/>
      <c r="KV129" s="4"/>
      <c r="KW129" s="5">
        <v>0</v>
      </c>
      <c r="KX129" s="4"/>
      <c r="KY129" s="4"/>
      <c r="KZ129" s="4"/>
      <c r="LA129" s="4"/>
      <c r="LB129" s="6"/>
      <c r="LC129" s="6"/>
      <c r="LD129" s="6"/>
      <c r="LE129" s="9"/>
      <c r="LF129"/>
      <c r="LG129"/>
      <c r="LH129"/>
      <c r="LI129"/>
      <c r="LJ129"/>
      <c r="LK129"/>
      <c r="LL129" s="4"/>
      <c r="LM129" s="4"/>
      <c r="LN129" s="6"/>
      <c r="LO129" s="4"/>
      <c r="LP129" s="5">
        <v>0</v>
      </c>
      <c r="LQ129" s="5"/>
      <c r="LR129" s="6"/>
      <c r="LS129" s="4"/>
      <c r="LT129" s="4"/>
      <c r="LU129" s="5">
        <v>0</v>
      </c>
      <c r="LV129" s="5">
        <v>0</v>
      </c>
      <c r="LW129" s="5"/>
      <c r="LX129" s="4"/>
      <c r="LY129" s="5">
        <v>0</v>
      </c>
      <c r="LZ129" s="4"/>
      <c r="MA129" s="4"/>
      <c r="MB129" s="4"/>
      <c r="MC129" s="4"/>
      <c r="MD129" s="6"/>
      <c r="ME129" s="6"/>
      <c r="MF129" s="6"/>
      <c r="MG129" s="9"/>
      <c r="MH129"/>
    </row>
    <row r="130">
      <c r="A130" s="8">
        <v>25395</v>
      </c>
      <c r="B130" s="8">
        <v>25398</v>
      </c>
      <c r="C130" s="9">
        <f>B130-A130</f>
        <v>3</v>
      </c>
      <c r="D130" s="8">
        <v>25395</v>
      </c>
      <c r="E130" t="inlineStr">
        <is>
          <t xml:space="preserve">positive</t>
        </is>
      </c>
      <c r="F130" s="4">
        <v>1.3610985261869588</v>
      </c>
      <c r="G130" s="6">
        <v>0.017169262223350357</v>
      </c>
      <c r="H130" s="7">
        <f>SUM(CP130,DR130,ET130,FV130,GX130,HZ130,JB130,KD130,LF130,MH130)</f>
        <v>0.01716926222335036</v>
      </c>
      <c r="I130" s="7">
        <f>G130-H130</f>
        <v>-3.469446951953614e-18</v>
      </c>
      <c r="J130" s="5">
        <f>F130*(1+H130)</f>
        <v>1.3844675836948783</v>
      </c>
      <c r="K130" s="4">
        <v>1.3844675836948783</v>
      </c>
      <c r="L130" s="5">
        <f>K130-J130</f>
        <v>0</v>
      </c>
      <c r="M130" s="4">
        <v>1.631</v>
      </c>
      <c r="N130" s="4">
        <v>1.652</v>
      </c>
      <c r="O130" s="5">
        <f>M130/$M$3</f>
        <v>0.8329928498467825</v>
      </c>
      <c r="P130" s="5">
        <f>N130/$M$3</f>
        <v>0.8437180796731358</v>
      </c>
      <c r="Q130" s="7">
        <f>IFERROR(N130/M130-1,0)</f>
        <v>0.012875536480686733</v>
      </c>
      <c r="R130" s="5">
        <f>SUM(IF(BQ130="lease",CB130,0),IF(CS130="lease",DD130,0),IF(DU130="lease",EF130,0),IF(EW130="lease",FH130,0),IF(FY130="lease",GJ130,0),IF(HA130="lease",HL130,0),IF(IC130="lease",IN130,0),IF(JE130="lease",JP130,0),IF(KG130="lease",KR130,0),IF(LI130="lease",LT130,0))</f>
        <v>1.3610985261869595</v>
      </c>
      <c r="S130" s="5">
        <f>SUM(IF(BQ130="lease",CI130,0),IF(CS130="lease",DK130,0),IF(DU130="lease",EM130,0),IF(EW130="lease",FO130,0),IF(FY130="lease",GQ130,0),IF(HA130="lease",HS130,0),IF(IC130="lease",IU130,0),IF(JE130="lease",JW130,0),IF(KG130="lease",KY130,0),IF(LI130="lease",MA130,0))</f>
        <v>1.384467583694879</v>
      </c>
      <c r="T130" s="5">
        <f>SUM(IF(BQ130="keep",CB130,0),IF(CS130="keep",DD130,0),IF(DU130="keep",EF130,0),IF(EW130="keep",FH130,0),IF(FY130="keep",GJ130,0),IF(HA130="keep",HL130,0),IF(IC130="keep",IN130,0),IF(JE130="keep",JP130,0),IF(KG130="keep",KR130,0),IF(LI130="keep",LT130,0))</f>
        <v>0</v>
      </c>
      <c r="U130" s="5">
        <f>SUM(IF(BQ130="keep",CI130,0),IF(CS130="keep",DK130,0),IF(DU130="keep",EM130,0),IF(EW130="keep",FO130,0),IF(FY130="keep",GQ130,0),IF(HA130="keep",HS130,0),IF(IC130="keep",IU130,0),IF(JE130="keep",JW130,0),IF(KG130="keep",KY130,0),IF(LI130="keep",MA130,0))</f>
        <v>0</v>
      </c>
      <c r="V130" s="5">
        <f>R130/O130</f>
        <v>1.633985845661598</v>
      </c>
      <c r="W130" s="5">
        <f>S130/P130</f>
        <v>1.640912547744899</v>
      </c>
      <c r="X130" s="5">
        <f>T130/O130</f>
        <v>0</v>
      </c>
      <c r="Y130" s="5">
        <f>U130/P130</f>
        <v>0</v>
      </c>
      <c r="Z130" s="5">
        <f>V130+X130</f>
        <v>1.633985845661598</v>
      </c>
      <c r="AA130" s="7">
        <f>IFERROR(W130/V130-1,0)</f>
        <v>0.004239144483223045</v>
      </c>
      <c r="AB130" s="7">
        <f>IFERROR((W130-V130)/Z130,0)</f>
        <v>0.004239144483222991</v>
      </c>
      <c r="AC130" s="7">
        <f>IFERROR(Y130/X130-1,0)</f>
        <v>0</v>
      </c>
      <c r="AD130" s="7">
        <f>IFERROR((Y130-X130)/Z130,0)</f>
        <v>0</v>
      </c>
      <c r="AE130" s="7">
        <f>AB130+AD130</f>
        <v>0.004239144483222991</v>
      </c>
      <c r="AF130" s="7">
        <f>(1+Q130)*(1+AE130)-1</f>
        <v>0.017169262223350357</v>
      </c>
      <c r="AG130" s="7">
        <f>G130-AF130</f>
        <v>0</v>
      </c>
      <c r="AH130" s="5">
        <f>SUM(IF(BQ130="lease",CE130,0),IF(CS130="lease",DG130,0),IF(DU130="lease",EI130,0),IF(EW130="lease",FK130,0),IF(FY130="lease",GM130,0),IF(HA130="lease",HO130,0),IF(IC130="lease",IQ130,0),IF(JE130="lease",JS130,0),IF(KG130="lease",KU130,0),IF(LI130="lease",LW130,0))</f>
        <v>0.0233690575079196</v>
      </c>
      <c r="AI130" s="5">
        <f>SUM(IF(BQ130="keep",CE130,0),IF(CS130="keep",DG130,0),IF(DU130="keep",EI130,0),IF(EW130="keep",FK130,0),IF(FY130="keep",GM130,0),IF(HA130="keep",HO130,0),IF(IC130="keep",IQ130,0),IF(JE130="keep",JS130,0),IF(KG130="keep",KU130,0),IF(LI130="keep",LW130,0))</f>
        <v>0</v>
      </c>
      <c r="AJ130" s="5">
        <f>SUM(IF(BQ130="lease",CH130,0),IF(CS130="lease",DJ130,0),IF(DU130="lease",EL130,0),IF(EW130="lease",FN130,0),IF(FY130="lease",GP130,0),IF(HA130="lease",HR130,0),IF(IC130="lease",IT130,0),IF(JE130="lease",JV130,0),IF(KG130="lease",KX130,0),IF(LI130="lease",LZ130,0))</f>
        <v>0</v>
      </c>
      <c r="AK130" s="5">
        <f>SUM(IF(BQ130="keep",CH130,0),IF(CS130="keep",DJ130,0),IF(DU130="keep",EL130,0),IF(EW130="keep",FN130,0),IF(FY130="keep",GP130,0),IF(HA130="keep",HR130,0),IF(IC130="keep",IT130,0),IF(JE130="keep",JV130,0),IF(KG130="keep",KX130,0),IF(LI130="keep",LZ130,0))</f>
        <v>0</v>
      </c>
      <c r="AL130" s="5">
        <f>R130-S129</f>
        <v>0</v>
      </c>
      <c r="AM130" s="5">
        <f>T130-U129</f>
        <v>0</v>
      </c>
      <c r="AN130" s="5">
        <f>AN129</f>
        <v>1</v>
      </c>
      <c r="AO130" s="5">
        <f>AO129+AH130</f>
        <v>0.38446758369487893</v>
      </c>
      <c r="AP130" s="5">
        <f>AP129+AL130</f>
        <v>-4.440892098500626e-16</v>
      </c>
      <c r="AQ130" s="5">
        <f>AN130+AO130+AP130</f>
        <v>1.3844675836948785</v>
      </c>
      <c r="AR130" s="5">
        <f>S130-AQ130</f>
        <v>4.440892098500626e-16</v>
      </c>
      <c r="AS130" s="5">
        <f>AS129</f>
        <v>0</v>
      </c>
      <c r="AT130" s="5">
        <f>AT129+AI130</f>
        <v>0</v>
      </c>
      <c r="AU130" s="5">
        <f>AU129+AM130</f>
        <v>0</v>
      </c>
      <c r="AV130" s="5">
        <f>AS130+AT130+AU130</f>
        <v>0</v>
      </c>
      <c r="AW130" s="5">
        <f>U130-AV130</f>
        <v>0</v>
      </c>
      <c r="AX130" s="4">
        <v>1.3610985261869595</v>
      </c>
      <c r="AY130" s="4">
        <v>1.384467583694879</v>
      </c>
      <c r="AZ130" s="5">
        <f>S130-AY130</f>
        <v>0</v>
      </c>
      <c r="BA130" s="4">
        <v>0</v>
      </c>
      <c r="BB130" s="4">
        <v>0</v>
      </c>
      <c r="BC130" s="5">
        <f>U130-BB130</f>
        <v>0</v>
      </c>
      <c r="BD130" s="7">
        <f>SUM(IF(BP130="direct",CC130/F130,0),IF(CR130="direct",DE130/F130,0),IF(DT130="direct",EG130/F130,0),IF(EV130="direct",FI130/F130,0),IF(FX130="direct",GK130/F130,0),IF(GZ130="direct",HM130/F130,0),IF(IB130="direct",IO130/F130,0),IF(JD130="direct",JQ130/F130,0),IF(KF130="direct",KS130/F130,0),IF(LH130="direct",LU130/F130,0))</f>
        <v>0.005894186521458897</v>
      </c>
      <c r="BE130" s="7">
        <f>-SUM(IF(BP130="direct",CD130/F130,0),IF(CR130="direct",DF130/F130,0),IF(DT130="direct",EH130/F130,0),IF(EV130="direct",FJ130/F130,0),IF(FX130="direct",GL130/F130,0),IF(GZ130="direct",HN130/F130,0),IF(IB130="direct",IP130/F130,0),IF(JD130="direct",JR130/F130,0),IF(KF130="direct",KT130/F130,0),IF(LH130="direct",LV130/F130,0))</f>
        <v>-0.000009406475749999513</v>
      </c>
      <c r="BF130" s="7">
        <f>BD130+BE130</f>
        <v>0.005884780045708898</v>
      </c>
      <c r="BG130" s="7">
        <f>BF130-SUM(IF(BP130="direct",CP130,0),IF(CR130="direct",DR130,0),IF(DT130="direct",ET130,0),IF(EV130="direct",FV130,0),IF(FX130="direct",GX130,0),IF(GZ130="direct",HZ130,0),IF(IB130="direct",JB130,0),IF(JD130="direct",KD130,0),IF(KF130="direct",LF130,0),IF(LH130="direct",MH130,0))</f>
        <v>-4.163336342344337e-17</v>
      </c>
      <c r="BH130" s="7">
        <f>SUM(IF(BP130="treasury",CP130,0),IF(CR130="treasury",DR130,0),IF(DT130="treasury",ET130,0),IF(EV130="treasury",FV130,0),IF(FX130="treasury",GX130,0),IF(GZ130="treasury",HZ130,0),IF(IB130="treasury",JB130,0),IF(JD130="treasury",KD130,0),IF(KF130="treasury",LF130,0),IF(LH130="treasury",MH130,0))</f>
        <v>0.0003070588981930271</v>
      </c>
      <c r="BI130" s="7">
        <f>SUM(IF(BP130="future",CP130,0),IF(CR130="future",DR130,0),IF(DT130="future",ET130,0),IF(EV130="future",FV130,0),IF(FX130="future",GX130,0),IF(GZ130="future",HZ130,0),IF(IB130="future",JB130,0),IF(JD130="future",KD130,0),IF(KF130="future",LF130,0),IF(LH130="future",MH130,0))</f>
        <v>0.010977423279448392</v>
      </c>
      <c r="BJ130" s="7">
        <f>SUM(IF(BP130="cash",CP130,0),IF(CR130="cash",DR130,0),IF(DT130="cash",ET130,0),IF(EV130="cash",FV130,0),IF(FX130="cash",GX130,0),IF(GZ130="cash",HZ130,0),IF(IB130="cash",JB130,0),IF(JD130="cash",KD130,0),IF(KF130="cash",LF130,0),IF(LH130="cash",MH130,0))</f>
        <v>0</v>
      </c>
      <c r="BK130" s="7">
        <f>SUM(BF130,BH130,BI130,BJ130)</f>
        <v>0.017169262223350357</v>
      </c>
      <c r="BL130" s="7">
        <f>G130-BK130</f>
        <v>0</v>
      </c>
      <c r="BM130" s="5">
        <f>MAX(ABS(CG130),ABS(DI130),ABS(EK130),ABS(FM130),ABS(GO130),ABS(HQ130),ABS(IS130),ABS(JU130),ABS(KW130),ABS(LY130))</f>
        <v>5.762534546760456e-17</v>
      </c>
      <c r="BN130" s="9">
        <f>COUNTA(BO130,CQ130,DS130,EU130,FW130,GY130,IA130,JC130,KE130,LG130)</f>
        <v>5</v>
      </c>
      <c r="BO130" t="inlineStr">
        <is>
          <t xml:space="preserve">Direct commodity holding</t>
        </is>
      </c>
      <c r="BP130" t="inlineStr">
        <is>
          <t xml:space="preserve">direct</t>
        </is>
      </c>
      <c r="BQ130" t="inlineStr">
        <is>
          <t xml:space="preserve">lease</t>
        </is>
      </c>
      <c r="BR130" t="inlineStr">
        <is>
          <t xml:space="preserve">long</t>
        </is>
      </c>
      <c r="BS130"/>
      <c r="BT130" s="4">
        <v>1.631</v>
      </c>
      <c r="BU130" s="4">
        <v>1.652</v>
      </c>
      <c r="BV130" s="6">
        <v>0.0025</v>
      </c>
      <c r="BW130" s="4">
        <v>0.3820270755918465</v>
      </c>
      <c r="BX130" s="5">
        <f>IF(BP130="direct",IFERROR(CD130/BU130,0),0)</f>
        <v>0.000007750084915216528</v>
      </c>
      <c r="BY130" s="5">
        <f>IF(BP130="direct",BW130-BX130,IF(BP130="cash",CI130,BW130))</f>
        <v>0.3820193255069313</v>
      </c>
      <c r="BZ130" s="6">
        <v>0.4577818198333096</v>
      </c>
      <c r="CA130" s="4">
        <v>0.6230861602903016</v>
      </c>
      <c r="CB130" s="4">
        <v>0.6230861602903016</v>
      </c>
      <c r="CC130" s="5">
        <f>IF(BP130="direct",BW130*(BU130-BT130),CF130)</f>
        <v>0.008022568587428742</v>
      </c>
      <c r="CD130" s="5">
        <f>IF(BP130="direct",CB130*BV130*C130/365,0)</f>
        <v>0.000012803140279937705</v>
      </c>
      <c r="CE130" s="5">
        <f>CC130-CD130</f>
        <v>0.008009765447148862</v>
      </c>
      <c r="CF130" s="4">
        <v>0.008009765447148862</v>
      </c>
      <c r="CG130" s="5">
        <f>CF130-CE130</f>
        <v>5.751184305267248e-17</v>
      </c>
      <c r="CH130" s="4">
        <v>0</v>
      </c>
      <c r="CI130" s="4">
        <v>0.6310959257374504</v>
      </c>
      <c r="CJ130" s="4">
        <v>1.631</v>
      </c>
      <c r="CK130" s="4">
        <v>1.652</v>
      </c>
      <c r="CL130" s="6"/>
      <c r="CM130" s="6"/>
      <c r="CN130" s="6"/>
      <c r="CO130" s="9"/>
      <c r="CP130" s="7">
        <f>IFERROR(CE130/F130,0)</f>
        <v>0.005884780045708939</v>
      </c>
      <c r="CQ130" t="inlineStr">
        <is>
          <t xml:space="preserve">Treasury collateral</t>
        </is>
      </c>
      <c r="CR130" t="inlineStr">
        <is>
          <t xml:space="preserve">treasury</t>
        </is>
      </c>
      <c r="CS130" t="inlineStr">
        <is>
          <t xml:space="preserve">lease</t>
        </is>
      </c>
      <c r="CT130" t="inlineStr">
        <is>
          <t xml:space="preserve">long</t>
        </is>
      </c>
      <c r="CU130"/>
      <c r="CV130" s="4">
        <v>103.26835458873911</v>
      </c>
      <c r="CW130" s="4">
        <v>103.32683559940621</v>
      </c>
      <c r="CX130" s="6"/>
      <c r="CY130" s="4">
        <v>0.007146549093725307</v>
      </c>
      <c r="CZ130" s="5">
        <f>IF(CR130="direct",IFERROR(DF130/CW130,0),0)</f>
        <v>0</v>
      </c>
      <c r="DA130" s="5">
        <f>IF(CR130="direct",CY130-CZ130,IF(CR130="cash",DK130,CY130))</f>
        <v>0.007146549093725307</v>
      </c>
      <c r="DB130" s="6">
        <v>0.5422181801666904</v>
      </c>
      <c r="DC130" s="4">
        <v>0.7380123658966572</v>
      </c>
      <c r="DD130" s="4">
        <v>0.7380123658966572</v>
      </c>
      <c r="DE130" s="5">
        <f>IF(CR130="direct",CY130*(CW130-CV130),DH130)</f>
        <v>0.000417937413783063</v>
      </c>
      <c r="DF130" s="5">
        <f>IF(CR130="direct",DD130*CX130*C130/365,0)</f>
        <v>0</v>
      </c>
      <c r="DG130" s="5">
        <f>DE130-DF130</f>
        <v>0.0004179374137831206</v>
      </c>
      <c r="DH130" s="4">
        <v>0.0004179374137831206</v>
      </c>
      <c r="DI130" s="5">
        <f>DH130-DG130</f>
        <v>5.762534546760456e-17</v>
      </c>
      <c r="DJ130" s="4">
        <v>-7.789992609308349e-17</v>
      </c>
      <c r="DK130" s="4">
        <v>0.7384303033104402</v>
      </c>
      <c r="DL130" s="4">
        <v>1.631</v>
      </c>
      <c r="DM130" s="4">
        <v>1.652</v>
      </c>
      <c r="DN130" s="6"/>
      <c r="DO130" s="6"/>
      <c r="DP130" s="6"/>
      <c r="DQ130" s="9">
        <v>18</v>
      </c>
      <c r="DR130" s="7">
        <f>IFERROR(DG130/F130,0)</f>
        <v>0.0003070588981930271</v>
      </c>
      <c r="DS130" t="inlineStr">
        <is>
          <t xml:space="preserve">SI69N</t>
        </is>
      </c>
      <c r="DT130" t="inlineStr">
        <is>
          <t xml:space="preserve">future</t>
        </is>
      </c>
      <c r="DU130" t="inlineStr">
        <is>
          <t xml:space="preserve">lease</t>
        </is>
      </c>
      <c r="DV130" t="inlineStr">
        <is>
          <t xml:space="preserve">long</t>
        </is>
      </c>
      <c r="DW130" t="inlineStr">
        <is>
          <t xml:space="preserve">regular</t>
        </is>
      </c>
      <c r="DX130" s="4">
        <v>1.63</v>
      </c>
      <c r="DY130" s="4">
        <v>1.663</v>
      </c>
      <c r="DZ130" s="6"/>
      <c r="EA130" s="4">
        <v>0.45276832263598604</v>
      </c>
      <c r="EB130" s="5">
        <f>IF(DT130="direct",IFERROR(EH130/DY130,0),0)</f>
        <v>0</v>
      </c>
      <c r="EC130" s="5">
        <f>IF(DT130="direct",EA130-EB130,IF(DT130="cash",EM130,EA130))</f>
        <v>0.45276832263598604</v>
      </c>
      <c r="ED130" s="6">
        <v>0.5422181801666904</v>
      </c>
      <c r="EE130" s="4">
        <v>0.7380123658966572</v>
      </c>
      <c r="EF130" s="4">
        <v>0</v>
      </c>
      <c r="EG130" s="5">
        <f>IF(DT130="direct",EA130*(DY130-DX130),EJ130)</f>
        <v>0.014941354646987618</v>
      </c>
      <c r="EH130" s="5">
        <f>IF(DT130="direct",EF130*DZ130*C130/365,0)</f>
        <v>0</v>
      </c>
      <c r="EI130" s="5">
        <f>EG130-EH130</f>
        <v>0.014941354646987618</v>
      </c>
      <c r="EJ130" s="4">
        <v>0.014941354646987618</v>
      </c>
      <c r="EK130" s="5">
        <f>EJ130-EI130</f>
        <v>0</v>
      </c>
      <c r="EL130" s="4">
        <v>-0.014941354646987618</v>
      </c>
      <c r="EM130" s="4">
        <v>0</v>
      </c>
      <c r="EN130" s="4">
        <v>1.631</v>
      </c>
      <c r="EO130" s="4">
        <v>1.652</v>
      </c>
      <c r="EP130" s="6">
        <v>-0.0006131207847946962</v>
      </c>
      <c r="EQ130" s="6">
        <v>0.0689</v>
      </c>
      <c r="ER130" s="6">
        <v>0.08133272702500356</v>
      </c>
      <c r="ES130" s="9">
        <v>18</v>
      </c>
      <c r="ET130" s="7">
        <f>IFERROR(EI130/F130,0)</f>
        <v>0.010977423279448392</v>
      </c>
      <c r="EU130" t="inlineStr">
        <is>
          <t xml:space="preserve">Lease cash / margin / financing</t>
        </is>
      </c>
      <c r="EV130" t="inlineStr">
        <is>
          <t xml:space="preserve">cash</t>
        </is>
      </c>
      <c r="EW130" t="inlineStr">
        <is>
          <t xml:space="preserve">lease</t>
        </is>
      </c>
      <c r="EX130" t="inlineStr">
        <is>
          <t xml:space="preserve">cash</t>
        </is>
      </c>
      <c r="EY130"/>
      <c r="EZ130" s="4">
        <v>1</v>
      </c>
      <c r="FA130" s="4">
        <v>1</v>
      </c>
      <c r="FB130" s="6"/>
      <c r="FC130" s="4">
        <v>6.661338147750939e-16</v>
      </c>
      <c r="FD130" s="5">
        <f>IF(EV130="direct",IFERROR(FJ130/FA130,0),0)</f>
        <v>0</v>
      </c>
      <c r="FE130" s="5">
        <f>IF(EV130="direct",FC130-FD130,IF(EV130="cash",FO130,FC130))</f>
        <v>0.014941354646988363</v>
      </c>
      <c r="FF130" s="6"/>
      <c r="FG130" s="4">
        <v>6.661338147750939e-16</v>
      </c>
      <c r="FH130" s="4">
        <v>6.661338147750939e-16</v>
      </c>
      <c r="FI130" s="5">
        <f>IF(EV130="direct",FC130*(FA130-EZ130),FL130)</f>
        <v>0</v>
      </c>
      <c r="FJ130" s="5">
        <f>IF(EV130="direct",FH130*FB130*C130/365,0)</f>
        <v>0</v>
      </c>
      <c r="FK130" s="5">
        <f>FI130-FJ130</f>
        <v>0</v>
      </c>
      <c r="FL130" s="4">
        <v>0</v>
      </c>
      <c r="FM130" s="5">
        <f>FL130-FK130</f>
        <v>0</v>
      </c>
      <c r="FN130" s="4">
        <v>0.014941354646987696</v>
      </c>
      <c r="FO130" s="4">
        <v>0.014941354646988363</v>
      </c>
      <c r="FP130" s="4">
        <v>1.631</v>
      </c>
      <c r="FQ130" s="4">
        <v>1.652</v>
      </c>
      <c r="FR130" s="6"/>
      <c r="FS130" s="6"/>
      <c r="FT130" s="6"/>
      <c r="FU130" s="9"/>
      <c r="FV130" s="7">
        <f>IFERROR(FK130/F130,0)</f>
        <v>0</v>
      </c>
      <c r="FW130" t="inlineStr">
        <is>
          <t xml:space="preserve">Keep cash / margin / financing</t>
        </is>
      </c>
      <c r="FX130" t="inlineStr">
        <is>
          <t xml:space="preserve">cash</t>
        </is>
      </c>
      <c r="FY130" t="inlineStr">
        <is>
          <t xml:space="preserve">keep</t>
        </is>
      </c>
      <c r="FZ130" t="inlineStr">
        <is>
          <t xml:space="preserve">cash</t>
        </is>
      </c>
      <c r="GA130"/>
      <c r="GB130" s="4">
        <v>1</v>
      </c>
      <c r="GC130" s="4">
        <v>1</v>
      </c>
      <c r="GD130" s="6"/>
      <c r="GE130" s="4">
        <v>0</v>
      </c>
      <c r="GF130" s="5">
        <f>IF(FX130="direct",IFERROR(GL130/GC130,0),0)</f>
        <v>0</v>
      </c>
      <c r="GG130" s="5">
        <f>IF(FX130="direct",GE130-GF130,IF(FX130="cash",GQ130,GE130))</f>
        <v>0</v>
      </c>
      <c r="GH130" s="6"/>
      <c r="GI130" s="4">
        <v>0</v>
      </c>
      <c r="GJ130" s="4">
        <v>0</v>
      </c>
      <c r="GK130" s="5">
        <f>IF(FX130="direct",GE130*(GC130-GB130),GN130)</f>
        <v>0</v>
      </c>
      <c r="GL130" s="5">
        <f>IF(FX130="direct",GJ130*GD130*C130/365,0)</f>
        <v>0</v>
      </c>
      <c r="GM130" s="5">
        <f>GK130-GL130</f>
        <v>0</v>
      </c>
      <c r="GN130" s="4">
        <v>0</v>
      </c>
      <c r="GO130" s="5">
        <f>GN130-GM130</f>
        <v>0</v>
      </c>
      <c r="GP130" s="4">
        <v>0</v>
      </c>
      <c r="GQ130" s="4">
        <v>0</v>
      </c>
      <c r="GR130" s="4">
        <v>1.631</v>
      </c>
      <c r="GS130" s="4">
        <v>1.652</v>
      </c>
      <c r="GT130" s="6"/>
      <c r="GU130" s="6"/>
      <c r="GV130" s="6"/>
      <c r="GW130" s="9"/>
      <c r="GX130" s="7">
        <f>IFERROR(GM130/F130,0)</f>
        <v>0</v>
      </c>
      <c r="GY130"/>
      <c r="GZ130"/>
      <c r="HA130"/>
      <c r="HB130"/>
      <c r="HC130"/>
      <c r="HD130" s="4"/>
      <c r="HE130" s="4"/>
      <c r="HF130" s="6"/>
      <c r="HG130" s="4"/>
      <c r="HH130" s="5">
        <v>0</v>
      </c>
      <c r="HI130" s="5"/>
      <c r="HJ130" s="6"/>
      <c r="HK130" s="4"/>
      <c r="HL130" s="4"/>
      <c r="HM130" s="5">
        <v>0</v>
      </c>
      <c r="HN130" s="5">
        <v>0</v>
      </c>
      <c r="HO130" s="5"/>
      <c r="HP130" s="4"/>
      <c r="HQ130" s="5">
        <v>0</v>
      </c>
      <c r="HR130" s="4"/>
      <c r="HS130" s="4"/>
      <c r="HT130" s="4"/>
      <c r="HU130" s="4"/>
      <c r="HV130" s="6"/>
      <c r="HW130" s="6"/>
      <c r="HX130" s="6"/>
      <c r="HY130" s="9"/>
      <c r="HZ130"/>
      <c r="IA130"/>
      <c r="IB130"/>
      <c r="IC130"/>
      <c r="ID130"/>
      <c r="IE130"/>
      <c r="IF130" s="4"/>
      <c r="IG130" s="4"/>
      <c r="IH130" s="6"/>
      <c r="II130" s="4"/>
      <c r="IJ130" s="5">
        <v>0</v>
      </c>
      <c r="IK130" s="5"/>
      <c r="IL130" s="6"/>
      <c r="IM130" s="4"/>
      <c r="IN130" s="4"/>
      <c r="IO130" s="5">
        <v>0</v>
      </c>
      <c r="IP130" s="5">
        <v>0</v>
      </c>
      <c r="IQ130" s="5"/>
      <c r="IR130" s="4"/>
      <c r="IS130" s="5">
        <v>0</v>
      </c>
      <c r="IT130" s="4"/>
      <c r="IU130" s="4"/>
      <c r="IV130" s="4"/>
      <c r="IW130" s="4"/>
      <c r="IX130" s="6"/>
      <c r="IY130" s="6"/>
      <c r="IZ130" s="6"/>
      <c r="JA130" s="9"/>
      <c r="JB130"/>
      <c r="JC130"/>
      <c r="JD130"/>
      <c r="JE130"/>
      <c r="JF130"/>
      <c r="JG130"/>
      <c r="JH130" s="4"/>
      <c r="JI130" s="4"/>
      <c r="JJ130" s="6"/>
      <c r="JK130" s="4"/>
      <c r="JL130" s="5">
        <v>0</v>
      </c>
      <c r="JM130" s="5"/>
      <c r="JN130" s="6"/>
      <c r="JO130" s="4"/>
      <c r="JP130" s="4"/>
      <c r="JQ130" s="5">
        <v>0</v>
      </c>
      <c r="JR130" s="5">
        <v>0</v>
      </c>
      <c r="JS130" s="5"/>
      <c r="JT130" s="4"/>
      <c r="JU130" s="5">
        <v>0</v>
      </c>
      <c r="JV130" s="4"/>
      <c r="JW130" s="4"/>
      <c r="JX130" s="4"/>
      <c r="JY130" s="4"/>
      <c r="JZ130" s="6"/>
      <c r="KA130" s="6"/>
      <c r="KB130" s="6"/>
      <c r="KC130" s="9"/>
      <c r="KD130"/>
      <c r="KE130"/>
      <c r="KF130"/>
      <c r="KG130"/>
      <c r="KH130"/>
      <c r="KI130"/>
      <c r="KJ130" s="4"/>
      <c r="KK130" s="4"/>
      <c r="KL130" s="6"/>
      <c r="KM130" s="4"/>
      <c r="KN130" s="5">
        <v>0</v>
      </c>
      <c r="KO130" s="5"/>
      <c r="KP130" s="6"/>
      <c r="KQ130" s="4"/>
      <c r="KR130" s="4"/>
      <c r="KS130" s="5">
        <v>0</v>
      </c>
      <c r="KT130" s="5">
        <v>0</v>
      </c>
      <c r="KU130" s="5"/>
      <c r="KV130" s="4"/>
      <c r="KW130" s="5">
        <v>0</v>
      </c>
      <c r="KX130" s="4"/>
      <c r="KY130" s="4"/>
      <c r="KZ130" s="4"/>
      <c r="LA130" s="4"/>
      <c r="LB130" s="6"/>
      <c r="LC130" s="6"/>
      <c r="LD130" s="6"/>
      <c r="LE130" s="9"/>
      <c r="LF130"/>
      <c r="LG130"/>
      <c r="LH130"/>
      <c r="LI130"/>
      <c r="LJ130"/>
      <c r="LK130"/>
      <c r="LL130" s="4"/>
      <c r="LM130" s="4"/>
      <c r="LN130" s="6"/>
      <c r="LO130" s="4"/>
      <c r="LP130" s="5">
        <v>0</v>
      </c>
      <c r="LQ130" s="5"/>
      <c r="LR130" s="6"/>
      <c r="LS130" s="4"/>
      <c r="LT130" s="4"/>
      <c r="LU130" s="5">
        <v>0</v>
      </c>
      <c r="LV130" s="5">
        <v>0</v>
      </c>
      <c r="LW130" s="5"/>
      <c r="LX130" s="4"/>
      <c r="LY130" s="5">
        <v>0</v>
      </c>
      <c r="LZ130" s="4"/>
      <c r="MA130" s="4"/>
      <c r="MB130" s="4"/>
      <c r="MC130" s="4"/>
      <c r="MD130" s="6"/>
      <c r="ME130" s="6"/>
      <c r="MF130" s="6"/>
      <c r="MG130" s="9"/>
      <c r="MH130"/>
    </row>
    <row r="131">
      <c r="A131" s="8">
        <v>25398</v>
      </c>
      <c r="B131" s="8">
        <v>25399</v>
      </c>
      <c r="C131" s="9">
        <f>B131-A131</f>
        <v>1</v>
      </c>
      <c r="D131" s="8">
        <v>25398</v>
      </c>
      <c r="E131" t="inlineStr">
        <is>
          <t xml:space="preserve">neutral</t>
        </is>
      </c>
      <c r="F131" s="4">
        <v>1.3844675836948783</v>
      </c>
      <c r="G131" s="6">
        <v>0.01875828385684448</v>
      </c>
      <c r="H131" s="7">
        <f>SUM(CP131,DR131,ET131,FV131,GX131,HZ131,JB131,KD131,LF131,MH131)</f>
        <v>0.01875828385684448</v>
      </c>
      <c r="I131" s="7">
        <f>G131-H131</f>
        <v>0</v>
      </c>
      <c r="J131" s="5">
        <f>F131*(1+H131)</f>
        <v>1.4104378196204266</v>
      </c>
      <c r="K131" s="4">
        <v>1.4104378196204266</v>
      </c>
      <c r="L131" s="5">
        <f>K131-J131</f>
        <v>0</v>
      </c>
      <c r="M131" s="4">
        <v>1.652</v>
      </c>
      <c r="N131" s="4">
        <v>1.683</v>
      </c>
      <c r="O131" s="5">
        <f>M131/$M$3</f>
        <v>0.8437180796731358</v>
      </c>
      <c r="P131" s="5">
        <f>N131/$M$3</f>
        <v>0.8595505617977528</v>
      </c>
      <c r="Q131" s="7">
        <f>IFERROR(N131/M131-1,0)</f>
        <v>0.018765133171912973</v>
      </c>
      <c r="R131" s="5">
        <f>SUM(IF(BQ131="lease",CB131,0),IF(CS131="lease",DD131,0),IF(DU131="lease",EF131,0),IF(EW131="lease",FH131,0),IF(FY131="lease",GJ131,0),IF(HA131="lease",HL131,0),IF(IC131="lease",IN131,0),IF(JE131="lease",JP131,0),IF(KG131="lease",KR131,0),IF(LI131="lease",LT131,0))</f>
        <v>1.384467583694879</v>
      </c>
      <c r="S131" s="5">
        <f>SUM(IF(BQ131="lease",CI131,0),IF(CS131="lease",DK131,0),IF(DU131="lease",EM131,0),IF(EW131="lease",FO131,0),IF(FY131="lease",GQ131,0),IF(HA131="lease",HS131,0),IF(IC131="lease",IU131,0),IF(JE131="lease",JW131,0),IF(KG131="lease",KY131,0),IF(LI131="lease",MA131,0))</f>
        <v>1.410437819620427</v>
      </c>
      <c r="T131" s="5">
        <f>SUM(IF(BQ131="keep",CB131,0),IF(CS131="keep",DD131,0),IF(DU131="keep",EF131,0),IF(EW131="keep",FH131,0),IF(FY131="keep",GJ131,0),IF(HA131="keep",HL131,0),IF(IC131="keep",IN131,0),IF(JE131="keep",JP131,0),IF(KG131="keep",KR131,0),IF(LI131="keep",LT131,0))</f>
        <v>0</v>
      </c>
      <c r="U131" s="5">
        <f>SUM(IF(BQ131="keep",CI131,0),IF(CS131="keep",DK131,0),IF(DU131="keep",EM131,0),IF(EW131="keep",FO131,0),IF(FY131="keep",GQ131,0),IF(HA131="keep",HS131,0),IF(IC131="keep",IU131,0),IF(JE131="keep",JW131,0),IF(KG131="keep",KY131,0),IF(LI131="keep",MA131,0))</f>
        <v>0</v>
      </c>
      <c r="V131" s="5">
        <f>R131/O131</f>
        <v>1.640912547744899</v>
      </c>
      <c r="W131" s="5">
        <f>S131/P131</f>
        <v>1.6409015156368367</v>
      </c>
      <c r="X131" s="5">
        <f>T131/O131</f>
        <v>0</v>
      </c>
      <c r="Y131" s="5">
        <f>U131/P131</f>
        <v>0</v>
      </c>
      <c r="Z131" s="5">
        <f>V131+X131</f>
        <v>1.640912547744899</v>
      </c>
      <c r="AA131" s="7">
        <f>IFERROR(W131/V131-1,0)</f>
        <v>-0.000006723154184706814</v>
      </c>
      <c r="AB131" s="7">
        <f>IFERROR((W131-V131)/Z131,0)</f>
        <v>-0.000006723154184757517</v>
      </c>
      <c r="AC131" s="7">
        <f>IFERROR(Y131/X131-1,0)</f>
        <v>0</v>
      </c>
      <c r="AD131" s="7">
        <f>IFERROR((Y131-X131)/Z131,0)</f>
        <v>0</v>
      </c>
      <c r="AE131" s="7">
        <f>AB131+AD131</f>
        <v>-0.000006723154184757517</v>
      </c>
      <c r="AF131" s="7">
        <f>(1+Q131)*(1+AE131)-1</f>
        <v>0.01875828385684475</v>
      </c>
      <c r="AG131" s="7">
        <f>G131-AF131</f>
        <v>-2.671474153004283e-16</v>
      </c>
      <c r="AH131" s="5">
        <f>SUM(IF(BQ131="lease",CE131,0),IF(CS131="lease",DG131,0),IF(DU131="lease",EI131,0),IF(EW131="lease",FK131,0),IF(FY131="lease",GM131,0),IF(HA131="lease",HO131,0),IF(IC131="lease",IQ131,0),IF(JE131="lease",JS131,0),IF(KG131="lease",KU131,0),IF(LI131="lease",LW131,0))</f>
        <v>0.025970235925548122</v>
      </c>
      <c r="AI131" s="5">
        <f>SUM(IF(BQ131="keep",CE131,0),IF(CS131="keep",DG131,0),IF(DU131="keep",EI131,0),IF(EW131="keep",FK131,0),IF(FY131="keep",GM131,0),IF(HA131="keep",HO131,0),IF(IC131="keep",IQ131,0),IF(JE131="keep",JS131,0),IF(KG131="keep",KU131,0),IF(LI131="keep",LW131,0))</f>
        <v>0</v>
      </c>
      <c r="AJ131" s="5">
        <f>SUM(IF(BQ131="lease",CH131,0),IF(CS131="lease",DJ131,0),IF(DU131="lease",EL131,0),IF(EW131="lease",FN131,0),IF(FY131="lease",GP131,0),IF(HA131="lease",HR131,0),IF(IC131="lease",IT131,0),IF(JE131="lease",JV131,0),IF(KG131="lease",KX131,0),IF(LI131="lease",LZ131,0))</f>
        <v>0</v>
      </c>
      <c r="AK131" s="5">
        <f>SUM(IF(BQ131="keep",CH131,0),IF(CS131="keep",DJ131,0),IF(DU131="keep",EL131,0),IF(EW131="keep",FN131,0),IF(FY131="keep",GP131,0),IF(HA131="keep",HR131,0),IF(IC131="keep",IT131,0),IF(JE131="keep",JV131,0),IF(KG131="keep",KX131,0),IF(LI131="keep",LZ131,0))</f>
        <v>0</v>
      </c>
      <c r="AL131" s="5">
        <f>R131-S130</f>
        <v>0</v>
      </c>
      <c r="AM131" s="5">
        <f>T131-U130</f>
        <v>0</v>
      </c>
      <c r="AN131" s="5">
        <f>AN130</f>
        <v>1</v>
      </c>
      <c r="AO131" s="5">
        <f>AO130+AH131</f>
        <v>0.4104378196204271</v>
      </c>
      <c r="AP131" s="5">
        <f>AP130+AL131</f>
        <v>-4.440892098500626e-16</v>
      </c>
      <c r="AQ131" s="5">
        <f>AN131+AO131+AP131</f>
        <v>1.4104378196204266</v>
      </c>
      <c r="AR131" s="5">
        <f>S131-AQ131</f>
        <v>4.440892098500626e-16</v>
      </c>
      <c r="AS131" s="5">
        <f>AS130</f>
        <v>0</v>
      </c>
      <c r="AT131" s="5">
        <f>AT130+AI131</f>
        <v>0</v>
      </c>
      <c r="AU131" s="5">
        <f>AU130+AM131</f>
        <v>0</v>
      </c>
      <c r="AV131" s="5">
        <f>AS131+AT131+AU131</f>
        <v>0</v>
      </c>
      <c r="AW131" s="5">
        <f>U131-AV131</f>
        <v>0</v>
      </c>
      <c r="AX131" s="4">
        <v>1.384467583694879</v>
      </c>
      <c r="AY131" s="4">
        <v>1.410437819620427</v>
      </c>
      <c r="AZ131" s="5">
        <f>S131-AY131</f>
        <v>0</v>
      </c>
      <c r="BA131" s="4">
        <v>0</v>
      </c>
      <c r="BB131" s="4">
        <v>0</v>
      </c>
      <c r="BC131" s="5">
        <f>U131-BB131</f>
        <v>0</v>
      </c>
      <c r="BD131" s="7">
        <f>SUM(IF(BP131="direct",CC131/F131,0),IF(CR131="direct",DE131/F131,0),IF(DT131="direct",EG131/F131,0),IF(EV131="direct",FI131/F131,0),IF(FX131="direct",GK131/F131,0),IF(GZ131="direct",HM131/F131,0),IF(IB131="direct",IO131/F131,0),IF(JD131="direct",JQ131/F131,0),IF(KF131="direct",KS131/F131,0),IF(LH131="direct",LU131/F131,0))</f>
        <v>0.018765133171912918</v>
      </c>
      <c r="BE131" s="7">
        <f>-SUM(IF(BP131="direct",CD131/F131,0),IF(CR131="direct",DF131/F131,0),IF(DT131="direct",EH131/F131,0),IF(EV131="direct",FJ131/F131,0),IF(FX131="direct",GL131/F131,0),IF(GZ131="direct",HN131/F131,0),IF(IB131="direct",IP131/F131,0),IF(JD131="direct",JR131/F131,0),IF(KF131="direct",KT131/F131,0),IF(LH131="direct",LV131/F131,0))</f>
        <v>-0.00000684931506849315</v>
      </c>
      <c r="BF131" s="7">
        <f>BD131+BE131</f>
        <v>0.018758283856844426</v>
      </c>
      <c r="BG131" s="7">
        <f>BF131-SUM(IF(BP131="direct",CP131,0),IF(CR131="direct",DR131,0),IF(DT131="direct",ET131,0),IF(EV131="direct",FV131,0),IF(FX131="direct",GX131,0),IF(GZ131="direct",HZ131,0),IF(IB131="direct",JB131,0),IF(JD131="direct",KD131,0),IF(KF131="direct",LF131,0),IF(LH131="direct",MH131,0))</f>
        <v>-5.551115123125783e-17</v>
      </c>
      <c r="BH131" s="7">
        <f>SUM(IF(BP131="treasury",CP131,0),IF(CR131="treasury",DR131,0),IF(DT131="treasury",ET131,0),IF(EV131="treasury",FV131,0),IF(FX131="treasury",GX131,0),IF(GZ131="treasury",HZ131,0),IF(IB131="treasury",JB131,0),IF(JD131="treasury",KD131,0),IF(KF131="treasury",LF131,0),IF(LH131="treasury",MH131,0))</f>
        <v>0</v>
      </c>
      <c r="BI131" s="7">
        <f>SUM(IF(BP131="future",CP131,0),IF(CR131="future",DR131,0),IF(DT131="future",ET131,0),IF(EV131="future",FV131,0),IF(FX131="future",GX131,0),IF(GZ131="future",HZ131,0),IF(IB131="future",JB131,0),IF(JD131="future",KD131,0),IF(KF131="future",LF131,0),IF(LH131="future",MH131,0))</f>
        <v>0</v>
      </c>
      <c r="BJ131" s="7">
        <f>SUM(IF(BP131="cash",CP131,0),IF(CR131="cash",DR131,0),IF(DT131="cash",ET131,0),IF(EV131="cash",FV131,0),IF(FX131="cash",GX131,0),IF(GZ131="cash",HZ131,0),IF(IB131="cash",JB131,0),IF(JD131="cash",KD131,0),IF(KF131="cash",LF131,0),IF(LH131="cash",MH131,0))</f>
        <v>0</v>
      </c>
      <c r="BK131" s="7">
        <f>SUM(BF131,BH131,BI131,BJ131)</f>
        <v>0.01875828385684448</v>
      </c>
      <c r="BL131" s="7">
        <f>G131-BK131</f>
        <v>0</v>
      </c>
      <c r="BM131" s="5">
        <f>MAX(ABS(CG131),ABS(DI131),ABS(EK131),ABS(FM131),ABS(GO131),ABS(HQ131),ABS(IS131),ABS(JU131),ABS(KW131),ABS(LY131))</f>
        <v>8.061043152429725e-17</v>
      </c>
      <c r="BN131" s="9">
        <f>COUNTA(BO131,CQ131,DS131,EU131,FW131,GY131,IA131,JC131,KE131,LG131)</f>
        <v>3</v>
      </c>
      <c r="BO131" t="inlineStr">
        <is>
          <t xml:space="preserve">Direct commodity holding</t>
        </is>
      </c>
      <c r="BP131" t="inlineStr">
        <is>
          <t xml:space="preserve">direct</t>
        </is>
      </c>
      <c r="BQ131" t="inlineStr">
        <is>
          <t xml:space="preserve">lease</t>
        </is>
      </c>
      <c r="BR131" t="inlineStr">
        <is>
          <t xml:space="preserve">long</t>
        </is>
      </c>
      <c r="BS131"/>
      <c r="BT131" s="4">
        <v>1.652</v>
      </c>
      <c r="BU131" s="4">
        <v>1.683</v>
      </c>
      <c r="BV131" s="6">
        <v>0.0025</v>
      </c>
      <c r="BW131" s="4">
        <v>0.8380554380719603</v>
      </c>
      <c r="BX131" s="5">
        <f>IF(BP131="direct",IFERROR(CD131/BU131,0),0)</f>
        <v>0.000005634375925633768</v>
      </c>
      <c r="BY131" s="5">
        <f>IF(BP131="direct",BW131-BX131,IF(BP131="cash",CI131,BW131))</f>
        <v>0.8380498036960347</v>
      </c>
      <c r="BZ131" s="6">
        <v>1</v>
      </c>
      <c r="CA131" s="4">
        <v>1.3844675836948783</v>
      </c>
      <c r="CB131" s="4">
        <v>1.3844675836948783</v>
      </c>
      <c r="CC131" s="5">
        <f>IF(BP131="direct",BW131*(BU131-BT131),CF131)</f>
        <v>0.025979718580230883</v>
      </c>
      <c r="CD131" s="5">
        <f>IF(BP131="direct",CB131*BV131*C131/365,0)</f>
        <v>0.000009482654682841632</v>
      </c>
      <c r="CE131" s="5">
        <f>CC131-CD131</f>
        <v>0.025970235925548122</v>
      </c>
      <c r="CF131" s="4">
        <v>0.025970235925548122</v>
      </c>
      <c r="CG131" s="5">
        <f>CF131-CE131</f>
        <v>8.061043152429725e-17</v>
      </c>
      <c r="CH131" s="4">
        <v>0</v>
      </c>
      <c r="CI131" s="4">
        <v>1.4104378196204264</v>
      </c>
      <c r="CJ131" s="4">
        <v>1.652</v>
      </c>
      <c r="CK131" s="4">
        <v>1.683</v>
      </c>
      <c r="CL131" s="6"/>
      <c r="CM131" s="6"/>
      <c r="CN131" s="6"/>
      <c r="CO131" s="9"/>
      <c r="CP131" s="7">
        <f>IFERROR(CE131/F131,0)</f>
        <v>0.01875828385684448</v>
      </c>
      <c r="CQ131" t="inlineStr">
        <is>
          <t xml:space="preserve">Lease cash / margin / financing</t>
        </is>
      </c>
      <c r="CR131" t="inlineStr">
        <is>
          <t xml:space="preserve">cash</t>
        </is>
      </c>
      <c r="CS131" t="inlineStr">
        <is>
          <t xml:space="preserve">lease</t>
        </is>
      </c>
      <c r="CT131" t="inlineStr">
        <is>
          <t xml:space="preserve">cash</t>
        </is>
      </c>
      <c r="CU131"/>
      <c r="CV131" s="4">
        <v>1</v>
      </c>
      <c r="CW131" s="4">
        <v>1</v>
      </c>
      <c r="CX131" s="6"/>
      <c r="CY131" s="4">
        <v>6.661338147750939e-16</v>
      </c>
      <c r="CZ131" s="5">
        <f>IF(CR131="direct",IFERROR(DF131/CW131,0),0)</f>
        <v>0</v>
      </c>
      <c r="DA131" s="5">
        <f>IF(CR131="direct",CY131-CZ131,IF(CR131="cash",DK131,CY131))</f>
        <v>6.661338147750939e-16</v>
      </c>
      <c r="DB131" s="6"/>
      <c r="DC131" s="4">
        <v>6.661338147750939e-16</v>
      </c>
      <c r="DD131" s="4">
        <v>6.661338147750939e-16</v>
      </c>
      <c r="DE131" s="5">
        <f>IF(CR131="direct",CY131*(CW131-CV131),DH131)</f>
        <v>0</v>
      </c>
      <c r="DF131" s="5">
        <f>IF(CR131="direct",DD131*CX131*C131/365,0)</f>
        <v>0</v>
      </c>
      <c r="DG131" s="5">
        <f>DE131-DF131</f>
        <v>0</v>
      </c>
      <c r="DH131" s="4">
        <v>0</v>
      </c>
      <c r="DI131" s="5">
        <f>DH131-DG131</f>
        <v>0</v>
      </c>
      <c r="DJ131" s="4">
        <v>0</v>
      </c>
      <c r="DK131" s="4">
        <v>6.661338147750939e-16</v>
      </c>
      <c r="DL131" s="4">
        <v>1.652</v>
      </c>
      <c r="DM131" s="4">
        <v>1.683</v>
      </c>
      <c r="DN131" s="6"/>
      <c r="DO131" s="6"/>
      <c r="DP131" s="6"/>
      <c r="DQ131" s="9"/>
      <c r="DR131" s="7">
        <f>IFERROR(DG131/F131,0)</f>
        <v>0</v>
      </c>
      <c r="DS131" t="inlineStr">
        <is>
          <t xml:space="preserve">Keep cash / margin / financing</t>
        </is>
      </c>
      <c r="DT131" t="inlineStr">
        <is>
          <t xml:space="preserve">cash</t>
        </is>
      </c>
      <c r="DU131" t="inlineStr">
        <is>
          <t xml:space="preserve">keep</t>
        </is>
      </c>
      <c r="DV131" t="inlineStr">
        <is>
          <t xml:space="preserve">cash</t>
        </is>
      </c>
      <c r="DW131"/>
      <c r="DX131" s="4">
        <v>1</v>
      </c>
      <c r="DY131" s="4">
        <v>1</v>
      </c>
      <c r="DZ131" s="6"/>
      <c r="EA131" s="4">
        <v>0</v>
      </c>
      <c r="EB131" s="5">
        <f>IF(DT131="direct",IFERROR(EH131/DY131,0),0)</f>
        <v>0</v>
      </c>
      <c r="EC131" s="5">
        <f>IF(DT131="direct",EA131-EB131,IF(DT131="cash",EM131,EA131))</f>
        <v>0</v>
      </c>
      <c r="ED131" s="6"/>
      <c r="EE131" s="4">
        <v>0</v>
      </c>
      <c r="EF131" s="4">
        <v>0</v>
      </c>
      <c r="EG131" s="5">
        <f>IF(DT131="direct",EA131*(DY131-DX131),EJ131)</f>
        <v>0</v>
      </c>
      <c r="EH131" s="5">
        <f>IF(DT131="direct",EF131*DZ131*C131/365,0)</f>
        <v>0</v>
      </c>
      <c r="EI131" s="5">
        <f>EG131-EH131</f>
        <v>0</v>
      </c>
      <c r="EJ131" s="4">
        <v>0</v>
      </c>
      <c r="EK131" s="5">
        <f>EJ131-EI131</f>
        <v>0</v>
      </c>
      <c r="EL131" s="4">
        <v>0</v>
      </c>
      <c r="EM131" s="4">
        <v>0</v>
      </c>
      <c r="EN131" s="4">
        <v>1.652</v>
      </c>
      <c r="EO131" s="4">
        <v>1.683</v>
      </c>
      <c r="EP131" s="6"/>
      <c r="EQ131" s="6"/>
      <c r="ER131" s="6"/>
      <c r="ES131" s="9"/>
      <c r="ET131" s="7">
        <f>IFERROR(EI131/F131,0)</f>
        <v>0</v>
      </c>
      <c r="EU131"/>
      <c r="EV131"/>
      <c r="EW131"/>
      <c r="EX131"/>
      <c r="EY131"/>
      <c r="EZ131" s="4"/>
      <c r="FA131" s="4"/>
      <c r="FB131" s="6"/>
      <c r="FC131" s="4"/>
      <c r="FD131" s="5">
        <v>0</v>
      </c>
      <c r="FE131" s="5"/>
      <c r="FF131" s="6"/>
      <c r="FG131" s="4"/>
      <c r="FH131" s="4"/>
      <c r="FI131" s="5">
        <v>0</v>
      </c>
      <c r="FJ131" s="5">
        <v>0</v>
      </c>
      <c r="FK131" s="5"/>
      <c r="FL131" s="4"/>
      <c r="FM131" s="5">
        <v>0</v>
      </c>
      <c r="FN131" s="4"/>
      <c r="FO131" s="4"/>
      <c r="FP131" s="4"/>
      <c r="FQ131" s="4"/>
      <c r="FR131" s="6"/>
      <c r="FS131" s="6"/>
      <c r="FT131" s="6"/>
      <c r="FU131" s="9"/>
      <c r="FV131"/>
      <c r="FW131"/>
      <c r="FX131"/>
      <c r="FY131"/>
      <c r="FZ131"/>
      <c r="GA131"/>
      <c r="GB131" s="4"/>
      <c r="GC131" s="4"/>
      <c r="GD131" s="6"/>
      <c r="GE131" s="4"/>
      <c r="GF131" s="5">
        <v>0</v>
      </c>
      <c r="GG131" s="5"/>
      <c r="GH131" s="6"/>
      <c r="GI131" s="4"/>
      <c r="GJ131" s="4"/>
      <c r="GK131" s="5">
        <v>0</v>
      </c>
      <c r="GL131" s="5">
        <v>0</v>
      </c>
      <c r="GM131" s="5"/>
      <c r="GN131" s="4"/>
      <c r="GO131" s="5">
        <v>0</v>
      </c>
      <c r="GP131" s="4"/>
      <c r="GQ131" s="4"/>
      <c r="GR131" s="4"/>
      <c r="GS131" s="4"/>
      <c r="GT131" s="6"/>
      <c r="GU131" s="6"/>
      <c r="GV131" s="6"/>
      <c r="GW131" s="9"/>
      <c r="GX131"/>
      <c r="GY131"/>
      <c r="GZ131"/>
      <c r="HA131"/>
      <c r="HB131"/>
      <c r="HC131"/>
      <c r="HD131" s="4"/>
      <c r="HE131" s="4"/>
      <c r="HF131" s="6"/>
      <c r="HG131" s="4"/>
      <c r="HH131" s="5">
        <v>0</v>
      </c>
      <c r="HI131" s="5"/>
      <c r="HJ131" s="6"/>
      <c r="HK131" s="4"/>
      <c r="HL131" s="4"/>
      <c r="HM131" s="5">
        <v>0</v>
      </c>
      <c r="HN131" s="5">
        <v>0</v>
      </c>
      <c r="HO131" s="5"/>
      <c r="HP131" s="4"/>
      <c r="HQ131" s="5">
        <v>0</v>
      </c>
      <c r="HR131" s="4"/>
      <c r="HS131" s="4"/>
      <c r="HT131" s="4"/>
      <c r="HU131" s="4"/>
      <c r="HV131" s="6"/>
      <c r="HW131" s="6"/>
      <c r="HX131" s="6"/>
      <c r="HY131" s="9"/>
      <c r="HZ131"/>
      <c r="IA131"/>
      <c r="IB131"/>
      <c r="IC131"/>
      <c r="ID131"/>
      <c r="IE131"/>
      <c r="IF131" s="4"/>
      <c r="IG131" s="4"/>
      <c r="IH131" s="6"/>
      <c r="II131" s="4"/>
      <c r="IJ131" s="5">
        <v>0</v>
      </c>
      <c r="IK131" s="5"/>
      <c r="IL131" s="6"/>
      <c r="IM131" s="4"/>
      <c r="IN131" s="4"/>
      <c r="IO131" s="5">
        <v>0</v>
      </c>
      <c r="IP131" s="5">
        <v>0</v>
      </c>
      <c r="IQ131" s="5"/>
      <c r="IR131" s="4"/>
      <c r="IS131" s="5">
        <v>0</v>
      </c>
      <c r="IT131" s="4"/>
      <c r="IU131" s="4"/>
      <c r="IV131" s="4"/>
      <c r="IW131" s="4"/>
      <c r="IX131" s="6"/>
      <c r="IY131" s="6"/>
      <c r="IZ131" s="6"/>
      <c r="JA131" s="9"/>
      <c r="JB131"/>
      <c r="JC131"/>
      <c r="JD131"/>
      <c r="JE131"/>
      <c r="JF131"/>
      <c r="JG131"/>
      <c r="JH131" s="4"/>
      <c r="JI131" s="4"/>
      <c r="JJ131" s="6"/>
      <c r="JK131" s="4"/>
      <c r="JL131" s="5">
        <v>0</v>
      </c>
      <c r="JM131" s="5"/>
      <c r="JN131" s="6"/>
      <c r="JO131" s="4"/>
      <c r="JP131" s="4"/>
      <c r="JQ131" s="5">
        <v>0</v>
      </c>
      <c r="JR131" s="5">
        <v>0</v>
      </c>
      <c r="JS131" s="5"/>
      <c r="JT131" s="4"/>
      <c r="JU131" s="5">
        <v>0</v>
      </c>
      <c r="JV131" s="4"/>
      <c r="JW131" s="4"/>
      <c r="JX131" s="4"/>
      <c r="JY131" s="4"/>
      <c r="JZ131" s="6"/>
      <c r="KA131" s="6"/>
      <c r="KB131" s="6"/>
      <c r="KC131" s="9"/>
      <c r="KD131"/>
      <c r="KE131"/>
      <c r="KF131"/>
      <c r="KG131"/>
      <c r="KH131"/>
      <c r="KI131"/>
      <c r="KJ131" s="4"/>
      <c r="KK131" s="4"/>
      <c r="KL131" s="6"/>
      <c r="KM131" s="4"/>
      <c r="KN131" s="5">
        <v>0</v>
      </c>
      <c r="KO131" s="5"/>
      <c r="KP131" s="6"/>
      <c r="KQ131" s="4"/>
      <c r="KR131" s="4"/>
      <c r="KS131" s="5">
        <v>0</v>
      </c>
      <c r="KT131" s="5">
        <v>0</v>
      </c>
      <c r="KU131" s="5"/>
      <c r="KV131" s="4"/>
      <c r="KW131" s="5">
        <v>0</v>
      </c>
      <c r="KX131" s="4"/>
      <c r="KY131" s="4"/>
      <c r="KZ131" s="4"/>
      <c r="LA131" s="4"/>
      <c r="LB131" s="6"/>
      <c r="LC131" s="6"/>
      <c r="LD131" s="6"/>
      <c r="LE131" s="9"/>
      <c r="LF131"/>
      <c r="LG131"/>
      <c r="LH131"/>
      <c r="LI131"/>
      <c r="LJ131"/>
      <c r="LK131"/>
      <c r="LL131" s="4"/>
      <c r="LM131" s="4"/>
      <c r="LN131" s="6"/>
      <c r="LO131" s="4"/>
      <c r="LP131" s="5">
        <v>0</v>
      </c>
      <c r="LQ131" s="5"/>
      <c r="LR131" s="6"/>
      <c r="LS131" s="4"/>
      <c r="LT131" s="4"/>
      <c r="LU131" s="5">
        <v>0</v>
      </c>
      <c r="LV131" s="5">
        <v>0</v>
      </c>
      <c r="LW131" s="5"/>
      <c r="LX131" s="4"/>
      <c r="LY131" s="5">
        <v>0</v>
      </c>
      <c r="LZ131" s="4"/>
      <c r="MA131" s="4"/>
      <c r="MB131" s="4"/>
      <c r="MC131" s="4"/>
      <c r="MD131" s="6"/>
      <c r="ME131" s="6"/>
      <c r="MF131" s="6"/>
      <c r="MG131" s="9"/>
      <c r="MH131"/>
    </row>
    <row r="132">
      <c r="A132" s="8">
        <v>25399</v>
      </c>
      <c r="B132" s="8">
        <v>25400</v>
      </c>
      <c r="C132" s="9">
        <f>B132-A132</f>
        <v>1</v>
      </c>
      <c r="D132" s="8">
        <v>25399</v>
      </c>
      <c r="E132" t="inlineStr">
        <is>
          <t xml:space="preserve">positive</t>
        </is>
      </c>
      <c r="F132" s="4">
        <v>1.4104378196204266</v>
      </c>
      <c r="G132" s="6">
        <v>-0.019082861858392402</v>
      </c>
      <c r="H132" s="7">
        <f>SUM(CP132,DR132,ET132,FV132,GX132,HZ132,JB132,KD132,LF132,MH132)</f>
        <v>-0.019082861858392395</v>
      </c>
      <c r="I132" s="7">
        <f>G132-H132</f>
        <v>-6.938893903907228e-18</v>
      </c>
      <c r="J132" s="5">
        <f>F132*(1+H132)</f>
        <v>1.383522629548758</v>
      </c>
      <c r="K132" s="4">
        <v>1.383522629548758</v>
      </c>
      <c r="L132" s="5">
        <f>K132-J132</f>
        <v>0</v>
      </c>
      <c r="M132" s="4">
        <v>1.683</v>
      </c>
      <c r="N132" s="4">
        <v>1.669</v>
      </c>
      <c r="O132" s="5">
        <f>M132/$M$3</f>
        <v>0.8595505617977528</v>
      </c>
      <c r="P132" s="5">
        <f>N132/$M$3</f>
        <v>0.8524004085801838</v>
      </c>
      <c r="Q132" s="7">
        <f>IFERROR(N132/M132-1,0)</f>
        <v>-0.008318478906714222</v>
      </c>
      <c r="R132" s="5">
        <f>SUM(IF(BQ132="lease",CB132,0),IF(CS132="lease",DD132,0),IF(DU132="lease",EF132,0),IF(EW132="lease",FH132,0),IF(FY132="lease",GJ132,0),IF(HA132="lease",HL132,0),IF(IC132="lease",IN132,0),IF(JE132="lease",JP132,0),IF(KG132="lease",KR132,0),IF(LI132="lease",LT132,0))</f>
        <v>1.410437819620427</v>
      </c>
      <c r="S132" s="5">
        <f>SUM(IF(BQ132="lease",CI132,0),IF(CS132="lease",DK132,0),IF(DU132="lease",EM132,0),IF(EW132="lease",FO132,0),IF(FY132="lease",GQ132,0),IF(HA132="lease",HS132,0),IF(IC132="lease",IU132,0),IF(JE132="lease",JW132,0),IF(KG132="lease",KY132,0),IF(LI132="lease",MA132,0))</f>
        <v>1.3835226295487582</v>
      </c>
      <c r="T132" s="5">
        <f>SUM(IF(BQ132="keep",CB132,0),IF(CS132="keep",DD132,0),IF(DU132="keep",EF132,0),IF(EW132="keep",FH132,0),IF(FY132="keep",GJ132,0),IF(HA132="keep",HL132,0),IF(IC132="keep",IN132,0),IF(JE132="keep",JP132,0),IF(KG132="keep",KR132,0),IF(LI132="keep",LT132,0))</f>
        <v>0</v>
      </c>
      <c r="U132" s="5">
        <f>SUM(IF(BQ132="keep",CI132,0),IF(CS132="keep",DK132,0),IF(DU132="keep",EM132,0),IF(EW132="keep",FO132,0),IF(FY132="keep",GQ132,0),IF(HA132="keep",HS132,0),IF(IC132="keep",IU132,0),IF(JE132="keep",JW132,0),IF(KG132="keep",KY132,0),IF(LI132="keep",MA132,0))</f>
        <v>0</v>
      </c>
      <c r="V132" s="5">
        <f>R132/O132</f>
        <v>1.6409015156368367</v>
      </c>
      <c r="W132" s="5">
        <f>S132/P132</f>
        <v>1.6230900591111255</v>
      </c>
      <c r="X132" s="5">
        <f>T132/O132</f>
        <v>0</v>
      </c>
      <c r="Y132" s="5">
        <f>U132/P132</f>
        <v>0</v>
      </c>
      <c r="Z132" s="5">
        <f>V132+X132</f>
        <v>1.6409015156368367</v>
      </c>
      <c r="AA132" s="7">
        <f>IFERROR(W132/V132-1,0)</f>
        <v>-0.010854677356305964</v>
      </c>
      <c r="AB132" s="7">
        <f>IFERROR((W132-V132)/Z132,0)</f>
        <v>-0.010854677356305931</v>
      </c>
      <c r="AC132" s="7">
        <f>IFERROR(Y132/X132-1,0)</f>
        <v>0</v>
      </c>
      <c r="AD132" s="7">
        <f>IFERROR((Y132-X132)/Z132,0)</f>
        <v>0</v>
      </c>
      <c r="AE132" s="7">
        <f>AB132+AD132</f>
        <v>-0.010854677356305931</v>
      </c>
      <c r="AF132" s="7">
        <f>(1+Q132)*(1+AE132)-1</f>
        <v>-0.019082861858392586</v>
      </c>
      <c r="AG132" s="7">
        <f>G132-AF132</f>
        <v>1.8388068845354155e-16</v>
      </c>
      <c r="AH132" s="5">
        <f>SUM(IF(BQ132="lease",CE132,0),IF(CS132="lease",DG132,0),IF(DU132="lease",EI132,0),IF(EW132="lease",FK132,0),IF(FY132="lease",GM132,0),IF(HA132="lease",HO132,0),IF(IC132="lease",IQ132,0),IF(JE132="lease",JS132,0),IF(KG132="lease",KU132,0),IF(LI132="lease",LW132,0))</f>
        <v>-0.02691519007166877</v>
      </c>
      <c r="AI132" s="5">
        <f>SUM(IF(BQ132="keep",CE132,0),IF(CS132="keep",DG132,0),IF(DU132="keep",EI132,0),IF(EW132="keep",FK132,0),IF(FY132="keep",GM132,0),IF(HA132="keep",HO132,0),IF(IC132="keep",IQ132,0),IF(JE132="keep",JS132,0),IF(KG132="keep",KU132,0),IF(LI132="keep",LW132,0))</f>
        <v>0</v>
      </c>
      <c r="AJ132" s="5">
        <f>SUM(IF(BQ132="lease",CH132,0),IF(CS132="lease",DJ132,0),IF(DU132="lease",EL132,0),IF(EW132="lease",FN132,0),IF(FY132="lease",GP132,0),IF(HA132="lease",HR132,0),IF(IC132="lease",IT132,0),IF(JE132="lease",JV132,0),IF(KG132="lease",KX132,0),IF(LI132="lease",LZ132,0))</f>
        <v>0</v>
      </c>
      <c r="AK132" s="5">
        <f>SUM(IF(BQ132="keep",CH132,0),IF(CS132="keep",DJ132,0),IF(DU132="keep",EL132,0),IF(EW132="keep",FN132,0),IF(FY132="keep",GP132,0),IF(HA132="keep",HR132,0),IF(IC132="keep",IT132,0),IF(JE132="keep",JV132,0),IF(KG132="keep",KX132,0),IF(LI132="keep",LZ132,0))</f>
        <v>0</v>
      </c>
      <c r="AL132" s="5">
        <f>R132-S131</f>
        <v>0</v>
      </c>
      <c r="AM132" s="5">
        <f>T132-U131</f>
        <v>0</v>
      </c>
      <c r="AN132" s="5">
        <f>AN131</f>
        <v>1</v>
      </c>
      <c r="AO132" s="5">
        <f>AO131+AH132</f>
        <v>0.3835226295487583</v>
      </c>
      <c r="AP132" s="5">
        <f>AP131+AL132</f>
        <v>-4.440892098500626e-16</v>
      </c>
      <c r="AQ132" s="5">
        <f>AN132+AO132+AP132</f>
        <v>1.383522629548758</v>
      </c>
      <c r="AR132" s="5">
        <f>S132-AQ132</f>
        <v>2.220446049250313e-16</v>
      </c>
      <c r="AS132" s="5">
        <f>AS131</f>
        <v>0</v>
      </c>
      <c r="AT132" s="5">
        <f>AT131+AI132</f>
        <v>0</v>
      </c>
      <c r="AU132" s="5">
        <f>AU131+AM132</f>
        <v>0</v>
      </c>
      <c r="AV132" s="5">
        <f>AS132+AT132+AU132</f>
        <v>0</v>
      </c>
      <c r="AW132" s="5">
        <f>U132-AV132</f>
        <v>0</v>
      </c>
      <c r="AX132" s="4">
        <v>1.410437819620427</v>
      </c>
      <c r="AY132" s="4">
        <v>1.3835226295487582</v>
      </c>
      <c r="AZ132" s="5">
        <f>S132-AY132</f>
        <v>0</v>
      </c>
      <c r="BA132" s="4">
        <v>0</v>
      </c>
      <c r="BB132" s="4">
        <v>0</v>
      </c>
      <c r="BC132" s="5">
        <f>U132-BB132</f>
        <v>0</v>
      </c>
      <c r="BD132" s="7">
        <f>SUM(IF(BP132="direct",CC132/F132,0),IF(CR132="direct",DE132/F132,0),IF(DT132="direct",EG132/F132,0),IF(EV132="direct",FI132/F132,0),IF(FX132="direct",GK132/F132,0),IF(GZ132="direct",HM132/F132,0),IF(IB132="direct",IO132/F132,0),IF(JD132="direct",JQ132/F132,0),IF(KF132="direct",KS132/F132,0),IF(LH132="direct",LU132/F132,0))</f>
        <v>0</v>
      </c>
      <c r="BE132" s="7">
        <f>-SUM(IF(BP132="direct",CD132/F132,0),IF(CR132="direct",DF132/F132,0),IF(DT132="direct",EH132/F132,0),IF(EV132="direct",FJ132/F132,0),IF(FX132="direct",GL132/F132,0),IF(GZ132="direct",HN132/F132,0),IF(IB132="direct",IP132/F132,0),IF(JD132="direct",JR132/F132,0),IF(KF132="direct",KT132/F132,0),IF(LH132="direct",LV132/F132,0))</f>
        <v>0</v>
      </c>
      <c r="BF132" s="7">
        <f>BD132+BE132</f>
        <v>0</v>
      </c>
      <c r="BG132" s="7">
        <f>BF132-SUM(IF(BP132="direct",CP132,0),IF(CR132="direct",DR132,0),IF(DT132="direct",ET132,0),IF(EV132="direct",FV132,0),IF(FX132="direct",GX132,0),IF(GZ132="direct",HZ132,0),IF(IB132="direct",JB132,0),IF(JD132="direct",KD132,0),IF(KF132="direct",LF132,0),IF(LH132="direct",MH132,0))</f>
        <v>0</v>
      </c>
      <c r="BH132" s="7">
        <f>SUM(IF(BP132="treasury",CP132,0),IF(CR132="treasury",DR132,0),IF(DT132="treasury",ET132,0),IF(EV132="treasury",FV132,0),IF(FX132="treasury",GX132,0),IF(GZ132="treasury",HZ132,0),IF(IB132="treasury",JB132,0),IF(JD132="treasury",KD132,0),IF(KF132="treasury",LF132,0),IF(LH132="treasury",MH132,0))</f>
        <v>0.00019424657534246578</v>
      </c>
      <c r="BI132" s="7">
        <f>SUM(IF(BP132="future",CP132,0),IF(CR132="future",DR132,0),IF(DT132="future",ET132,0),IF(EV132="future",FV132,0),IF(FX132="future",GX132,0),IF(GZ132="future",HZ132,0),IF(IB132="future",JB132,0),IF(JD132="future",KD132,0),IF(KF132="future",LF132,0),IF(LH132="future",MH132,0))</f>
        <v>-0.01927710843373486</v>
      </c>
      <c r="BJ132" s="7">
        <f>SUM(IF(BP132="cash",CP132,0),IF(CR132="cash",DR132,0),IF(DT132="cash",ET132,0),IF(EV132="cash",FV132,0),IF(FX132="cash",GX132,0),IF(GZ132="cash",HZ132,0),IF(IB132="cash",JB132,0),IF(JD132="cash",KD132,0),IF(KF132="cash",LF132,0),IF(LH132="cash",MH132,0))</f>
        <v>0</v>
      </c>
      <c r="BK132" s="7">
        <f>SUM(BF132,BH132,BI132,BJ132)</f>
        <v>-0.019082861858392395</v>
      </c>
      <c r="BL132" s="7">
        <f>G132-BK132</f>
        <v>-6.938893903907228e-18</v>
      </c>
      <c r="BM132" s="5">
        <f>MAX(ABS(CG132),ABS(DI132),ABS(EK132),ABS(FM132),ABS(GO132),ABS(HQ132),ABS(IS132),ABS(JU132),ABS(KW132),ABS(LY132))</f>
        <v>3.0991919100498144e-16</v>
      </c>
      <c r="BN132" s="9">
        <f>COUNTA(BO132,CQ132,DS132,EU132,FW132,GY132,IA132,JC132,KE132,LG132)</f>
        <v>4</v>
      </c>
      <c r="BO132" t="inlineStr">
        <is>
          <t xml:space="preserve">Treasury collateral</t>
        </is>
      </c>
      <c r="BP132" t="inlineStr">
        <is>
          <t xml:space="preserve">treasury</t>
        </is>
      </c>
      <c r="BQ132" t="inlineStr">
        <is>
          <t xml:space="preserve">lease</t>
        </is>
      </c>
      <c r="BR132" t="inlineStr">
        <is>
          <t xml:space="preserve">long</t>
        </is>
      </c>
      <c r="BS132"/>
      <c r="BT132" s="4">
        <v>103.34648185253113</v>
      </c>
      <c r="BU132" s="4">
        <v>103.36655655270465</v>
      </c>
      <c r="BV132" s="6"/>
      <c r="BW132" s="4">
        <v>0.013647661674956985</v>
      </c>
      <c r="BX132" s="5">
        <f>IF(BP132="direct",IFERROR(CD132/BU132,0),0)</f>
        <v>0</v>
      </c>
      <c r="BY132" s="5">
        <f>IF(BP132="direct",BW132-BX132,IF(BP132="cash",CI132,BW132))</f>
        <v>0.013647661674956985</v>
      </c>
      <c r="BZ132" s="6">
        <v>1</v>
      </c>
      <c r="CA132" s="4">
        <v>1.4104378196204266</v>
      </c>
      <c r="CB132" s="4">
        <v>1.4104378196204266</v>
      </c>
      <c r="CC132" s="5">
        <f>IF(BP132="direct",BW132*(BU132-BT132),CF132)</f>
        <v>0.0002739727161944524</v>
      </c>
      <c r="CD132" s="5">
        <f>IF(BP132="direct",CB132*BV132*C132/365,0)</f>
        <v>0</v>
      </c>
      <c r="CE132" s="5">
        <f>CC132-CD132</f>
        <v>0.00027397271619476233</v>
      </c>
      <c r="CF132" s="4">
        <v>0.00027397271619476233</v>
      </c>
      <c r="CG132" s="5">
        <f>CF132-CE132</f>
        <v>3.0991919100498144e-16</v>
      </c>
      <c r="CH132" s="4">
        <v>-3.1403915926042636e-16</v>
      </c>
      <c r="CI132" s="4">
        <v>1.410711792336621</v>
      </c>
      <c r="CJ132" s="4">
        <v>1.683</v>
      </c>
      <c r="CK132" s="4">
        <v>1.669</v>
      </c>
      <c r="CL132" s="6"/>
      <c r="CM132" s="6"/>
      <c r="CN132" s="6"/>
      <c r="CO132" s="9">
        <v>14</v>
      </c>
      <c r="CP132" s="7">
        <f>IFERROR(CE132/F132,0)</f>
        <v>0.00019424657534246578</v>
      </c>
      <c r="CQ132" t="inlineStr">
        <is>
          <t xml:space="preserve">SI69N</t>
        </is>
      </c>
      <c r="CR132" t="inlineStr">
        <is>
          <t xml:space="preserve">future</t>
        </is>
      </c>
      <c r="CS132" t="inlineStr">
        <is>
          <t xml:space="preserve">lease</t>
        </is>
      </c>
      <c r="CT132" t="inlineStr">
        <is>
          <t xml:space="preserve">long</t>
        </is>
      </c>
      <c r="CU132" t="inlineStr">
        <is>
          <t xml:space="preserve">regular</t>
        </is>
      </c>
      <c r="CV132" s="4">
        <v>1.66</v>
      </c>
      <c r="CW132" s="4">
        <v>1.6280000000000001</v>
      </c>
      <c r="CX132" s="6"/>
      <c r="CY132" s="4">
        <v>0.8496613371207387</v>
      </c>
      <c r="CZ132" s="5">
        <f>IF(CR132="direct",IFERROR(DF132/CW132,0),0)</f>
        <v>0</v>
      </c>
      <c r="DA132" s="5">
        <f>IF(CR132="direct",CY132-CZ132,IF(CR132="cash",DK132,CY132))</f>
        <v>0.8496613371207387</v>
      </c>
      <c r="DB132" s="6">
        <v>0.9999999999999997</v>
      </c>
      <c r="DC132" s="4">
        <v>1.4104378196204261</v>
      </c>
      <c r="DD132" s="4">
        <v>0</v>
      </c>
      <c r="DE132" s="5">
        <f>IF(CR132="direct",CY132*(CW132-CV132),DH132)</f>
        <v>-0.027189162787863534</v>
      </c>
      <c r="DF132" s="5">
        <f>IF(CR132="direct",DD132*CX132*C132/365,0)</f>
        <v>0</v>
      </c>
      <c r="DG132" s="5">
        <f>DE132-DF132</f>
        <v>-0.027189162787863534</v>
      </c>
      <c r="DH132" s="4">
        <v>-0.027189162787863534</v>
      </c>
      <c r="DI132" s="5">
        <f>DH132-DG132</f>
        <v>0</v>
      </c>
      <c r="DJ132" s="4">
        <v>0.027189162787863534</v>
      </c>
      <c r="DK132" s="4">
        <v>0</v>
      </c>
      <c r="DL132" s="4">
        <v>1.683</v>
      </c>
      <c r="DM132" s="4">
        <v>1.669</v>
      </c>
      <c r="DN132" s="6">
        <v>-0.013666072489601944</v>
      </c>
      <c r="DO132" s="6">
        <v>0.0709</v>
      </c>
      <c r="DP132" s="6">
        <v>0.42719403276462214</v>
      </c>
      <c r="DQ132" s="9">
        <v>14</v>
      </c>
      <c r="DR132" s="7">
        <f>IFERROR(DG132/F132,0)</f>
        <v>-0.01927710843373486</v>
      </c>
      <c r="DS132" t="inlineStr">
        <is>
          <t xml:space="preserve">Lease cash / margin / financing</t>
        </is>
      </c>
      <c r="DT132" t="inlineStr">
        <is>
          <t xml:space="preserve">cash</t>
        </is>
      </c>
      <c r="DU132" t="inlineStr">
        <is>
          <t xml:space="preserve">lease</t>
        </is>
      </c>
      <c r="DV132" t="inlineStr">
        <is>
          <t xml:space="preserve">cash</t>
        </is>
      </c>
      <c r="DW132"/>
      <c r="DX132" s="4">
        <v>1</v>
      </c>
      <c r="DY132" s="4">
        <v>1</v>
      </c>
      <c r="DZ132" s="6"/>
      <c r="EA132" s="4">
        <v>4.440892098500626e-16</v>
      </c>
      <c r="EB132" s="5">
        <f>IF(DT132="direct",IFERROR(EH132/DY132,0),0)</f>
        <v>0</v>
      </c>
      <c r="EC132" s="5">
        <f>IF(DT132="direct",EA132-EB132,IF(DT132="cash",EM132,EA132))</f>
        <v>-0.027189162787862774</v>
      </c>
      <c r="ED132" s="6"/>
      <c r="EE132" s="4">
        <v>4.440892098500626e-16</v>
      </c>
      <c r="EF132" s="4">
        <v>4.440892098500626e-16</v>
      </c>
      <c r="EG132" s="5">
        <f>IF(DT132="direct",EA132*(DY132-DX132),EJ132)</f>
        <v>0</v>
      </c>
      <c r="EH132" s="5">
        <f>IF(DT132="direct",EF132*DZ132*C132/365,0)</f>
        <v>0</v>
      </c>
      <c r="EI132" s="5">
        <f>EG132-EH132</f>
        <v>0</v>
      </c>
      <c r="EJ132" s="4">
        <v>0</v>
      </c>
      <c r="EK132" s="5">
        <f>EJ132-EI132</f>
        <v>0</v>
      </c>
      <c r="EL132" s="4">
        <v>-0.02718916278786322</v>
      </c>
      <c r="EM132" s="4">
        <v>-0.027189162787862774</v>
      </c>
      <c r="EN132" s="4">
        <v>1.683</v>
      </c>
      <c r="EO132" s="4">
        <v>1.669</v>
      </c>
      <c r="EP132" s="6"/>
      <c r="EQ132" s="6"/>
      <c r="ER132" s="6"/>
      <c r="ES132" s="9"/>
      <c r="ET132" s="7">
        <f>IFERROR(EI132/F132,0)</f>
        <v>0</v>
      </c>
      <c r="EU132" t="inlineStr">
        <is>
          <t xml:space="preserve">Keep cash / margin / financing</t>
        </is>
      </c>
      <c r="EV132" t="inlineStr">
        <is>
          <t xml:space="preserve">cash</t>
        </is>
      </c>
      <c r="EW132" t="inlineStr">
        <is>
          <t xml:space="preserve">keep</t>
        </is>
      </c>
      <c r="EX132" t="inlineStr">
        <is>
          <t xml:space="preserve">cash</t>
        </is>
      </c>
      <c r="EY132"/>
      <c r="EZ132" s="4">
        <v>1</v>
      </c>
      <c r="FA132" s="4">
        <v>1</v>
      </c>
      <c r="FB132" s="6"/>
      <c r="FC132" s="4">
        <v>0</v>
      </c>
      <c r="FD132" s="5">
        <f>IF(EV132="direct",IFERROR(FJ132/FA132,0),0)</f>
        <v>0</v>
      </c>
      <c r="FE132" s="5">
        <f>IF(EV132="direct",FC132-FD132,IF(EV132="cash",FO132,FC132))</f>
        <v>0</v>
      </c>
      <c r="FF132" s="6"/>
      <c r="FG132" s="4">
        <v>0</v>
      </c>
      <c r="FH132" s="4">
        <v>0</v>
      </c>
      <c r="FI132" s="5">
        <f>IF(EV132="direct",FC132*(FA132-EZ132),FL132)</f>
        <v>0</v>
      </c>
      <c r="FJ132" s="5">
        <f>IF(EV132="direct",FH132*FB132*C132/365,0)</f>
        <v>0</v>
      </c>
      <c r="FK132" s="5">
        <f>FI132-FJ132</f>
        <v>0</v>
      </c>
      <c r="FL132" s="4">
        <v>0</v>
      </c>
      <c r="FM132" s="5">
        <f>FL132-FK132</f>
        <v>0</v>
      </c>
      <c r="FN132" s="4">
        <v>0</v>
      </c>
      <c r="FO132" s="4">
        <v>0</v>
      </c>
      <c r="FP132" s="4">
        <v>1.683</v>
      </c>
      <c r="FQ132" s="4">
        <v>1.669</v>
      </c>
      <c r="FR132" s="6"/>
      <c r="FS132" s="6"/>
      <c r="FT132" s="6"/>
      <c r="FU132" s="9"/>
      <c r="FV132" s="7">
        <f>IFERROR(FK132/F132,0)</f>
        <v>0</v>
      </c>
      <c r="FW132"/>
      <c r="FX132"/>
      <c r="FY132"/>
      <c r="FZ132"/>
      <c r="GA132"/>
      <c r="GB132" s="4"/>
      <c r="GC132" s="4"/>
      <c r="GD132" s="6"/>
      <c r="GE132" s="4"/>
      <c r="GF132" s="5">
        <v>0</v>
      </c>
      <c r="GG132" s="5"/>
      <c r="GH132" s="6"/>
      <c r="GI132" s="4"/>
      <c r="GJ132" s="4"/>
      <c r="GK132" s="5">
        <v>0</v>
      </c>
      <c r="GL132" s="5">
        <v>0</v>
      </c>
      <c r="GM132" s="5"/>
      <c r="GN132" s="4"/>
      <c r="GO132" s="5">
        <v>0</v>
      </c>
      <c r="GP132" s="4"/>
      <c r="GQ132" s="4"/>
      <c r="GR132" s="4"/>
      <c r="GS132" s="4"/>
      <c r="GT132" s="6"/>
      <c r="GU132" s="6"/>
      <c r="GV132" s="6"/>
      <c r="GW132" s="9"/>
      <c r="GX132"/>
      <c r="GY132"/>
      <c r="GZ132"/>
      <c r="HA132"/>
      <c r="HB132"/>
      <c r="HC132"/>
      <c r="HD132" s="4"/>
      <c r="HE132" s="4"/>
      <c r="HF132" s="6"/>
      <c r="HG132" s="4"/>
      <c r="HH132" s="5">
        <v>0</v>
      </c>
      <c r="HI132" s="5"/>
      <c r="HJ132" s="6"/>
      <c r="HK132" s="4"/>
      <c r="HL132" s="4"/>
      <c r="HM132" s="5">
        <v>0</v>
      </c>
      <c r="HN132" s="5">
        <v>0</v>
      </c>
      <c r="HO132" s="5"/>
      <c r="HP132" s="4"/>
      <c r="HQ132" s="5">
        <v>0</v>
      </c>
      <c r="HR132" s="4"/>
      <c r="HS132" s="4"/>
      <c r="HT132" s="4"/>
      <c r="HU132" s="4"/>
      <c r="HV132" s="6"/>
      <c r="HW132" s="6"/>
      <c r="HX132" s="6"/>
      <c r="HY132" s="9"/>
      <c r="HZ132"/>
      <c r="IA132"/>
      <c r="IB132"/>
      <c r="IC132"/>
      <c r="ID132"/>
      <c r="IE132"/>
      <c r="IF132" s="4"/>
      <c r="IG132" s="4"/>
      <c r="IH132" s="6"/>
      <c r="II132" s="4"/>
      <c r="IJ132" s="5">
        <v>0</v>
      </c>
      <c r="IK132" s="5"/>
      <c r="IL132" s="6"/>
      <c r="IM132" s="4"/>
      <c r="IN132" s="4"/>
      <c r="IO132" s="5">
        <v>0</v>
      </c>
      <c r="IP132" s="5">
        <v>0</v>
      </c>
      <c r="IQ132" s="5"/>
      <c r="IR132" s="4"/>
      <c r="IS132" s="5">
        <v>0</v>
      </c>
      <c r="IT132" s="4"/>
      <c r="IU132" s="4"/>
      <c r="IV132" s="4"/>
      <c r="IW132" s="4"/>
      <c r="IX132" s="6"/>
      <c r="IY132" s="6"/>
      <c r="IZ132" s="6"/>
      <c r="JA132" s="9"/>
      <c r="JB132"/>
      <c r="JC132"/>
      <c r="JD132"/>
      <c r="JE132"/>
      <c r="JF132"/>
      <c r="JG132"/>
      <c r="JH132" s="4"/>
      <c r="JI132" s="4"/>
      <c r="JJ132" s="6"/>
      <c r="JK132" s="4"/>
      <c r="JL132" s="5">
        <v>0</v>
      </c>
      <c r="JM132" s="5"/>
      <c r="JN132" s="6"/>
      <c r="JO132" s="4"/>
      <c r="JP132" s="4"/>
      <c r="JQ132" s="5">
        <v>0</v>
      </c>
      <c r="JR132" s="5">
        <v>0</v>
      </c>
      <c r="JS132" s="5"/>
      <c r="JT132" s="4"/>
      <c r="JU132" s="5">
        <v>0</v>
      </c>
      <c r="JV132" s="4"/>
      <c r="JW132" s="4"/>
      <c r="JX132" s="4"/>
      <c r="JY132" s="4"/>
      <c r="JZ132" s="6"/>
      <c r="KA132" s="6"/>
      <c r="KB132" s="6"/>
      <c r="KC132" s="9"/>
      <c r="KD132"/>
      <c r="KE132"/>
      <c r="KF132"/>
      <c r="KG132"/>
      <c r="KH132"/>
      <c r="KI132"/>
      <c r="KJ132" s="4"/>
      <c r="KK132" s="4"/>
      <c r="KL132" s="6"/>
      <c r="KM132" s="4"/>
      <c r="KN132" s="5">
        <v>0</v>
      </c>
      <c r="KO132" s="5"/>
      <c r="KP132" s="6"/>
      <c r="KQ132" s="4"/>
      <c r="KR132" s="4"/>
      <c r="KS132" s="5">
        <v>0</v>
      </c>
      <c r="KT132" s="5">
        <v>0</v>
      </c>
      <c r="KU132" s="5"/>
      <c r="KV132" s="4"/>
      <c r="KW132" s="5">
        <v>0</v>
      </c>
      <c r="KX132" s="4"/>
      <c r="KY132" s="4"/>
      <c r="KZ132" s="4"/>
      <c r="LA132" s="4"/>
      <c r="LB132" s="6"/>
      <c r="LC132" s="6"/>
      <c r="LD132" s="6"/>
      <c r="LE132" s="9"/>
      <c r="LF132"/>
      <c r="LG132"/>
      <c r="LH132"/>
      <c r="LI132"/>
      <c r="LJ132"/>
      <c r="LK132"/>
      <c r="LL132" s="4"/>
      <c r="LM132" s="4"/>
      <c r="LN132" s="6"/>
      <c r="LO132" s="4"/>
      <c r="LP132" s="5">
        <v>0</v>
      </c>
      <c r="LQ132" s="5"/>
      <c r="LR132" s="6"/>
      <c r="LS132" s="4"/>
      <c r="LT132" s="4"/>
      <c r="LU132" s="5">
        <v>0</v>
      </c>
      <c r="LV132" s="5">
        <v>0</v>
      </c>
      <c r="LW132" s="5"/>
      <c r="LX132" s="4"/>
      <c r="LY132" s="5">
        <v>0</v>
      </c>
      <c r="LZ132" s="4"/>
      <c r="MA132" s="4"/>
      <c r="MB132" s="4"/>
      <c r="MC132" s="4"/>
      <c r="MD132" s="6"/>
      <c r="ME132" s="6"/>
      <c r="MF132" s="6"/>
      <c r="MG132" s="9"/>
      <c r="MH132"/>
    </row>
    <row r="133">
      <c r="A133" s="8">
        <v>25400</v>
      </c>
      <c r="B133" s="8">
        <v>25401</v>
      </c>
      <c r="C133" s="9">
        <f>B133-A133</f>
        <v>1</v>
      </c>
      <c r="D133" s="8">
        <v>25400</v>
      </c>
      <c r="E133" t="inlineStr">
        <is>
          <t xml:space="preserve">positive</t>
        </is>
      </c>
      <c r="F133" s="4">
        <v>1.383522629548758</v>
      </c>
      <c r="G133" s="6">
        <v>0.0075625142203222225</v>
      </c>
      <c r="H133" s="7">
        <f>SUM(CP133,DR133,ET133,FV133,GX133,HZ133,JB133,KD133,LF133,MH133)</f>
        <v>0.007562514220322223</v>
      </c>
      <c r="I133" s="7">
        <f>G133-H133</f>
        <v>-8.673617379884035e-19</v>
      </c>
      <c r="J133" s="5">
        <f>F133*(1+H133)</f>
        <v>1.393985539108858</v>
      </c>
      <c r="K133" s="4">
        <v>1.393985539108858</v>
      </c>
      <c r="L133" s="5">
        <f>K133-J133</f>
        <v>0</v>
      </c>
      <c r="M133" s="4">
        <v>1.669</v>
      </c>
      <c r="N133" s="4">
        <v>1.636</v>
      </c>
      <c r="O133" s="5">
        <f>M133/$M$3</f>
        <v>0.8524004085801838</v>
      </c>
      <c r="P133" s="5">
        <f>N133/$M$3</f>
        <v>0.8355464759959141</v>
      </c>
      <c r="Q133" s="7">
        <f>IFERROR(N133/M133-1,0)</f>
        <v>-0.019772318753744855</v>
      </c>
      <c r="R133" s="5">
        <f>SUM(IF(BQ133="lease",CB133,0),IF(CS133="lease",DD133,0),IF(DU133="lease",EF133,0),IF(EW133="lease",FH133,0),IF(FY133="lease",GJ133,0),IF(HA133="lease",HL133,0),IF(IC133="lease",IN133,0),IF(JE133="lease",JP133,0),IF(KG133="lease",KR133,0),IF(LI133="lease",LT133,0))</f>
        <v>1.3835226295487582</v>
      </c>
      <c r="S133" s="5">
        <f>SUM(IF(BQ133="lease",CI133,0),IF(CS133="lease",DK133,0),IF(DU133="lease",EM133,0),IF(EW133="lease",FO133,0),IF(FY133="lease",GQ133,0),IF(HA133="lease",HS133,0),IF(IC133="lease",IU133,0),IF(JE133="lease",JW133,0),IF(KG133="lease",KY133,0),IF(LI133="lease",MA133,0))</f>
        <v>1.3939855391088583</v>
      </c>
      <c r="T133" s="5">
        <f>SUM(IF(BQ133="keep",CB133,0),IF(CS133="keep",DD133,0),IF(DU133="keep",EF133,0),IF(EW133="keep",FH133,0),IF(FY133="keep",GJ133,0),IF(HA133="keep",HL133,0),IF(IC133="keep",IN133,0),IF(JE133="keep",JP133,0),IF(KG133="keep",KR133,0),IF(LI133="keep",LT133,0))</f>
        <v>0</v>
      </c>
      <c r="U133" s="5">
        <f>SUM(IF(BQ133="keep",CI133,0),IF(CS133="keep",DK133,0),IF(DU133="keep",EM133,0),IF(EW133="keep",FO133,0),IF(FY133="keep",GQ133,0),IF(HA133="keep",HS133,0),IF(IC133="keep",IU133,0),IF(JE133="keep",JW133,0),IF(KG133="keep",KY133,0),IF(LI133="keep",MA133,0))</f>
        <v>0</v>
      </c>
      <c r="V133" s="5">
        <f>R133/O133</f>
        <v>1.6230900591111255</v>
      </c>
      <c r="W133" s="5">
        <f>S133/P133</f>
        <v>1.668351886048377</v>
      </c>
      <c r="X133" s="5">
        <f>T133/O133</f>
        <v>0</v>
      </c>
      <c r="Y133" s="5">
        <f>U133/P133</f>
        <v>0</v>
      </c>
      <c r="Z133" s="5">
        <f>V133+X133</f>
        <v>1.6230900591111255</v>
      </c>
      <c r="AA133" s="7">
        <f>IFERROR(W133/V133-1,0)</f>
        <v>0.027886207966820287</v>
      </c>
      <c r="AB133" s="7">
        <f>IFERROR((W133-V133)/Z133,0)</f>
        <v>0.02788620796682034</v>
      </c>
      <c r="AC133" s="7">
        <f>IFERROR(Y133/X133-1,0)</f>
        <v>0</v>
      </c>
      <c r="AD133" s="7">
        <f>IFERROR((Y133-X133)/Z133,0)</f>
        <v>0</v>
      </c>
      <c r="AE133" s="7">
        <f>AB133+AD133</f>
        <v>0.02788620796682034</v>
      </c>
      <c r="AF133" s="7">
        <f>(1+Q133)*(1+AE133)-1</f>
        <v>0.00756251422032217</v>
      </c>
      <c r="AG133" s="7">
        <f>G133-AF133</f>
        <v>5.2909066017292616e-17</v>
      </c>
      <c r="AH133" s="5">
        <f>SUM(IF(BQ133="lease",CE133,0),IF(CS133="lease",DG133,0),IF(DU133="lease",EI133,0),IF(EW133="lease",FK133,0),IF(FY133="lease",GM133,0),IF(HA133="lease",HO133,0),IF(IC133="lease",IQ133,0),IF(JE133="lease",JS133,0),IF(KG133="lease",KU133,0),IF(LI133="lease",LW133,0))</f>
        <v>0.010462909560100077</v>
      </c>
      <c r="AI133" s="5">
        <f>SUM(IF(BQ133="keep",CE133,0),IF(CS133="keep",DG133,0),IF(DU133="keep",EI133,0),IF(EW133="keep",FK133,0),IF(FY133="keep",GM133,0),IF(HA133="keep",HO133,0),IF(IC133="keep",IQ133,0),IF(JE133="keep",JS133,0),IF(KG133="keep",KU133,0),IF(LI133="keep",LW133,0))</f>
        <v>0</v>
      </c>
      <c r="AJ133" s="5">
        <f>SUM(IF(BQ133="lease",CH133,0),IF(CS133="lease",DJ133,0),IF(DU133="lease",EL133,0),IF(EW133="lease",FN133,0),IF(FY133="lease",GP133,0),IF(HA133="lease",HR133,0),IF(IC133="lease",IT133,0),IF(JE133="lease",JV133,0),IF(KG133="lease",KX133,0),IF(LI133="lease",LZ133,0))</f>
        <v>0</v>
      </c>
      <c r="AK133" s="5">
        <f>SUM(IF(BQ133="keep",CH133,0),IF(CS133="keep",DJ133,0),IF(DU133="keep",EL133,0),IF(EW133="keep",FN133,0),IF(FY133="keep",GP133,0),IF(HA133="keep",HR133,0),IF(IC133="keep",IT133,0),IF(JE133="keep",JV133,0),IF(KG133="keep",KX133,0),IF(LI133="keep",LZ133,0))</f>
        <v>0</v>
      </c>
      <c r="AL133" s="5">
        <f>R133-S132</f>
        <v>0</v>
      </c>
      <c r="AM133" s="5">
        <f>T133-U132</f>
        <v>0</v>
      </c>
      <c r="AN133" s="5">
        <f>AN132</f>
        <v>1</v>
      </c>
      <c r="AO133" s="5">
        <f>AO132+AH133</f>
        <v>0.3939855391088584</v>
      </c>
      <c r="AP133" s="5">
        <f>AP132+AL133</f>
        <v>-4.440892098500626e-16</v>
      </c>
      <c r="AQ133" s="5">
        <f>AN133+AO133+AP133</f>
        <v>1.393985539108858</v>
      </c>
      <c r="AR133" s="5">
        <f>S133-AQ133</f>
        <v>2.220446049250313e-16</v>
      </c>
      <c r="AS133" s="5">
        <f>AS132</f>
        <v>0</v>
      </c>
      <c r="AT133" s="5">
        <f>AT132+AI133</f>
        <v>0</v>
      </c>
      <c r="AU133" s="5">
        <f>AU132+AM133</f>
        <v>0</v>
      </c>
      <c r="AV133" s="5">
        <f>AS133+AT133+AU133</f>
        <v>0</v>
      </c>
      <c r="AW133" s="5">
        <f>U133-AV133</f>
        <v>0</v>
      </c>
      <c r="AX133" s="4">
        <v>1.3835226295487582</v>
      </c>
      <c r="AY133" s="4">
        <v>1.3939855391088583</v>
      </c>
      <c r="AZ133" s="5">
        <f>S133-AY133</f>
        <v>0</v>
      </c>
      <c r="BA133" s="4">
        <v>0</v>
      </c>
      <c r="BB133" s="4">
        <v>0</v>
      </c>
      <c r="BC133" s="5">
        <f>U133-BB133</f>
        <v>0</v>
      </c>
      <c r="BD133" s="7">
        <f>SUM(IF(BP133="direct",CC133/F133,0),IF(CR133="direct",DE133/F133,0),IF(DT133="direct",EG133/F133,0),IF(EV133="direct",FI133/F133,0),IF(FX133="direct",GK133/F133,0),IF(GZ133="direct",HM133/F133,0),IF(IB133="direct",IO133/F133,0),IF(JD133="direct",JQ133/F133,0),IF(KF133="direct",KS133/F133,0),IF(LH133="direct",LU133/F133,0))</f>
        <v>0</v>
      </c>
      <c r="BE133" s="7">
        <f>-SUM(IF(BP133="direct",CD133/F133,0),IF(CR133="direct",DF133/F133,0),IF(DT133="direct",EH133/F133,0),IF(EV133="direct",FJ133/F133,0),IF(FX133="direct",GL133/F133,0),IF(GZ133="direct",HN133/F133,0),IF(IB133="direct",IP133/F133,0),IF(JD133="direct",JR133/F133,0),IF(KF133="direct",KT133/F133,0),IF(LH133="direct",LV133/F133,0))</f>
        <v>0</v>
      </c>
      <c r="BF133" s="7">
        <f>BD133+BE133</f>
        <v>0</v>
      </c>
      <c r="BG133" s="7">
        <f>BF133-SUM(IF(BP133="direct",CP133,0),IF(CR133="direct",DR133,0),IF(DT133="direct",ET133,0),IF(EV133="direct",FV133,0),IF(FX133="direct",GX133,0),IF(GZ133="direct",HZ133,0),IF(IB133="direct",JB133,0),IF(JD133="direct",KD133,0),IF(KF133="direct",LF133,0),IF(LH133="direct",MH133,0))</f>
        <v>0</v>
      </c>
      <c r="BH133" s="7">
        <f>SUM(IF(BP133="treasury",CP133,0),IF(CR133="treasury",DR133,0),IF(DT133="treasury",ET133,0),IF(EV133="treasury",FV133,0),IF(FX133="treasury",GX133,0),IF(GZ133="treasury",HZ133,0),IF(IB133="treasury",JB133,0),IF(JD133="treasury",KD133,0),IF(KF133="treasury",LF133,0),IF(LH133="treasury",MH133,0))</f>
        <v>0.0001915068493150685</v>
      </c>
      <c r="BI133" s="7">
        <f>SUM(IF(BP133="future",CP133,0),IF(CR133="future",DR133,0),IF(DT133="future",ET133,0),IF(EV133="future",FV133,0),IF(FX133="future",GX133,0),IF(GZ133="future",HZ133,0),IF(IB133="future",JB133,0),IF(JD133="future",KD133,0),IF(KF133="future",LF133,0),IF(LH133="future",MH133,0))</f>
        <v>0.007371007371007155</v>
      </c>
      <c r="BJ133" s="7">
        <f>SUM(IF(BP133="cash",CP133,0),IF(CR133="cash",DR133,0),IF(DT133="cash",ET133,0),IF(EV133="cash",FV133,0),IF(FX133="cash",GX133,0),IF(GZ133="cash",HZ133,0),IF(IB133="cash",JB133,0),IF(JD133="cash",KD133,0),IF(KF133="cash",LF133,0),IF(LH133="cash",MH133,0))</f>
        <v>0</v>
      </c>
      <c r="BK133" s="7">
        <f>SUM(BF133,BH133,BI133,BJ133)</f>
        <v>0.007562514220322223</v>
      </c>
      <c r="BL133" s="7">
        <f>G133-BK133</f>
        <v>-8.673617379884035e-19</v>
      </c>
      <c r="BM133" s="5">
        <f>MAX(ABS(CG133),ABS(DI133),ABS(EK133),ABS(FM133),ABS(GO133),ABS(HQ133),ABS(IS133),ABS(JU133),ABS(KW133),ABS(LY133))</f>
        <v>2.4231918555051024e-17</v>
      </c>
      <c r="BN133" s="9">
        <f>COUNTA(BO133,CQ133,DS133,EU133,FW133,GY133,IA133,JC133,KE133,LG133)</f>
        <v>4</v>
      </c>
      <c r="BO133" t="inlineStr">
        <is>
          <t xml:space="preserve">Treasury collateral</t>
        </is>
      </c>
      <c r="BP133" t="inlineStr">
        <is>
          <t xml:space="preserve">treasury</t>
        </is>
      </c>
      <c r="BQ133" t="inlineStr">
        <is>
          <t xml:space="preserve">lease</t>
        </is>
      </c>
      <c r="BR133" t="inlineStr">
        <is>
          <t xml:space="preserve">long</t>
        </is>
      </c>
      <c r="BS133"/>
      <c r="BT133" s="4">
        <v>103.36655655270465</v>
      </c>
      <c r="BU133" s="4">
        <v>103.38635195627461</v>
      </c>
      <c r="BV133" s="6"/>
      <c r="BW133" s="4">
        <v>0.013384625314894049</v>
      </c>
      <c r="BX133" s="5">
        <f>IF(BP133="direct",IFERROR(CD133/BU133,0),0)</f>
        <v>0</v>
      </c>
      <c r="BY133" s="5">
        <f>IF(BP133="direct",BW133-BX133,IF(BP133="cash",CI133,BW133))</f>
        <v>0.013384625314894049</v>
      </c>
      <c r="BZ133" s="6">
        <v>1</v>
      </c>
      <c r="CA133" s="4">
        <v>1.383522629548758</v>
      </c>
      <c r="CB133" s="4">
        <v>1.383522629548758</v>
      </c>
      <c r="CC133" s="5">
        <f>IF(BP133="direct",BW133*(BU133-BT133),CF133)</f>
        <v>0.00026495405974100557</v>
      </c>
      <c r="CD133" s="5">
        <f>IF(BP133="direct",CB133*BV133*C133/365,0)</f>
        <v>0</v>
      </c>
      <c r="CE133" s="5">
        <f>CC133-CD133</f>
        <v>0.00026495405974098134</v>
      </c>
      <c r="CF133" s="4">
        <v>0.00026495405974098134</v>
      </c>
      <c r="CG133" s="5">
        <f>CF133-CE133</f>
        <v>-2.4231918555051024e-17</v>
      </c>
      <c r="CH133" s="4">
        <v>4.8030156241107846e-17</v>
      </c>
      <c r="CI133" s="4">
        <v>1.383787583608499</v>
      </c>
      <c r="CJ133" s="4">
        <v>1.669</v>
      </c>
      <c r="CK133" s="4">
        <v>1.636</v>
      </c>
      <c r="CL133" s="6"/>
      <c r="CM133" s="6"/>
      <c r="CN133" s="6"/>
      <c r="CO133" s="9">
        <v>13</v>
      </c>
      <c r="CP133" s="7">
        <f>IFERROR(CE133/F133,0)</f>
        <v>0.0001915068493150685</v>
      </c>
      <c r="CQ133" t="inlineStr">
        <is>
          <t xml:space="preserve">SI69N</t>
        </is>
      </c>
      <c r="CR133" t="inlineStr">
        <is>
          <t xml:space="preserve">future</t>
        </is>
      </c>
      <c r="CS133" t="inlineStr">
        <is>
          <t xml:space="preserve">lease</t>
        </is>
      </c>
      <c r="CT133" t="inlineStr">
        <is>
          <t xml:space="preserve">long</t>
        </is>
      </c>
      <c r="CU133" t="inlineStr">
        <is>
          <t xml:space="preserve">regular</t>
        </is>
      </c>
      <c r="CV133" s="4">
        <v>1.6280000000000001</v>
      </c>
      <c r="CW133" s="4">
        <v>1.64</v>
      </c>
      <c r="CX133" s="6"/>
      <c r="CY133" s="4">
        <v>0.8498296250299495</v>
      </c>
      <c r="CZ133" s="5">
        <f>IF(CR133="direct",IFERROR(DF133/CW133,0),0)</f>
        <v>0</v>
      </c>
      <c r="DA133" s="5">
        <f>IF(CR133="direct",CY133-CZ133,IF(CR133="cash",DK133,CY133))</f>
        <v>0.8498296250299495</v>
      </c>
      <c r="DB133" s="6">
        <v>1</v>
      </c>
      <c r="DC133" s="4">
        <v>1.383522629548758</v>
      </c>
      <c r="DD133" s="4">
        <v>0</v>
      </c>
      <c r="DE133" s="5">
        <f>IF(CR133="direct",CY133*(CW133-CV133),DH133)</f>
        <v>0.010197955500359096</v>
      </c>
      <c r="DF133" s="5">
        <f>IF(CR133="direct",DD133*CX133*C133/365,0)</f>
        <v>0</v>
      </c>
      <c r="DG133" s="5">
        <f>DE133-DF133</f>
        <v>0.010197955500359096</v>
      </c>
      <c r="DH133" s="4">
        <v>0.010197955500359096</v>
      </c>
      <c r="DI133" s="5">
        <f>DH133-DG133</f>
        <v>0</v>
      </c>
      <c r="DJ133" s="4">
        <v>-0.010197955500359096</v>
      </c>
      <c r="DK133" s="4">
        <v>0</v>
      </c>
      <c r="DL133" s="4">
        <v>1.669</v>
      </c>
      <c r="DM133" s="4">
        <v>1.636</v>
      </c>
      <c r="DN133" s="6">
        <v>-0.024565608148591878</v>
      </c>
      <c r="DO133" s="6">
        <v>0.0699</v>
      </c>
      <c r="DP133" s="6">
        <v>0.7596266903258488</v>
      </c>
      <c r="DQ133" s="9">
        <v>13</v>
      </c>
      <c r="DR133" s="7">
        <f>IFERROR(DG133/F133,0)</f>
        <v>0.007371007371007155</v>
      </c>
      <c r="DS133" t="inlineStr">
        <is>
          <t xml:space="preserve">Lease cash / margin / financing</t>
        </is>
      </c>
      <c r="DT133" t="inlineStr">
        <is>
          <t xml:space="preserve">cash</t>
        </is>
      </c>
      <c r="DU133" t="inlineStr">
        <is>
          <t xml:space="preserve">lease</t>
        </is>
      </c>
      <c r="DV133" t="inlineStr">
        <is>
          <t xml:space="preserve">cash</t>
        </is>
      </c>
      <c r="DW133"/>
      <c r="DX133" s="4">
        <v>1</v>
      </c>
      <c r="DY133" s="4">
        <v>1</v>
      </c>
      <c r="DZ133" s="6"/>
      <c r="EA133" s="4">
        <v>2.220446049250313e-16</v>
      </c>
      <c r="EB133" s="5">
        <f>IF(DT133="direct",IFERROR(EH133/DY133,0),0)</f>
        <v>0</v>
      </c>
      <c r="EC133" s="5">
        <f>IF(DT133="direct",EA133-EB133,IF(DT133="cash",EM133,EA133))</f>
        <v>0.01019795550035927</v>
      </c>
      <c r="ED133" s="6"/>
      <c r="EE133" s="4">
        <v>2.220446049250313e-16</v>
      </c>
      <c r="EF133" s="4">
        <v>2.220446049250313e-16</v>
      </c>
      <c r="EG133" s="5">
        <f>IF(DT133="direct",EA133*(DY133-DX133),EJ133)</f>
        <v>0</v>
      </c>
      <c r="EH133" s="5">
        <f>IF(DT133="direct",EF133*DZ133*C133/365,0)</f>
        <v>0</v>
      </c>
      <c r="EI133" s="5">
        <f>EG133-EH133</f>
        <v>0</v>
      </c>
      <c r="EJ133" s="4">
        <v>0</v>
      </c>
      <c r="EK133" s="5">
        <f>EJ133-EI133</f>
        <v>0</v>
      </c>
      <c r="EL133" s="4">
        <v>0.010197955500359047</v>
      </c>
      <c r="EM133" s="4">
        <v>0.01019795550035927</v>
      </c>
      <c r="EN133" s="4">
        <v>1.669</v>
      </c>
      <c r="EO133" s="4">
        <v>1.636</v>
      </c>
      <c r="EP133" s="6"/>
      <c r="EQ133" s="6"/>
      <c r="ER133" s="6"/>
      <c r="ES133" s="9"/>
      <c r="ET133" s="7">
        <f>IFERROR(EI133/F133,0)</f>
        <v>0</v>
      </c>
      <c r="EU133" t="inlineStr">
        <is>
          <t xml:space="preserve">Keep cash / margin / financing</t>
        </is>
      </c>
      <c r="EV133" t="inlineStr">
        <is>
          <t xml:space="preserve">cash</t>
        </is>
      </c>
      <c r="EW133" t="inlineStr">
        <is>
          <t xml:space="preserve">keep</t>
        </is>
      </c>
      <c r="EX133" t="inlineStr">
        <is>
          <t xml:space="preserve">cash</t>
        </is>
      </c>
      <c r="EY133"/>
      <c r="EZ133" s="4">
        <v>1</v>
      </c>
      <c r="FA133" s="4">
        <v>1</v>
      </c>
      <c r="FB133" s="6"/>
      <c r="FC133" s="4">
        <v>0</v>
      </c>
      <c r="FD133" s="5">
        <f>IF(EV133="direct",IFERROR(FJ133/FA133,0),0)</f>
        <v>0</v>
      </c>
      <c r="FE133" s="5">
        <f>IF(EV133="direct",FC133-FD133,IF(EV133="cash",FO133,FC133))</f>
        <v>0</v>
      </c>
      <c r="FF133" s="6"/>
      <c r="FG133" s="4">
        <v>0</v>
      </c>
      <c r="FH133" s="4">
        <v>0</v>
      </c>
      <c r="FI133" s="5">
        <f>IF(EV133="direct",FC133*(FA133-EZ133),FL133)</f>
        <v>0</v>
      </c>
      <c r="FJ133" s="5">
        <f>IF(EV133="direct",FH133*FB133*C133/365,0)</f>
        <v>0</v>
      </c>
      <c r="FK133" s="5">
        <f>FI133-FJ133</f>
        <v>0</v>
      </c>
      <c r="FL133" s="4">
        <v>0</v>
      </c>
      <c r="FM133" s="5">
        <f>FL133-FK133</f>
        <v>0</v>
      </c>
      <c r="FN133" s="4">
        <v>0</v>
      </c>
      <c r="FO133" s="4">
        <v>0</v>
      </c>
      <c r="FP133" s="4">
        <v>1.669</v>
      </c>
      <c r="FQ133" s="4">
        <v>1.636</v>
      </c>
      <c r="FR133" s="6"/>
      <c r="FS133" s="6"/>
      <c r="FT133" s="6"/>
      <c r="FU133" s="9"/>
      <c r="FV133" s="7">
        <f>IFERROR(FK133/F133,0)</f>
        <v>0</v>
      </c>
      <c r="FW133"/>
      <c r="FX133"/>
      <c r="FY133"/>
      <c r="FZ133"/>
      <c r="GA133"/>
      <c r="GB133" s="4"/>
      <c r="GC133" s="4"/>
      <c r="GD133" s="6"/>
      <c r="GE133" s="4"/>
      <c r="GF133" s="5">
        <v>0</v>
      </c>
      <c r="GG133" s="5"/>
      <c r="GH133" s="6"/>
      <c r="GI133" s="4"/>
      <c r="GJ133" s="4"/>
      <c r="GK133" s="5">
        <v>0</v>
      </c>
      <c r="GL133" s="5">
        <v>0</v>
      </c>
      <c r="GM133" s="5"/>
      <c r="GN133" s="4"/>
      <c r="GO133" s="5">
        <v>0</v>
      </c>
      <c r="GP133" s="4"/>
      <c r="GQ133" s="4"/>
      <c r="GR133" s="4"/>
      <c r="GS133" s="4"/>
      <c r="GT133" s="6"/>
      <c r="GU133" s="6"/>
      <c r="GV133" s="6"/>
      <c r="GW133" s="9"/>
      <c r="GX133"/>
      <c r="GY133"/>
      <c r="GZ133"/>
      <c r="HA133"/>
      <c r="HB133"/>
      <c r="HC133"/>
      <c r="HD133" s="4"/>
      <c r="HE133" s="4"/>
      <c r="HF133" s="6"/>
      <c r="HG133" s="4"/>
      <c r="HH133" s="5">
        <v>0</v>
      </c>
      <c r="HI133" s="5"/>
      <c r="HJ133" s="6"/>
      <c r="HK133" s="4"/>
      <c r="HL133" s="4"/>
      <c r="HM133" s="5">
        <v>0</v>
      </c>
      <c r="HN133" s="5">
        <v>0</v>
      </c>
      <c r="HO133" s="5"/>
      <c r="HP133" s="4"/>
      <c r="HQ133" s="5">
        <v>0</v>
      </c>
      <c r="HR133" s="4"/>
      <c r="HS133" s="4"/>
      <c r="HT133" s="4"/>
      <c r="HU133" s="4"/>
      <c r="HV133" s="6"/>
      <c r="HW133" s="6"/>
      <c r="HX133" s="6"/>
      <c r="HY133" s="9"/>
      <c r="HZ133"/>
      <c r="IA133"/>
      <c r="IB133"/>
      <c r="IC133"/>
      <c r="ID133"/>
      <c r="IE133"/>
      <c r="IF133" s="4"/>
      <c r="IG133" s="4"/>
      <c r="IH133" s="6"/>
      <c r="II133" s="4"/>
      <c r="IJ133" s="5">
        <v>0</v>
      </c>
      <c r="IK133" s="5"/>
      <c r="IL133" s="6"/>
      <c r="IM133" s="4"/>
      <c r="IN133" s="4"/>
      <c r="IO133" s="5">
        <v>0</v>
      </c>
      <c r="IP133" s="5">
        <v>0</v>
      </c>
      <c r="IQ133" s="5"/>
      <c r="IR133" s="4"/>
      <c r="IS133" s="5">
        <v>0</v>
      </c>
      <c r="IT133" s="4"/>
      <c r="IU133" s="4"/>
      <c r="IV133" s="4"/>
      <c r="IW133" s="4"/>
      <c r="IX133" s="6"/>
      <c r="IY133" s="6"/>
      <c r="IZ133" s="6"/>
      <c r="JA133" s="9"/>
      <c r="JB133"/>
      <c r="JC133"/>
      <c r="JD133"/>
      <c r="JE133"/>
      <c r="JF133"/>
      <c r="JG133"/>
      <c r="JH133" s="4"/>
      <c r="JI133" s="4"/>
      <c r="JJ133" s="6"/>
      <c r="JK133" s="4"/>
      <c r="JL133" s="5">
        <v>0</v>
      </c>
      <c r="JM133" s="5"/>
      <c r="JN133" s="6"/>
      <c r="JO133" s="4"/>
      <c r="JP133" s="4"/>
      <c r="JQ133" s="5">
        <v>0</v>
      </c>
      <c r="JR133" s="5">
        <v>0</v>
      </c>
      <c r="JS133" s="5"/>
      <c r="JT133" s="4"/>
      <c r="JU133" s="5">
        <v>0</v>
      </c>
      <c r="JV133" s="4"/>
      <c r="JW133" s="4"/>
      <c r="JX133" s="4"/>
      <c r="JY133" s="4"/>
      <c r="JZ133" s="6"/>
      <c r="KA133" s="6"/>
      <c r="KB133" s="6"/>
      <c r="KC133" s="9"/>
      <c r="KD133"/>
      <c r="KE133"/>
      <c r="KF133"/>
      <c r="KG133"/>
      <c r="KH133"/>
      <c r="KI133"/>
      <c r="KJ133" s="4"/>
      <c r="KK133" s="4"/>
      <c r="KL133" s="6"/>
      <c r="KM133" s="4"/>
      <c r="KN133" s="5">
        <v>0</v>
      </c>
      <c r="KO133" s="5"/>
      <c r="KP133" s="6"/>
      <c r="KQ133" s="4"/>
      <c r="KR133" s="4"/>
      <c r="KS133" s="5">
        <v>0</v>
      </c>
      <c r="KT133" s="5">
        <v>0</v>
      </c>
      <c r="KU133" s="5"/>
      <c r="KV133" s="4"/>
      <c r="KW133" s="5">
        <v>0</v>
      </c>
      <c r="KX133" s="4"/>
      <c r="KY133" s="4"/>
      <c r="KZ133" s="4"/>
      <c r="LA133" s="4"/>
      <c r="LB133" s="6"/>
      <c r="LC133" s="6"/>
      <c r="LD133" s="6"/>
      <c r="LE133" s="9"/>
      <c r="LF133"/>
      <c r="LG133"/>
      <c r="LH133"/>
      <c r="LI133"/>
      <c r="LJ133"/>
      <c r="LK133"/>
      <c r="LL133" s="4"/>
      <c r="LM133" s="4"/>
      <c r="LN133" s="6"/>
      <c r="LO133" s="4"/>
      <c r="LP133" s="5">
        <v>0</v>
      </c>
      <c r="LQ133" s="5"/>
      <c r="LR133" s="6"/>
      <c r="LS133" s="4"/>
      <c r="LT133" s="4"/>
      <c r="LU133" s="5">
        <v>0</v>
      </c>
      <c r="LV133" s="5">
        <v>0</v>
      </c>
      <c r="LW133" s="5"/>
      <c r="LX133" s="4"/>
      <c r="LY133" s="5">
        <v>0</v>
      </c>
      <c r="LZ133" s="4"/>
      <c r="MA133" s="4"/>
      <c r="MB133" s="4"/>
      <c r="MC133" s="4"/>
      <c r="MD133" s="6"/>
      <c r="ME133" s="6"/>
      <c r="MF133" s="6"/>
      <c r="MG133" s="9"/>
      <c r="MH133"/>
    </row>
    <row r="134">
      <c r="A134" s="8">
        <v>25401</v>
      </c>
      <c r="B134" s="8">
        <v>25402</v>
      </c>
      <c r="C134" s="9">
        <f>B134-A134</f>
        <v>1</v>
      </c>
      <c r="D134" s="8">
        <v>25401</v>
      </c>
      <c r="E134" t="inlineStr">
        <is>
          <t xml:space="preserve">neutral</t>
        </is>
      </c>
      <c r="F134" s="4">
        <v>1.393985539108858</v>
      </c>
      <c r="G134" s="6">
        <v>0.010384348728941404</v>
      </c>
      <c r="H134" s="7">
        <f>SUM(CP134,DR134,ET134,FV134,GX134,HZ134,JB134,KD134,LF134,MH134)</f>
        <v>0.010384348728941404</v>
      </c>
      <c r="I134" s="7">
        <f>G134-H134</f>
        <v>0</v>
      </c>
      <c r="J134" s="5">
        <f>F134*(1+H134)</f>
        <v>1.4084611710700659</v>
      </c>
      <c r="K134" s="4">
        <v>1.4084611710700659</v>
      </c>
      <c r="L134" s="5">
        <f>K134-J134</f>
        <v>0</v>
      </c>
      <c r="M134" s="4">
        <v>1.636</v>
      </c>
      <c r="N134" s="4">
        <v>1.653</v>
      </c>
      <c r="O134" s="5">
        <f>M134/$M$3</f>
        <v>0.8355464759959141</v>
      </c>
      <c r="P134" s="5">
        <f>N134/$M$3</f>
        <v>0.8442288049029623</v>
      </c>
      <c r="Q134" s="7">
        <f>IFERROR(N134/M134-1,0)</f>
        <v>0.010391198044009897</v>
      </c>
      <c r="R134" s="5">
        <f>SUM(IF(BQ134="lease",CB134,0),IF(CS134="lease",DD134,0),IF(DU134="lease",EF134,0),IF(EW134="lease",FH134,0),IF(FY134="lease",GJ134,0),IF(HA134="lease",HL134,0),IF(IC134="lease",IN134,0),IF(JE134="lease",JP134,0),IF(KG134="lease",KR134,0),IF(LI134="lease",LT134,0))</f>
        <v>1.3939855391088583</v>
      </c>
      <c r="S134" s="5">
        <f>SUM(IF(BQ134="lease",CI134,0),IF(CS134="lease",DK134,0),IF(DU134="lease",EM134,0),IF(EW134="lease",FO134,0),IF(FY134="lease",GQ134,0),IF(HA134="lease",HS134,0),IF(IC134="lease",IU134,0),IF(JE134="lease",JW134,0),IF(KG134="lease",KY134,0),IF(LI134="lease",MA134,0))</f>
        <v>1.408461171070066</v>
      </c>
      <c r="T134" s="5">
        <f>SUM(IF(BQ134="keep",CB134,0),IF(CS134="keep",DD134,0),IF(DU134="keep",EF134,0),IF(EW134="keep",FH134,0),IF(FY134="keep",GJ134,0),IF(HA134="keep",HL134,0),IF(IC134="keep",IN134,0),IF(JE134="keep",JP134,0),IF(KG134="keep",KR134,0),IF(LI134="keep",LT134,0))</f>
        <v>0</v>
      </c>
      <c r="U134" s="5">
        <f>SUM(IF(BQ134="keep",CI134,0),IF(CS134="keep",DK134,0),IF(DU134="keep",EM134,0),IF(EW134="keep",FO134,0),IF(FY134="keep",GQ134,0),IF(HA134="keep",HS134,0),IF(IC134="keep",IU134,0),IF(JE134="keep",JW134,0),IF(KG134="keep",KY134,0),IF(LI134="keep",MA134,0))</f>
        <v>0</v>
      </c>
      <c r="V134" s="5">
        <f>R134/O134</f>
        <v>1.668351886048377</v>
      </c>
      <c r="W134" s="5">
        <f>S134/P134</f>
        <v>1.668340576500417</v>
      </c>
      <c r="X134" s="5">
        <f>T134/O134</f>
        <v>0</v>
      </c>
      <c r="Y134" s="5">
        <f>U134/P134</f>
        <v>0</v>
      </c>
      <c r="Z134" s="5">
        <f>V134+X134</f>
        <v>1.668351886048377</v>
      </c>
      <c r="AA134" s="7">
        <f>IFERROR(W134/V134-1,0)</f>
        <v>-0.000006778874441670801</v>
      </c>
      <c r="AB134" s="7">
        <f>IFERROR((W134-V134)/Z134,0)</f>
        <v>-0.000006778874441724742</v>
      </c>
      <c r="AC134" s="7">
        <f>IFERROR(Y134/X134-1,0)</f>
        <v>0</v>
      </c>
      <c r="AD134" s="7">
        <f>IFERROR((Y134-X134)/Z134,0)</f>
        <v>0</v>
      </c>
      <c r="AE134" s="7">
        <f>AB134+AD134</f>
        <v>-0.000006778874441724742</v>
      </c>
      <c r="AF134" s="7">
        <f>(1+Q134)*(1+AE134)-1</f>
        <v>0.01038434872894145</v>
      </c>
      <c r="AG134" s="7">
        <f>G134-AF134</f>
        <v>-4.683753385137379e-17</v>
      </c>
      <c r="AH134" s="5">
        <f>SUM(IF(BQ134="lease",CE134,0),IF(CS134="lease",DG134,0),IF(DU134="lease",EI134,0),IF(EW134="lease",FK134,0),IF(FY134="lease",GM134,0),IF(HA134="lease",HO134,0),IF(IC134="lease",IQ134,0),IF(JE134="lease",JS134,0),IF(KG134="lease",KU134,0),IF(LI134="lease",LW134,0))</f>
        <v>0.014475631961207767</v>
      </c>
      <c r="AI134" s="5">
        <f>SUM(IF(BQ134="keep",CE134,0),IF(CS134="keep",DG134,0),IF(DU134="keep",EI134,0),IF(EW134="keep",FK134,0),IF(FY134="keep",GM134,0),IF(HA134="keep",HO134,0),IF(IC134="keep",IQ134,0),IF(JE134="keep",JS134,0),IF(KG134="keep",KU134,0),IF(LI134="keep",LW134,0))</f>
        <v>0</v>
      </c>
      <c r="AJ134" s="5">
        <f>SUM(IF(BQ134="lease",CH134,0),IF(CS134="lease",DJ134,0),IF(DU134="lease",EL134,0),IF(EW134="lease",FN134,0),IF(FY134="lease",GP134,0),IF(HA134="lease",HR134,0),IF(IC134="lease",IT134,0),IF(JE134="lease",JV134,0),IF(KG134="lease",KX134,0),IF(LI134="lease",LZ134,0))</f>
        <v>0</v>
      </c>
      <c r="AK134" s="5">
        <f>SUM(IF(BQ134="keep",CH134,0),IF(CS134="keep",DJ134,0),IF(DU134="keep",EL134,0),IF(EW134="keep",FN134,0),IF(FY134="keep",GP134,0),IF(HA134="keep",HR134,0),IF(IC134="keep",IT134,0),IF(JE134="keep",JV134,0),IF(KG134="keep",KX134,0),IF(LI134="keep",LZ134,0))</f>
        <v>0</v>
      </c>
      <c r="AL134" s="5">
        <f>R134-S133</f>
        <v>0</v>
      </c>
      <c r="AM134" s="5">
        <f>T134-U133</f>
        <v>0</v>
      </c>
      <c r="AN134" s="5">
        <f>AN133</f>
        <v>1</v>
      </c>
      <c r="AO134" s="5">
        <f>AO133+AH134</f>
        <v>0.4084611710700662</v>
      </c>
      <c r="AP134" s="5">
        <f>AP133+AL134</f>
        <v>-4.440892098500626e-16</v>
      </c>
      <c r="AQ134" s="5">
        <f>AN134+AO134+AP134</f>
        <v>1.4084611710700656</v>
      </c>
      <c r="AR134" s="5">
        <f>S134-AQ134</f>
        <v>4.440892098500626e-16</v>
      </c>
      <c r="AS134" s="5">
        <f>AS133</f>
        <v>0</v>
      </c>
      <c r="AT134" s="5">
        <f>AT133+AI134</f>
        <v>0</v>
      </c>
      <c r="AU134" s="5">
        <f>AU133+AM134</f>
        <v>0</v>
      </c>
      <c r="AV134" s="5">
        <f>AS134+AT134+AU134</f>
        <v>0</v>
      </c>
      <c r="AW134" s="5">
        <f>U134-AV134</f>
        <v>0</v>
      </c>
      <c r="AX134" s="4">
        <v>1.3939855391088583</v>
      </c>
      <c r="AY134" s="4">
        <v>1.408461171070066</v>
      </c>
      <c r="AZ134" s="5">
        <f>S134-AY134</f>
        <v>0</v>
      </c>
      <c r="BA134" s="4">
        <v>0</v>
      </c>
      <c r="BB134" s="4">
        <v>0</v>
      </c>
      <c r="BC134" s="5">
        <f>U134-BB134</f>
        <v>0</v>
      </c>
      <c r="BD134" s="7">
        <f>SUM(IF(BP134="direct",CC134/F134,0),IF(CR134="direct",DE134/F134,0),IF(DT134="direct",EG134/F134,0),IF(EV134="direct",FI134/F134,0),IF(FX134="direct",GK134/F134,0),IF(GZ134="direct",HM134/F134,0),IF(IB134="direct",IO134/F134,0),IF(JD134="direct",JQ134/F134,0),IF(KF134="direct",KS134/F134,0),IF(LH134="direct",LU134/F134,0))</f>
        <v>0.010391198044009857</v>
      </c>
      <c r="BE134" s="7">
        <f>-SUM(IF(BP134="direct",CD134/F134,0),IF(CR134="direct",DF134/F134,0),IF(DT134="direct",EH134/F134,0),IF(EV134="direct",FJ134/F134,0),IF(FX134="direct",GL134/F134,0),IF(GZ134="direct",HN134/F134,0),IF(IB134="direct",IP134/F134,0),IF(JD134="direct",JR134/F134,0),IF(KF134="direct",KT134/F134,0),IF(LH134="direct",LV134/F134,0))</f>
        <v>-0.000006849315068493152</v>
      </c>
      <c r="BF134" s="7">
        <f>BD134+BE134</f>
        <v>0.010384348728941364</v>
      </c>
      <c r="BG134" s="7">
        <f>BF134-SUM(IF(BP134="direct",CP134,0),IF(CR134="direct",DR134,0),IF(DT134="direct",ET134,0),IF(EV134="direct",FV134,0),IF(FX134="direct",GX134,0),IF(GZ134="direct",HZ134,0),IF(IB134="direct",JB134,0),IF(JD134="direct",KD134,0),IF(KF134="direct",LF134,0),IF(LH134="direct",MH134,0))</f>
        <v>-3.9898639947466563e-17</v>
      </c>
      <c r="BH134" s="7">
        <f>SUM(IF(BP134="treasury",CP134,0),IF(CR134="treasury",DR134,0),IF(DT134="treasury",ET134,0),IF(EV134="treasury",FV134,0),IF(FX134="treasury",GX134,0),IF(GZ134="treasury",HZ134,0),IF(IB134="treasury",JB134,0),IF(JD134="treasury",KD134,0),IF(KF134="treasury",LF134,0),IF(LH134="treasury",MH134,0))</f>
        <v>0</v>
      </c>
      <c r="BI134" s="7">
        <f>SUM(IF(BP134="future",CP134,0),IF(CR134="future",DR134,0),IF(DT134="future",ET134,0),IF(EV134="future",FV134,0),IF(FX134="future",GX134,0),IF(GZ134="future",HZ134,0),IF(IB134="future",JB134,0),IF(JD134="future",KD134,0),IF(KF134="future",LF134,0),IF(LH134="future",MH134,0))</f>
        <v>0</v>
      </c>
      <c r="BJ134" s="7">
        <f>SUM(IF(BP134="cash",CP134,0),IF(CR134="cash",DR134,0),IF(DT134="cash",ET134,0),IF(EV134="cash",FV134,0),IF(FX134="cash",GX134,0),IF(GZ134="cash",HZ134,0),IF(IB134="cash",JB134,0),IF(JD134="cash",KD134,0),IF(KF134="cash",LF134,0),IF(LH134="cash",MH134,0))</f>
        <v>0</v>
      </c>
      <c r="BK134" s="7">
        <f>SUM(BF134,BH134,BI134,BJ134)</f>
        <v>0.010384348728941404</v>
      </c>
      <c r="BL134" s="7">
        <f>G134-BK134</f>
        <v>0</v>
      </c>
      <c r="BM134" s="5">
        <f>MAX(ABS(CG134),ABS(DI134),ABS(EK134),ABS(FM134),ABS(GO134),ABS(HQ134),ABS(IS134),ABS(JU134),ABS(KW134),ABS(LY134))</f>
        <v>5.439137367498764e-17</v>
      </c>
      <c r="BN134" s="9">
        <f>COUNTA(BO134,CQ134,DS134,EU134,FW134,GY134,IA134,JC134,KE134,LG134)</f>
        <v>3</v>
      </c>
      <c r="BO134" t="inlineStr">
        <is>
          <t xml:space="preserve">Direct commodity holding</t>
        </is>
      </c>
      <c r="BP134" t="inlineStr">
        <is>
          <t xml:space="preserve">direct</t>
        </is>
      </c>
      <c r="BQ134" t="inlineStr">
        <is>
          <t xml:space="preserve">lease</t>
        </is>
      </c>
      <c r="BR134" t="inlineStr">
        <is>
          <t xml:space="preserve">long</t>
        </is>
      </c>
      <c r="BS134"/>
      <c r="BT134" s="4">
        <v>1.636</v>
      </c>
      <c r="BU134" s="4">
        <v>1.653</v>
      </c>
      <c r="BV134" s="6">
        <v>0.0025</v>
      </c>
      <c r="BW134" s="4">
        <v>0.8520694004332874</v>
      </c>
      <c r="BX134" s="5">
        <f>IF(BP134="direct",IFERROR(CD134/BU134,0),0)</f>
        <v>0.000005776071481113037</v>
      </c>
      <c r="BY134" s="5">
        <f>IF(BP134="direct",BW134-BX134,IF(BP134="cash",CI134,BW134))</f>
        <v>0.8520636243618063</v>
      </c>
      <c r="BZ134" s="6">
        <v>1</v>
      </c>
      <c r="CA134" s="4">
        <v>1.393985539108858</v>
      </c>
      <c r="CB134" s="4">
        <v>1.393985539108858</v>
      </c>
      <c r="CC134" s="5">
        <f>IF(BP134="direct",BW134*(BU134-BT134),CF134)</f>
        <v>0.014485179807365993</v>
      </c>
      <c r="CD134" s="5">
        <f>IF(BP134="direct",CB134*BV134*C134/365,0)</f>
        <v>0.00000954784615827985</v>
      </c>
      <c r="CE134" s="5">
        <f>CC134-CD134</f>
        <v>0.014475631961207767</v>
      </c>
      <c r="CF134" s="4">
        <v>0.014475631961207767</v>
      </c>
      <c r="CG134" s="5">
        <f>CF134-CE134</f>
        <v>5.439137367498764e-17</v>
      </c>
      <c r="CH134" s="4">
        <v>0</v>
      </c>
      <c r="CI134" s="4">
        <v>1.4084611710700659</v>
      </c>
      <c r="CJ134" s="4">
        <v>1.636</v>
      </c>
      <c r="CK134" s="4">
        <v>1.653</v>
      </c>
      <c r="CL134" s="6"/>
      <c r="CM134" s="6"/>
      <c r="CN134" s="6"/>
      <c r="CO134" s="9"/>
      <c r="CP134" s="7">
        <f>IFERROR(CE134/F134,0)</f>
        <v>0.010384348728941404</v>
      </c>
      <c r="CQ134" t="inlineStr">
        <is>
          <t xml:space="preserve">Lease cash / margin / financing</t>
        </is>
      </c>
      <c r="CR134" t="inlineStr">
        <is>
          <t xml:space="preserve">cash</t>
        </is>
      </c>
      <c r="CS134" t="inlineStr">
        <is>
          <t xml:space="preserve">lease</t>
        </is>
      </c>
      <c r="CT134" t="inlineStr">
        <is>
          <t xml:space="preserve">cash</t>
        </is>
      </c>
      <c r="CU134"/>
      <c r="CV134" s="4">
        <v>1</v>
      </c>
      <c r="CW134" s="4">
        <v>1</v>
      </c>
      <c r="CX134" s="6"/>
      <c r="CY134" s="4">
        <v>2.220446049250313e-16</v>
      </c>
      <c r="CZ134" s="5">
        <f>IF(CR134="direct",IFERROR(DF134/CW134,0),0)</f>
        <v>0</v>
      </c>
      <c r="DA134" s="5">
        <f>IF(CR134="direct",CY134-CZ134,IF(CR134="cash",DK134,CY134))</f>
        <v>2.220446049250313e-16</v>
      </c>
      <c r="DB134" s="6"/>
      <c r="DC134" s="4">
        <v>2.220446049250313e-16</v>
      </c>
      <c r="DD134" s="4">
        <v>2.220446049250313e-16</v>
      </c>
      <c r="DE134" s="5">
        <f>IF(CR134="direct",CY134*(CW134-CV134),DH134)</f>
        <v>0</v>
      </c>
      <c r="DF134" s="5">
        <f>IF(CR134="direct",DD134*CX134*C134/365,0)</f>
        <v>0</v>
      </c>
      <c r="DG134" s="5">
        <f>DE134-DF134</f>
        <v>0</v>
      </c>
      <c r="DH134" s="4">
        <v>0</v>
      </c>
      <c r="DI134" s="5">
        <f>DH134-DG134</f>
        <v>0</v>
      </c>
      <c r="DJ134" s="4">
        <v>0</v>
      </c>
      <c r="DK134" s="4">
        <v>2.220446049250313e-16</v>
      </c>
      <c r="DL134" s="4">
        <v>1.636</v>
      </c>
      <c r="DM134" s="4">
        <v>1.653</v>
      </c>
      <c r="DN134" s="6"/>
      <c r="DO134" s="6"/>
      <c r="DP134" s="6"/>
      <c r="DQ134" s="9"/>
      <c r="DR134" s="7">
        <f>IFERROR(DG134/F134,0)</f>
        <v>0</v>
      </c>
      <c r="DS134" t="inlineStr">
        <is>
          <t xml:space="preserve">Keep cash / margin / financing</t>
        </is>
      </c>
      <c r="DT134" t="inlineStr">
        <is>
          <t xml:space="preserve">cash</t>
        </is>
      </c>
      <c r="DU134" t="inlineStr">
        <is>
          <t xml:space="preserve">keep</t>
        </is>
      </c>
      <c r="DV134" t="inlineStr">
        <is>
          <t xml:space="preserve">cash</t>
        </is>
      </c>
      <c r="DW134"/>
      <c r="DX134" s="4">
        <v>1</v>
      </c>
      <c r="DY134" s="4">
        <v>1</v>
      </c>
      <c r="DZ134" s="6"/>
      <c r="EA134" s="4">
        <v>0</v>
      </c>
      <c r="EB134" s="5">
        <f>IF(DT134="direct",IFERROR(EH134/DY134,0),0)</f>
        <v>0</v>
      </c>
      <c r="EC134" s="5">
        <f>IF(DT134="direct",EA134-EB134,IF(DT134="cash",EM134,EA134))</f>
        <v>0</v>
      </c>
      <c r="ED134" s="6"/>
      <c r="EE134" s="4">
        <v>0</v>
      </c>
      <c r="EF134" s="4">
        <v>0</v>
      </c>
      <c r="EG134" s="5">
        <f>IF(DT134="direct",EA134*(DY134-DX134),EJ134)</f>
        <v>0</v>
      </c>
      <c r="EH134" s="5">
        <f>IF(DT134="direct",EF134*DZ134*C134/365,0)</f>
        <v>0</v>
      </c>
      <c r="EI134" s="5">
        <f>EG134-EH134</f>
        <v>0</v>
      </c>
      <c r="EJ134" s="4">
        <v>0</v>
      </c>
      <c r="EK134" s="5">
        <f>EJ134-EI134</f>
        <v>0</v>
      </c>
      <c r="EL134" s="4">
        <v>0</v>
      </c>
      <c r="EM134" s="4">
        <v>0</v>
      </c>
      <c r="EN134" s="4">
        <v>1.636</v>
      </c>
      <c r="EO134" s="4">
        <v>1.653</v>
      </c>
      <c r="EP134" s="6"/>
      <c r="EQ134" s="6"/>
      <c r="ER134" s="6"/>
      <c r="ES134" s="9"/>
      <c r="ET134" s="7">
        <f>IFERROR(EI134/F134,0)</f>
        <v>0</v>
      </c>
      <c r="EU134"/>
      <c r="EV134"/>
      <c r="EW134"/>
      <c r="EX134"/>
      <c r="EY134"/>
      <c r="EZ134" s="4"/>
      <c r="FA134" s="4"/>
      <c r="FB134" s="6"/>
      <c r="FC134" s="4"/>
      <c r="FD134" s="5">
        <v>0</v>
      </c>
      <c r="FE134" s="5"/>
      <c r="FF134" s="6"/>
      <c r="FG134" s="4"/>
      <c r="FH134" s="4"/>
      <c r="FI134" s="5">
        <v>0</v>
      </c>
      <c r="FJ134" s="5">
        <v>0</v>
      </c>
      <c r="FK134" s="5"/>
      <c r="FL134" s="4"/>
      <c r="FM134" s="5">
        <v>0</v>
      </c>
      <c r="FN134" s="4"/>
      <c r="FO134" s="4"/>
      <c r="FP134" s="4"/>
      <c r="FQ134" s="4"/>
      <c r="FR134" s="6"/>
      <c r="FS134" s="6"/>
      <c r="FT134" s="6"/>
      <c r="FU134" s="9"/>
      <c r="FV134"/>
      <c r="FW134"/>
      <c r="FX134"/>
      <c r="FY134"/>
      <c r="FZ134"/>
      <c r="GA134"/>
      <c r="GB134" s="4"/>
      <c r="GC134" s="4"/>
      <c r="GD134" s="6"/>
      <c r="GE134" s="4"/>
      <c r="GF134" s="5">
        <v>0</v>
      </c>
      <c r="GG134" s="5"/>
      <c r="GH134" s="6"/>
      <c r="GI134" s="4"/>
      <c r="GJ134" s="4"/>
      <c r="GK134" s="5">
        <v>0</v>
      </c>
      <c r="GL134" s="5">
        <v>0</v>
      </c>
      <c r="GM134" s="5"/>
      <c r="GN134" s="4"/>
      <c r="GO134" s="5">
        <v>0</v>
      </c>
      <c r="GP134" s="4"/>
      <c r="GQ134" s="4"/>
      <c r="GR134" s="4"/>
      <c r="GS134" s="4"/>
      <c r="GT134" s="6"/>
      <c r="GU134" s="6"/>
      <c r="GV134" s="6"/>
      <c r="GW134" s="9"/>
      <c r="GX134"/>
      <c r="GY134"/>
      <c r="GZ134"/>
      <c r="HA134"/>
      <c r="HB134"/>
      <c r="HC134"/>
      <c r="HD134" s="4"/>
      <c r="HE134" s="4"/>
      <c r="HF134" s="6"/>
      <c r="HG134" s="4"/>
      <c r="HH134" s="5">
        <v>0</v>
      </c>
      <c r="HI134" s="5"/>
      <c r="HJ134" s="6"/>
      <c r="HK134" s="4"/>
      <c r="HL134" s="4"/>
      <c r="HM134" s="5">
        <v>0</v>
      </c>
      <c r="HN134" s="5">
        <v>0</v>
      </c>
      <c r="HO134" s="5"/>
      <c r="HP134" s="4"/>
      <c r="HQ134" s="5">
        <v>0</v>
      </c>
      <c r="HR134" s="4"/>
      <c r="HS134" s="4"/>
      <c r="HT134" s="4"/>
      <c r="HU134" s="4"/>
      <c r="HV134" s="6"/>
      <c r="HW134" s="6"/>
      <c r="HX134" s="6"/>
      <c r="HY134" s="9"/>
      <c r="HZ134"/>
      <c r="IA134"/>
      <c r="IB134"/>
      <c r="IC134"/>
      <c r="ID134"/>
      <c r="IE134"/>
      <c r="IF134" s="4"/>
      <c r="IG134" s="4"/>
      <c r="IH134" s="6"/>
      <c r="II134" s="4"/>
      <c r="IJ134" s="5">
        <v>0</v>
      </c>
      <c r="IK134" s="5"/>
      <c r="IL134" s="6"/>
      <c r="IM134" s="4"/>
      <c r="IN134" s="4"/>
      <c r="IO134" s="5">
        <v>0</v>
      </c>
      <c r="IP134" s="5">
        <v>0</v>
      </c>
      <c r="IQ134" s="5"/>
      <c r="IR134" s="4"/>
      <c r="IS134" s="5">
        <v>0</v>
      </c>
      <c r="IT134" s="4"/>
      <c r="IU134" s="4"/>
      <c r="IV134" s="4"/>
      <c r="IW134" s="4"/>
      <c r="IX134" s="6"/>
      <c r="IY134" s="6"/>
      <c r="IZ134" s="6"/>
      <c r="JA134" s="9"/>
      <c r="JB134"/>
      <c r="JC134"/>
      <c r="JD134"/>
      <c r="JE134"/>
      <c r="JF134"/>
      <c r="JG134"/>
      <c r="JH134" s="4"/>
      <c r="JI134" s="4"/>
      <c r="JJ134" s="6"/>
      <c r="JK134" s="4"/>
      <c r="JL134" s="5">
        <v>0</v>
      </c>
      <c r="JM134" s="5"/>
      <c r="JN134" s="6"/>
      <c r="JO134" s="4"/>
      <c r="JP134" s="4"/>
      <c r="JQ134" s="5">
        <v>0</v>
      </c>
      <c r="JR134" s="5">
        <v>0</v>
      </c>
      <c r="JS134" s="5"/>
      <c r="JT134" s="4"/>
      <c r="JU134" s="5">
        <v>0</v>
      </c>
      <c r="JV134" s="4"/>
      <c r="JW134" s="4"/>
      <c r="JX134" s="4"/>
      <c r="JY134" s="4"/>
      <c r="JZ134" s="6"/>
      <c r="KA134" s="6"/>
      <c r="KB134" s="6"/>
      <c r="KC134" s="9"/>
      <c r="KD134"/>
      <c r="KE134"/>
      <c r="KF134"/>
      <c r="KG134"/>
      <c r="KH134"/>
      <c r="KI134"/>
      <c r="KJ134" s="4"/>
      <c r="KK134" s="4"/>
      <c r="KL134" s="6"/>
      <c r="KM134" s="4"/>
      <c r="KN134" s="5">
        <v>0</v>
      </c>
      <c r="KO134" s="5"/>
      <c r="KP134" s="6"/>
      <c r="KQ134" s="4"/>
      <c r="KR134" s="4"/>
      <c r="KS134" s="5">
        <v>0</v>
      </c>
      <c r="KT134" s="5">
        <v>0</v>
      </c>
      <c r="KU134" s="5"/>
      <c r="KV134" s="4"/>
      <c r="KW134" s="5">
        <v>0</v>
      </c>
      <c r="KX134" s="4"/>
      <c r="KY134" s="4"/>
      <c r="KZ134" s="4"/>
      <c r="LA134" s="4"/>
      <c r="LB134" s="6"/>
      <c r="LC134" s="6"/>
      <c r="LD134" s="6"/>
      <c r="LE134" s="9"/>
      <c r="LF134"/>
      <c r="LG134"/>
      <c r="LH134"/>
      <c r="LI134"/>
      <c r="LJ134"/>
      <c r="LK134"/>
      <c r="LL134" s="4"/>
      <c r="LM134" s="4"/>
      <c r="LN134" s="6"/>
      <c r="LO134" s="4"/>
      <c r="LP134" s="5">
        <v>0</v>
      </c>
      <c r="LQ134" s="5"/>
      <c r="LR134" s="6"/>
      <c r="LS134" s="4"/>
      <c r="LT134" s="4"/>
      <c r="LU134" s="5">
        <v>0</v>
      </c>
      <c r="LV134" s="5">
        <v>0</v>
      </c>
      <c r="LW134" s="5"/>
      <c r="LX134" s="4"/>
      <c r="LY134" s="5">
        <v>0</v>
      </c>
      <c r="LZ134" s="4"/>
      <c r="MA134" s="4"/>
      <c r="MB134" s="4"/>
      <c r="MC134" s="4"/>
      <c r="MD134" s="6"/>
      <c r="ME134" s="6"/>
      <c r="MF134" s="6"/>
      <c r="MG134" s="9"/>
      <c r="MH134"/>
    </row>
    <row r="135">
      <c r="A135" s="8">
        <v>25402</v>
      </c>
      <c r="B135" s="8">
        <v>25406</v>
      </c>
      <c r="C135" s="9">
        <f>B135-A135</f>
        <v>4</v>
      </c>
      <c r="D135" s="8">
        <v>25402</v>
      </c>
      <c r="E135" t="inlineStr">
        <is>
          <t xml:space="preserve">positive</t>
        </is>
      </c>
      <c r="F135" s="4">
        <v>1.4084611710700659</v>
      </c>
      <c r="G135" s="6">
        <v>0.011725174686866005</v>
      </c>
      <c r="H135" s="7">
        <f>SUM(CP135,DR135,ET135,FV135,GX135,HZ135,JB135,KD135,LF135,MH135)</f>
        <v>0.011725174686866005</v>
      </c>
      <c r="I135" s="7">
        <f>G135-H135</f>
        <v>0</v>
      </c>
      <c r="J135" s="5">
        <f>F135*(1+H135)</f>
        <v>1.4249756243405303</v>
      </c>
      <c r="K135" s="4">
        <v>1.4249756243405303</v>
      </c>
      <c r="L135" s="5">
        <f>K135-J135</f>
        <v>0</v>
      </c>
      <c r="M135" s="4">
        <v>1.653</v>
      </c>
      <c r="N135" s="4">
        <v>1.675</v>
      </c>
      <c r="O135" s="5">
        <f>M135/$M$3</f>
        <v>0.8442288049029623</v>
      </c>
      <c r="P135" s="5">
        <f>N135/$M$3</f>
        <v>0.8554647599591421</v>
      </c>
      <c r="Q135" s="7">
        <f>IFERROR(N135/M135-1,0)</f>
        <v>0.01330913490623109</v>
      </c>
      <c r="R135" s="5">
        <f>SUM(IF(BQ135="lease",CB135,0),IF(CS135="lease",DD135,0),IF(DU135="lease",EF135,0),IF(EW135="lease",FH135,0),IF(FY135="lease",GJ135,0),IF(HA135="lease",HL135,0),IF(IC135="lease",IN135,0),IF(JE135="lease",JP135,0),IF(KG135="lease",KR135,0),IF(LI135="lease",LT135,0))</f>
        <v>1.408461171070066</v>
      </c>
      <c r="S135" s="5">
        <f>SUM(IF(BQ135="lease",CI135,0),IF(CS135="lease",DK135,0),IF(DU135="lease",EM135,0),IF(EW135="lease",FO135,0),IF(FY135="lease",GQ135,0),IF(HA135="lease",HS135,0),IF(IC135="lease",IU135,0),IF(JE135="lease",JW135,0),IF(KG135="lease",KY135,0),IF(LI135="lease",MA135,0))</f>
        <v>1.4249756243405303</v>
      </c>
      <c r="T135" s="5">
        <f>SUM(IF(BQ135="keep",CB135,0),IF(CS135="keep",DD135,0),IF(DU135="keep",EF135,0),IF(EW135="keep",FH135,0),IF(FY135="keep",GJ135,0),IF(HA135="keep",HL135,0),IF(IC135="keep",IN135,0),IF(JE135="keep",JP135,0),IF(KG135="keep",KR135,0),IF(LI135="keep",LT135,0))</f>
        <v>0</v>
      </c>
      <c r="U135" s="5">
        <f>SUM(IF(BQ135="keep",CI135,0),IF(CS135="keep",DK135,0),IF(DU135="keep",EM135,0),IF(EW135="keep",FO135,0),IF(FY135="keep",GQ135,0),IF(HA135="keep",HS135,0),IF(IC135="keep",IU135,0),IF(JE135="keep",JW135,0),IF(KG135="keep",KY135,0),IF(LI135="keep",MA135,0))</f>
        <v>0</v>
      </c>
      <c r="V135" s="5">
        <f>R135/O135</f>
        <v>1.668340576500417</v>
      </c>
      <c r="W135" s="5">
        <f>S135/P135</f>
        <v>1.6657326999753779</v>
      </c>
      <c r="X135" s="5">
        <f>T135/O135</f>
        <v>0</v>
      </c>
      <c r="Y135" s="5">
        <f>U135/P135</f>
        <v>0</v>
      </c>
      <c r="Z135" s="5">
        <f>V135+X135</f>
        <v>1.668340576500417</v>
      </c>
      <c r="AA135" s="7">
        <f>IFERROR(W135/V135-1,0)</f>
        <v>-0.0015631559657377503</v>
      </c>
      <c r="AB135" s="7">
        <f>IFERROR((W135-V135)/Z135,0)</f>
        <v>-0.0015631559657377724</v>
      </c>
      <c r="AC135" s="7">
        <f>IFERROR(Y135/X135-1,0)</f>
        <v>0</v>
      </c>
      <c r="AD135" s="7">
        <f>IFERROR((Y135-X135)/Z135,0)</f>
        <v>0</v>
      </c>
      <c r="AE135" s="7">
        <f>AB135+AD135</f>
        <v>-0.0015631559657377724</v>
      </c>
      <c r="AF135" s="7">
        <f>(1+Q135)*(1+AE135)-1</f>
        <v>0.011725174686865847</v>
      </c>
      <c r="AG135" s="7">
        <f>G135-AF135</f>
        <v>1.5785983631388945e-16</v>
      </c>
      <c r="AH135" s="5">
        <f>SUM(IF(BQ135="lease",CE135,0),IF(CS135="lease",DG135,0),IF(DU135="lease",EI135,0),IF(EW135="lease",FK135,0),IF(FY135="lease",GM135,0),IF(HA135="lease",HO135,0),IF(IC135="lease",IQ135,0),IF(JE135="lease",JS135,0),IF(KG135="lease",KU135,0),IF(LI135="lease",LW135,0))</f>
        <v>0.016514453270464385</v>
      </c>
      <c r="AI135" s="5">
        <f>SUM(IF(BQ135="keep",CE135,0),IF(CS135="keep",DG135,0),IF(DU135="keep",EI135,0),IF(EW135="keep",FK135,0),IF(FY135="keep",GM135,0),IF(HA135="keep",HO135,0),IF(IC135="keep",IQ135,0),IF(JE135="keep",JS135,0),IF(KG135="keep",KU135,0),IF(LI135="keep",LW135,0))</f>
        <v>0</v>
      </c>
      <c r="AJ135" s="5">
        <f>SUM(IF(BQ135="lease",CH135,0),IF(CS135="lease",DJ135,0),IF(DU135="lease",EL135,0),IF(EW135="lease",FN135,0),IF(FY135="lease",GP135,0),IF(HA135="lease",HR135,0),IF(IC135="lease",IT135,0),IF(JE135="lease",JV135,0),IF(KG135="lease",KX135,0),IF(LI135="lease",LZ135,0))</f>
        <v>0</v>
      </c>
      <c r="AK135" s="5">
        <f>SUM(IF(BQ135="keep",CH135,0),IF(CS135="keep",DJ135,0),IF(DU135="keep",EL135,0),IF(EW135="keep",FN135,0),IF(FY135="keep",GP135,0),IF(HA135="keep",HR135,0),IF(IC135="keep",IT135,0),IF(JE135="keep",JV135,0),IF(KG135="keep",KX135,0),IF(LI135="keep",LZ135,0))</f>
        <v>0</v>
      </c>
      <c r="AL135" s="5">
        <f>R135-S134</f>
        <v>0</v>
      </c>
      <c r="AM135" s="5">
        <f>T135-U134</f>
        <v>0</v>
      </c>
      <c r="AN135" s="5">
        <f>AN134</f>
        <v>1</v>
      </c>
      <c r="AO135" s="5">
        <f>AO134+AH135</f>
        <v>0.4249756243405306</v>
      </c>
      <c r="AP135" s="5">
        <f>AP134+AL135</f>
        <v>-4.440892098500626e-16</v>
      </c>
      <c r="AQ135" s="5">
        <f>AN135+AO135+AP135</f>
        <v>1.4249756243405303</v>
      </c>
      <c r="AR135" s="5">
        <f>S135-AQ135</f>
        <v>0</v>
      </c>
      <c r="AS135" s="5">
        <f>AS134</f>
        <v>0</v>
      </c>
      <c r="AT135" s="5">
        <f>AT134+AI135</f>
        <v>0</v>
      </c>
      <c r="AU135" s="5">
        <f>AU134+AM135</f>
        <v>0</v>
      </c>
      <c r="AV135" s="5">
        <f>AS135+AT135+AU135</f>
        <v>0</v>
      </c>
      <c r="AW135" s="5">
        <f>U135-AV135</f>
        <v>0</v>
      </c>
      <c r="AX135" s="4">
        <v>1.408461171070066</v>
      </c>
      <c r="AY135" s="4">
        <v>1.4249756243405305</v>
      </c>
      <c r="AZ135" s="5">
        <f>S135-AY135</f>
        <v>-2.220446049250313e-16</v>
      </c>
      <c r="BA135" s="4">
        <v>0</v>
      </c>
      <c r="BB135" s="4">
        <v>0</v>
      </c>
      <c r="BC135" s="5">
        <f>U135-BB135</f>
        <v>0</v>
      </c>
      <c r="BD135" s="7">
        <f>SUM(IF(BP135="direct",CC135/F135,0),IF(CR135="direct",DE135/F135,0),IF(DT135="direct",EG135/F135,0),IF(EV135="direct",FI135/F135,0),IF(FX135="direct",GK135/F135,0),IF(GZ135="direct",HM135/F135,0),IF(IB135="direct",IO135/F135,0),IF(JD135="direct",JQ135/F135,0),IF(KF135="direct",KS135/F135,0),IF(LH135="direct",LU135/F135,0))</f>
        <v>0.012397111852581078</v>
      </c>
      <c r="BE135" s="7">
        <f>-SUM(IF(BP135="direct",CD135/F135,0),IF(CR135="direct",DF135/F135,0),IF(DT135="direct",EH135/F135,0),IF(EV135="direct",FJ135/F135,0),IF(FX135="direct",GL135/F135,0),IF(GZ135="direct",HN135/F135,0),IF(IB135="direct",IP135/F135,0),IF(JD135="direct",JR135/F135,0),IF(KF135="direct",KT135/F135,0),IF(LH135="direct",LV135/F135,0))</f>
        <v>-0.000025519832991676844</v>
      </c>
      <c r="BF135" s="7">
        <f>BD135+BE135</f>
        <v>0.0123715920195894</v>
      </c>
      <c r="BG135" s="7">
        <f>BF135-SUM(IF(BP135="direct",CP135,0),IF(CR135="direct",DR135,0),IF(DT135="direct",ET135,0),IF(EV135="direct",FV135,0),IF(FX135="direct",GX135,0),IF(GZ135="direct",HZ135,0),IF(IB135="direct",JB135,0),IF(JD135="direct",KD135,0),IF(KF135="direct",LF135,0),IF(LH135="direct",MH135,0))</f>
        <v>1.3877787807814457e-17</v>
      </c>
      <c r="BH135" s="7">
        <f>SUM(IF(BP135="treasury",CP135,0),IF(CR135="treasury",DR135,0),IF(DT135="treasury",ET135,0),IF(EV135="treasury",FV135,0),IF(FX135="treasury",GX135,0),IF(GZ135="treasury",HZ135,0),IF(IB135="treasury",JB135,0),IF(JD135="treasury",KD135,0),IF(KF135="treasury",LF135,0),IF(LH135="treasury",MH135,0))</f>
        <v>0.00005294344936074038</v>
      </c>
      <c r="BI135" s="7">
        <f>SUM(IF(BP135="future",CP135,0),IF(CR135="future",DR135,0),IF(DT135="future",ET135,0),IF(EV135="future",FV135,0),IF(FX135="future",GX135,0),IF(GZ135="future",HZ135,0),IF(IB135="future",JB135,0),IF(JD135="future",KD135,0),IF(KF135="future",LF135,0),IF(LH135="future",MH135,0))</f>
        <v>-0.0006993607820841228</v>
      </c>
      <c r="BJ135" s="7">
        <f>SUM(IF(BP135="cash",CP135,0),IF(CR135="cash",DR135,0),IF(DT135="cash",ET135,0),IF(EV135="cash",FV135,0),IF(FX135="cash",GX135,0),IF(GZ135="cash",HZ135,0),IF(IB135="cash",JB135,0),IF(JD135="cash",KD135,0),IF(KF135="cash",LF135,0),IF(LH135="cash",MH135,0))</f>
        <v>0</v>
      </c>
      <c r="BK135" s="7">
        <f>SUM(BF135,BH135,BI135,BJ135)</f>
        <v>0.011725174686866005</v>
      </c>
      <c r="BL135" s="7">
        <f>G135-BK135</f>
        <v>0</v>
      </c>
      <c r="BM135" s="5">
        <f>MAX(ABS(CG135),ABS(DI135),ABS(EK135),ABS(FM135),ABS(GO135),ABS(HQ135),ABS(IS135),ABS(JU135),ABS(KW135),ABS(LY135))</f>
        <v>1.991543865584311e-17</v>
      </c>
      <c r="BN135" s="9">
        <f>COUNTA(BO135,CQ135,DS135,EU135,FW135,GY135,IA135,JC135,KE135,LG135)</f>
        <v>6</v>
      </c>
      <c r="BO135" t="inlineStr">
        <is>
          <t xml:space="preserve">Direct commodity holding</t>
        </is>
      </c>
      <c r="BP135" t="inlineStr">
        <is>
          <t xml:space="preserve">direct</t>
        </is>
      </c>
      <c r="BQ135" t="inlineStr">
        <is>
          <t xml:space="preserve">lease</t>
        </is>
      </c>
      <c r="BR135" t="inlineStr">
        <is>
          <t xml:space="preserve">long</t>
        </is>
      </c>
      <c r="BS135"/>
      <c r="BT135" s="4">
        <v>1.653</v>
      </c>
      <c r="BU135" s="4">
        <v>1.675</v>
      </c>
      <c r="BV135" s="6">
        <v>0.0025</v>
      </c>
      <c r="BW135" s="4">
        <v>0.7936750308078602</v>
      </c>
      <c r="BX135" s="5">
        <f>IF(BP135="direct",IFERROR(CD135/BU135,0),0)</f>
        <v>0.000021458921708041593</v>
      </c>
      <c r="BY135" s="5">
        <f>IF(BP135="direct",BW135-BX135,IF(BP135="cash",CI135,BW135))</f>
        <v>0.7936535718861522</v>
      </c>
      <c r="BZ135" s="6">
        <v>0.9314739041962048</v>
      </c>
      <c r="CA135" s="4">
        <v>1.311944825925393</v>
      </c>
      <c r="CB135" s="4">
        <v>1.311944825925393</v>
      </c>
      <c r="CC135" s="5">
        <f>IF(BP135="direct",BW135*(BU135-BT135),CF135)</f>
        <v>0.01746085067777294</v>
      </c>
      <c r="CD135" s="5">
        <f>IF(BP135="direct",CB135*BV135*C135/365,0)</f>
        <v>0.00003594369386096967</v>
      </c>
      <c r="CE135" s="5">
        <f>CC135-CD135</f>
        <v>0.01742490698391195</v>
      </c>
      <c r="CF135" s="4">
        <v>0.01742490698391195</v>
      </c>
      <c r="CG135" s="5">
        <f>CF135-CE135</f>
        <v>-1.991543865584311e-17</v>
      </c>
      <c r="CH135" s="4">
        <v>0</v>
      </c>
      <c r="CI135" s="4">
        <v>1.3293697329093048</v>
      </c>
      <c r="CJ135" s="4">
        <v>1.653</v>
      </c>
      <c r="CK135" s="4">
        <v>1.675</v>
      </c>
      <c r="CL135" s="6"/>
      <c r="CM135" s="6"/>
      <c r="CN135" s="6"/>
      <c r="CO135" s="9"/>
      <c r="CP135" s="7">
        <f>IFERROR(CE135/F135,0)</f>
        <v>0.012371592019589386</v>
      </c>
      <c r="CQ135" t="inlineStr">
        <is>
          <t xml:space="preserve">Treasury collateral</t>
        </is>
      </c>
      <c r="CR135" t="inlineStr">
        <is>
          <t xml:space="preserve">treasury</t>
        </is>
      </c>
      <c r="CS135" t="inlineStr">
        <is>
          <t xml:space="preserve">lease</t>
        </is>
      </c>
      <c r="CT135" t="inlineStr">
        <is>
          <t xml:space="preserve">long</t>
        </is>
      </c>
      <c r="CU135"/>
      <c r="CV135" s="4">
        <v>103.4062927759396</v>
      </c>
      <c r="CW135" s="4">
        <v>103.4861847610432</v>
      </c>
      <c r="CX135" s="6"/>
      <c r="CY135" s="4">
        <v>0.000933370132065407</v>
      </c>
      <c r="CZ135" s="5">
        <f>IF(CR135="direct",IFERROR(DF135/CW135,0),0)</f>
        <v>0</v>
      </c>
      <c r="DA135" s="5">
        <f>IF(CR135="direct",CY135-CZ135,IF(CR135="cash",DK135,CY135))</f>
        <v>0.000933370132065407</v>
      </c>
      <c r="DB135" s="6">
        <v>0.06852609580379518</v>
      </c>
      <c r="DC135" s="4">
        <v>0.09651634514467289</v>
      </c>
      <c r="DD135" s="4">
        <v>0.09651634514467289</v>
      </c>
      <c r="DE135" s="5">
        <f>IF(CR135="direct",CY135*(CW135-CV135),DH135)</f>
        <v>0.00007456879268711504</v>
      </c>
      <c r="DF135" s="5">
        <f>IF(CR135="direct",DD135*CX135*C135/365,0)</f>
        <v>0</v>
      </c>
      <c r="DG135" s="5">
        <f>DE135-DF135</f>
        <v>0.00007456879268711713</v>
      </c>
      <c r="DH135" s="4">
        <v>0.00007456879268711713</v>
      </c>
      <c r="DI135" s="5">
        <f>DH135-DG135</f>
        <v>2.087089182034596e-18</v>
      </c>
      <c r="DJ135" s="4">
        <v>4.228388472693467e-18</v>
      </c>
      <c r="DK135" s="4">
        <v>0.09659091393736001</v>
      </c>
      <c r="DL135" s="4">
        <v>1.653</v>
      </c>
      <c r="DM135" s="4">
        <v>1.675</v>
      </c>
      <c r="DN135" s="6"/>
      <c r="DO135" s="6"/>
      <c r="DP135" s="6"/>
      <c r="DQ135" s="9">
        <v>11</v>
      </c>
      <c r="DR135" s="7">
        <f>IFERROR(DG135/F135,0)</f>
        <v>0.00005294344936074038</v>
      </c>
      <c r="DS135" t="inlineStr">
        <is>
          <t xml:space="preserve">SI69N</t>
        </is>
      </c>
      <c r="DT135" t="inlineStr">
        <is>
          <t xml:space="preserve">future</t>
        </is>
      </c>
      <c r="DU135" t="inlineStr">
        <is>
          <t xml:space="preserve">lease</t>
        </is>
      </c>
      <c r="DV135" t="inlineStr">
        <is>
          <t xml:space="preserve">long</t>
        </is>
      </c>
      <c r="DW135" t="inlineStr">
        <is>
          <t xml:space="preserve">regular</t>
        </is>
      </c>
      <c r="DX135" s="4">
        <v>1.656</v>
      </c>
      <c r="DY135" s="4">
        <v>1.64</v>
      </c>
      <c r="DZ135" s="6"/>
      <c r="EA135" s="4">
        <v>0.03958004791002268</v>
      </c>
      <c r="EB135" s="5">
        <f>IF(DT135="direct",IFERROR(EH135/DY135,0),0)</f>
        <v>0</v>
      </c>
      <c r="EC135" s="5">
        <f>IF(DT135="direct",EA135-EB135,IF(DT135="cash",EM135,EA135))</f>
        <v>0.03958004791002268</v>
      </c>
      <c r="ED135" s="6">
        <v>0.04653629129811272</v>
      </c>
      <c r="EE135" s="4">
        <v>0.06554455933899755</v>
      </c>
      <c r="EF135" s="4">
        <v>0</v>
      </c>
      <c r="EG135" s="5">
        <f>IF(DT135="direct",EA135*(DY135-DX135),EJ135)</f>
        <v>-0.0006332807665603657</v>
      </c>
      <c r="EH135" s="5">
        <f>IF(DT135="direct",EF135*DZ135*C135/365,0)</f>
        <v>0</v>
      </c>
      <c r="EI135" s="5">
        <f>EG135-EH135</f>
        <v>-0.0006332807665603657</v>
      </c>
      <c r="EJ135" s="4">
        <v>-0.0006332807665603657</v>
      </c>
      <c r="EK135" s="5">
        <f>EJ135-EI135</f>
        <v>0</v>
      </c>
      <c r="EL135" s="4">
        <v>0.0006332807665603657</v>
      </c>
      <c r="EM135" s="4">
        <v>0</v>
      </c>
      <c r="EN135" s="4">
        <v>1.653</v>
      </c>
      <c r="EO135" s="4">
        <v>1.675</v>
      </c>
      <c r="EP135" s="6">
        <v>0.001814882032667775</v>
      </c>
      <c r="EQ135" s="6">
        <v>0.0705</v>
      </c>
      <c r="ER135" s="6">
        <v>0.010278914370569277</v>
      </c>
      <c r="ES135" s="9">
        <v>11</v>
      </c>
      <c r="ET135" s="7">
        <f>IFERROR(EI135/F135,0)</f>
        <v>-0.00044962600288031817</v>
      </c>
      <c r="EU135" t="inlineStr">
        <is>
          <t xml:space="preserve">SI69U</t>
        </is>
      </c>
      <c r="EV135" t="inlineStr">
        <is>
          <t xml:space="preserve">future</t>
        </is>
      </c>
      <c r="EW135" t="inlineStr">
        <is>
          <t xml:space="preserve">lease</t>
        </is>
      </c>
      <c r="EX135" t="inlineStr">
        <is>
          <t xml:space="preserve">long</t>
        </is>
      </c>
      <c r="EY135" t="inlineStr">
        <is>
          <t xml:space="preserve">regular</t>
        </is>
      </c>
      <c r="EZ135" s="4">
        <v>1.673</v>
      </c>
      <c r="FA135" s="4">
        <v>1.6540000000000001</v>
      </c>
      <c r="FB135" s="6"/>
      <c r="FC135" s="4">
        <v>0.018512723135490333</v>
      </c>
      <c r="FD135" s="5">
        <f>IF(EV135="direct",IFERROR(FJ135/FA135,0),0)</f>
        <v>0</v>
      </c>
      <c r="FE135" s="5">
        <f>IF(EV135="direct",FC135-FD135,IF(EV135="cash",FO135,FC135))</f>
        <v>0.018512723135490333</v>
      </c>
      <c r="FF135" s="6">
        <v>0.02198980450568246</v>
      </c>
      <c r="FG135" s="4">
        <v>0.030971785805675327</v>
      </c>
      <c r="FH135" s="4">
        <v>0</v>
      </c>
      <c r="FI135" s="5">
        <f>IF(EV135="direct",FC135*(FA135-EZ135),FL135)</f>
        <v>-0.000351741739574315</v>
      </c>
      <c r="FJ135" s="5">
        <f>IF(EV135="direct",FH135*FB135*C135/365,0)</f>
        <v>0</v>
      </c>
      <c r="FK135" s="5">
        <f>FI135-FJ135</f>
        <v>-0.000351741739574315</v>
      </c>
      <c r="FL135" s="4">
        <v>-0.000351741739574315</v>
      </c>
      <c r="FM135" s="5">
        <f>FL135-FK135</f>
        <v>0</v>
      </c>
      <c r="FN135" s="4">
        <v>0.000351741739574315</v>
      </c>
      <c r="FO135" s="4">
        <v>0</v>
      </c>
      <c r="FP135" s="4">
        <v>1.653</v>
      </c>
      <c r="FQ135" s="4">
        <v>1.675</v>
      </c>
      <c r="FR135" s="6">
        <v>0.012099213551119092</v>
      </c>
      <c r="FS135" s="6">
        <v>0.0705</v>
      </c>
      <c r="FT135" s="6">
        <v>0.007411243626307586</v>
      </c>
      <c r="FU135" s="9">
        <v>70</v>
      </c>
      <c r="FV135" s="7">
        <f>IFERROR(FK135/F135,0)</f>
        <v>-0.00024973477920380466</v>
      </c>
      <c r="FW135" t="inlineStr">
        <is>
          <t xml:space="preserve">Lease cash / margin / financing</t>
        </is>
      </c>
      <c r="FX135" t="inlineStr">
        <is>
          <t xml:space="preserve">cash</t>
        </is>
      </c>
      <c r="FY135" t="inlineStr">
        <is>
          <t xml:space="preserve">lease</t>
        </is>
      </c>
      <c r="FZ135" t="inlineStr">
        <is>
          <t xml:space="preserve">cash</t>
        </is>
      </c>
      <c r="GA135"/>
      <c r="GB135" s="4">
        <v>1</v>
      </c>
      <c r="GC135" s="4">
        <v>1</v>
      </c>
      <c r="GD135" s="6"/>
      <c r="GE135" s="4">
        <v>2.220446049250313e-16</v>
      </c>
      <c r="GF135" s="5">
        <f>IF(FX135="direct",IFERROR(GL135/GC135,0),0)</f>
        <v>0</v>
      </c>
      <c r="GG135" s="5">
        <f>IF(FX135="direct",GE135-GF135,IF(FX135="cash",GQ135,GE135))</f>
        <v>-0.0009850225061344628</v>
      </c>
      <c r="GH135" s="6"/>
      <c r="GI135" s="4">
        <v>2.220446049250313e-16</v>
      </c>
      <c r="GJ135" s="4">
        <v>2.220446049250313e-16</v>
      </c>
      <c r="GK135" s="5">
        <f>IF(FX135="direct",GE135*(GC135-GB135),GN135)</f>
        <v>0</v>
      </c>
      <c r="GL135" s="5">
        <f>IF(FX135="direct",GJ135*GD135*C135/365,0)</f>
        <v>0</v>
      </c>
      <c r="GM135" s="5">
        <f>GK135-GL135</f>
        <v>0</v>
      </c>
      <c r="GN135" s="4">
        <v>0</v>
      </c>
      <c r="GO135" s="5">
        <f>GN135-GM135</f>
        <v>0</v>
      </c>
      <c r="GP135" s="4">
        <v>-0.0009850225061346848</v>
      </c>
      <c r="GQ135" s="4">
        <v>-0.0009850225061344628</v>
      </c>
      <c r="GR135" s="4">
        <v>1.653</v>
      </c>
      <c r="GS135" s="4">
        <v>1.675</v>
      </c>
      <c r="GT135" s="6"/>
      <c r="GU135" s="6"/>
      <c r="GV135" s="6"/>
      <c r="GW135" s="9"/>
      <c r="GX135" s="7">
        <f>IFERROR(GM135/F135,0)</f>
        <v>0</v>
      </c>
      <c r="GY135" t="inlineStr">
        <is>
          <t xml:space="preserve">Keep cash / margin / financing</t>
        </is>
      </c>
      <c r="GZ135" t="inlineStr">
        <is>
          <t xml:space="preserve">cash</t>
        </is>
      </c>
      <c r="HA135" t="inlineStr">
        <is>
          <t xml:space="preserve">keep</t>
        </is>
      </c>
      <c r="HB135" t="inlineStr">
        <is>
          <t xml:space="preserve">cash</t>
        </is>
      </c>
      <c r="HC135"/>
      <c r="HD135" s="4">
        <v>1</v>
      </c>
      <c r="HE135" s="4">
        <v>1</v>
      </c>
      <c r="HF135" s="6"/>
      <c r="HG135" s="4">
        <v>0</v>
      </c>
      <c r="HH135" s="5">
        <f>IF(GZ135="direct",IFERROR(HN135/HE135,0),0)</f>
        <v>0</v>
      </c>
      <c r="HI135" s="5">
        <f>IF(GZ135="direct",HG135-HH135,IF(GZ135="cash",HS135,HG135))</f>
        <v>0</v>
      </c>
      <c r="HJ135" s="6"/>
      <c r="HK135" s="4">
        <v>0</v>
      </c>
      <c r="HL135" s="4">
        <v>0</v>
      </c>
      <c r="HM135" s="5">
        <f>IF(GZ135="direct",HG135*(HE135-HD135),HP135)</f>
        <v>0</v>
      </c>
      <c r="HN135" s="5">
        <f>IF(GZ135="direct",HL135*HF135*C135/365,0)</f>
        <v>0</v>
      </c>
      <c r="HO135" s="5">
        <f>HM135-HN135</f>
        <v>0</v>
      </c>
      <c r="HP135" s="4">
        <v>0</v>
      </c>
      <c r="HQ135" s="5">
        <f>HP135-HO135</f>
        <v>0</v>
      </c>
      <c r="HR135" s="4">
        <v>0</v>
      </c>
      <c r="HS135" s="4">
        <v>0</v>
      </c>
      <c r="HT135" s="4">
        <v>1.653</v>
      </c>
      <c r="HU135" s="4">
        <v>1.675</v>
      </c>
      <c r="HV135" s="6"/>
      <c r="HW135" s="6"/>
      <c r="HX135" s="6"/>
      <c r="HY135" s="9"/>
      <c r="HZ135" s="7">
        <f>IFERROR(HO135/F135,0)</f>
        <v>0</v>
      </c>
      <c r="IA135"/>
      <c r="IB135"/>
      <c r="IC135"/>
      <c r="ID135"/>
      <c r="IE135"/>
      <c r="IF135" s="4"/>
      <c r="IG135" s="4"/>
      <c r="IH135" s="6"/>
      <c r="II135" s="4"/>
      <c r="IJ135" s="5">
        <v>0</v>
      </c>
      <c r="IK135" s="5"/>
      <c r="IL135" s="6"/>
      <c r="IM135" s="4"/>
      <c r="IN135" s="4"/>
      <c r="IO135" s="5">
        <v>0</v>
      </c>
      <c r="IP135" s="5">
        <v>0</v>
      </c>
      <c r="IQ135" s="5"/>
      <c r="IR135" s="4"/>
      <c r="IS135" s="5">
        <v>0</v>
      </c>
      <c r="IT135" s="4"/>
      <c r="IU135" s="4"/>
      <c r="IV135" s="4"/>
      <c r="IW135" s="4"/>
      <c r="IX135" s="6"/>
      <c r="IY135" s="6"/>
      <c r="IZ135" s="6"/>
      <c r="JA135" s="9"/>
      <c r="JB135"/>
      <c r="JC135"/>
      <c r="JD135"/>
      <c r="JE135"/>
      <c r="JF135"/>
      <c r="JG135"/>
      <c r="JH135" s="4"/>
      <c r="JI135" s="4"/>
      <c r="JJ135" s="6"/>
      <c r="JK135" s="4"/>
      <c r="JL135" s="5">
        <v>0</v>
      </c>
      <c r="JM135" s="5"/>
      <c r="JN135" s="6"/>
      <c r="JO135" s="4"/>
      <c r="JP135" s="4"/>
      <c r="JQ135" s="5">
        <v>0</v>
      </c>
      <c r="JR135" s="5">
        <v>0</v>
      </c>
      <c r="JS135" s="5"/>
      <c r="JT135" s="4"/>
      <c r="JU135" s="5">
        <v>0</v>
      </c>
      <c r="JV135" s="4"/>
      <c r="JW135" s="4"/>
      <c r="JX135" s="4"/>
      <c r="JY135" s="4"/>
      <c r="JZ135" s="6"/>
      <c r="KA135" s="6"/>
      <c r="KB135" s="6"/>
      <c r="KC135" s="9"/>
      <c r="KD135"/>
      <c r="KE135"/>
      <c r="KF135"/>
      <c r="KG135"/>
      <c r="KH135"/>
      <c r="KI135"/>
      <c r="KJ135" s="4"/>
      <c r="KK135" s="4"/>
      <c r="KL135" s="6"/>
      <c r="KM135" s="4"/>
      <c r="KN135" s="5">
        <v>0</v>
      </c>
      <c r="KO135" s="5"/>
      <c r="KP135" s="6"/>
      <c r="KQ135" s="4"/>
      <c r="KR135" s="4"/>
      <c r="KS135" s="5">
        <v>0</v>
      </c>
      <c r="KT135" s="5">
        <v>0</v>
      </c>
      <c r="KU135" s="5"/>
      <c r="KV135" s="4"/>
      <c r="KW135" s="5">
        <v>0</v>
      </c>
      <c r="KX135" s="4"/>
      <c r="KY135" s="4"/>
      <c r="KZ135" s="4"/>
      <c r="LA135" s="4"/>
      <c r="LB135" s="6"/>
      <c r="LC135" s="6"/>
      <c r="LD135" s="6"/>
      <c r="LE135" s="9"/>
      <c r="LF135"/>
      <c r="LG135"/>
      <c r="LH135"/>
      <c r="LI135"/>
      <c r="LJ135"/>
      <c r="LK135"/>
      <c r="LL135" s="4"/>
      <c r="LM135" s="4"/>
      <c r="LN135" s="6"/>
      <c r="LO135" s="4"/>
      <c r="LP135" s="5">
        <v>0</v>
      </c>
      <c r="LQ135" s="5"/>
      <c r="LR135" s="6"/>
      <c r="LS135" s="4"/>
      <c r="LT135" s="4"/>
      <c r="LU135" s="5">
        <v>0</v>
      </c>
      <c r="LV135" s="5">
        <v>0</v>
      </c>
      <c r="LW135" s="5"/>
      <c r="LX135" s="4"/>
      <c r="LY135" s="5">
        <v>0</v>
      </c>
      <c r="LZ135" s="4"/>
      <c r="MA135" s="4"/>
      <c r="MB135" s="4"/>
      <c r="MC135" s="4"/>
      <c r="MD135" s="6"/>
      <c r="ME135" s="6"/>
      <c r="MF135" s="6"/>
      <c r="MG135" s="9"/>
      <c r="MH135"/>
    </row>
    <row r="136">
      <c r="A136" s="8">
        <v>25406</v>
      </c>
      <c r="B136" s="8">
        <v>25407</v>
      </c>
      <c r="C136" s="9">
        <f>B136-A136</f>
        <v>1</v>
      </c>
      <c r="D136" s="8">
        <v>25406</v>
      </c>
      <c r="E136" t="inlineStr">
        <is>
          <t xml:space="preserve">positive</t>
        </is>
      </c>
      <c r="F136" s="4">
        <v>1.4249756243405303</v>
      </c>
      <c r="G136" s="6">
        <v>-0.012834513978460608</v>
      </c>
      <c r="H136" s="7">
        <f>SUM(CP136,DR136,ET136,FV136,GX136,HZ136,JB136,KD136,LF136,MH136)</f>
        <v>-0.012834513978460608</v>
      </c>
      <c r="I136" s="7">
        <f>G136-H136</f>
        <v>0</v>
      </c>
      <c r="J136" s="5">
        <f>F136*(1+H136)</f>
        <v>1.406686754770966</v>
      </c>
      <c r="K136" s="4">
        <v>1.406686754770966</v>
      </c>
      <c r="L136" s="5">
        <f>K136-J136</f>
        <v>0</v>
      </c>
      <c r="M136" s="4">
        <v>1.675</v>
      </c>
      <c r="N136" s="4">
        <v>1.66</v>
      </c>
      <c r="O136" s="5">
        <f>M136/$M$3</f>
        <v>0.8554647599591421</v>
      </c>
      <c r="P136" s="5">
        <f>N136/$M$3</f>
        <v>0.8478038815117467</v>
      </c>
      <c r="Q136" s="7">
        <f>IFERROR(N136/M136-1,0)</f>
        <v>-0.008955223880597107</v>
      </c>
      <c r="R136" s="5">
        <f>SUM(IF(BQ136="lease",CB136,0),IF(CS136="lease",DD136,0),IF(DU136="lease",EF136,0),IF(EW136="lease",FH136,0),IF(FY136="lease",GJ136,0),IF(HA136="lease",HL136,0),IF(IC136="lease",IN136,0),IF(JE136="lease",JP136,0),IF(KG136="lease",KR136,0),IF(LI136="lease",LT136,0))</f>
        <v>1.4249756243405305</v>
      </c>
      <c r="S136" s="5">
        <f>SUM(IF(BQ136="lease",CI136,0),IF(CS136="lease",DK136,0),IF(DU136="lease",EM136,0),IF(EW136="lease",FO136,0),IF(FY136="lease",GQ136,0),IF(HA136="lease",HS136,0),IF(IC136="lease",IU136,0),IF(JE136="lease",JW136,0),IF(KG136="lease",KY136,0),IF(LI136="lease",MA136,0))</f>
        <v>1.4066867547709665</v>
      </c>
      <c r="T136" s="5">
        <f>SUM(IF(BQ136="keep",CB136,0),IF(CS136="keep",DD136,0),IF(DU136="keep",EF136,0),IF(EW136="keep",FH136,0),IF(FY136="keep",GJ136,0),IF(HA136="keep",HL136,0),IF(IC136="keep",IN136,0),IF(JE136="keep",JP136,0),IF(KG136="keep",KR136,0),IF(LI136="keep",LT136,0))</f>
        <v>0</v>
      </c>
      <c r="U136" s="5">
        <f>SUM(IF(BQ136="keep",CI136,0),IF(CS136="keep",DK136,0),IF(DU136="keep",EM136,0),IF(EW136="keep",FO136,0),IF(FY136="keep",GQ136,0),IF(HA136="keep",HS136,0),IF(IC136="keep",IU136,0),IF(JE136="keep",JW136,0),IF(KG136="keep",KY136,0),IF(LI136="keep",MA136,0))</f>
        <v>0</v>
      </c>
      <c r="V136" s="5">
        <f>R136/O136</f>
        <v>1.665732699975378</v>
      </c>
      <c r="W136" s="5">
        <f>S136/P136</f>
        <v>1.65921244930214</v>
      </c>
      <c r="X136" s="5">
        <f>T136/O136</f>
        <v>0</v>
      </c>
      <c r="Y136" s="5">
        <f>U136/P136</f>
        <v>0</v>
      </c>
      <c r="Z136" s="5">
        <f>V136+X136</f>
        <v>1.665732699975378</v>
      </c>
      <c r="AA136" s="7">
        <f>IFERROR(W136/V136-1,0)</f>
        <v>-0.003914343924048769</v>
      </c>
      <c r="AB136" s="7">
        <f>IFERROR((W136-V136)/Z136,0)</f>
        <v>-0.003914343924048802</v>
      </c>
      <c r="AC136" s="7">
        <f>IFERROR(Y136/X136-1,0)</f>
        <v>0</v>
      </c>
      <c r="AD136" s="7">
        <f>IFERROR((Y136-X136)/Z136,0)</f>
        <v>0</v>
      </c>
      <c r="AE136" s="7">
        <f>AB136+AD136</f>
        <v>-0.003914343924048802</v>
      </c>
      <c r="AF136" s="7">
        <f>(1+Q136)*(1+AE136)-1</f>
        <v>-0.01283451397846036</v>
      </c>
      <c r="AG136" s="7">
        <f>G136-AF136</f>
        <v>-2.480654570646834e-16</v>
      </c>
      <c r="AH136" s="5">
        <f>SUM(IF(BQ136="lease",CE136,0),IF(CS136="lease",DG136,0),IF(DU136="lease",EI136,0),IF(EW136="lease",FK136,0),IF(FY136="lease",GM136,0),IF(HA136="lease",HO136,0),IF(IC136="lease",IQ136,0),IF(JE136="lease",JS136,0),IF(KG136="lease",KU136,0),IF(LI136="lease",LW136,0))</f>
        <v>-0.01828886956956417</v>
      </c>
      <c r="AI136" s="5">
        <f>SUM(IF(BQ136="keep",CE136,0),IF(CS136="keep",DG136,0),IF(DU136="keep",EI136,0),IF(EW136="keep",FK136,0),IF(FY136="keep",GM136,0),IF(HA136="keep",HO136,0),IF(IC136="keep",IQ136,0),IF(JE136="keep",JS136,0),IF(KG136="keep",KU136,0),IF(LI136="keep",LW136,0))</f>
        <v>0</v>
      </c>
      <c r="AJ136" s="5">
        <f>SUM(IF(BQ136="lease",CH136,0),IF(CS136="lease",DJ136,0),IF(DU136="lease",EL136,0),IF(EW136="lease",FN136,0),IF(FY136="lease",GP136,0),IF(HA136="lease",HR136,0),IF(IC136="lease",IT136,0),IF(JE136="lease",JV136,0),IF(KG136="lease",KX136,0),IF(LI136="lease",LZ136,0))</f>
        <v>0</v>
      </c>
      <c r="AK136" s="5">
        <f>SUM(IF(BQ136="keep",CH136,0),IF(CS136="keep",DJ136,0),IF(DU136="keep",EL136,0),IF(EW136="keep",FN136,0),IF(FY136="keep",GP136,0),IF(HA136="keep",HR136,0),IF(IC136="keep",IT136,0),IF(JE136="keep",JV136,0),IF(KG136="keep",KX136,0),IF(LI136="keep",LZ136,0))</f>
        <v>0</v>
      </c>
      <c r="AL136" s="5">
        <f>R136-S135</f>
        <v>2.220446049250313e-16</v>
      </c>
      <c r="AM136" s="5">
        <f>T136-U135</f>
        <v>0</v>
      </c>
      <c r="AN136" s="5">
        <f>AN135</f>
        <v>1</v>
      </c>
      <c r="AO136" s="5">
        <f>AO135+AH136</f>
        <v>0.40668675477096644</v>
      </c>
      <c r="AP136" s="5">
        <f>AP135+AL136</f>
        <v>-2.220446049250313e-16</v>
      </c>
      <c r="AQ136" s="5">
        <f>AN136+AO136+AP136</f>
        <v>1.4066867547709663</v>
      </c>
      <c r="AR136" s="5">
        <f>S136-AQ136</f>
        <v>2.220446049250313e-16</v>
      </c>
      <c r="AS136" s="5">
        <f>AS135</f>
        <v>0</v>
      </c>
      <c r="AT136" s="5">
        <f>AT135+AI136</f>
        <v>0</v>
      </c>
      <c r="AU136" s="5">
        <f>AU135+AM136</f>
        <v>0</v>
      </c>
      <c r="AV136" s="5">
        <f>AS136+AT136+AU136</f>
        <v>0</v>
      </c>
      <c r="AW136" s="5">
        <f>U136-AV136</f>
        <v>0</v>
      </c>
      <c r="AX136" s="4">
        <v>1.4249756243405305</v>
      </c>
      <c r="AY136" s="4">
        <v>1.4066867547709663</v>
      </c>
      <c r="AZ136" s="5">
        <f>S136-AY136</f>
        <v>2.220446049250313e-16</v>
      </c>
      <c r="BA136" s="4">
        <v>0</v>
      </c>
      <c r="BB136" s="4">
        <v>0</v>
      </c>
      <c r="BC136" s="5">
        <f>U136-BB136</f>
        <v>0</v>
      </c>
      <c r="BD136" s="7">
        <f>SUM(IF(BP136="direct",CC136/F136,0),IF(CR136="direct",DE136/F136,0),IF(DT136="direct",EG136/F136,0),IF(EV136="direct",FI136/F136,0),IF(FX136="direct",GK136/F136,0),IF(GZ136="direct",HM136/F136,0),IF(IB136="direct",IO136/F136,0),IF(JD136="direct",JQ136/F136,0),IF(KF136="direct",KS136/F136,0),IF(LH136="direct",LU136/F136,0))</f>
        <v>-0.0005889467182405527</v>
      </c>
      <c r="BE136" s="7">
        <f>-SUM(IF(BP136="direct",CD136/F136,0),IF(CR136="direct",DF136/F136,0),IF(DT136="direct",EH136/F136,0),IF(EV136="direct",FJ136/F136,0),IF(FX136="direct",GL136/F136,0),IF(GZ136="direct",HN136/F136,0),IF(IB136="direct",IP136/F136,0),IF(JD136="direct",JR136/F136,0),IF(KF136="direct",KT136/F136,0),IF(LH136="direct",LV136/F136,0))</f>
        <v>-4.504501155492774e-7</v>
      </c>
      <c r="BF136" s="7">
        <f>BD136+BE136</f>
        <v>-0.0005893971683561019</v>
      </c>
      <c r="BG136" s="7">
        <f>BF136-SUM(IF(BP136="direct",CP136,0),IF(CR136="direct",DR136,0),IF(DT136="direct",ET136,0),IF(EV136="direct",FV136,0),IF(FX136="direct",GX136,0),IF(GZ136="direct",HZ136,0),IF(IB136="direct",JB136,0),IF(JD136="direct",KD136,0),IF(KF136="direct",LF136,0),IF(LH136="direct",MH136,0))</f>
        <v>1.1926223897340549e-18</v>
      </c>
      <c r="BH136" s="7">
        <f>SUM(IF(BP136="treasury",CP136,0),IF(CR136="treasury",DR136,0),IF(DT136="treasury",ET136,0),IF(EV136="treasury",FV136,0),IF(FX136="treasury",GX136,0),IF(GZ136="treasury",HZ136,0),IF(IB136="treasury",JB136,0),IF(JD136="treasury",KD136,0),IF(KF136="treasury",LF136,0),IF(LH136="treasury",MH136,0))</f>
        <v>0.00018121585546737053</v>
      </c>
      <c r="BI136" s="7">
        <f>SUM(IF(BP136="future",CP136,0),IF(CR136="future",DR136,0),IF(DT136="future",ET136,0),IF(EV136="future",FV136,0),IF(FX136="future",GX136,0),IF(GZ136="future",HZ136,0),IF(IB136="future",JB136,0),IF(JD136="future",KD136,0),IF(KF136="future",LF136,0),IF(LH136="future",MH136,0))</f>
        <v>-0.012426332665571875</v>
      </c>
      <c r="BJ136" s="7">
        <f>SUM(IF(BP136="cash",CP136,0),IF(CR136="cash",DR136,0),IF(DT136="cash",ET136,0),IF(EV136="cash",FV136,0),IF(FX136="cash",GX136,0),IF(GZ136="cash",HZ136,0),IF(IB136="cash",JB136,0),IF(JD136="cash",KD136,0),IF(KF136="cash",LF136,0),IF(LH136="cash",MH136,0))</f>
        <v>0</v>
      </c>
      <c r="BK136" s="7">
        <f>SUM(BF136,BH136,BI136,BJ136)</f>
        <v>-0.012834513978460608</v>
      </c>
      <c r="BL136" s="7">
        <f>G136-BK136</f>
        <v>0</v>
      </c>
      <c r="BM136" s="5">
        <f>MAX(ABS(CG136),ABS(DI136),ABS(EK136),ABS(FM136),ABS(GO136),ABS(HQ136),ABS(IS136),ABS(JU136),ABS(KW136),ABS(LY136))</f>
        <v>1.7515286096503324e-16</v>
      </c>
      <c r="BN136" s="9">
        <f>COUNTA(BO136,CQ136,DS136,EU136,FW136,GY136,IA136,JC136,KE136,LG136)</f>
        <v>5</v>
      </c>
      <c r="BO136" t="inlineStr">
        <is>
          <t xml:space="preserve">Direct commodity holding</t>
        </is>
      </c>
      <c r="BP136" t="inlineStr">
        <is>
          <t xml:space="preserve">direct</t>
        </is>
      </c>
      <c r="BQ136" t="inlineStr">
        <is>
          <t xml:space="preserve">lease</t>
        </is>
      </c>
      <c r="BR136" t="inlineStr">
        <is>
          <t xml:space="preserve">long</t>
        </is>
      </c>
      <c r="BS136"/>
      <c r="BT136" s="4">
        <v>1.675</v>
      </c>
      <c r="BU136" s="4">
        <v>1.66</v>
      </c>
      <c r="BV136" s="6">
        <v>0.0025</v>
      </c>
      <c r="BW136" s="4">
        <v>0.05594898116854206</v>
      </c>
      <c r="BX136" s="5">
        <f>IF(BP136="direct",IFERROR(CD136/BU136,0),0)</f>
        <v>3.866749606259612e-7</v>
      </c>
      <c r="BY136" s="5">
        <f>IF(BP136="direct",BW136-BX136,IF(BP136="cash",CI136,BW136))</f>
        <v>0.05594859449358143</v>
      </c>
      <c r="BZ136" s="6">
        <v>0.0657657168701945</v>
      </c>
      <c r="CA136" s="4">
        <v>0.09371454345730795</v>
      </c>
      <c r="CB136" s="4">
        <v>0.09371454345730795</v>
      </c>
      <c r="CC136" s="5">
        <f>IF(BP136="direct",BW136*(BU136-BT136),CF136)</f>
        <v>-0.0008392347175281378</v>
      </c>
      <c r="CD136" s="5">
        <f>IF(BP136="direct",CB136*BV136*C136/365,0)</f>
        <v>6.418804346390956e-7</v>
      </c>
      <c r="CE136" s="5">
        <f>CC136-CD136</f>
        <v>-0.0008398765979627787</v>
      </c>
      <c r="CF136" s="4">
        <v>-0.0008398765979627787</v>
      </c>
      <c r="CG136" s="5">
        <f>CF136-CE136</f>
        <v>-1.7971921558368117e-18</v>
      </c>
      <c r="CH136" s="4">
        <v>0</v>
      </c>
      <c r="CI136" s="4">
        <v>0.09287466685934517</v>
      </c>
      <c r="CJ136" s="4">
        <v>1.675</v>
      </c>
      <c r="CK136" s="4">
        <v>1.66</v>
      </c>
      <c r="CL136" s="6"/>
      <c r="CM136" s="6"/>
      <c r="CN136" s="6"/>
      <c r="CO136" s="9"/>
      <c r="CP136" s="7">
        <f>IFERROR(CE136/F136,0)</f>
        <v>-0.0005893971683561031</v>
      </c>
      <c r="CQ136" t="inlineStr">
        <is>
          <t xml:space="preserve">Treasury collateral</t>
        </is>
      </c>
      <c r="CR136" t="inlineStr">
        <is>
          <t xml:space="preserve">treasury</t>
        </is>
      </c>
      <c r="CS136" t="inlineStr">
        <is>
          <t xml:space="preserve">lease</t>
        </is>
      </c>
      <c r="CT136" t="inlineStr">
        <is>
          <t xml:space="preserve">long</t>
        </is>
      </c>
      <c r="CU136"/>
      <c r="CV136" s="4">
        <v>103.4861847610432</v>
      </c>
      <c r="CW136" s="4">
        <v>103.50625824564892</v>
      </c>
      <c r="CX136" s="6"/>
      <c r="CY136" s="4">
        <v>0.012864143015390864</v>
      </c>
      <c r="CZ136" s="5">
        <f>IF(CR136="direct",IFERROR(DF136/CW136,0),0)</f>
        <v>0</v>
      </c>
      <c r="DA136" s="5">
        <f>IF(CR136="direct",CY136-CZ136,IF(CR136="cash",DK136,CY136))</f>
        <v>0.012864143015390864</v>
      </c>
      <c r="DB136" s="6">
        <v>0.9342342831298055</v>
      </c>
      <c r="DC136" s="4">
        <v>1.3312610808832224</v>
      </c>
      <c r="DD136" s="4">
        <v>1.3312610808832224</v>
      </c>
      <c r="DE136" s="5">
        <f>IF(CR136="direct",CY136*(CW136-CV136),DH136)</f>
        <v>0.00025822817678519477</v>
      </c>
      <c r="DF136" s="5">
        <f>IF(CR136="direct",DD136*CX136*C136/365,0)</f>
        <v>0</v>
      </c>
      <c r="DG136" s="5">
        <f>DE136-DF136</f>
        <v>0.0002582281767850196</v>
      </c>
      <c r="DH136" s="4">
        <v>0.0002582281767850196</v>
      </c>
      <c r="DI136" s="5">
        <f>DH136-DG136</f>
        <v>-1.7515286096503324e-16</v>
      </c>
      <c r="DJ136" s="4">
        <v>9.394611824586896e-17</v>
      </c>
      <c r="DK136" s="4">
        <v>1.3315193090600075</v>
      </c>
      <c r="DL136" s="4">
        <v>1.675</v>
      </c>
      <c r="DM136" s="4">
        <v>1.66</v>
      </c>
      <c r="DN136" s="6"/>
      <c r="DO136" s="6"/>
      <c r="DP136" s="6"/>
      <c r="DQ136" s="9">
        <v>66</v>
      </c>
      <c r="DR136" s="7">
        <f>IFERROR(DG136/F136,0)</f>
        <v>0.00018121585546737053</v>
      </c>
      <c r="DS136" t="inlineStr">
        <is>
          <t xml:space="preserve">SI69U</t>
        </is>
      </c>
      <c r="DT136" t="inlineStr">
        <is>
          <t xml:space="preserve">future</t>
        </is>
      </c>
      <c r="DU136" t="inlineStr">
        <is>
          <t xml:space="preserve">lease</t>
        </is>
      </c>
      <c r="DV136" t="inlineStr">
        <is>
          <t xml:space="preserve">long</t>
        </is>
      </c>
      <c r="DW136" t="inlineStr">
        <is>
          <t xml:space="preserve">regular</t>
        </is>
      </c>
      <c r="DX136" s="4">
        <v>1.6540000000000001</v>
      </c>
      <c r="DY136" s="4">
        <v>1.632</v>
      </c>
      <c r="DZ136" s="6"/>
      <c r="EA136" s="4">
        <v>0.8048736885630122</v>
      </c>
      <c r="EB136" s="5">
        <f>IF(DT136="direct",IFERROR(EH136/DY136,0),0)</f>
        <v>0</v>
      </c>
      <c r="EC136" s="5">
        <f>IF(DT136="direct",EA136-EB136,IF(DT136="cash",EM136,EA136))</f>
        <v>0.8048736885630122</v>
      </c>
      <c r="ED136" s="6">
        <v>0.9342342831298055</v>
      </c>
      <c r="EE136" s="4">
        <v>1.3312610808832224</v>
      </c>
      <c r="EF136" s="4">
        <v>0</v>
      </c>
      <c r="EG136" s="5">
        <f>IF(DT136="direct",EA136*(DY136-DX136),EJ136)</f>
        <v>-0.01770722114838641</v>
      </c>
      <c r="EH136" s="5">
        <f>IF(DT136="direct",EF136*DZ136*C136/365,0)</f>
        <v>0</v>
      </c>
      <c r="EI136" s="5">
        <f>EG136-EH136</f>
        <v>-0.01770722114838641</v>
      </c>
      <c r="EJ136" s="4">
        <v>-0.01770722114838641</v>
      </c>
      <c r="EK136" s="5">
        <f>EJ136-EI136</f>
        <v>0</v>
      </c>
      <c r="EL136" s="4">
        <v>0.01770722114838641</v>
      </c>
      <c r="EM136" s="4">
        <v>0</v>
      </c>
      <c r="EN136" s="4">
        <v>1.675</v>
      </c>
      <c r="EO136" s="4">
        <v>1.66</v>
      </c>
      <c r="EP136" s="6">
        <v>-0.012537313432835817</v>
      </c>
      <c r="EQ136" s="6">
        <v>0.0708</v>
      </c>
      <c r="ER136" s="6">
        <v>0.1401351424694708</v>
      </c>
      <c r="ES136" s="9">
        <v>66</v>
      </c>
      <c r="ET136" s="7">
        <f>IFERROR(EI136/F136,0)</f>
        <v>-0.012426332665571875</v>
      </c>
      <c r="EU136" t="inlineStr">
        <is>
          <t xml:space="preserve">Lease cash / margin / financing</t>
        </is>
      </c>
      <c r="EV136" t="inlineStr">
        <is>
          <t xml:space="preserve">cash</t>
        </is>
      </c>
      <c r="EW136" t="inlineStr">
        <is>
          <t xml:space="preserve">lease</t>
        </is>
      </c>
      <c r="EX136" t="inlineStr">
        <is>
          <t xml:space="preserve">cash</t>
        </is>
      </c>
      <c r="EY136"/>
      <c r="EZ136" s="4">
        <v>1</v>
      </c>
      <c r="FA136" s="4">
        <v>1</v>
      </c>
      <c r="FB136" s="6"/>
      <c r="FC136" s="4">
        <v>2.220446049250313e-16</v>
      </c>
      <c r="FD136" s="5">
        <f>IF(EV136="direct",IFERROR(FJ136/FA136,0),0)</f>
        <v>0</v>
      </c>
      <c r="FE136" s="5">
        <f>IF(EV136="direct",FC136-FD136,IF(EV136="cash",FO136,FC136))</f>
        <v>-0.01770722114838628</v>
      </c>
      <c r="FF136" s="6"/>
      <c r="FG136" s="4">
        <v>2.220446049250313e-16</v>
      </c>
      <c r="FH136" s="4">
        <v>2.220446049250313e-16</v>
      </c>
      <c r="FI136" s="5">
        <f>IF(EV136="direct",FC136*(FA136-EZ136),FL136)</f>
        <v>0</v>
      </c>
      <c r="FJ136" s="5">
        <f>IF(EV136="direct",FH136*FB136*C136/365,0)</f>
        <v>0</v>
      </c>
      <c r="FK136" s="5">
        <f>FI136-FJ136</f>
        <v>0</v>
      </c>
      <c r="FL136" s="4">
        <v>0</v>
      </c>
      <c r="FM136" s="5">
        <f>FL136-FK136</f>
        <v>0</v>
      </c>
      <c r="FN136" s="4">
        <v>-0.017707221148386503</v>
      </c>
      <c r="FO136" s="4">
        <v>-0.01770722114838628</v>
      </c>
      <c r="FP136" s="4">
        <v>1.675</v>
      </c>
      <c r="FQ136" s="4">
        <v>1.66</v>
      </c>
      <c r="FR136" s="6"/>
      <c r="FS136" s="6"/>
      <c r="FT136" s="6"/>
      <c r="FU136" s="9"/>
      <c r="FV136" s="7">
        <f>IFERROR(FK136/F136,0)</f>
        <v>0</v>
      </c>
      <c r="FW136" t="inlineStr">
        <is>
          <t xml:space="preserve">Keep cash / margin / financing</t>
        </is>
      </c>
      <c r="FX136" t="inlineStr">
        <is>
          <t xml:space="preserve">cash</t>
        </is>
      </c>
      <c r="FY136" t="inlineStr">
        <is>
          <t xml:space="preserve">keep</t>
        </is>
      </c>
      <c r="FZ136" t="inlineStr">
        <is>
          <t xml:space="preserve">cash</t>
        </is>
      </c>
      <c r="GA136"/>
      <c r="GB136" s="4">
        <v>1</v>
      </c>
      <c r="GC136" s="4">
        <v>1</v>
      </c>
      <c r="GD136" s="6"/>
      <c r="GE136" s="4">
        <v>0</v>
      </c>
      <c r="GF136" s="5">
        <f>IF(FX136="direct",IFERROR(GL136/GC136,0),0)</f>
        <v>0</v>
      </c>
      <c r="GG136" s="5">
        <f>IF(FX136="direct",GE136-GF136,IF(FX136="cash",GQ136,GE136))</f>
        <v>0</v>
      </c>
      <c r="GH136" s="6"/>
      <c r="GI136" s="4">
        <v>0</v>
      </c>
      <c r="GJ136" s="4">
        <v>0</v>
      </c>
      <c r="GK136" s="5">
        <f>IF(FX136="direct",GE136*(GC136-GB136),GN136)</f>
        <v>0</v>
      </c>
      <c r="GL136" s="5">
        <f>IF(FX136="direct",GJ136*GD136*C136/365,0)</f>
        <v>0</v>
      </c>
      <c r="GM136" s="5">
        <f>GK136-GL136</f>
        <v>0</v>
      </c>
      <c r="GN136" s="4">
        <v>0</v>
      </c>
      <c r="GO136" s="5">
        <f>GN136-GM136</f>
        <v>0</v>
      </c>
      <c r="GP136" s="4">
        <v>0</v>
      </c>
      <c r="GQ136" s="4">
        <v>0</v>
      </c>
      <c r="GR136" s="4">
        <v>1.675</v>
      </c>
      <c r="GS136" s="4">
        <v>1.66</v>
      </c>
      <c r="GT136" s="6"/>
      <c r="GU136" s="6"/>
      <c r="GV136" s="6"/>
      <c r="GW136" s="9"/>
      <c r="GX136" s="7">
        <f>IFERROR(GM136/F136,0)</f>
        <v>0</v>
      </c>
      <c r="GY136"/>
      <c r="GZ136"/>
      <c r="HA136"/>
      <c r="HB136"/>
      <c r="HC136"/>
      <c r="HD136" s="4"/>
      <c r="HE136" s="4"/>
      <c r="HF136" s="6"/>
      <c r="HG136" s="4"/>
      <c r="HH136" s="5">
        <v>0</v>
      </c>
      <c r="HI136" s="5"/>
      <c r="HJ136" s="6"/>
      <c r="HK136" s="4"/>
      <c r="HL136" s="4"/>
      <c r="HM136" s="5">
        <v>0</v>
      </c>
      <c r="HN136" s="5">
        <v>0</v>
      </c>
      <c r="HO136" s="5"/>
      <c r="HP136" s="4"/>
      <c r="HQ136" s="5">
        <v>0</v>
      </c>
      <c r="HR136" s="4"/>
      <c r="HS136" s="4"/>
      <c r="HT136" s="4"/>
      <c r="HU136" s="4"/>
      <c r="HV136" s="6"/>
      <c r="HW136" s="6"/>
      <c r="HX136" s="6"/>
      <c r="HY136" s="9"/>
      <c r="HZ136"/>
      <c r="IA136"/>
      <c r="IB136"/>
      <c r="IC136"/>
      <c r="ID136"/>
      <c r="IE136"/>
      <c r="IF136" s="4"/>
      <c r="IG136" s="4"/>
      <c r="IH136" s="6"/>
      <c r="II136" s="4"/>
      <c r="IJ136" s="5">
        <v>0</v>
      </c>
      <c r="IK136" s="5"/>
      <c r="IL136" s="6"/>
      <c r="IM136" s="4"/>
      <c r="IN136" s="4"/>
      <c r="IO136" s="5">
        <v>0</v>
      </c>
      <c r="IP136" s="5">
        <v>0</v>
      </c>
      <c r="IQ136" s="5"/>
      <c r="IR136" s="4"/>
      <c r="IS136" s="5">
        <v>0</v>
      </c>
      <c r="IT136" s="4"/>
      <c r="IU136" s="4"/>
      <c r="IV136" s="4"/>
      <c r="IW136" s="4"/>
      <c r="IX136" s="6"/>
      <c r="IY136" s="6"/>
      <c r="IZ136" s="6"/>
      <c r="JA136" s="9"/>
      <c r="JB136"/>
      <c r="JC136"/>
      <c r="JD136"/>
      <c r="JE136"/>
      <c r="JF136"/>
      <c r="JG136"/>
      <c r="JH136" s="4"/>
      <c r="JI136" s="4"/>
      <c r="JJ136" s="6"/>
      <c r="JK136" s="4"/>
      <c r="JL136" s="5">
        <v>0</v>
      </c>
      <c r="JM136" s="5"/>
      <c r="JN136" s="6"/>
      <c r="JO136" s="4"/>
      <c r="JP136" s="4"/>
      <c r="JQ136" s="5">
        <v>0</v>
      </c>
      <c r="JR136" s="5">
        <v>0</v>
      </c>
      <c r="JS136" s="5"/>
      <c r="JT136" s="4"/>
      <c r="JU136" s="5">
        <v>0</v>
      </c>
      <c r="JV136" s="4"/>
      <c r="JW136" s="4"/>
      <c r="JX136" s="4"/>
      <c r="JY136" s="4"/>
      <c r="JZ136" s="6"/>
      <c r="KA136" s="6"/>
      <c r="KB136" s="6"/>
      <c r="KC136" s="9"/>
      <c r="KD136"/>
      <c r="KE136"/>
      <c r="KF136"/>
      <c r="KG136"/>
      <c r="KH136"/>
      <c r="KI136"/>
      <c r="KJ136" s="4"/>
      <c r="KK136" s="4"/>
      <c r="KL136" s="6"/>
      <c r="KM136" s="4"/>
      <c r="KN136" s="5">
        <v>0</v>
      </c>
      <c r="KO136" s="5"/>
      <c r="KP136" s="6"/>
      <c r="KQ136" s="4"/>
      <c r="KR136" s="4"/>
      <c r="KS136" s="5">
        <v>0</v>
      </c>
      <c r="KT136" s="5">
        <v>0</v>
      </c>
      <c r="KU136" s="5"/>
      <c r="KV136" s="4"/>
      <c r="KW136" s="5">
        <v>0</v>
      </c>
      <c r="KX136" s="4"/>
      <c r="KY136" s="4"/>
      <c r="KZ136" s="4"/>
      <c r="LA136" s="4"/>
      <c r="LB136" s="6"/>
      <c r="LC136" s="6"/>
      <c r="LD136" s="6"/>
      <c r="LE136" s="9"/>
      <c r="LF136"/>
      <c r="LG136"/>
      <c r="LH136"/>
      <c r="LI136"/>
      <c r="LJ136"/>
      <c r="LK136"/>
      <c r="LL136" s="4"/>
      <c r="LM136" s="4"/>
      <c r="LN136" s="6"/>
      <c r="LO136" s="4"/>
      <c r="LP136" s="5">
        <v>0</v>
      </c>
      <c r="LQ136" s="5"/>
      <c r="LR136" s="6"/>
      <c r="LS136" s="4"/>
      <c r="LT136" s="4"/>
      <c r="LU136" s="5">
        <v>0</v>
      </c>
      <c r="LV136" s="5">
        <v>0</v>
      </c>
      <c r="LW136" s="5"/>
      <c r="LX136" s="4"/>
      <c r="LY136" s="5">
        <v>0</v>
      </c>
      <c r="LZ136" s="4"/>
      <c r="MA136" s="4"/>
      <c r="MB136" s="4"/>
      <c r="MC136" s="4"/>
      <c r="MD136" s="6"/>
      <c r="ME136" s="6"/>
      <c r="MF136" s="6"/>
      <c r="MG136" s="9"/>
      <c r="MH136"/>
    </row>
    <row r="137">
      <c r="A137" s="8">
        <v>25407</v>
      </c>
      <c r="B137" s="8">
        <v>25408</v>
      </c>
      <c r="C137" s="9">
        <f>B137-A137</f>
        <v>1</v>
      </c>
      <c r="D137" s="8">
        <v>25407</v>
      </c>
      <c r="E137" t="inlineStr">
        <is>
          <t xml:space="preserve">positive</t>
        </is>
      </c>
      <c r="F137" s="4">
        <v>1.406686754770966</v>
      </c>
      <c r="G137" s="6">
        <v>0.0020335777598711764</v>
      </c>
      <c r="H137" s="7">
        <f>SUM(CP137,DR137,ET137,FV137,GX137,HZ137,JB137,KD137,LF137,MH137)</f>
        <v>0.002033577759871176</v>
      </c>
      <c r="I137" s="7">
        <f>G137-H137</f>
        <v>4.336808689942018e-19</v>
      </c>
      <c r="J137" s="5">
        <f>F137*(1+H137)</f>
        <v>1.4095473616705738</v>
      </c>
      <c r="K137" s="4">
        <v>1.4095473616705738</v>
      </c>
      <c r="L137" s="5">
        <f>K137-J137</f>
        <v>0</v>
      </c>
      <c r="M137" s="4">
        <v>1.66</v>
      </c>
      <c r="N137" s="4">
        <v>1.643</v>
      </c>
      <c r="O137" s="5">
        <f>M137/$M$3</f>
        <v>0.8478038815117467</v>
      </c>
      <c r="P137" s="5">
        <f>N137/$M$3</f>
        <v>0.8391215526046987</v>
      </c>
      <c r="Q137" s="7">
        <f>IFERROR(N137/M137-1,0)</f>
        <v>-0.010240963855421614</v>
      </c>
      <c r="R137" s="5">
        <f>SUM(IF(BQ137="lease",CB137,0),IF(CS137="lease",DD137,0),IF(DU137="lease",EF137,0),IF(EW137="lease",FH137,0),IF(FY137="lease",GJ137,0),IF(HA137="lease",HL137,0),IF(IC137="lease",IN137,0),IF(JE137="lease",JP137,0),IF(KG137="lease",KR137,0),IF(LI137="lease",LT137,0))</f>
        <v>1.4066867547709663</v>
      </c>
      <c r="S137" s="5">
        <f>SUM(IF(BQ137="lease",CI137,0),IF(CS137="lease",DK137,0),IF(DU137="lease",EM137,0),IF(EW137="lease",FO137,0),IF(FY137="lease",GQ137,0),IF(HA137="lease",HS137,0),IF(IC137="lease",IU137,0),IF(JE137="lease",JW137,0),IF(KG137="lease",KY137,0),IF(LI137="lease",MA137,0))</f>
        <v>1.4095473616705738</v>
      </c>
      <c r="T137" s="5">
        <f>SUM(IF(BQ137="keep",CB137,0),IF(CS137="keep",DD137,0),IF(DU137="keep",EF137,0),IF(EW137="keep",FH137,0),IF(FY137="keep",GJ137,0),IF(HA137="keep",HL137,0),IF(IC137="keep",IN137,0),IF(JE137="keep",JP137,0),IF(KG137="keep",KR137,0),IF(LI137="keep",LT137,0))</f>
        <v>0</v>
      </c>
      <c r="U137" s="5">
        <f>SUM(IF(BQ137="keep",CI137,0),IF(CS137="keep",DK137,0),IF(DU137="keep",EM137,0),IF(EW137="keep",FO137,0),IF(FY137="keep",GQ137,0),IF(HA137="keep",HS137,0),IF(IC137="keep",IU137,0),IF(JE137="keep",JW137,0),IF(KG137="keep",KY137,0),IF(LI137="keep",MA137,0))</f>
        <v>0</v>
      </c>
      <c r="V137" s="5">
        <f>R137/O137</f>
        <v>1.6592124493021396</v>
      </c>
      <c r="W137" s="5">
        <f>S137/P137</f>
        <v>1.679789247809485</v>
      </c>
      <c r="X137" s="5">
        <f>T137/O137</f>
        <v>0</v>
      </c>
      <c r="Y137" s="5">
        <f>U137/P137</f>
        <v>0</v>
      </c>
      <c r="Z137" s="5">
        <f>V137+X137</f>
        <v>1.6592124493021396</v>
      </c>
      <c r="AA137" s="7">
        <f>IFERROR(W137/V137-1,0)</f>
        <v>0.012401545393418312</v>
      </c>
      <c r="AB137" s="7">
        <f>IFERROR((W137-V137)/Z137,0)</f>
        <v>0.012401545393418324</v>
      </c>
      <c r="AC137" s="7">
        <f>IFERROR(Y137/X137-1,0)</f>
        <v>0</v>
      </c>
      <c r="AD137" s="7">
        <f>IFERROR((Y137-X137)/Z137,0)</f>
        <v>0</v>
      </c>
      <c r="AE137" s="7">
        <f>AB137+AD137</f>
        <v>0.012401545393418324</v>
      </c>
      <c r="AF137" s="7">
        <f>(1+Q137)*(1+AE137)-1</f>
        <v>0.00203357775987123</v>
      </c>
      <c r="AG137" s="7">
        <f>G137-AF137</f>
        <v>-5.377642775528102e-17</v>
      </c>
      <c r="AH137" s="5">
        <f>SUM(IF(BQ137="lease",CE137,0),IF(CS137="lease",DG137,0),IF(DU137="lease",EI137,0),IF(EW137="lease",FK137,0),IF(FY137="lease",GM137,0),IF(HA137="lease",HO137,0),IF(IC137="lease",IQ137,0),IF(JE137="lease",JS137,0),IF(KG137="lease",KU137,0),IF(LI137="lease",LW137,0))</f>
        <v>0.0028606068996075954</v>
      </c>
      <c r="AI137" s="5">
        <f>SUM(IF(BQ137="keep",CE137,0),IF(CS137="keep",DG137,0),IF(DU137="keep",EI137,0),IF(EW137="keep",FK137,0),IF(FY137="keep",GM137,0),IF(HA137="keep",HO137,0),IF(IC137="keep",IQ137,0),IF(JE137="keep",JS137,0),IF(KG137="keep",KU137,0),IF(LI137="keep",LW137,0))</f>
        <v>0</v>
      </c>
      <c r="AJ137" s="5">
        <f>SUM(IF(BQ137="lease",CH137,0),IF(CS137="lease",DJ137,0),IF(DU137="lease",EL137,0),IF(EW137="lease",FN137,0),IF(FY137="lease",GP137,0),IF(HA137="lease",HR137,0),IF(IC137="lease",IT137,0),IF(JE137="lease",JV137,0),IF(KG137="lease",KX137,0),IF(LI137="lease",LZ137,0))</f>
        <v>0</v>
      </c>
      <c r="AK137" s="5">
        <f>SUM(IF(BQ137="keep",CH137,0),IF(CS137="keep",DJ137,0),IF(DU137="keep",EL137,0),IF(EW137="keep",FN137,0),IF(FY137="keep",GP137,0),IF(HA137="keep",HR137,0),IF(IC137="keep",IT137,0),IF(JE137="keep",JV137,0),IF(KG137="keep",KX137,0),IF(LI137="keep",LZ137,0))</f>
        <v>0</v>
      </c>
      <c r="AL137" s="5">
        <f>R137-S136</f>
        <v>-2.220446049250313e-16</v>
      </c>
      <c r="AM137" s="5">
        <f>T137-U136</f>
        <v>0</v>
      </c>
      <c r="AN137" s="5">
        <f>AN136</f>
        <v>1</v>
      </c>
      <c r="AO137" s="5">
        <f>AO136+AH137</f>
        <v>0.40954736167057404</v>
      </c>
      <c r="AP137" s="5">
        <f>AP136+AL137</f>
        <v>-4.440892098500626e-16</v>
      </c>
      <c r="AQ137" s="5">
        <f>AN137+AO137+AP137</f>
        <v>1.4095473616705736</v>
      </c>
      <c r="AR137" s="5">
        <f>S137-AQ137</f>
        <v>2.220446049250313e-16</v>
      </c>
      <c r="AS137" s="5">
        <f>AS136</f>
        <v>0</v>
      </c>
      <c r="AT137" s="5">
        <f>AT136+AI137</f>
        <v>0</v>
      </c>
      <c r="AU137" s="5">
        <f>AU136+AM137</f>
        <v>0</v>
      </c>
      <c r="AV137" s="5">
        <f>AS137+AT137+AU137</f>
        <v>0</v>
      </c>
      <c r="AW137" s="5">
        <f>U137-AV137</f>
        <v>0</v>
      </c>
      <c r="AX137" s="4">
        <v>1.4066867547709663</v>
      </c>
      <c r="AY137" s="4">
        <v>1.4095473616705738</v>
      </c>
      <c r="AZ137" s="5">
        <f>S137-AY137</f>
        <v>0</v>
      </c>
      <c r="BA137" s="4">
        <v>0</v>
      </c>
      <c r="BB137" s="4">
        <v>0</v>
      </c>
      <c r="BC137" s="5">
        <f>U137-BB137</f>
        <v>0</v>
      </c>
      <c r="BD137" s="7">
        <f>SUM(IF(BP137="direct",CC137/F137,0),IF(CR137="direct",DE137/F137,0),IF(DT137="direct",EG137/F137,0),IF(EV137="direct",FI137/F137,0),IF(FX137="direct",GK137/F137,0),IF(GZ137="direct",HM137/F137,0),IF(IB137="direct",IO137/F137,0),IF(JD137="direct",JQ137/F137,0),IF(KF137="direct",KS137/F137,0),IF(LH137="direct",LU137/F137,0))</f>
        <v>0</v>
      </c>
      <c r="BE137" s="7">
        <f>-SUM(IF(BP137="direct",CD137/F137,0),IF(CR137="direct",DF137/F137,0),IF(DT137="direct",EH137/F137,0),IF(EV137="direct",FJ137/F137,0),IF(FX137="direct",GL137/F137,0),IF(GZ137="direct",HN137/F137,0),IF(IB137="direct",IP137/F137,0),IF(JD137="direct",JR137/F137,0),IF(KF137="direct",KT137/F137,0),IF(LH137="direct",LV137/F137,0))</f>
        <v>0</v>
      </c>
      <c r="BF137" s="7">
        <f>BD137+BE137</f>
        <v>0</v>
      </c>
      <c r="BG137" s="7">
        <f>BF137-SUM(IF(BP137="direct",CP137,0),IF(CR137="direct",DR137,0),IF(DT137="direct",ET137,0),IF(EV137="direct",FV137,0),IF(FX137="direct",GX137,0),IF(GZ137="direct",HZ137,0),IF(IB137="direct",JB137,0),IF(JD137="direct",KD137,0),IF(KF137="direct",LF137,0),IF(LH137="direct",MH137,0))</f>
        <v>0</v>
      </c>
      <c r="BH137" s="7">
        <f>SUM(IF(BP137="treasury",CP137,0),IF(CR137="treasury",DR137,0),IF(DT137="treasury",ET137,0),IF(EV137="treasury",FV137,0),IF(FX137="treasury",GX137,0),IF(GZ137="treasury",HZ137,0),IF(IB137="treasury",JB137,0),IF(JD137="treasury",KD137,0),IF(KF137="treasury",LF137,0),IF(LH137="treasury",MH137,0))</f>
        <v>0.00019534246575342464</v>
      </c>
      <c r="BI137" s="7">
        <f>SUM(IF(BP137="future",CP137,0),IF(CR137="future",DR137,0),IF(DT137="future",ET137,0),IF(EV137="future",FV137,0),IF(FX137="future",GX137,0),IF(GZ137="future",HZ137,0),IF(IB137="future",JB137,0),IF(JD137="future",KD137,0),IF(KF137="future",LF137,0),IF(LH137="future",MH137,0))</f>
        <v>0.0018382352941177513</v>
      </c>
      <c r="BJ137" s="7">
        <f>SUM(IF(BP137="cash",CP137,0),IF(CR137="cash",DR137,0),IF(DT137="cash",ET137,0),IF(EV137="cash",FV137,0),IF(FX137="cash",GX137,0),IF(GZ137="cash",HZ137,0),IF(IB137="cash",JB137,0),IF(JD137="cash",KD137,0),IF(KF137="cash",LF137,0),IF(LH137="cash",MH137,0))</f>
        <v>0</v>
      </c>
      <c r="BK137" s="7">
        <f>SUM(BF137,BH137,BI137,BJ137)</f>
        <v>0.002033577759871176</v>
      </c>
      <c r="BL137" s="7">
        <f>G137-BK137</f>
        <v>4.336808689942018e-19</v>
      </c>
      <c r="BM137" s="5">
        <f>MAX(ABS(CG137),ABS(DI137),ABS(EK137),ABS(FM137),ABS(GO137),ABS(HQ137),ABS(IS137),ABS(JU137),ABS(KW137),ABS(LY137))</f>
        <v>1.6750923564901044e-16</v>
      </c>
      <c r="BN137" s="9">
        <f>COUNTA(BO137,CQ137,DS137,EU137,FW137,GY137,IA137,JC137,KE137,LG137)</f>
        <v>4</v>
      </c>
      <c r="BO137" t="inlineStr">
        <is>
          <t xml:space="preserve">Treasury collateral</t>
        </is>
      </c>
      <c r="BP137" t="inlineStr">
        <is>
          <t xml:space="preserve">treasury</t>
        </is>
      </c>
      <c r="BQ137" t="inlineStr">
        <is>
          <t xml:space="preserve">lease</t>
        </is>
      </c>
      <c r="BR137" t="inlineStr">
        <is>
          <t xml:space="preserve">long</t>
        </is>
      </c>
      <c r="BS137"/>
      <c r="BT137" s="4">
        <v>103.50625824564892</v>
      </c>
      <c r="BU137" s="4">
        <v>103.52647741335555</v>
      </c>
      <c r="BV137" s="6"/>
      <c r="BW137" s="4">
        <v>0.01359035461829284</v>
      </c>
      <c r="BX137" s="5">
        <f>IF(BP137="direct",IFERROR(CD137/BU137,0),0)</f>
        <v>0</v>
      </c>
      <c r="BY137" s="5">
        <f>IF(BP137="direct",BW137-BX137,IF(BP137="cash",CI137,BW137))</f>
        <v>0.01359035461829284</v>
      </c>
      <c r="BZ137" s="6">
        <v>1</v>
      </c>
      <c r="CA137" s="4">
        <v>1.406686754770966</v>
      </c>
      <c r="CB137" s="4">
        <v>1.406686754770966</v>
      </c>
      <c r="CC137" s="5">
        <f>IF(BP137="direct",BW137*(BU137-BT137),CF137)</f>
        <v>0.000274785659219811</v>
      </c>
      <c r="CD137" s="5">
        <f>IF(BP137="direct",CB137*BV137*C137/365,0)</f>
        <v>0</v>
      </c>
      <c r="CE137" s="5">
        <f>CC137-CD137</f>
        <v>0.0002747856592196435</v>
      </c>
      <c r="CF137" s="4">
        <v>0.0002747856592196435</v>
      </c>
      <c r="CG137" s="5">
        <f>CF137-CE137</f>
        <v>-1.6750923564901044e-16</v>
      </c>
      <c r="CH137" s="4">
        <v>1.4598782252517317e-16</v>
      </c>
      <c r="CI137" s="4">
        <v>1.4069615404301858</v>
      </c>
      <c r="CJ137" s="4">
        <v>1.66</v>
      </c>
      <c r="CK137" s="4">
        <v>1.643</v>
      </c>
      <c r="CL137" s="6"/>
      <c r="CM137" s="6"/>
      <c r="CN137" s="6"/>
      <c r="CO137" s="9">
        <v>65</v>
      </c>
      <c r="CP137" s="7">
        <f>IFERROR(CE137/F137,0)</f>
        <v>0.00019534246575342464</v>
      </c>
      <c r="CQ137" t="inlineStr">
        <is>
          <t xml:space="preserve">SI69U</t>
        </is>
      </c>
      <c r="CR137" t="inlineStr">
        <is>
          <t xml:space="preserve">future</t>
        </is>
      </c>
      <c r="CS137" t="inlineStr">
        <is>
          <t xml:space="preserve">lease</t>
        </is>
      </c>
      <c r="CT137" t="inlineStr">
        <is>
          <t xml:space="preserve">long</t>
        </is>
      </c>
      <c r="CU137" t="inlineStr">
        <is>
          <t xml:space="preserve">regular</t>
        </is>
      </c>
      <c r="CV137" s="4">
        <v>1.632</v>
      </c>
      <c r="CW137" s="4">
        <v>1.635</v>
      </c>
      <c r="CX137" s="6"/>
      <c r="CY137" s="4">
        <v>0.8619404134626018</v>
      </c>
      <c r="CZ137" s="5">
        <f>IF(CR137="direct",IFERROR(DF137/CW137,0),0)</f>
        <v>0</v>
      </c>
      <c r="DA137" s="5">
        <f>IF(CR137="direct",CY137-CZ137,IF(CR137="cash",DK137,CY137))</f>
        <v>0.8619404134626018</v>
      </c>
      <c r="DB137" s="6">
        <v>1</v>
      </c>
      <c r="DC137" s="4">
        <v>1.406686754770966</v>
      </c>
      <c r="DD137" s="4">
        <v>0</v>
      </c>
      <c r="DE137" s="5">
        <f>IF(CR137="direct",CY137*(CW137-CV137),DH137)</f>
        <v>0.002585821240387952</v>
      </c>
      <c r="DF137" s="5">
        <f>IF(CR137="direct",DD137*CX137*C137/365,0)</f>
        <v>0</v>
      </c>
      <c r="DG137" s="5">
        <f>DE137-DF137</f>
        <v>0.002585821240387952</v>
      </c>
      <c r="DH137" s="4">
        <v>0.002585821240387952</v>
      </c>
      <c r="DI137" s="5">
        <f>DH137-DG137</f>
        <v>0</v>
      </c>
      <c r="DJ137" s="4">
        <v>-0.002585821240387952</v>
      </c>
      <c r="DK137" s="4">
        <v>0</v>
      </c>
      <c r="DL137" s="4">
        <v>1.66</v>
      </c>
      <c r="DM137" s="4">
        <v>1.643</v>
      </c>
      <c r="DN137" s="6">
        <v>-0.016867469879518038</v>
      </c>
      <c r="DO137" s="6">
        <v>0.0713</v>
      </c>
      <c r="DP137" s="6">
        <v>0.166017330861909</v>
      </c>
      <c r="DQ137" s="9">
        <v>65</v>
      </c>
      <c r="DR137" s="7">
        <f>IFERROR(DG137/F137,0)</f>
        <v>0.0018382352941177513</v>
      </c>
      <c r="DS137" t="inlineStr">
        <is>
          <t xml:space="preserve">Lease cash / margin / financing</t>
        </is>
      </c>
      <c r="DT137" t="inlineStr">
        <is>
          <t xml:space="preserve">cash</t>
        </is>
      </c>
      <c r="DU137" t="inlineStr">
        <is>
          <t xml:space="preserve">lease</t>
        </is>
      </c>
      <c r="DV137" t="inlineStr">
        <is>
          <t xml:space="preserve">cash</t>
        </is>
      </c>
      <c r="DW137"/>
      <c r="DX137" s="4">
        <v>1</v>
      </c>
      <c r="DY137" s="4">
        <v>1</v>
      </c>
      <c r="DZ137" s="6"/>
      <c r="EA137" s="4">
        <v>2.220446049250313e-16</v>
      </c>
      <c r="EB137" s="5">
        <f>IF(DT137="direct",IFERROR(EH137/DY137,0),0)</f>
        <v>0</v>
      </c>
      <c r="EC137" s="5">
        <f>IF(DT137="direct",EA137-EB137,IF(DT137="cash",EM137,EA137))</f>
        <v>0.002585821240388028</v>
      </c>
      <c r="ED137" s="6"/>
      <c r="EE137" s="4">
        <v>2.220446049250313e-16</v>
      </c>
      <c r="EF137" s="4">
        <v>2.220446049250313e-16</v>
      </c>
      <c r="EG137" s="5">
        <f>IF(DT137="direct",EA137*(DY137-DX137),EJ137)</f>
        <v>0</v>
      </c>
      <c r="EH137" s="5">
        <f>IF(DT137="direct",EF137*DZ137*C137/365,0)</f>
        <v>0</v>
      </c>
      <c r="EI137" s="5">
        <f>EG137-EH137</f>
        <v>0</v>
      </c>
      <c r="EJ137" s="4">
        <v>0</v>
      </c>
      <c r="EK137" s="5">
        <f>EJ137-EI137</f>
        <v>0</v>
      </c>
      <c r="EL137" s="4">
        <v>0.002585821240387806</v>
      </c>
      <c r="EM137" s="4">
        <v>0.002585821240388028</v>
      </c>
      <c r="EN137" s="4">
        <v>1.66</v>
      </c>
      <c r="EO137" s="4">
        <v>1.643</v>
      </c>
      <c r="EP137" s="6"/>
      <c r="EQ137" s="6"/>
      <c r="ER137" s="6"/>
      <c r="ES137" s="9"/>
      <c r="ET137" s="7">
        <f>IFERROR(EI137/F137,0)</f>
        <v>0</v>
      </c>
      <c r="EU137" t="inlineStr">
        <is>
          <t xml:space="preserve">Keep cash / margin / financing</t>
        </is>
      </c>
      <c r="EV137" t="inlineStr">
        <is>
          <t xml:space="preserve">cash</t>
        </is>
      </c>
      <c r="EW137" t="inlineStr">
        <is>
          <t xml:space="preserve">keep</t>
        </is>
      </c>
      <c r="EX137" t="inlineStr">
        <is>
          <t xml:space="preserve">cash</t>
        </is>
      </c>
      <c r="EY137"/>
      <c r="EZ137" s="4">
        <v>1</v>
      </c>
      <c r="FA137" s="4">
        <v>1</v>
      </c>
      <c r="FB137" s="6"/>
      <c r="FC137" s="4">
        <v>0</v>
      </c>
      <c r="FD137" s="5">
        <f>IF(EV137="direct",IFERROR(FJ137/FA137,0),0)</f>
        <v>0</v>
      </c>
      <c r="FE137" s="5">
        <f>IF(EV137="direct",FC137-FD137,IF(EV137="cash",FO137,FC137))</f>
        <v>0</v>
      </c>
      <c r="FF137" s="6"/>
      <c r="FG137" s="4">
        <v>0</v>
      </c>
      <c r="FH137" s="4">
        <v>0</v>
      </c>
      <c r="FI137" s="5">
        <f>IF(EV137="direct",FC137*(FA137-EZ137),FL137)</f>
        <v>0</v>
      </c>
      <c r="FJ137" s="5">
        <f>IF(EV137="direct",FH137*FB137*C137/365,0)</f>
        <v>0</v>
      </c>
      <c r="FK137" s="5">
        <f>FI137-FJ137</f>
        <v>0</v>
      </c>
      <c r="FL137" s="4">
        <v>0</v>
      </c>
      <c r="FM137" s="5">
        <f>FL137-FK137</f>
        <v>0</v>
      </c>
      <c r="FN137" s="4">
        <v>0</v>
      </c>
      <c r="FO137" s="4">
        <v>0</v>
      </c>
      <c r="FP137" s="4">
        <v>1.66</v>
      </c>
      <c r="FQ137" s="4">
        <v>1.643</v>
      </c>
      <c r="FR137" s="6"/>
      <c r="FS137" s="6"/>
      <c r="FT137" s="6"/>
      <c r="FU137" s="9"/>
      <c r="FV137" s="7">
        <f>IFERROR(FK137/F137,0)</f>
        <v>0</v>
      </c>
      <c r="FW137"/>
      <c r="FX137"/>
      <c r="FY137"/>
      <c r="FZ137"/>
      <c r="GA137"/>
      <c r="GB137" s="4"/>
      <c r="GC137" s="4"/>
      <c r="GD137" s="6"/>
      <c r="GE137" s="4"/>
      <c r="GF137" s="5">
        <v>0</v>
      </c>
      <c r="GG137" s="5"/>
      <c r="GH137" s="6"/>
      <c r="GI137" s="4"/>
      <c r="GJ137" s="4"/>
      <c r="GK137" s="5">
        <v>0</v>
      </c>
      <c r="GL137" s="5">
        <v>0</v>
      </c>
      <c r="GM137" s="5"/>
      <c r="GN137" s="4"/>
      <c r="GO137" s="5">
        <v>0</v>
      </c>
      <c r="GP137" s="4"/>
      <c r="GQ137" s="4"/>
      <c r="GR137" s="4"/>
      <c r="GS137" s="4"/>
      <c r="GT137" s="6"/>
      <c r="GU137" s="6"/>
      <c r="GV137" s="6"/>
      <c r="GW137" s="9"/>
      <c r="GX137"/>
      <c r="GY137"/>
      <c r="GZ137"/>
      <c r="HA137"/>
      <c r="HB137"/>
      <c r="HC137"/>
      <c r="HD137" s="4"/>
      <c r="HE137" s="4"/>
      <c r="HF137" s="6"/>
      <c r="HG137" s="4"/>
      <c r="HH137" s="5">
        <v>0</v>
      </c>
      <c r="HI137" s="5"/>
      <c r="HJ137" s="6"/>
      <c r="HK137" s="4"/>
      <c r="HL137" s="4"/>
      <c r="HM137" s="5">
        <v>0</v>
      </c>
      <c r="HN137" s="5">
        <v>0</v>
      </c>
      <c r="HO137" s="5"/>
      <c r="HP137" s="4"/>
      <c r="HQ137" s="5">
        <v>0</v>
      </c>
      <c r="HR137" s="4"/>
      <c r="HS137" s="4"/>
      <c r="HT137" s="4"/>
      <c r="HU137" s="4"/>
      <c r="HV137" s="6"/>
      <c r="HW137" s="6"/>
      <c r="HX137" s="6"/>
      <c r="HY137" s="9"/>
      <c r="HZ137"/>
      <c r="IA137"/>
      <c r="IB137"/>
      <c r="IC137"/>
      <c r="ID137"/>
      <c r="IE137"/>
      <c r="IF137" s="4"/>
      <c r="IG137" s="4"/>
      <c r="IH137" s="6"/>
      <c r="II137" s="4"/>
      <c r="IJ137" s="5">
        <v>0</v>
      </c>
      <c r="IK137" s="5"/>
      <c r="IL137" s="6"/>
      <c r="IM137" s="4"/>
      <c r="IN137" s="4"/>
      <c r="IO137" s="5">
        <v>0</v>
      </c>
      <c r="IP137" s="5">
        <v>0</v>
      </c>
      <c r="IQ137" s="5"/>
      <c r="IR137" s="4"/>
      <c r="IS137" s="5">
        <v>0</v>
      </c>
      <c r="IT137" s="4"/>
      <c r="IU137" s="4"/>
      <c r="IV137" s="4"/>
      <c r="IW137" s="4"/>
      <c r="IX137" s="6"/>
      <c r="IY137" s="6"/>
      <c r="IZ137" s="6"/>
      <c r="JA137" s="9"/>
      <c r="JB137"/>
      <c r="JC137"/>
      <c r="JD137"/>
      <c r="JE137"/>
      <c r="JF137"/>
      <c r="JG137"/>
      <c r="JH137" s="4"/>
      <c r="JI137" s="4"/>
      <c r="JJ137" s="6"/>
      <c r="JK137" s="4"/>
      <c r="JL137" s="5">
        <v>0</v>
      </c>
      <c r="JM137" s="5"/>
      <c r="JN137" s="6"/>
      <c r="JO137" s="4"/>
      <c r="JP137" s="4"/>
      <c r="JQ137" s="5">
        <v>0</v>
      </c>
      <c r="JR137" s="5">
        <v>0</v>
      </c>
      <c r="JS137" s="5"/>
      <c r="JT137" s="4"/>
      <c r="JU137" s="5">
        <v>0</v>
      </c>
      <c r="JV137" s="4"/>
      <c r="JW137" s="4"/>
      <c r="JX137" s="4"/>
      <c r="JY137" s="4"/>
      <c r="JZ137" s="6"/>
      <c r="KA137" s="6"/>
      <c r="KB137" s="6"/>
      <c r="KC137" s="9"/>
      <c r="KD137"/>
      <c r="KE137"/>
      <c r="KF137"/>
      <c r="KG137"/>
      <c r="KH137"/>
      <c r="KI137"/>
      <c r="KJ137" s="4"/>
      <c r="KK137" s="4"/>
      <c r="KL137" s="6"/>
      <c r="KM137" s="4"/>
      <c r="KN137" s="5">
        <v>0</v>
      </c>
      <c r="KO137" s="5"/>
      <c r="KP137" s="6"/>
      <c r="KQ137" s="4"/>
      <c r="KR137" s="4"/>
      <c r="KS137" s="5">
        <v>0</v>
      </c>
      <c r="KT137" s="5">
        <v>0</v>
      </c>
      <c r="KU137" s="5"/>
      <c r="KV137" s="4"/>
      <c r="KW137" s="5">
        <v>0</v>
      </c>
      <c r="KX137" s="4"/>
      <c r="KY137" s="4"/>
      <c r="KZ137" s="4"/>
      <c r="LA137" s="4"/>
      <c r="LB137" s="6"/>
      <c r="LC137" s="6"/>
      <c r="LD137" s="6"/>
      <c r="LE137" s="9"/>
      <c r="LF137"/>
      <c r="LG137"/>
      <c r="LH137"/>
      <c r="LI137"/>
      <c r="LJ137"/>
      <c r="LK137"/>
      <c r="LL137" s="4"/>
      <c r="LM137" s="4"/>
      <c r="LN137" s="6"/>
      <c r="LO137" s="4"/>
      <c r="LP137" s="5">
        <v>0</v>
      </c>
      <c r="LQ137" s="5"/>
      <c r="LR137" s="6"/>
      <c r="LS137" s="4"/>
      <c r="LT137" s="4"/>
      <c r="LU137" s="5">
        <v>0</v>
      </c>
      <c r="LV137" s="5">
        <v>0</v>
      </c>
      <c r="LW137" s="5"/>
      <c r="LX137" s="4"/>
      <c r="LY137" s="5">
        <v>0</v>
      </c>
      <c r="LZ137" s="4"/>
      <c r="MA137" s="4"/>
      <c r="MB137" s="4"/>
      <c r="MC137" s="4"/>
      <c r="MD137" s="6"/>
      <c r="ME137" s="6"/>
      <c r="MF137" s="6"/>
      <c r="MG137" s="9"/>
      <c r="MH137"/>
    </row>
    <row r="138">
      <c r="A138" s="8">
        <v>25408</v>
      </c>
      <c r="B138" s="8">
        <v>25409</v>
      </c>
      <c r="C138" s="9">
        <f>B138-A138</f>
        <v>1</v>
      </c>
      <c r="D138" s="8">
        <v>25408</v>
      </c>
      <c r="E138" t="inlineStr">
        <is>
          <t xml:space="preserve">positive</t>
        </is>
      </c>
      <c r="F138" s="4">
        <v>1.4095473616705738</v>
      </c>
      <c r="G138" s="6">
        <v>0.005383036890006012</v>
      </c>
      <c r="H138" s="7">
        <f>SUM(CP138,DR138,ET138,FV138,GX138,HZ138,JB138,KD138,LF138,MH138)</f>
        <v>0.005383036890006012</v>
      </c>
      <c r="I138" s="7">
        <f>G138-H138</f>
        <v>0</v>
      </c>
      <c r="J138" s="5">
        <f>F138*(1+H138)</f>
        <v>1.4171350071166573</v>
      </c>
      <c r="K138" s="4">
        <v>1.4171350071166573</v>
      </c>
      <c r="L138" s="5">
        <f>K138-J138</f>
        <v>0</v>
      </c>
      <c r="M138" s="4">
        <v>1.643</v>
      </c>
      <c r="N138" s="4">
        <v>1.645</v>
      </c>
      <c r="O138" s="5">
        <f>M138/$M$3</f>
        <v>0.8391215526046987</v>
      </c>
      <c r="P138" s="5">
        <f>N138/$M$3</f>
        <v>0.8401430030643514</v>
      </c>
      <c r="Q138" s="7">
        <f>IFERROR(N138/M138-1,0)</f>
        <v>0.00121728545343891</v>
      </c>
      <c r="R138" s="5">
        <f>SUM(IF(BQ138="lease",CB138,0),IF(CS138="lease",DD138,0),IF(DU138="lease",EF138,0),IF(EW138="lease",FH138,0),IF(FY138="lease",GJ138,0),IF(HA138="lease",HL138,0),IF(IC138="lease",IN138,0),IF(JE138="lease",JP138,0),IF(KG138="lease",KR138,0),IF(LI138="lease",LT138,0))</f>
        <v>1.4095473616705738</v>
      </c>
      <c r="S138" s="5">
        <f>SUM(IF(BQ138="lease",CI138,0),IF(CS138="lease",DK138,0),IF(DU138="lease",EM138,0),IF(EW138="lease",FO138,0),IF(FY138="lease",GQ138,0),IF(HA138="lease",HS138,0),IF(IC138="lease",IU138,0),IF(JE138="lease",JW138,0),IF(KG138="lease",KY138,0),IF(LI138="lease",MA138,0))</f>
        <v>1.417135007116657</v>
      </c>
      <c r="T138" s="5">
        <f>SUM(IF(BQ138="keep",CB138,0),IF(CS138="keep",DD138,0),IF(DU138="keep",EF138,0),IF(EW138="keep",FH138,0),IF(FY138="keep",GJ138,0),IF(HA138="keep",HL138,0),IF(IC138="keep",IN138,0),IF(JE138="keep",JP138,0),IF(KG138="keep",KR138,0),IF(LI138="keep",LT138,0))</f>
        <v>0</v>
      </c>
      <c r="U138" s="5">
        <f>SUM(IF(BQ138="keep",CI138,0),IF(CS138="keep",DK138,0),IF(DU138="keep",EM138,0),IF(EW138="keep",FO138,0),IF(FY138="keep",GQ138,0),IF(HA138="keep",HS138,0),IF(IC138="keep",IU138,0),IF(JE138="keep",JW138,0),IF(KG138="keep",KY138,0),IF(LI138="keep",MA138,0))</f>
        <v>0</v>
      </c>
      <c r="V138" s="5">
        <f>R138/O138</f>
        <v>1.679789247809485</v>
      </c>
      <c r="W138" s="5">
        <f>S138/P138</f>
        <v>1.686778324580191</v>
      </c>
      <c r="X138" s="5">
        <f>T138/O138</f>
        <v>0</v>
      </c>
      <c r="Y138" s="5">
        <f>U138/P138</f>
        <v>0</v>
      </c>
      <c r="Z138" s="5">
        <f>V138+X138</f>
        <v>1.679789247809485</v>
      </c>
      <c r="AA138" s="7">
        <f>IFERROR(W138/V138-1,0)</f>
        <v>0.004160686693178928</v>
      </c>
      <c r="AB138" s="7">
        <f>IFERROR((W138-V138)/Z138,0)</f>
        <v>0.004160686693179038</v>
      </c>
      <c r="AC138" s="7">
        <f>IFERROR(Y138/X138-1,0)</f>
        <v>0</v>
      </c>
      <c r="AD138" s="7">
        <f>IFERROR((Y138-X138)/Z138,0)</f>
        <v>0</v>
      </c>
      <c r="AE138" s="7">
        <f>AB138+AD138</f>
        <v>0.004160686693179038</v>
      </c>
      <c r="AF138" s="7">
        <f>(1+Q138)*(1+AE138)-1</f>
        <v>0.0053830368900058545</v>
      </c>
      <c r="AG138" s="7">
        <f>G138-AF138</f>
        <v>1.5785983631388945e-16</v>
      </c>
      <c r="AH138" s="5">
        <f>SUM(IF(BQ138="lease",CE138,0),IF(CS138="lease",DG138,0),IF(DU138="lease",EI138,0),IF(EW138="lease",FK138,0),IF(FY138="lease",GM138,0),IF(HA138="lease",HO138,0),IF(IC138="lease",IQ138,0),IF(JE138="lease",JS138,0),IF(KG138="lease",KU138,0),IF(LI138="lease",LW138,0))</f>
        <v>0.007587645446083346</v>
      </c>
      <c r="AI138" s="5">
        <f>SUM(IF(BQ138="keep",CE138,0),IF(CS138="keep",DG138,0),IF(DU138="keep",EI138,0),IF(EW138="keep",FK138,0),IF(FY138="keep",GM138,0),IF(HA138="keep",HO138,0),IF(IC138="keep",IQ138,0),IF(JE138="keep",JS138,0),IF(KG138="keep",KU138,0),IF(LI138="keep",LW138,0))</f>
        <v>0</v>
      </c>
      <c r="AJ138" s="5">
        <f>SUM(IF(BQ138="lease",CH138,0),IF(CS138="lease",DJ138,0),IF(DU138="lease",EL138,0),IF(EW138="lease",FN138,0),IF(FY138="lease",GP138,0),IF(HA138="lease",HR138,0),IF(IC138="lease",IT138,0),IF(JE138="lease",JV138,0),IF(KG138="lease",KX138,0),IF(LI138="lease",LZ138,0))</f>
        <v>0</v>
      </c>
      <c r="AK138" s="5">
        <f>SUM(IF(BQ138="keep",CH138,0),IF(CS138="keep",DJ138,0),IF(DU138="keep",EL138,0),IF(EW138="keep",FN138,0),IF(FY138="keep",GP138,0),IF(HA138="keep",HR138,0),IF(IC138="keep",IT138,0),IF(JE138="keep",JV138,0),IF(KG138="keep",KX138,0),IF(LI138="keep",LZ138,0))</f>
        <v>0</v>
      </c>
      <c r="AL138" s="5">
        <f>R138-S137</f>
        <v>0</v>
      </c>
      <c r="AM138" s="5">
        <f>T138-U137</f>
        <v>0</v>
      </c>
      <c r="AN138" s="5">
        <f>AN137</f>
        <v>1</v>
      </c>
      <c r="AO138" s="5">
        <f>AO137+AH138</f>
        <v>0.4171350071166574</v>
      </c>
      <c r="AP138" s="5">
        <f>AP137+AL138</f>
        <v>-4.440892098500626e-16</v>
      </c>
      <c r="AQ138" s="5">
        <f>AN138+AO138+AP138</f>
        <v>1.417135007116657</v>
      </c>
      <c r="AR138" s="5">
        <f>S138-AQ138</f>
        <v>0</v>
      </c>
      <c r="AS138" s="5">
        <f>AS137</f>
        <v>0</v>
      </c>
      <c r="AT138" s="5">
        <f>AT137+AI138</f>
        <v>0</v>
      </c>
      <c r="AU138" s="5">
        <f>AU137+AM138</f>
        <v>0</v>
      </c>
      <c r="AV138" s="5">
        <f>AS138+AT138+AU138</f>
        <v>0</v>
      </c>
      <c r="AW138" s="5">
        <f>U138-AV138</f>
        <v>0</v>
      </c>
      <c r="AX138" s="4">
        <v>1.4095473616705738</v>
      </c>
      <c r="AY138" s="4">
        <v>1.417135007116657</v>
      </c>
      <c r="AZ138" s="5">
        <f>S138-AY138</f>
        <v>0</v>
      </c>
      <c r="BA138" s="4">
        <v>0</v>
      </c>
      <c r="BB138" s="4">
        <v>0</v>
      </c>
      <c r="BC138" s="5">
        <f>U138-BB138</f>
        <v>0</v>
      </c>
      <c r="BD138" s="7">
        <f>SUM(IF(BP138="direct",CC138/F138,0),IF(CR138="direct",DE138/F138,0),IF(DT138="direct",EG138/F138,0),IF(EV138="direct",FI138/F138,0),IF(FX138="direct",GK138/F138,0),IF(GZ138="direct",HM138/F138,0),IF(IB138="direct",IO138/F138,0),IF(JD138="direct",JQ138/F138,0),IF(KF138="direct",KS138/F138,0),IF(LH138="direct",LU138/F138,0))</f>
        <v>0.00041412599386022973</v>
      </c>
      <c r="BE138" s="7">
        <f>-SUM(IF(BP138="direct",CD138/F138,0),IF(CR138="direct",DF138/F138,0),IF(DT138="direct",EH138/F138,0),IF(EV138="direct",FJ138/F138,0),IF(FX138="direct",GL138/F138,0),IF(GZ138="direct",HN138/F138,0),IF(IB138="direct",IP138/F138,0),IF(JD138="direct",JR138/F138,0),IF(KF138="direct",KT138/F138,0),IF(LH138="direct",LV138/F138,0))</f>
        <v>-0.00000233016783531629</v>
      </c>
      <c r="BF138" s="7">
        <f>BD138+BE138</f>
        <v>0.00041179582602491346</v>
      </c>
      <c r="BG138" s="7">
        <f>BF138-SUM(IF(BP138="direct",CP138,0),IF(CR138="direct",DR138,0),IF(DT138="direct",ET138,0),IF(EV138="direct",FV138,0),IF(FX138="direct",GX138,0),IF(GZ138="direct",HZ138,0),IF(IB138="direct",JB138,0),IF(JD138="direct",KD138,0),IF(KF138="direct",LF138,0),IF(LH138="direct",MH138,0))</f>
        <v>-2.6291902682773483e-17</v>
      </c>
      <c r="BH138" s="7">
        <f>SUM(IF(BP138="treasury",CP138,0),IF(CR138="treasury",DR138,0),IF(DT138="treasury",ET138,0),IF(EV138="treasury",FV138,0),IF(FX138="treasury",GX138,0),IF(GZ138="treasury",HZ138,0),IF(IB138="treasury",JB138,0),IF(JD138="treasury",KD138,0),IF(KF138="treasury",LF138,0),IF(LH138="treasury",MH138,0))</f>
        <v>0.00012870531320087697</v>
      </c>
      <c r="BI138" s="7">
        <f>SUM(IF(BP138="future",CP138,0),IF(CR138="future",DR138,0),IF(DT138="future",ET138,0),IF(EV138="future",FV138,0),IF(FX138="future",GX138,0),IF(GZ138="future",HZ138,0),IF(IB138="future",JB138,0),IF(JD138="future",KD138,0),IF(KF138="future",LF138,0),IF(LH138="future",MH138,0))</f>
        <v>0.004842535750780196</v>
      </c>
      <c r="BJ138" s="7">
        <f>SUM(IF(BP138="cash",CP138,0),IF(CR138="cash",DR138,0),IF(DT138="cash",ET138,0),IF(EV138="cash",FV138,0),IF(FX138="cash",GX138,0),IF(GZ138="cash",HZ138,0),IF(IB138="cash",JB138,0),IF(JD138="cash",KD138,0),IF(KF138="cash",LF138,0),IF(LH138="cash",MH138,0))</f>
        <v>0</v>
      </c>
      <c r="BK138" s="7">
        <f>SUM(BF138,BH138,BI138,BJ138)</f>
        <v>0.005383036890006012</v>
      </c>
      <c r="BL138" s="7">
        <f>G138-BK138</f>
        <v>0</v>
      </c>
      <c r="BM138" s="5">
        <f>MAX(ABS(CG138),ABS(DI138),ABS(EK138),ABS(FM138),ABS(GO138),ABS(HQ138),ABS(IS138),ABS(JU138),ABS(KW138),ABS(LY138))</f>
        <v>1.3010426069826053e-16</v>
      </c>
      <c r="BN138" s="9">
        <f>COUNTA(BO138,CQ138,DS138,EU138,FW138,GY138,IA138,JC138,KE138,LG138)</f>
        <v>5</v>
      </c>
      <c r="BO138" t="inlineStr">
        <is>
          <t xml:space="preserve">Direct commodity holding</t>
        </is>
      </c>
      <c r="BP138" t="inlineStr">
        <is>
          <t xml:space="preserve">direct</t>
        </is>
      </c>
      <c r="BQ138" t="inlineStr">
        <is>
          <t xml:space="preserve">lease</t>
        </is>
      </c>
      <c r="BR138" t="inlineStr">
        <is>
          <t xml:space="preserve">long</t>
        </is>
      </c>
      <c r="BS138"/>
      <c r="BT138" s="4">
        <v>1.643</v>
      </c>
      <c r="BU138" s="4">
        <v>1.645</v>
      </c>
      <c r="BV138" s="6">
        <v>0.0025</v>
      </c>
      <c r="BW138" s="4">
        <v>0.2918651010224453</v>
      </c>
      <c r="BX138" s="5">
        <f>IF(BP138="direct",IFERROR(CD138/BU138,0),0)</f>
        <v>0.000001996645546820492</v>
      </c>
      <c r="BY138" s="5">
        <f>IF(BP138="direct",BW138-BX138,IF(BP138="cash",CI138,BW138))</f>
        <v>0.29186310437689844</v>
      </c>
      <c r="BZ138" s="6">
        <v>0.3402045039561784</v>
      </c>
      <c r="CA138" s="4">
        <v>0.47953436097987756</v>
      </c>
      <c r="CB138" s="4">
        <v>0.47953436097987756</v>
      </c>
      <c r="CC138" s="5">
        <f>IF(BP138="direct",BW138*(BU138-BT138),CF138)</f>
        <v>0.0005837302020448911</v>
      </c>
      <c r="CD138" s="5">
        <f>IF(BP138="direct",CB138*BV138*C138/365,0)</f>
        <v>0.000003284481924519709</v>
      </c>
      <c r="CE138" s="5">
        <f>CC138-CD138</f>
        <v>0.0005804457201204085</v>
      </c>
      <c r="CF138" s="4">
        <v>0.0005804457201204085</v>
      </c>
      <c r="CG138" s="5">
        <f>CF138-CE138</f>
        <v>3.708437298021415e-17</v>
      </c>
      <c r="CH138" s="4">
        <v>0</v>
      </c>
      <c r="CI138" s="4">
        <v>0.48011480669999795</v>
      </c>
      <c r="CJ138" s="4">
        <v>1.643</v>
      </c>
      <c r="CK138" s="4">
        <v>1.645</v>
      </c>
      <c r="CL138" s="6"/>
      <c r="CM138" s="6"/>
      <c r="CN138" s="6"/>
      <c r="CO138" s="9"/>
      <c r="CP138" s="7">
        <f>IFERROR(CE138/F138,0)</f>
        <v>0.00041179582602493976</v>
      </c>
      <c r="CQ138" t="inlineStr">
        <is>
          <t xml:space="preserve">Treasury collateral</t>
        </is>
      </c>
      <c r="CR138" t="inlineStr">
        <is>
          <t xml:space="preserve">treasury</t>
        </is>
      </c>
      <c r="CS138" t="inlineStr">
        <is>
          <t xml:space="preserve">lease</t>
        </is>
      </c>
      <c r="CT138" t="inlineStr">
        <is>
          <t xml:space="preserve">long</t>
        </is>
      </c>
      <c r="CU138"/>
      <c r="CV138" s="4">
        <v>103.52647741335555</v>
      </c>
      <c r="CW138" s="4">
        <v>103.54667216730576</v>
      </c>
      <c r="CX138" s="6"/>
      <c r="CY138" s="4">
        <v>0.008983334736459592</v>
      </c>
      <c r="CZ138" s="5">
        <f>IF(CR138="direct",IFERROR(DF138/CW138,0),0)</f>
        <v>0</v>
      </c>
      <c r="DA138" s="5">
        <f>IF(CR138="direct",CY138-CZ138,IF(CR138="cash",DK138,CY138))</f>
        <v>0.008983334736459592</v>
      </c>
      <c r="DB138" s="6">
        <v>0.6597954960438216</v>
      </c>
      <c r="DC138" s="4">
        <v>0.9300130006906963</v>
      </c>
      <c r="DD138" s="4">
        <v>0.9300130006906963</v>
      </c>
      <c r="DE138" s="5">
        <f>IF(CR138="direct",CY138*(CW138-CV138),DH138)</f>
        <v>0.00018141623465515091</v>
      </c>
      <c r="DF138" s="5">
        <f>IF(CR138="direct",DD138*CX138*C138/365,0)</f>
        <v>0</v>
      </c>
      <c r="DG138" s="5">
        <f>DE138-DF138</f>
        <v>0.00018141623465528102</v>
      </c>
      <c r="DH138" s="4">
        <v>0.00018141623465528102</v>
      </c>
      <c r="DI138" s="5">
        <f>DH138-DG138</f>
        <v>1.3010426069826053e-16</v>
      </c>
      <c r="DJ138" s="4">
        <v>-1.0703785947863143e-16</v>
      </c>
      <c r="DK138" s="4">
        <v>0.9301944169253514</v>
      </c>
      <c r="DL138" s="4">
        <v>1.643</v>
      </c>
      <c r="DM138" s="4">
        <v>1.645</v>
      </c>
      <c r="DN138" s="6"/>
      <c r="DO138" s="6"/>
      <c r="DP138" s="6"/>
      <c r="DQ138" s="9">
        <v>64</v>
      </c>
      <c r="DR138" s="7">
        <f>IFERROR(DG138/F138,0)</f>
        <v>0.00012870531320087697</v>
      </c>
      <c r="DS138" t="inlineStr">
        <is>
          <t xml:space="preserve">SI69U</t>
        </is>
      </c>
      <c r="DT138" t="inlineStr">
        <is>
          <t xml:space="preserve">future</t>
        </is>
      </c>
      <c r="DU138" t="inlineStr">
        <is>
          <t xml:space="preserve">lease</t>
        </is>
      </c>
      <c r="DV138" t="inlineStr">
        <is>
          <t xml:space="preserve">long</t>
        </is>
      </c>
      <c r="DW138" t="inlineStr">
        <is>
          <t xml:space="preserve">regular</t>
        </is>
      </c>
      <c r="DX138" s="4">
        <v>1.635</v>
      </c>
      <c r="DY138" s="4">
        <v>1.6469999999999998</v>
      </c>
      <c r="DZ138" s="6"/>
      <c r="EA138" s="4">
        <v>0.5688152909423219</v>
      </c>
      <c r="EB138" s="5">
        <f>IF(DT138="direct",IFERROR(EH138/DY138,0),0)</f>
        <v>0</v>
      </c>
      <c r="EC138" s="5">
        <f>IF(DT138="direct",EA138-EB138,IF(DT138="cash",EM138,EA138))</f>
        <v>0.5688152909423219</v>
      </c>
      <c r="ED138" s="6">
        <v>0.6597954960438216</v>
      </c>
      <c r="EE138" s="4">
        <v>0.9300130006906963</v>
      </c>
      <c r="EF138" s="4">
        <v>0</v>
      </c>
      <c r="EG138" s="5">
        <f>IF(DT138="direct",EA138*(DY138-DX138),EJ138)</f>
        <v>0.006825783491307657</v>
      </c>
      <c r="EH138" s="5">
        <f>IF(DT138="direct",EF138*DZ138*C138/365,0)</f>
        <v>0</v>
      </c>
      <c r="EI138" s="5">
        <f>EG138-EH138</f>
        <v>0.006825783491307657</v>
      </c>
      <c r="EJ138" s="4">
        <v>0.006825783491307657</v>
      </c>
      <c r="EK138" s="5">
        <f>EJ138-EI138</f>
        <v>0</v>
      </c>
      <c r="EL138" s="4">
        <v>-0.006825783491307657</v>
      </c>
      <c r="EM138" s="4">
        <v>0</v>
      </c>
      <c r="EN138" s="4">
        <v>1.643</v>
      </c>
      <c r="EO138" s="4">
        <v>1.645</v>
      </c>
      <c r="EP138" s="6">
        <v>-0.004869141813755307</v>
      </c>
      <c r="EQ138" s="6">
        <v>0.0712</v>
      </c>
      <c r="ER138" s="6">
        <v>0.09896932440657323</v>
      </c>
      <c r="ES138" s="9">
        <v>64</v>
      </c>
      <c r="ET138" s="7">
        <f>IFERROR(EI138/F138,0)</f>
        <v>0.004842535750780196</v>
      </c>
      <c r="EU138" t="inlineStr">
        <is>
          <t xml:space="preserve">Lease cash / margin / financing</t>
        </is>
      </c>
      <c r="EV138" t="inlineStr">
        <is>
          <t xml:space="preserve">cash</t>
        </is>
      </c>
      <c r="EW138" t="inlineStr">
        <is>
          <t xml:space="preserve">lease</t>
        </is>
      </c>
      <c r="EX138" t="inlineStr">
        <is>
          <t xml:space="preserve">cash</t>
        </is>
      </c>
      <c r="EY138"/>
      <c r="EZ138" s="4">
        <v>1</v>
      </c>
      <c r="FA138" s="4">
        <v>1</v>
      </c>
      <c r="FB138" s="6"/>
      <c r="FC138" s="4">
        <v>0</v>
      </c>
      <c r="FD138" s="5">
        <f>IF(EV138="direct",IFERROR(FJ138/FA138,0),0)</f>
        <v>0</v>
      </c>
      <c r="FE138" s="5">
        <f>IF(EV138="direct",FC138-FD138,IF(EV138="cash",FO138,FC138))</f>
        <v>0.006825783491307764</v>
      </c>
      <c r="FF138" s="6"/>
      <c r="FG138" s="4">
        <v>0</v>
      </c>
      <c r="FH138" s="4">
        <v>0</v>
      </c>
      <c r="FI138" s="5">
        <f>IF(EV138="direct",FC138*(FA138-EZ138),FL138)</f>
        <v>0</v>
      </c>
      <c r="FJ138" s="5">
        <f>IF(EV138="direct",FH138*FB138*C138/365,0)</f>
        <v>0</v>
      </c>
      <c r="FK138" s="5">
        <f>FI138-FJ138</f>
        <v>0</v>
      </c>
      <c r="FL138" s="4">
        <v>0</v>
      </c>
      <c r="FM138" s="5">
        <f>FL138-FK138</f>
        <v>0</v>
      </c>
      <c r="FN138" s="4">
        <v>0.006825783491307764</v>
      </c>
      <c r="FO138" s="4">
        <v>0.006825783491307764</v>
      </c>
      <c r="FP138" s="4">
        <v>1.643</v>
      </c>
      <c r="FQ138" s="4">
        <v>1.645</v>
      </c>
      <c r="FR138" s="6"/>
      <c r="FS138" s="6"/>
      <c r="FT138" s="6"/>
      <c r="FU138" s="9"/>
      <c r="FV138" s="7">
        <f>IFERROR(FK138/F138,0)</f>
        <v>0</v>
      </c>
      <c r="FW138" t="inlineStr">
        <is>
          <t xml:space="preserve">Keep cash / margin / financing</t>
        </is>
      </c>
      <c r="FX138" t="inlineStr">
        <is>
          <t xml:space="preserve">cash</t>
        </is>
      </c>
      <c r="FY138" t="inlineStr">
        <is>
          <t xml:space="preserve">keep</t>
        </is>
      </c>
      <c r="FZ138" t="inlineStr">
        <is>
          <t xml:space="preserve">cash</t>
        </is>
      </c>
      <c r="GA138"/>
      <c r="GB138" s="4">
        <v>1</v>
      </c>
      <c r="GC138" s="4">
        <v>1</v>
      </c>
      <c r="GD138" s="6"/>
      <c r="GE138" s="4">
        <v>0</v>
      </c>
      <c r="GF138" s="5">
        <f>IF(FX138="direct",IFERROR(GL138/GC138,0),0)</f>
        <v>0</v>
      </c>
      <c r="GG138" s="5">
        <f>IF(FX138="direct",GE138-GF138,IF(FX138="cash",GQ138,GE138))</f>
        <v>0</v>
      </c>
      <c r="GH138" s="6"/>
      <c r="GI138" s="4">
        <v>0</v>
      </c>
      <c r="GJ138" s="4">
        <v>0</v>
      </c>
      <c r="GK138" s="5">
        <f>IF(FX138="direct",GE138*(GC138-GB138),GN138)</f>
        <v>0</v>
      </c>
      <c r="GL138" s="5">
        <f>IF(FX138="direct",GJ138*GD138*C138/365,0)</f>
        <v>0</v>
      </c>
      <c r="GM138" s="5">
        <f>GK138-GL138</f>
        <v>0</v>
      </c>
      <c r="GN138" s="4">
        <v>0</v>
      </c>
      <c r="GO138" s="5">
        <f>GN138-GM138</f>
        <v>0</v>
      </c>
      <c r="GP138" s="4">
        <v>0</v>
      </c>
      <c r="GQ138" s="4">
        <v>0</v>
      </c>
      <c r="GR138" s="4">
        <v>1.643</v>
      </c>
      <c r="GS138" s="4">
        <v>1.645</v>
      </c>
      <c r="GT138" s="6"/>
      <c r="GU138" s="6"/>
      <c r="GV138" s="6"/>
      <c r="GW138" s="9"/>
      <c r="GX138" s="7">
        <f>IFERROR(GM138/F138,0)</f>
        <v>0</v>
      </c>
      <c r="GY138"/>
      <c r="GZ138"/>
      <c r="HA138"/>
      <c r="HB138"/>
      <c r="HC138"/>
      <c r="HD138" s="4"/>
      <c r="HE138" s="4"/>
      <c r="HF138" s="6"/>
      <c r="HG138" s="4"/>
      <c r="HH138" s="5">
        <v>0</v>
      </c>
      <c r="HI138" s="5"/>
      <c r="HJ138" s="6"/>
      <c r="HK138" s="4"/>
      <c r="HL138" s="4"/>
      <c r="HM138" s="5">
        <v>0</v>
      </c>
      <c r="HN138" s="5">
        <v>0</v>
      </c>
      <c r="HO138" s="5"/>
      <c r="HP138" s="4"/>
      <c r="HQ138" s="5">
        <v>0</v>
      </c>
      <c r="HR138" s="4"/>
      <c r="HS138" s="4"/>
      <c r="HT138" s="4"/>
      <c r="HU138" s="4"/>
      <c r="HV138" s="6"/>
      <c r="HW138" s="6"/>
      <c r="HX138" s="6"/>
      <c r="HY138" s="9"/>
      <c r="HZ138"/>
      <c r="IA138"/>
      <c r="IB138"/>
      <c r="IC138"/>
      <c r="ID138"/>
      <c r="IE138"/>
      <c r="IF138" s="4"/>
      <c r="IG138" s="4"/>
      <c r="IH138" s="6"/>
      <c r="II138" s="4"/>
      <c r="IJ138" s="5">
        <v>0</v>
      </c>
      <c r="IK138" s="5"/>
      <c r="IL138" s="6"/>
      <c r="IM138" s="4"/>
      <c r="IN138" s="4"/>
      <c r="IO138" s="5">
        <v>0</v>
      </c>
      <c r="IP138" s="5">
        <v>0</v>
      </c>
      <c r="IQ138" s="5"/>
      <c r="IR138" s="4"/>
      <c r="IS138" s="5">
        <v>0</v>
      </c>
      <c r="IT138" s="4"/>
      <c r="IU138" s="4"/>
      <c r="IV138" s="4"/>
      <c r="IW138" s="4"/>
      <c r="IX138" s="6"/>
      <c r="IY138" s="6"/>
      <c r="IZ138" s="6"/>
      <c r="JA138" s="9"/>
      <c r="JB138"/>
      <c r="JC138"/>
      <c r="JD138"/>
      <c r="JE138"/>
      <c r="JF138"/>
      <c r="JG138"/>
      <c r="JH138" s="4"/>
      <c r="JI138" s="4"/>
      <c r="JJ138" s="6"/>
      <c r="JK138" s="4"/>
      <c r="JL138" s="5">
        <v>0</v>
      </c>
      <c r="JM138" s="5"/>
      <c r="JN138" s="6"/>
      <c r="JO138" s="4"/>
      <c r="JP138" s="4"/>
      <c r="JQ138" s="5">
        <v>0</v>
      </c>
      <c r="JR138" s="5">
        <v>0</v>
      </c>
      <c r="JS138" s="5"/>
      <c r="JT138" s="4"/>
      <c r="JU138" s="5">
        <v>0</v>
      </c>
      <c r="JV138" s="4"/>
      <c r="JW138" s="4"/>
      <c r="JX138" s="4"/>
      <c r="JY138" s="4"/>
      <c r="JZ138" s="6"/>
      <c r="KA138" s="6"/>
      <c r="KB138" s="6"/>
      <c r="KC138" s="9"/>
      <c r="KD138"/>
      <c r="KE138"/>
      <c r="KF138"/>
      <c r="KG138"/>
      <c r="KH138"/>
      <c r="KI138"/>
      <c r="KJ138" s="4"/>
      <c r="KK138" s="4"/>
      <c r="KL138" s="6"/>
      <c r="KM138" s="4"/>
      <c r="KN138" s="5">
        <v>0</v>
      </c>
      <c r="KO138" s="5"/>
      <c r="KP138" s="6"/>
      <c r="KQ138" s="4"/>
      <c r="KR138" s="4"/>
      <c r="KS138" s="5">
        <v>0</v>
      </c>
      <c r="KT138" s="5">
        <v>0</v>
      </c>
      <c r="KU138" s="5"/>
      <c r="KV138" s="4"/>
      <c r="KW138" s="5">
        <v>0</v>
      </c>
      <c r="KX138" s="4"/>
      <c r="KY138" s="4"/>
      <c r="KZ138" s="4"/>
      <c r="LA138" s="4"/>
      <c r="LB138" s="6"/>
      <c r="LC138" s="6"/>
      <c r="LD138" s="6"/>
      <c r="LE138" s="9"/>
      <c r="LF138"/>
      <c r="LG138"/>
      <c r="LH138"/>
      <c r="LI138"/>
      <c r="LJ138"/>
      <c r="LK138"/>
      <c r="LL138" s="4"/>
      <c r="LM138" s="4"/>
      <c r="LN138" s="6"/>
      <c r="LO138" s="4"/>
      <c r="LP138" s="5">
        <v>0</v>
      </c>
      <c r="LQ138" s="5"/>
      <c r="LR138" s="6"/>
      <c r="LS138" s="4"/>
      <c r="LT138" s="4"/>
      <c r="LU138" s="5">
        <v>0</v>
      </c>
      <c r="LV138" s="5">
        <v>0</v>
      </c>
      <c r="LW138" s="5"/>
      <c r="LX138" s="4"/>
      <c r="LY138" s="5">
        <v>0</v>
      </c>
      <c r="LZ138" s="4"/>
      <c r="MA138" s="4"/>
      <c r="MB138" s="4"/>
      <c r="MC138" s="4"/>
      <c r="MD138" s="6"/>
      <c r="ME138" s="6"/>
      <c r="MF138" s="6"/>
      <c r="MG138" s="9"/>
      <c r="MH138"/>
    </row>
    <row r="139">
      <c r="A139" s="8">
        <v>25409</v>
      </c>
      <c r="B139" s="8">
        <v>25412</v>
      </c>
      <c r="C139" s="9">
        <f>B139-A139</f>
        <v>3</v>
      </c>
      <c r="D139" s="8">
        <v>25409</v>
      </c>
      <c r="E139" t="inlineStr">
        <is>
          <t xml:space="preserve">positive</t>
        </is>
      </c>
      <c r="F139" s="4">
        <v>1.4171350071166573</v>
      </c>
      <c r="G139" s="6">
        <v>-0.00660421306725734</v>
      </c>
      <c r="H139" s="7">
        <f>SUM(CP139,DR139,ET139,FV139,GX139,HZ139,JB139,KD139,LF139,MH139)</f>
        <v>-0.006604213067257339</v>
      </c>
      <c r="I139" s="7">
        <f>G139-H139</f>
        <v>-8.673617379884035e-19</v>
      </c>
      <c r="J139" s="5">
        <f>F139*(1+H139)</f>
        <v>1.4077759455845897</v>
      </c>
      <c r="K139" s="4">
        <v>1.4077759455845897</v>
      </c>
      <c r="L139" s="5">
        <f>K139-J139</f>
        <v>0</v>
      </c>
      <c r="M139" s="4">
        <v>1.645</v>
      </c>
      <c r="N139" s="4">
        <v>1.653</v>
      </c>
      <c r="O139" s="5">
        <f>M139/$M$3</f>
        <v>0.8401430030643514</v>
      </c>
      <c r="P139" s="5">
        <f>N139/$M$3</f>
        <v>0.8442288049029623</v>
      </c>
      <c r="Q139" s="7">
        <f>IFERROR(N139/M139-1,0)</f>
        <v>0.004863221884498392</v>
      </c>
      <c r="R139" s="5">
        <f>SUM(IF(BQ139="lease",CB139,0),IF(CS139="lease",DD139,0),IF(DU139="lease",EF139,0),IF(EW139="lease",FH139,0),IF(FY139="lease",GJ139,0),IF(HA139="lease",HL139,0),IF(IC139="lease",IN139,0),IF(JE139="lease",JP139,0),IF(KG139="lease",KR139,0),IF(LI139="lease",LT139,0))</f>
        <v>1.417135007116657</v>
      </c>
      <c r="S139" s="5">
        <f>SUM(IF(BQ139="lease",CI139,0),IF(CS139="lease",DK139,0),IF(DU139="lease",EM139,0),IF(EW139="lease",FO139,0),IF(FY139="lease",GQ139,0),IF(HA139="lease",HS139,0),IF(IC139="lease",IU139,0),IF(JE139="lease",JW139,0),IF(KG139="lease",KY139,0),IF(LI139="lease",MA139,0))</f>
        <v>1.4077759455845895</v>
      </c>
      <c r="T139" s="5">
        <f>SUM(IF(BQ139="keep",CB139,0),IF(CS139="keep",DD139,0),IF(DU139="keep",EF139,0),IF(EW139="keep",FH139,0),IF(FY139="keep",GJ139,0),IF(HA139="keep",HL139,0),IF(IC139="keep",IN139,0),IF(JE139="keep",JP139,0),IF(KG139="keep",KR139,0),IF(LI139="keep",LT139,0))</f>
        <v>0</v>
      </c>
      <c r="U139" s="5">
        <f>SUM(IF(BQ139="keep",CI139,0),IF(CS139="keep",DK139,0),IF(DU139="keep",EM139,0),IF(EW139="keep",FO139,0),IF(FY139="keep",GQ139,0),IF(HA139="keep",HS139,0),IF(IC139="keep",IU139,0),IF(JE139="keep",JW139,0),IF(KG139="keep",KY139,0),IF(LI139="keep",MA139,0))</f>
        <v>0</v>
      </c>
      <c r="V139" s="5">
        <f>R139/O139</f>
        <v>1.686778324580191</v>
      </c>
      <c r="W139" s="5">
        <f>S139/P139</f>
        <v>1.6675289180003787</v>
      </c>
      <c r="X139" s="5">
        <f>T139/O139</f>
        <v>0</v>
      </c>
      <c r="Y139" s="5">
        <f>U139/P139</f>
        <v>0</v>
      </c>
      <c r="Z139" s="5">
        <f>V139+X139</f>
        <v>1.686778324580191</v>
      </c>
      <c r="AA139" s="7">
        <f>IFERROR(W139/V139-1,0)</f>
        <v>-0.011411936174009818</v>
      </c>
      <c r="AB139" s="7">
        <f>IFERROR((W139-V139)/Z139,0)</f>
        <v>-0.011411936174009804</v>
      </c>
      <c r="AC139" s="7">
        <f>IFERROR(Y139/X139-1,0)</f>
        <v>0</v>
      </c>
      <c r="AD139" s="7">
        <f>IFERROR((Y139-X139)/Z139,0)</f>
        <v>0</v>
      </c>
      <c r="AE139" s="7">
        <f>AB139+AD139</f>
        <v>-0.011411936174009804</v>
      </c>
      <c r="AF139" s="7">
        <f>(1+Q139)*(1+AE139)-1</f>
        <v>-0.006604213067257336</v>
      </c>
      <c r="AG139" s="7">
        <f>G139-AF139</f>
        <v>-3.469446951953614e-18</v>
      </c>
      <c r="AH139" s="5">
        <f>SUM(IF(BQ139="lease",CE139,0),IF(CS139="lease",DG139,0),IF(DU139="lease",EI139,0),IF(EW139="lease",FK139,0),IF(FY139="lease",GM139,0),IF(HA139="lease",HO139,0),IF(IC139="lease",IQ139,0),IF(JE139="lease",JS139,0),IF(KG139="lease",KU139,0),IF(LI139="lease",LW139,0))</f>
        <v>-0.00935906153206765</v>
      </c>
      <c r="AI139" s="5">
        <f>SUM(IF(BQ139="keep",CE139,0),IF(CS139="keep",DG139,0),IF(DU139="keep",EI139,0),IF(EW139="keep",FK139,0),IF(FY139="keep",GM139,0),IF(HA139="keep",HO139,0),IF(IC139="keep",IQ139,0),IF(JE139="keep",JS139,0),IF(KG139="keep",KU139,0),IF(LI139="keep",LW139,0))</f>
        <v>0</v>
      </c>
      <c r="AJ139" s="5">
        <f>SUM(IF(BQ139="lease",CH139,0),IF(CS139="lease",DJ139,0),IF(DU139="lease",EL139,0),IF(EW139="lease",FN139,0),IF(FY139="lease",GP139,0),IF(HA139="lease",HR139,0),IF(IC139="lease",IT139,0),IF(JE139="lease",JV139,0),IF(KG139="lease",KX139,0),IF(LI139="lease",LZ139,0))</f>
        <v>0</v>
      </c>
      <c r="AK139" s="5">
        <f>SUM(IF(BQ139="keep",CH139,0),IF(CS139="keep",DJ139,0),IF(DU139="keep",EL139,0),IF(EW139="keep",FN139,0),IF(FY139="keep",GP139,0),IF(HA139="keep",HR139,0),IF(IC139="keep",IT139,0),IF(JE139="keep",JV139,0),IF(KG139="keep",KX139,0),IF(LI139="keep",LZ139,0))</f>
        <v>0</v>
      </c>
      <c r="AL139" s="5">
        <f>R139-S138</f>
        <v>0</v>
      </c>
      <c r="AM139" s="5">
        <f>T139-U138</f>
        <v>0</v>
      </c>
      <c r="AN139" s="5">
        <f>AN138</f>
        <v>1</v>
      </c>
      <c r="AO139" s="5">
        <f>AO138+AH139</f>
        <v>0.40777594558458974</v>
      </c>
      <c r="AP139" s="5">
        <f>AP138+AL139</f>
        <v>-4.440892098500626e-16</v>
      </c>
      <c r="AQ139" s="5">
        <f>AN139+AO139+AP139</f>
        <v>1.4077759455845893</v>
      </c>
      <c r="AR139" s="5">
        <f>S139-AQ139</f>
        <v>2.220446049250313e-16</v>
      </c>
      <c r="AS139" s="5">
        <f>AS138</f>
        <v>0</v>
      </c>
      <c r="AT139" s="5">
        <f>AT138+AI139</f>
        <v>0</v>
      </c>
      <c r="AU139" s="5">
        <f>AU138+AM139</f>
        <v>0</v>
      </c>
      <c r="AV139" s="5">
        <f>AS139+AT139+AU139</f>
        <v>0</v>
      </c>
      <c r="AW139" s="5">
        <f>U139-AV139</f>
        <v>0</v>
      </c>
      <c r="AX139" s="4">
        <v>1.417135007116657</v>
      </c>
      <c r="AY139" s="4">
        <v>1.4077759455845895</v>
      </c>
      <c r="AZ139" s="5">
        <f>S139-AY139</f>
        <v>0</v>
      </c>
      <c r="BA139" s="4">
        <v>0</v>
      </c>
      <c r="BB139" s="4">
        <v>0</v>
      </c>
      <c r="BC139" s="5">
        <f>U139-BB139</f>
        <v>0</v>
      </c>
      <c r="BD139" s="7">
        <f>SUM(IF(BP139="direct",CC139/F139,0),IF(CR139="direct",DE139/F139,0),IF(DT139="direct",EG139/F139,0),IF(EV139="direct",FI139/F139,0),IF(FX139="direct",GK139/F139,0),IF(GZ139="direct",HM139/F139,0),IF(IB139="direct",IO139/F139,0),IF(JD139="direct",JQ139/F139,0),IF(KF139="direct",KS139/F139,0),IF(LH139="direct",LU139/F139,0))</f>
        <v>0.00277994576965204</v>
      </c>
      <c r="BE139" s="7">
        <f>-SUM(IF(BP139="direct",CD139/F139,0),IF(CR139="direct",DF139/F139,0),IF(DT139="direct",EH139/F139,0),IF(EV139="direct",FJ139/F139,0),IF(FX139="direct",GL139/F139,0),IF(GZ139="direct",HN139/F139,0),IF(IB139="direct",IP139/F139,0),IF(JD139="direct",JR139/F139,0),IF(KF139="direct",KT139/F139,0),IF(LH139="direct",LV139/F139,0))</f>
        <v>-0.000011745746894891102</v>
      </c>
      <c r="BF139" s="7">
        <f>BD139+BE139</f>
        <v>0.0027682000227571488</v>
      </c>
      <c r="BG139" s="7">
        <f>BF139-SUM(IF(BP139="direct",CP139,0),IF(CR139="direct",DR139,0),IF(DT139="direct",ET139,0),IF(EV139="direct",FV139,0),IF(FX139="direct",GX139,0),IF(GZ139="direct",HZ139,0),IF(IB139="direct",JB139,0),IF(JD139="direct",KD139,0),IF(KF139="direct",LF139,0),IF(LH139="direct",MH139,0))</f>
        <v>5.204170427930421e-17</v>
      </c>
      <c r="BH139" s="7">
        <f>SUM(IF(BP139="treasury",CP139,0),IF(CR139="treasury",DR139,0),IF(DT139="treasury",ET139,0),IF(EV139="treasury",FV139,0),IF(FX139="treasury",GX139,0),IF(GZ139="treasury",HZ139,0),IF(IB139="treasury",JB139,0),IF(JD139="treasury",KD139,0),IF(KF139="treasury",LF139,0),IF(LH139="treasury",MH139,0))</f>
        <v>0.00025103869581797976</v>
      </c>
      <c r="BI139" s="7">
        <f>SUM(IF(BP139="future",CP139,0),IF(CR139="future",DR139,0),IF(DT139="future",ET139,0),IF(EV139="future",FV139,0),IF(FX139="future",GX139,0),IF(GZ139="future",HZ139,0),IF(IB139="future",JB139,0),IF(JD139="future",KD139,0),IF(KF139="future",LF139,0),IF(LH139="future",MH139,0))</f>
        <v>-0.009623451785832416</v>
      </c>
      <c r="BJ139" s="7">
        <f>SUM(IF(BP139="cash",CP139,0),IF(CR139="cash",DR139,0),IF(DT139="cash",ET139,0),IF(EV139="cash",FV139,0),IF(FX139="cash",GX139,0),IF(GZ139="cash",HZ139,0),IF(IB139="cash",JB139,0),IF(JD139="cash",KD139,0),IF(KF139="cash",LF139,0),IF(LH139="cash",MH139,0))</f>
        <v>0</v>
      </c>
      <c r="BK139" s="7">
        <f>SUM(BF139,BH139,BI139,BJ139)</f>
        <v>-0.00660421306725734</v>
      </c>
      <c r="BL139" s="7">
        <f>G139-BK139</f>
        <v>0</v>
      </c>
      <c r="BM139" s="5">
        <f>MAX(ABS(CG139),ABS(DI139),ABS(EK139),ABS(FM139),ABS(GO139),ABS(HQ139),ABS(IS139),ABS(JU139),ABS(KW139),ABS(LY139))</f>
        <v>7.372913586080332e-17</v>
      </c>
      <c r="BN139" s="9">
        <f>COUNTA(BO139,CQ139,DS139,EU139,FW139,GY139,IA139,JC139,KE139,LG139)</f>
        <v>5</v>
      </c>
      <c r="BO139" t="inlineStr">
        <is>
          <t xml:space="preserve">Direct commodity holding</t>
        </is>
      </c>
      <c r="BP139" t="inlineStr">
        <is>
          <t xml:space="preserve">direct</t>
        </is>
      </c>
      <c r="BQ139" t="inlineStr">
        <is>
          <t xml:space="preserve">lease</t>
        </is>
      </c>
      <c r="BR139" t="inlineStr">
        <is>
          <t xml:space="preserve">long</t>
        </is>
      </c>
      <c r="BS139"/>
      <c r="BT139" s="4">
        <v>1.645</v>
      </c>
      <c r="BU139" s="4">
        <v>1.653</v>
      </c>
      <c r="BV139" s="6">
        <v>0.0025</v>
      </c>
      <c r="BW139" s="4">
        <v>0.4924448085074702</v>
      </c>
      <c r="BX139" s="5">
        <f>IF(BP139="direct",IFERROR(CD139/BU139,0),0)</f>
        <v>0.00001006975747700058</v>
      </c>
      <c r="BY139" s="5">
        <f>IF(BP139="direct",BW139-BX139,IF(BP139="cash",CI139,BW139))</f>
        <v>0.49243473874999316</v>
      </c>
      <c r="BZ139" s="6">
        <v>0.5716263488847002</v>
      </c>
      <c r="CA139" s="4">
        <v>0.8100717099947885</v>
      </c>
      <c r="CB139" s="4">
        <v>0.8100717099947885</v>
      </c>
      <c r="CC139" s="5">
        <f>IF(BP139="direct",BW139*(BU139-BT139),CF139)</f>
        <v>0.003939558468059765</v>
      </c>
      <c r="CD139" s="5">
        <f>IF(BP139="direct",CB139*BV139*C139/365,0)</f>
        <v>0.00001664530910948196</v>
      </c>
      <c r="CE139" s="5">
        <f>CC139-CD139</f>
        <v>0.003922913158950209</v>
      </c>
      <c r="CF139" s="4">
        <v>0.003922913158950209</v>
      </c>
      <c r="CG139" s="5">
        <f>CF139-CE139</f>
        <v>-7.372913586080332e-17</v>
      </c>
      <c r="CH139" s="4">
        <v>0</v>
      </c>
      <c r="CI139" s="4">
        <v>0.8139946231537387</v>
      </c>
      <c r="CJ139" s="4">
        <v>1.645</v>
      </c>
      <c r="CK139" s="4">
        <v>1.653</v>
      </c>
      <c r="CL139" s="6"/>
      <c r="CM139" s="6"/>
      <c r="CN139" s="6"/>
      <c r="CO139" s="9"/>
      <c r="CP139" s="7">
        <f>IFERROR(CE139/F139,0)</f>
        <v>0.0027682000227570967</v>
      </c>
      <c r="CQ139" t="inlineStr">
        <is>
          <t xml:space="preserve">Treasury collateral</t>
        </is>
      </c>
      <c r="CR139" t="inlineStr">
        <is>
          <t xml:space="preserve">treasury</t>
        </is>
      </c>
      <c r="CS139" t="inlineStr">
        <is>
          <t xml:space="preserve">lease</t>
        </is>
      </c>
      <c r="CT139" t="inlineStr">
        <is>
          <t xml:space="preserve">long</t>
        </is>
      </c>
      <c r="CU139"/>
      <c r="CV139" s="4">
        <v>103.54667216730576</v>
      </c>
      <c r="CW139" s="4">
        <v>103.60735335409092</v>
      </c>
      <c r="CX139" s="6"/>
      <c r="CY139" s="4">
        <v>0.0058627021459560285</v>
      </c>
      <c r="CZ139" s="5">
        <f>IF(CR139="direct",IFERROR(DF139/CW139,0),0)</f>
        <v>0</v>
      </c>
      <c r="DA139" s="5">
        <f>IF(CR139="direct",CY139-CZ139,IF(CR139="cash",DK139,CY139))</f>
        <v>0.0058627021459560285</v>
      </c>
      <c r="DB139" s="6">
        <v>0.4283736511152998</v>
      </c>
      <c r="DC139" s="4">
        <v>0.6070632971218688</v>
      </c>
      <c r="DD139" s="4">
        <v>0.6070632971218688</v>
      </c>
      <c r="DE139" s="5">
        <f>IF(CR139="direct",CY139*(CW139-CV139),DH139)</f>
        <v>0.0003557557239845187</v>
      </c>
      <c r="DF139" s="5">
        <f>IF(CR139="direct",DD139*CX139*C139/365,0)</f>
        <v>0</v>
      </c>
      <c r="DG139" s="5">
        <f>DE139-DF139</f>
        <v>0.00035575572398456915</v>
      </c>
      <c r="DH139" s="4">
        <v>0.00035575572398456915</v>
      </c>
      <c r="DI139" s="5">
        <f>DH139-DG139</f>
        <v>5.046961112920023e-17</v>
      </c>
      <c r="DJ139" s="4">
        <v>3.848917712323541e-17</v>
      </c>
      <c r="DK139" s="4">
        <v>0.6074190528458534</v>
      </c>
      <c r="DL139" s="4">
        <v>1.645</v>
      </c>
      <c r="DM139" s="4">
        <v>1.653</v>
      </c>
      <c r="DN139" s="6"/>
      <c r="DO139" s="6"/>
      <c r="DP139" s="6"/>
      <c r="DQ139" s="9">
        <v>63</v>
      </c>
      <c r="DR139" s="7">
        <f>IFERROR(DG139/F139,0)</f>
        <v>0.00025103869581797976</v>
      </c>
      <c r="DS139" t="inlineStr">
        <is>
          <t xml:space="preserve">SI69U</t>
        </is>
      </c>
      <c r="DT139" t="inlineStr">
        <is>
          <t xml:space="preserve">future</t>
        </is>
      </c>
      <c r="DU139" t="inlineStr">
        <is>
          <t xml:space="preserve">lease</t>
        </is>
      </c>
      <c r="DV139" t="inlineStr">
        <is>
          <t xml:space="preserve">long</t>
        </is>
      </c>
      <c r="DW139" t="inlineStr">
        <is>
          <t xml:space="preserve">regular</t>
        </is>
      </c>
      <c r="DX139" s="4">
        <v>1.6469999999999998</v>
      </c>
      <c r="DY139" s="4">
        <v>1.61</v>
      </c>
      <c r="DZ139" s="6"/>
      <c r="EA139" s="4">
        <v>0.3685873085135816</v>
      </c>
      <c r="EB139" s="5">
        <f>IF(DT139="direct",IFERROR(EH139/DY139,0),0)</f>
        <v>0</v>
      </c>
      <c r="EC139" s="5">
        <f>IF(DT139="direct",EA139-EB139,IF(DT139="cash",EM139,EA139))</f>
        <v>0.3685873085135816</v>
      </c>
      <c r="ED139" s="6">
        <v>0.42837365111529985</v>
      </c>
      <c r="EE139" s="4">
        <v>0.6070632971218689</v>
      </c>
      <c r="EF139" s="4">
        <v>0</v>
      </c>
      <c r="EG139" s="5">
        <f>IF(DT139="direct",EA139*(DY139-DX139),EJ139)</f>
        <v>-0.013637730415002429</v>
      </c>
      <c r="EH139" s="5">
        <f>IF(DT139="direct",EF139*DZ139*C139/365,0)</f>
        <v>0</v>
      </c>
      <c r="EI139" s="5">
        <f>EG139-EH139</f>
        <v>-0.013637730415002429</v>
      </c>
      <c r="EJ139" s="4">
        <v>-0.013637730415002429</v>
      </c>
      <c r="EK139" s="5">
        <f>EJ139-EI139</f>
        <v>0</v>
      </c>
      <c r="EL139" s="4">
        <v>0.013637730415002429</v>
      </c>
      <c r="EM139" s="4">
        <v>0</v>
      </c>
      <c r="EN139" s="4">
        <v>1.645</v>
      </c>
      <c r="EO139" s="4">
        <v>1.653</v>
      </c>
      <c r="EP139" s="6">
        <v>0.0012158054711244315</v>
      </c>
      <c r="EQ139" s="6">
        <v>0.0713</v>
      </c>
      <c r="ER139" s="6">
        <v>0.06425604766729497</v>
      </c>
      <c r="ES139" s="9">
        <v>63</v>
      </c>
      <c r="ET139" s="7">
        <f>IFERROR(EI139/F139,0)</f>
        <v>-0.009623451785832416</v>
      </c>
      <c r="EU139" t="inlineStr">
        <is>
          <t xml:space="preserve">Lease cash / margin / financing</t>
        </is>
      </c>
      <c r="EV139" t="inlineStr">
        <is>
          <t xml:space="preserve">cash</t>
        </is>
      </c>
      <c r="EW139" t="inlineStr">
        <is>
          <t xml:space="preserve">lease</t>
        </is>
      </c>
      <c r="EX139" t="inlineStr">
        <is>
          <t xml:space="preserve">cash</t>
        </is>
      </c>
      <c r="EY139"/>
      <c r="EZ139" s="4">
        <v>1</v>
      </c>
      <c r="FA139" s="4">
        <v>1</v>
      </c>
      <c r="FB139" s="6"/>
      <c r="FC139" s="4">
        <v>-2.220446049250313e-16</v>
      </c>
      <c r="FD139" s="5">
        <f>IF(EV139="direct",IFERROR(FJ139/FA139,0),0)</f>
        <v>0</v>
      </c>
      <c r="FE139" s="5">
        <f>IF(EV139="direct",FC139-FD139,IF(EV139="cash",FO139,FC139))</f>
        <v>-0.01363773041500269</v>
      </c>
      <c r="FF139" s="6"/>
      <c r="FG139" s="4">
        <v>-2.220446049250313e-16</v>
      </c>
      <c r="FH139" s="4">
        <v>-2.220446049250313e-16</v>
      </c>
      <c r="FI139" s="5">
        <f>IF(EV139="direct",FC139*(FA139-EZ139),FL139)</f>
        <v>0</v>
      </c>
      <c r="FJ139" s="5">
        <f>IF(EV139="direct",FH139*FB139*C139/365,0)</f>
        <v>0</v>
      </c>
      <c r="FK139" s="5">
        <f>FI139-FJ139</f>
        <v>0</v>
      </c>
      <c r="FL139" s="4">
        <v>0</v>
      </c>
      <c r="FM139" s="5">
        <f>FL139-FK139</f>
        <v>0</v>
      </c>
      <c r="FN139" s="4">
        <v>-0.013637730415002467</v>
      </c>
      <c r="FO139" s="4">
        <v>-0.01363773041500269</v>
      </c>
      <c r="FP139" s="4">
        <v>1.645</v>
      </c>
      <c r="FQ139" s="4">
        <v>1.653</v>
      </c>
      <c r="FR139" s="6"/>
      <c r="FS139" s="6"/>
      <c r="FT139" s="6"/>
      <c r="FU139" s="9"/>
      <c r="FV139" s="7">
        <f>IFERROR(FK139/F139,0)</f>
        <v>0</v>
      </c>
      <c r="FW139" t="inlineStr">
        <is>
          <t xml:space="preserve">Keep cash / margin / financing</t>
        </is>
      </c>
      <c r="FX139" t="inlineStr">
        <is>
          <t xml:space="preserve">cash</t>
        </is>
      </c>
      <c r="FY139" t="inlineStr">
        <is>
          <t xml:space="preserve">keep</t>
        </is>
      </c>
      <c r="FZ139" t="inlineStr">
        <is>
          <t xml:space="preserve">cash</t>
        </is>
      </c>
      <c r="GA139"/>
      <c r="GB139" s="4">
        <v>1</v>
      </c>
      <c r="GC139" s="4">
        <v>1</v>
      </c>
      <c r="GD139" s="6"/>
      <c r="GE139" s="4">
        <v>0</v>
      </c>
      <c r="GF139" s="5">
        <f>IF(FX139="direct",IFERROR(GL139/GC139,0),0)</f>
        <v>0</v>
      </c>
      <c r="GG139" s="5">
        <f>IF(FX139="direct",GE139-GF139,IF(FX139="cash",GQ139,GE139))</f>
        <v>0</v>
      </c>
      <c r="GH139" s="6"/>
      <c r="GI139" s="4">
        <v>0</v>
      </c>
      <c r="GJ139" s="4">
        <v>0</v>
      </c>
      <c r="GK139" s="5">
        <f>IF(FX139="direct",GE139*(GC139-GB139),GN139)</f>
        <v>0</v>
      </c>
      <c r="GL139" s="5">
        <f>IF(FX139="direct",GJ139*GD139*C139/365,0)</f>
        <v>0</v>
      </c>
      <c r="GM139" s="5">
        <f>GK139-GL139</f>
        <v>0</v>
      </c>
      <c r="GN139" s="4">
        <v>0</v>
      </c>
      <c r="GO139" s="5">
        <f>GN139-GM139</f>
        <v>0</v>
      </c>
      <c r="GP139" s="4">
        <v>0</v>
      </c>
      <c r="GQ139" s="4">
        <v>0</v>
      </c>
      <c r="GR139" s="4">
        <v>1.645</v>
      </c>
      <c r="GS139" s="4">
        <v>1.653</v>
      </c>
      <c r="GT139" s="6"/>
      <c r="GU139" s="6"/>
      <c r="GV139" s="6"/>
      <c r="GW139" s="9"/>
      <c r="GX139" s="7">
        <f>IFERROR(GM139/F139,0)</f>
        <v>0</v>
      </c>
      <c r="GY139"/>
      <c r="GZ139"/>
      <c r="HA139"/>
      <c r="HB139"/>
      <c r="HC139"/>
      <c r="HD139" s="4"/>
      <c r="HE139" s="4"/>
      <c r="HF139" s="6"/>
      <c r="HG139" s="4"/>
      <c r="HH139" s="5">
        <v>0</v>
      </c>
      <c r="HI139" s="5"/>
      <c r="HJ139" s="6"/>
      <c r="HK139" s="4"/>
      <c r="HL139" s="4"/>
      <c r="HM139" s="5">
        <v>0</v>
      </c>
      <c r="HN139" s="5">
        <v>0</v>
      </c>
      <c r="HO139" s="5"/>
      <c r="HP139" s="4"/>
      <c r="HQ139" s="5">
        <v>0</v>
      </c>
      <c r="HR139" s="4"/>
      <c r="HS139" s="4"/>
      <c r="HT139" s="4"/>
      <c r="HU139" s="4"/>
      <c r="HV139" s="6"/>
      <c r="HW139" s="6"/>
      <c r="HX139" s="6"/>
      <c r="HY139" s="9"/>
      <c r="HZ139"/>
      <c r="IA139"/>
      <c r="IB139"/>
      <c r="IC139"/>
      <c r="ID139"/>
      <c r="IE139"/>
      <c r="IF139" s="4"/>
      <c r="IG139" s="4"/>
      <c r="IH139" s="6"/>
      <c r="II139" s="4"/>
      <c r="IJ139" s="5">
        <v>0</v>
      </c>
      <c r="IK139" s="5"/>
      <c r="IL139" s="6"/>
      <c r="IM139" s="4"/>
      <c r="IN139" s="4"/>
      <c r="IO139" s="5">
        <v>0</v>
      </c>
      <c r="IP139" s="5">
        <v>0</v>
      </c>
      <c r="IQ139" s="5"/>
      <c r="IR139" s="4"/>
      <c r="IS139" s="5">
        <v>0</v>
      </c>
      <c r="IT139" s="4"/>
      <c r="IU139" s="4"/>
      <c r="IV139" s="4"/>
      <c r="IW139" s="4"/>
      <c r="IX139" s="6"/>
      <c r="IY139" s="6"/>
      <c r="IZ139" s="6"/>
      <c r="JA139" s="9"/>
      <c r="JB139"/>
      <c r="JC139"/>
      <c r="JD139"/>
      <c r="JE139"/>
      <c r="JF139"/>
      <c r="JG139"/>
      <c r="JH139" s="4"/>
      <c r="JI139" s="4"/>
      <c r="JJ139" s="6"/>
      <c r="JK139" s="4"/>
      <c r="JL139" s="5">
        <v>0</v>
      </c>
      <c r="JM139" s="5"/>
      <c r="JN139" s="6"/>
      <c r="JO139" s="4"/>
      <c r="JP139" s="4"/>
      <c r="JQ139" s="5">
        <v>0</v>
      </c>
      <c r="JR139" s="5">
        <v>0</v>
      </c>
      <c r="JS139" s="5"/>
      <c r="JT139" s="4"/>
      <c r="JU139" s="5">
        <v>0</v>
      </c>
      <c r="JV139" s="4"/>
      <c r="JW139" s="4"/>
      <c r="JX139" s="4"/>
      <c r="JY139" s="4"/>
      <c r="JZ139" s="6"/>
      <c r="KA139" s="6"/>
      <c r="KB139" s="6"/>
      <c r="KC139" s="9"/>
      <c r="KD139"/>
      <c r="KE139"/>
      <c r="KF139"/>
      <c r="KG139"/>
      <c r="KH139"/>
      <c r="KI139"/>
      <c r="KJ139" s="4"/>
      <c r="KK139" s="4"/>
      <c r="KL139" s="6"/>
      <c r="KM139" s="4"/>
      <c r="KN139" s="5">
        <v>0</v>
      </c>
      <c r="KO139" s="5"/>
      <c r="KP139" s="6"/>
      <c r="KQ139" s="4"/>
      <c r="KR139" s="4"/>
      <c r="KS139" s="5">
        <v>0</v>
      </c>
      <c r="KT139" s="5">
        <v>0</v>
      </c>
      <c r="KU139" s="5"/>
      <c r="KV139" s="4"/>
      <c r="KW139" s="5">
        <v>0</v>
      </c>
      <c r="KX139" s="4"/>
      <c r="KY139" s="4"/>
      <c r="KZ139" s="4"/>
      <c r="LA139" s="4"/>
      <c r="LB139" s="6"/>
      <c r="LC139" s="6"/>
      <c r="LD139" s="6"/>
      <c r="LE139" s="9"/>
      <c r="LF139"/>
      <c r="LG139"/>
      <c r="LH139"/>
      <c r="LI139"/>
      <c r="LJ139"/>
      <c r="LK139"/>
      <c r="LL139" s="4"/>
      <c r="LM139" s="4"/>
      <c r="LN139" s="6"/>
      <c r="LO139" s="4"/>
      <c r="LP139" s="5">
        <v>0</v>
      </c>
      <c r="LQ139" s="5"/>
      <c r="LR139" s="6"/>
      <c r="LS139" s="4"/>
      <c r="LT139" s="4"/>
      <c r="LU139" s="5">
        <v>0</v>
      </c>
      <c r="LV139" s="5">
        <v>0</v>
      </c>
      <c r="LW139" s="5"/>
      <c r="LX139" s="4"/>
      <c r="LY139" s="5">
        <v>0</v>
      </c>
      <c r="LZ139" s="4"/>
      <c r="MA139" s="4"/>
      <c r="MB139" s="4"/>
      <c r="MC139" s="4"/>
      <c r="MD139" s="6"/>
      <c r="ME139" s="6"/>
      <c r="MF139" s="6"/>
      <c r="MG139" s="9"/>
      <c r="MH139"/>
    </row>
    <row r="140">
      <c r="A140" s="8">
        <v>25412</v>
      </c>
      <c r="B140" s="8">
        <v>25413</v>
      </c>
      <c r="C140" s="9">
        <f>B140-A140</f>
        <v>1</v>
      </c>
      <c r="D140" s="8">
        <v>25412</v>
      </c>
      <c r="E140" t="inlineStr">
        <is>
          <t xml:space="preserve">positive</t>
        </is>
      </c>
      <c r="F140" s="4">
        <v>1.4077759455845897</v>
      </c>
      <c r="G140" s="6">
        <v>-0.006016111631072929</v>
      </c>
      <c r="H140" s="7">
        <f>SUM(CP140,DR140,ET140,FV140,GX140,HZ140,JB140,KD140,LF140,MH140)</f>
        <v>-0.006016111631072929</v>
      </c>
      <c r="I140" s="7">
        <f>G140-H140</f>
        <v>0</v>
      </c>
      <c r="J140" s="5">
        <f>F140*(1+H140)</f>
        <v>1.3993066083444134</v>
      </c>
      <c r="K140" s="4">
        <v>1.3993066083444134</v>
      </c>
      <c r="L140" s="5">
        <f>K140-J140</f>
        <v>0</v>
      </c>
      <c r="M140" s="4">
        <v>1.653</v>
      </c>
      <c r="N140" s="4">
        <v>1.621</v>
      </c>
      <c r="O140" s="5">
        <f>M140/$M$3</f>
        <v>0.8442288049029623</v>
      </c>
      <c r="P140" s="5">
        <f>N140/$M$3</f>
        <v>0.8278855975485189</v>
      </c>
      <c r="Q140" s="7">
        <f>IFERROR(N140/M140-1,0)</f>
        <v>-0.019358741681790748</v>
      </c>
      <c r="R140" s="5">
        <f>SUM(IF(BQ140="lease",CB140,0),IF(CS140="lease",DD140,0),IF(DU140="lease",EF140,0),IF(EW140="lease",FH140,0),IF(FY140="lease",GJ140,0),IF(HA140="lease",HL140,0),IF(IC140="lease",IN140,0),IF(JE140="lease",JP140,0),IF(KG140="lease",KR140,0),IF(LI140="lease",LT140,0))</f>
        <v>1.4077759455845895</v>
      </c>
      <c r="S140" s="5">
        <f>SUM(IF(BQ140="lease",CI140,0),IF(CS140="lease",DK140,0),IF(DU140="lease",EM140,0),IF(EW140="lease",FO140,0),IF(FY140="lease",GQ140,0),IF(HA140="lease",HS140,0),IF(IC140="lease",IU140,0),IF(JE140="lease",JW140,0),IF(KG140="lease",KY140,0),IF(LI140="lease",MA140,0))</f>
        <v>1.3993066083444134</v>
      </c>
      <c r="T140" s="5">
        <f>SUM(IF(BQ140="keep",CB140,0),IF(CS140="keep",DD140,0),IF(DU140="keep",EF140,0),IF(EW140="keep",FH140,0),IF(FY140="keep",GJ140,0),IF(HA140="keep",HL140,0),IF(IC140="keep",IN140,0),IF(JE140="keep",JP140,0),IF(KG140="keep",KR140,0),IF(LI140="keep",LT140,0))</f>
        <v>0</v>
      </c>
      <c r="U140" s="5">
        <f>SUM(IF(BQ140="keep",CI140,0),IF(CS140="keep",DK140,0),IF(DU140="keep",EM140,0),IF(EW140="keep",FO140,0),IF(FY140="keep",GQ140,0),IF(HA140="keep",HS140,0),IF(IC140="keep",IU140,0),IF(JE140="keep",JW140,0),IF(KG140="keep",KY140,0),IF(LI140="keep",MA140,0))</f>
        <v>0</v>
      </c>
      <c r="V140" s="5">
        <f>R140/O140</f>
        <v>1.6675289180003787</v>
      </c>
      <c r="W140" s="5">
        <f>S140/P140</f>
        <v>1.6902173591229868</v>
      </c>
      <c r="X140" s="5">
        <f>T140/O140</f>
        <v>0</v>
      </c>
      <c r="Y140" s="5">
        <f>U140/P140</f>
        <v>0</v>
      </c>
      <c r="Z140" s="5">
        <f>V140+X140</f>
        <v>1.6675289180003787</v>
      </c>
      <c r="AA140" s="7">
        <f>IFERROR(W140/V140-1,0)</f>
        <v>0.013606025585340298</v>
      </c>
      <c r="AB140" s="7">
        <f>IFERROR((W140-V140)/Z140,0)</f>
        <v>0.013606025585340334</v>
      </c>
      <c r="AC140" s="7">
        <f>IFERROR(Y140/X140-1,0)</f>
        <v>0</v>
      </c>
      <c r="AD140" s="7">
        <f>IFERROR((Y140-X140)/Z140,0)</f>
        <v>0</v>
      </c>
      <c r="AE140" s="7">
        <f>AB140+AD140</f>
        <v>0.013606025585340334</v>
      </c>
      <c r="AF140" s="7">
        <f>(1+Q140)*(1+AE140)-1</f>
        <v>-0.006016111631072851</v>
      </c>
      <c r="AG140" s="7">
        <f>G140-AF140</f>
        <v>-7.806255641895632e-17</v>
      </c>
      <c r="AH140" s="5">
        <f>SUM(IF(BQ140="lease",CE140,0),IF(CS140="lease",DG140,0),IF(DU140="lease",EI140,0),IF(EW140="lease",FK140,0),IF(FY140="lease",GM140,0),IF(HA140="lease",HO140,0),IF(IC140="lease",IQ140,0),IF(JE140="lease",JS140,0),IF(KG140="lease",KU140,0),IF(LI140="lease",LW140,0))</f>
        <v>-0.008469337240176142</v>
      </c>
      <c r="AI140" s="5">
        <f>SUM(IF(BQ140="keep",CE140,0),IF(CS140="keep",DG140,0),IF(DU140="keep",EI140,0),IF(EW140="keep",FK140,0),IF(FY140="keep",GM140,0),IF(HA140="keep",HO140,0),IF(IC140="keep",IQ140,0),IF(JE140="keep",JS140,0),IF(KG140="keep",KU140,0),IF(LI140="keep",LW140,0))</f>
        <v>0</v>
      </c>
      <c r="AJ140" s="5">
        <f>SUM(IF(BQ140="lease",CH140,0),IF(CS140="lease",DJ140,0),IF(DU140="lease",EL140,0),IF(EW140="lease",FN140,0),IF(FY140="lease",GP140,0),IF(HA140="lease",HR140,0),IF(IC140="lease",IT140,0),IF(JE140="lease",JV140,0),IF(KG140="lease",KX140,0),IF(LI140="lease",LZ140,0))</f>
        <v>0</v>
      </c>
      <c r="AK140" s="5">
        <f>SUM(IF(BQ140="keep",CH140,0),IF(CS140="keep",DJ140,0),IF(DU140="keep",EL140,0),IF(EW140="keep",FN140,0),IF(FY140="keep",GP140,0),IF(HA140="keep",HR140,0),IF(IC140="keep",IT140,0),IF(JE140="keep",JV140,0),IF(KG140="keep",KX140,0),IF(LI140="keep",LZ140,0))</f>
        <v>0</v>
      </c>
      <c r="AL140" s="5">
        <f>R140-S139</f>
        <v>0</v>
      </c>
      <c r="AM140" s="5">
        <f>T140-U139</f>
        <v>0</v>
      </c>
      <c r="AN140" s="5">
        <f>AN139</f>
        <v>1</v>
      </c>
      <c r="AO140" s="5">
        <f>AO139+AH140</f>
        <v>0.3993066083444136</v>
      </c>
      <c r="AP140" s="5">
        <f>AP139+AL140</f>
        <v>-4.440892098500626e-16</v>
      </c>
      <c r="AQ140" s="5">
        <f>AN140+AO140+AP140</f>
        <v>1.3993066083444132</v>
      </c>
      <c r="AR140" s="5">
        <f>S140-AQ140</f>
        <v>2.220446049250313e-16</v>
      </c>
      <c r="AS140" s="5">
        <f>AS139</f>
        <v>0</v>
      </c>
      <c r="AT140" s="5">
        <f>AT139+AI140</f>
        <v>0</v>
      </c>
      <c r="AU140" s="5">
        <f>AU139+AM140</f>
        <v>0</v>
      </c>
      <c r="AV140" s="5">
        <f>AS140+AT140+AU140</f>
        <v>0</v>
      </c>
      <c r="AW140" s="5">
        <f>U140-AV140</f>
        <v>0</v>
      </c>
      <c r="AX140" s="4">
        <v>1.4077759455845895</v>
      </c>
      <c r="AY140" s="4">
        <v>1.3993066083444134</v>
      </c>
      <c r="AZ140" s="5">
        <f>S140-AY140</f>
        <v>0</v>
      </c>
      <c r="BA140" s="4">
        <v>0</v>
      </c>
      <c r="BB140" s="4">
        <v>0</v>
      </c>
      <c r="BC140" s="5">
        <f>U140-BB140</f>
        <v>0</v>
      </c>
      <c r="BD140" s="7">
        <f>SUM(IF(BP140="direct",CC140/F140,0),IF(CR140="direct",DE140/F140,0),IF(DT140="direct",EG140/F140,0),IF(EV140="direct",FI140/F140,0),IF(FX140="direct",GK140/F140,0),IF(GZ140="direct",HM140/F140,0),IF(IB140="direct",IO140/F140,0),IF(JD140="direct",JQ140/F140,0),IF(KF140="direct",KS140/F140,0),IF(LH140="direct",LU140/F140,0))</f>
        <v>0</v>
      </c>
      <c r="BE140" s="7">
        <f>-SUM(IF(BP140="direct",CD140/F140,0),IF(CR140="direct",DF140/F140,0),IF(DT140="direct",EH140/F140,0),IF(EV140="direct",FJ140/F140,0),IF(FX140="direct",GL140/F140,0),IF(GZ140="direct",HN140/F140,0),IF(IB140="direct",IP140/F140,0),IF(JD140="direct",JR140/F140,0),IF(KF140="direct",KT140/F140,0),IF(LH140="direct",LV140/F140,0))</f>
        <v>0</v>
      </c>
      <c r="BF140" s="7">
        <f>BD140+BE140</f>
        <v>0</v>
      </c>
      <c r="BG140" s="7">
        <f>BF140-SUM(IF(BP140="direct",CP140,0),IF(CR140="direct",DR140,0),IF(DT140="direct",ET140,0),IF(EV140="direct",FV140,0),IF(FX140="direct",GX140,0),IF(GZ140="direct",HZ140,0),IF(IB140="direct",JB140,0),IF(JD140="direct",KD140,0),IF(KF140="direct",LF140,0),IF(LH140="direct",MH140,0))</f>
        <v>0</v>
      </c>
      <c r="BH140" s="7">
        <f>SUM(IF(BP140="treasury",CP140,0),IF(CR140="treasury",DR140,0),IF(DT140="treasury",ET140,0),IF(EV140="treasury",FV140,0),IF(FX140="treasury",GX140,0),IF(GZ140="treasury",HZ140,0),IF(IB140="treasury",JB140,0),IF(JD140="treasury",KD140,0),IF(KF140="treasury",LF140,0),IF(LH140="treasury",MH140,0))</f>
        <v>0.00019506849315068493</v>
      </c>
      <c r="BI140" s="7">
        <f>SUM(IF(BP140="future",CP140,0),IF(CR140="future",DR140,0),IF(DT140="future",ET140,0),IF(EV140="future",FV140,0),IF(FX140="future",GX140,0),IF(GZ140="future",HZ140,0),IF(IB140="future",JB140,0),IF(JD140="future",KD140,0),IF(KF140="future",LF140,0),IF(LH140="future",MH140,0))</f>
        <v>-0.006211180124223614</v>
      </c>
      <c r="BJ140" s="7">
        <f>SUM(IF(BP140="cash",CP140,0),IF(CR140="cash",DR140,0),IF(DT140="cash",ET140,0),IF(EV140="cash",FV140,0),IF(FX140="cash",GX140,0),IF(GZ140="cash",HZ140,0),IF(IB140="cash",JB140,0),IF(JD140="cash",KD140,0),IF(KF140="cash",LF140,0),IF(LH140="cash",MH140,0))</f>
        <v>0</v>
      </c>
      <c r="BK140" s="7">
        <f>SUM(BF140,BH140,BI140,BJ140)</f>
        <v>-0.006016111631072929</v>
      </c>
      <c r="BL140" s="7">
        <f>G140-BK140</f>
        <v>0</v>
      </c>
      <c r="BM140" s="5">
        <f>MAX(ABS(CG140),ABS(DI140),ABS(EK140),ABS(FM140),ABS(GO140),ABS(HQ140),ABS(IS140),ABS(JU140),ABS(KW140),ABS(LY140))</f>
        <v>2.9652929417478546e-17</v>
      </c>
      <c r="BN140" s="9">
        <f>COUNTA(BO140,CQ140,DS140,EU140,FW140,GY140,IA140,JC140,KE140,LG140)</f>
        <v>4</v>
      </c>
      <c r="BO140" t="inlineStr">
        <is>
          <t xml:space="preserve">Treasury collateral</t>
        </is>
      </c>
      <c r="BP140" t="inlineStr">
        <is>
          <t xml:space="preserve">treasury</t>
        </is>
      </c>
      <c r="BQ140" t="inlineStr">
        <is>
          <t xml:space="preserve">lease</t>
        </is>
      </c>
      <c r="BR140" t="inlineStr">
        <is>
          <t xml:space="preserve">long</t>
        </is>
      </c>
      <c r="BS140"/>
      <c r="BT140" s="4">
        <v>103.60735335409092</v>
      </c>
      <c r="BU140" s="4">
        <v>103.62756388438903</v>
      </c>
      <c r="BV140" s="6"/>
      <c r="BW140" s="4">
        <v>0.013587606477827318</v>
      </c>
      <c r="BX140" s="5">
        <f>IF(BP140="direct",IFERROR(CD140/BU140,0),0)</f>
        <v>0</v>
      </c>
      <c r="BY140" s="5">
        <f>IF(BP140="direct",BW140-BX140,IF(BP140="cash",CI140,BW140))</f>
        <v>0.013587606477827318</v>
      </c>
      <c r="BZ140" s="6">
        <v>1</v>
      </c>
      <c r="CA140" s="4">
        <v>1.4077759455845897</v>
      </c>
      <c r="CB140" s="4">
        <v>1.4077759455845897</v>
      </c>
      <c r="CC140" s="5">
        <f>IF(BP140="direct",BW140*(BU140-BT140),CF140)</f>
        <v>0.0002746127323989962</v>
      </c>
      <c r="CD140" s="5">
        <f>IF(BP140="direct",CB140*BV140*C140/365,0)</f>
        <v>0</v>
      </c>
      <c r="CE140" s="5">
        <f>CC140-CD140</f>
        <v>0.00027461273239896654</v>
      </c>
      <c r="CF140" s="4">
        <v>0.00027461273239896654</v>
      </c>
      <c r="CG140" s="5">
        <f>CF140-CE140</f>
        <v>-2.9652929417478546e-17</v>
      </c>
      <c r="CH140" s="4">
        <v>-3.984442983884229e-17</v>
      </c>
      <c r="CI140" s="4">
        <v>1.4080505583169887</v>
      </c>
      <c r="CJ140" s="4">
        <v>1.653</v>
      </c>
      <c r="CK140" s="4">
        <v>1.621</v>
      </c>
      <c r="CL140" s="6"/>
      <c r="CM140" s="6"/>
      <c r="CN140" s="6"/>
      <c r="CO140" s="9">
        <v>60</v>
      </c>
      <c r="CP140" s="7">
        <f>IFERROR(CE140/F140,0)</f>
        <v>0.00019506849315068493</v>
      </c>
      <c r="CQ140" t="inlineStr">
        <is>
          <t xml:space="preserve">SI69U</t>
        </is>
      </c>
      <c r="CR140" t="inlineStr">
        <is>
          <t xml:space="preserve">future</t>
        </is>
      </c>
      <c r="CS140" t="inlineStr">
        <is>
          <t xml:space="preserve">lease</t>
        </is>
      </c>
      <c r="CT140" t="inlineStr">
        <is>
          <t xml:space="preserve">long</t>
        </is>
      </c>
      <c r="CU140" t="inlineStr">
        <is>
          <t xml:space="preserve">regular</t>
        </is>
      </c>
      <c r="CV140" s="4">
        <v>1.61</v>
      </c>
      <c r="CW140" s="4">
        <v>1.6</v>
      </c>
      <c r="CX140" s="6"/>
      <c r="CY140" s="4">
        <v>0.8743949972575091</v>
      </c>
      <c r="CZ140" s="5">
        <f>IF(CR140="direct",IFERROR(DF140/CW140,0),0)</f>
        <v>0</v>
      </c>
      <c r="DA140" s="5">
        <f>IF(CR140="direct",CY140-CZ140,IF(CR140="cash",DK140,CY140))</f>
        <v>0.8743949972575091</v>
      </c>
      <c r="DB140" s="6">
        <v>1</v>
      </c>
      <c r="DC140" s="4">
        <v>1.4077759455845897</v>
      </c>
      <c r="DD140" s="4">
        <v>0</v>
      </c>
      <c r="DE140" s="5">
        <f>IF(CR140="direct",CY140*(CW140-CV140),DH140)</f>
        <v>-0.008743949972575108</v>
      </c>
      <c r="DF140" s="5">
        <f>IF(CR140="direct",DD140*CX140*C140/365,0)</f>
        <v>0</v>
      </c>
      <c r="DG140" s="5">
        <f>DE140-DF140</f>
        <v>-0.008743949972575108</v>
      </c>
      <c r="DH140" s="4">
        <v>-0.008743949972575108</v>
      </c>
      <c r="DI140" s="5">
        <f>DH140-DG140</f>
        <v>0</v>
      </c>
      <c r="DJ140" s="4">
        <v>0.008743949972575108</v>
      </c>
      <c r="DK140" s="4">
        <v>0</v>
      </c>
      <c r="DL140" s="4">
        <v>1.653</v>
      </c>
      <c r="DM140" s="4">
        <v>1.621</v>
      </c>
      <c r="DN140" s="6">
        <v>-0.026013309134906182</v>
      </c>
      <c r="DO140" s="6">
        <v>0.0712</v>
      </c>
      <c r="DP140" s="6">
        <v>0.2294476305706793</v>
      </c>
      <c r="DQ140" s="9">
        <v>60</v>
      </c>
      <c r="DR140" s="7">
        <f>IFERROR(DG140/F140,0)</f>
        <v>-0.006211180124223614</v>
      </c>
      <c r="DS140" t="inlineStr">
        <is>
          <t xml:space="preserve">Lease cash / margin / financing</t>
        </is>
      </c>
      <c r="DT140" t="inlineStr">
        <is>
          <t xml:space="preserve">cash</t>
        </is>
      </c>
      <c r="DU140" t="inlineStr">
        <is>
          <t xml:space="preserve">lease</t>
        </is>
      </c>
      <c r="DV140" t="inlineStr">
        <is>
          <t xml:space="preserve">cash</t>
        </is>
      </c>
      <c r="DW140"/>
      <c r="DX140" s="4">
        <v>1</v>
      </c>
      <c r="DY140" s="4">
        <v>1</v>
      </c>
      <c r="DZ140" s="6"/>
      <c r="EA140" s="4">
        <v>-2.220446049250313e-16</v>
      </c>
      <c r="EB140" s="5">
        <f>IF(DT140="direct",IFERROR(EH140/DY140,0),0)</f>
        <v>0</v>
      </c>
      <c r="EC140" s="5">
        <f>IF(DT140="direct",EA140-EB140,IF(DT140="cash",EM140,EA140))</f>
        <v>-0.00874394997257529</v>
      </c>
      <c r="ED140" s="6"/>
      <c r="EE140" s="4">
        <v>-2.220446049250313e-16</v>
      </c>
      <c r="EF140" s="4">
        <v>-2.220446049250313e-16</v>
      </c>
      <c r="EG140" s="5">
        <f>IF(DT140="direct",EA140*(DY140-DX140),EJ140)</f>
        <v>0</v>
      </c>
      <c r="EH140" s="5">
        <f>IF(DT140="direct",EF140*DZ140*C140/365,0)</f>
        <v>0</v>
      </c>
      <c r="EI140" s="5">
        <f>EG140-EH140</f>
        <v>0</v>
      </c>
      <c r="EJ140" s="4">
        <v>0</v>
      </c>
      <c r="EK140" s="5">
        <f>EJ140-EI140</f>
        <v>0</v>
      </c>
      <c r="EL140" s="4">
        <v>-0.008743949972575068</v>
      </c>
      <c r="EM140" s="4">
        <v>-0.00874394997257529</v>
      </c>
      <c r="EN140" s="4">
        <v>1.653</v>
      </c>
      <c r="EO140" s="4">
        <v>1.621</v>
      </c>
      <c r="EP140" s="6"/>
      <c r="EQ140" s="6"/>
      <c r="ER140" s="6"/>
      <c r="ES140" s="9"/>
      <c r="ET140" s="7">
        <f>IFERROR(EI140/F140,0)</f>
        <v>0</v>
      </c>
      <c r="EU140" t="inlineStr">
        <is>
          <t xml:space="preserve">Keep cash / margin / financing</t>
        </is>
      </c>
      <c r="EV140" t="inlineStr">
        <is>
          <t xml:space="preserve">cash</t>
        </is>
      </c>
      <c r="EW140" t="inlineStr">
        <is>
          <t xml:space="preserve">keep</t>
        </is>
      </c>
      <c r="EX140" t="inlineStr">
        <is>
          <t xml:space="preserve">cash</t>
        </is>
      </c>
      <c r="EY140"/>
      <c r="EZ140" s="4">
        <v>1</v>
      </c>
      <c r="FA140" s="4">
        <v>1</v>
      </c>
      <c r="FB140" s="6"/>
      <c r="FC140" s="4">
        <v>0</v>
      </c>
      <c r="FD140" s="5">
        <f>IF(EV140="direct",IFERROR(FJ140/FA140,0),0)</f>
        <v>0</v>
      </c>
      <c r="FE140" s="5">
        <f>IF(EV140="direct",FC140-FD140,IF(EV140="cash",FO140,FC140))</f>
        <v>0</v>
      </c>
      <c r="FF140" s="6"/>
      <c r="FG140" s="4">
        <v>0</v>
      </c>
      <c r="FH140" s="4">
        <v>0</v>
      </c>
      <c r="FI140" s="5">
        <f>IF(EV140="direct",FC140*(FA140-EZ140),FL140)</f>
        <v>0</v>
      </c>
      <c r="FJ140" s="5">
        <f>IF(EV140="direct",FH140*FB140*C140/365,0)</f>
        <v>0</v>
      </c>
      <c r="FK140" s="5">
        <f>FI140-FJ140</f>
        <v>0</v>
      </c>
      <c r="FL140" s="4">
        <v>0</v>
      </c>
      <c r="FM140" s="5">
        <f>FL140-FK140</f>
        <v>0</v>
      </c>
      <c r="FN140" s="4">
        <v>0</v>
      </c>
      <c r="FO140" s="4">
        <v>0</v>
      </c>
      <c r="FP140" s="4">
        <v>1.653</v>
      </c>
      <c r="FQ140" s="4">
        <v>1.621</v>
      </c>
      <c r="FR140" s="6"/>
      <c r="FS140" s="6"/>
      <c r="FT140" s="6"/>
      <c r="FU140" s="9"/>
      <c r="FV140" s="7">
        <f>IFERROR(FK140/F140,0)</f>
        <v>0</v>
      </c>
      <c r="FW140"/>
      <c r="FX140"/>
      <c r="FY140"/>
      <c r="FZ140"/>
      <c r="GA140"/>
      <c r="GB140" s="4"/>
      <c r="GC140" s="4"/>
      <c r="GD140" s="6"/>
      <c r="GE140" s="4"/>
      <c r="GF140" s="5">
        <v>0</v>
      </c>
      <c r="GG140" s="5"/>
      <c r="GH140" s="6"/>
      <c r="GI140" s="4"/>
      <c r="GJ140" s="4"/>
      <c r="GK140" s="5">
        <v>0</v>
      </c>
      <c r="GL140" s="5">
        <v>0</v>
      </c>
      <c r="GM140" s="5"/>
      <c r="GN140" s="4"/>
      <c r="GO140" s="5">
        <v>0</v>
      </c>
      <c r="GP140" s="4"/>
      <c r="GQ140" s="4"/>
      <c r="GR140" s="4"/>
      <c r="GS140" s="4"/>
      <c r="GT140" s="6"/>
      <c r="GU140" s="6"/>
      <c r="GV140" s="6"/>
      <c r="GW140" s="9"/>
      <c r="GX140"/>
      <c r="GY140"/>
      <c r="GZ140"/>
      <c r="HA140"/>
      <c r="HB140"/>
      <c r="HC140"/>
      <c r="HD140" s="4"/>
      <c r="HE140" s="4"/>
      <c r="HF140" s="6"/>
      <c r="HG140" s="4"/>
      <c r="HH140" s="5">
        <v>0</v>
      </c>
      <c r="HI140" s="5"/>
      <c r="HJ140" s="6"/>
      <c r="HK140" s="4"/>
      <c r="HL140" s="4"/>
      <c r="HM140" s="5">
        <v>0</v>
      </c>
      <c r="HN140" s="5">
        <v>0</v>
      </c>
      <c r="HO140" s="5"/>
      <c r="HP140" s="4"/>
      <c r="HQ140" s="5">
        <v>0</v>
      </c>
      <c r="HR140" s="4"/>
      <c r="HS140" s="4"/>
      <c r="HT140" s="4"/>
      <c r="HU140" s="4"/>
      <c r="HV140" s="6"/>
      <c r="HW140" s="6"/>
      <c r="HX140" s="6"/>
      <c r="HY140" s="9"/>
      <c r="HZ140"/>
      <c r="IA140"/>
      <c r="IB140"/>
      <c r="IC140"/>
      <c r="ID140"/>
      <c r="IE140"/>
      <c r="IF140" s="4"/>
      <c r="IG140" s="4"/>
      <c r="IH140" s="6"/>
      <c r="II140" s="4"/>
      <c r="IJ140" s="5">
        <v>0</v>
      </c>
      <c r="IK140" s="5"/>
      <c r="IL140" s="6"/>
      <c r="IM140" s="4"/>
      <c r="IN140" s="4"/>
      <c r="IO140" s="5">
        <v>0</v>
      </c>
      <c r="IP140" s="5">
        <v>0</v>
      </c>
      <c r="IQ140" s="5"/>
      <c r="IR140" s="4"/>
      <c r="IS140" s="5">
        <v>0</v>
      </c>
      <c r="IT140" s="4"/>
      <c r="IU140" s="4"/>
      <c r="IV140" s="4"/>
      <c r="IW140" s="4"/>
      <c r="IX140" s="6"/>
      <c r="IY140" s="6"/>
      <c r="IZ140" s="6"/>
      <c r="JA140" s="9"/>
      <c r="JB140"/>
      <c r="JC140"/>
      <c r="JD140"/>
      <c r="JE140"/>
      <c r="JF140"/>
      <c r="JG140"/>
      <c r="JH140" s="4"/>
      <c r="JI140" s="4"/>
      <c r="JJ140" s="6"/>
      <c r="JK140" s="4"/>
      <c r="JL140" s="5">
        <v>0</v>
      </c>
      <c r="JM140" s="5"/>
      <c r="JN140" s="6"/>
      <c r="JO140" s="4"/>
      <c r="JP140" s="4"/>
      <c r="JQ140" s="5">
        <v>0</v>
      </c>
      <c r="JR140" s="5">
        <v>0</v>
      </c>
      <c r="JS140" s="5"/>
      <c r="JT140" s="4"/>
      <c r="JU140" s="5">
        <v>0</v>
      </c>
      <c r="JV140" s="4"/>
      <c r="JW140" s="4"/>
      <c r="JX140" s="4"/>
      <c r="JY140" s="4"/>
      <c r="JZ140" s="6"/>
      <c r="KA140" s="6"/>
      <c r="KB140" s="6"/>
      <c r="KC140" s="9"/>
      <c r="KD140"/>
      <c r="KE140"/>
      <c r="KF140"/>
      <c r="KG140"/>
      <c r="KH140"/>
      <c r="KI140"/>
      <c r="KJ140" s="4"/>
      <c r="KK140" s="4"/>
      <c r="KL140" s="6"/>
      <c r="KM140" s="4"/>
      <c r="KN140" s="5">
        <v>0</v>
      </c>
      <c r="KO140" s="5"/>
      <c r="KP140" s="6"/>
      <c r="KQ140" s="4"/>
      <c r="KR140" s="4"/>
      <c r="KS140" s="5">
        <v>0</v>
      </c>
      <c r="KT140" s="5">
        <v>0</v>
      </c>
      <c r="KU140" s="5"/>
      <c r="KV140" s="4"/>
      <c r="KW140" s="5">
        <v>0</v>
      </c>
      <c r="KX140" s="4"/>
      <c r="KY140" s="4"/>
      <c r="KZ140" s="4"/>
      <c r="LA140" s="4"/>
      <c r="LB140" s="6"/>
      <c r="LC140" s="6"/>
      <c r="LD140" s="6"/>
      <c r="LE140" s="9"/>
      <c r="LF140"/>
      <c r="LG140"/>
      <c r="LH140"/>
      <c r="LI140"/>
      <c r="LJ140"/>
      <c r="LK140"/>
      <c r="LL140" s="4"/>
      <c r="LM140" s="4"/>
      <c r="LN140" s="6"/>
      <c r="LO140" s="4"/>
      <c r="LP140" s="5">
        <v>0</v>
      </c>
      <c r="LQ140" s="5"/>
      <c r="LR140" s="6"/>
      <c r="LS140" s="4"/>
      <c r="LT140" s="4"/>
      <c r="LU140" s="5">
        <v>0</v>
      </c>
      <c r="LV140" s="5">
        <v>0</v>
      </c>
      <c r="LW140" s="5"/>
      <c r="LX140" s="4"/>
      <c r="LY140" s="5">
        <v>0</v>
      </c>
      <c r="LZ140" s="4"/>
      <c r="MA140" s="4"/>
      <c r="MB140" s="4"/>
      <c r="MC140" s="4"/>
      <c r="MD140" s="6"/>
      <c r="ME140" s="6"/>
      <c r="MF140" s="6"/>
      <c r="MG140" s="9"/>
      <c r="MH140"/>
    </row>
    <row r="141">
      <c r="A141" s="8">
        <v>25413</v>
      </c>
      <c r="B141" s="8">
        <v>25414</v>
      </c>
      <c r="C141" s="9">
        <f>B141-A141</f>
        <v>1</v>
      </c>
      <c r="D141" s="8">
        <v>25413</v>
      </c>
      <c r="E141" t="inlineStr">
        <is>
          <t xml:space="preserve">positive</t>
        </is>
      </c>
      <c r="F141" s="4">
        <v>1.3993066083444134</v>
      </c>
      <c r="G141" s="6">
        <v>0.01269561643835612</v>
      </c>
      <c r="H141" s="7">
        <f>SUM(CP141,DR141,ET141,FV141,GX141,HZ141,JB141,KD141,LF141,MH141)</f>
        <v>0.012695616438356117</v>
      </c>
      <c r="I141" s="7">
        <f>G141-H141</f>
        <v>3.469446951953614e-18</v>
      </c>
      <c r="J141" s="5">
        <f>F141*(1+H141)</f>
        <v>1.417071668323611</v>
      </c>
      <c r="K141" s="4">
        <v>1.417071668323611</v>
      </c>
      <c r="L141" s="5">
        <f>K141-J141</f>
        <v>0</v>
      </c>
      <c r="M141" s="4">
        <v>1.621</v>
      </c>
      <c r="N141" s="4">
        <v>1.622</v>
      </c>
      <c r="O141" s="5">
        <f>M141/$M$3</f>
        <v>0.8278855975485189</v>
      </c>
      <c r="P141" s="5">
        <f>N141/$M$3</f>
        <v>0.8283963227783453</v>
      </c>
      <c r="Q141" s="7">
        <f>IFERROR(N141/M141-1,0)</f>
        <v>0.0006169031462062158</v>
      </c>
      <c r="R141" s="5">
        <f>SUM(IF(BQ141="lease",CB141,0),IF(CS141="lease",DD141,0),IF(DU141="lease",EF141,0),IF(EW141="lease",FH141,0),IF(FY141="lease",GJ141,0),IF(HA141="lease",HL141,0),IF(IC141="lease",IN141,0),IF(JE141="lease",JP141,0),IF(KG141="lease",KR141,0),IF(LI141="lease",LT141,0))</f>
        <v>1.3993066083444134</v>
      </c>
      <c r="S141" s="5">
        <f>SUM(IF(BQ141="lease",CI141,0),IF(CS141="lease",DK141,0),IF(DU141="lease",EM141,0),IF(EW141="lease",FO141,0),IF(FY141="lease",GQ141,0),IF(HA141="lease",HS141,0),IF(IC141="lease",IU141,0),IF(JE141="lease",JW141,0),IF(KG141="lease",KY141,0),IF(LI141="lease",MA141,0))</f>
        <v>1.417071668323611</v>
      </c>
      <c r="T141" s="5">
        <f>SUM(IF(BQ141="keep",CB141,0),IF(CS141="keep",DD141,0),IF(DU141="keep",EF141,0),IF(EW141="keep",FH141,0),IF(FY141="keep",GJ141,0),IF(HA141="keep",HL141,0),IF(IC141="keep",IN141,0),IF(JE141="keep",JP141,0),IF(KG141="keep",KR141,0),IF(LI141="keep",LT141,0))</f>
        <v>0</v>
      </c>
      <c r="U141" s="5">
        <f>SUM(IF(BQ141="keep",CI141,0),IF(CS141="keep",DK141,0),IF(DU141="keep",EM141,0),IF(EW141="keep",FO141,0),IF(FY141="keep",GQ141,0),IF(HA141="keep",HS141,0),IF(IC141="keep",IU141,0),IF(JE141="keep",JW141,0),IF(KG141="keep",KY141,0),IF(LI141="keep",MA141,0))</f>
        <v>0</v>
      </c>
      <c r="V141" s="5">
        <f>R141/O141</f>
        <v>1.6902173591229868</v>
      </c>
      <c r="W141" s="5">
        <f>S141/P141</f>
        <v>1.710620423290771</v>
      </c>
      <c r="X141" s="5">
        <f>T141/O141</f>
        <v>0</v>
      </c>
      <c r="Y141" s="5">
        <f>U141/P141</f>
        <v>0</v>
      </c>
      <c r="Z141" s="5">
        <f>V141+X141</f>
        <v>1.6902173591229868</v>
      </c>
      <c r="AA141" s="7">
        <f>IFERROR(W141/V141-1,0)</f>
        <v>0.012071266489873667</v>
      </c>
      <c r="AB141" s="7">
        <f>IFERROR((W141-V141)/Z141,0)</f>
        <v>0.012071266489873708</v>
      </c>
      <c r="AC141" s="7">
        <f>IFERROR(Y141/X141-1,0)</f>
        <v>0</v>
      </c>
      <c r="AD141" s="7">
        <f>IFERROR((Y141-X141)/Z141,0)</f>
        <v>0</v>
      </c>
      <c r="AE141" s="7">
        <f>AB141+AD141</f>
        <v>0.012071266489873708</v>
      </c>
      <c r="AF141" s="7">
        <f>(1+Q141)*(1+AE141)-1</f>
        <v>0.01269561643835626</v>
      </c>
      <c r="AG141" s="7">
        <f>G141-AF141</f>
        <v>-1.4051260155412137e-16</v>
      </c>
      <c r="AH141" s="5">
        <f>SUM(IF(BQ141="lease",CE141,0),IF(CS141="lease",DG141,0),IF(DU141="lease",EI141,0),IF(EW141="lease",FK141,0),IF(FY141="lease",GM141,0),IF(HA141="lease",HO141,0),IF(IC141="lease",IQ141,0),IF(JE141="lease",JS141,0),IF(KG141="lease",KU141,0),IF(LI141="lease",LW141,0))</f>
        <v>0.01776505997919768</v>
      </c>
      <c r="AI141" s="5">
        <f>SUM(IF(BQ141="keep",CE141,0),IF(CS141="keep",DG141,0),IF(DU141="keep",EI141,0),IF(EW141="keep",FK141,0),IF(FY141="keep",GM141,0),IF(HA141="keep",HO141,0),IF(IC141="keep",IQ141,0),IF(JE141="keep",JS141,0),IF(KG141="keep",KU141,0),IF(LI141="keep",LW141,0))</f>
        <v>0</v>
      </c>
      <c r="AJ141" s="5">
        <f>SUM(IF(BQ141="lease",CH141,0),IF(CS141="lease",DJ141,0),IF(DU141="lease",EL141,0),IF(EW141="lease",FN141,0),IF(FY141="lease",GP141,0),IF(HA141="lease",HR141,0),IF(IC141="lease",IT141,0),IF(JE141="lease",JV141,0),IF(KG141="lease",KX141,0),IF(LI141="lease",LZ141,0))</f>
        <v>0</v>
      </c>
      <c r="AK141" s="5">
        <f>SUM(IF(BQ141="keep",CH141,0),IF(CS141="keep",DJ141,0),IF(DU141="keep",EL141,0),IF(EW141="keep",FN141,0),IF(FY141="keep",GP141,0),IF(HA141="keep",HR141,0),IF(IC141="keep",IT141,0),IF(JE141="keep",JV141,0),IF(KG141="keep",KX141,0),IF(LI141="keep",LZ141,0))</f>
        <v>0</v>
      </c>
      <c r="AL141" s="5">
        <f>R141-S140</f>
        <v>0</v>
      </c>
      <c r="AM141" s="5">
        <f>T141-U140</f>
        <v>0</v>
      </c>
      <c r="AN141" s="5">
        <f>AN140</f>
        <v>1</v>
      </c>
      <c r="AO141" s="5">
        <f>AO140+AH141</f>
        <v>0.4170716683236113</v>
      </c>
      <c r="AP141" s="5">
        <f>AP140+AL141</f>
        <v>-4.440892098500626e-16</v>
      </c>
      <c r="AQ141" s="5">
        <f>AN141+AO141+AP141</f>
        <v>1.4170716683236109</v>
      </c>
      <c r="AR141" s="5">
        <f>S141-AQ141</f>
        <v>2.220446049250313e-16</v>
      </c>
      <c r="AS141" s="5">
        <f>AS140</f>
        <v>0</v>
      </c>
      <c r="AT141" s="5">
        <f>AT140+AI141</f>
        <v>0</v>
      </c>
      <c r="AU141" s="5">
        <f>AU140+AM141</f>
        <v>0</v>
      </c>
      <c r="AV141" s="5">
        <f>AS141+AT141+AU141</f>
        <v>0</v>
      </c>
      <c r="AW141" s="5">
        <f>U141-AV141</f>
        <v>0</v>
      </c>
      <c r="AX141" s="4">
        <v>1.3993066083444134</v>
      </c>
      <c r="AY141" s="4">
        <v>1.417071668323611</v>
      </c>
      <c r="AZ141" s="5">
        <f>S141-AY141</f>
        <v>0</v>
      </c>
      <c r="BA141" s="4">
        <v>0</v>
      </c>
      <c r="BB141" s="4">
        <v>0</v>
      </c>
      <c r="BC141" s="5">
        <f>U141-BB141</f>
        <v>0</v>
      </c>
      <c r="BD141" s="7">
        <f>SUM(IF(BP141="direct",CC141/F141,0),IF(CR141="direct",DE141/F141,0),IF(DT141="direct",EG141/F141,0),IF(EV141="direct",FI141/F141,0),IF(FX141="direct",GK141/F141,0),IF(GZ141="direct",HM141/F141,0),IF(IB141="direct",IO141/F141,0),IF(JD141="direct",JQ141/F141,0),IF(KF141="direct",KS141/F141,0),IF(LH141="direct",LU141/F141,0))</f>
        <v>0</v>
      </c>
      <c r="BE141" s="7">
        <f>-SUM(IF(BP141="direct",CD141/F141,0),IF(CR141="direct",DF141/F141,0),IF(DT141="direct",EH141/F141,0),IF(EV141="direct",FJ141/F141,0),IF(FX141="direct",GL141/F141,0),IF(GZ141="direct",HN141/F141,0),IF(IB141="direct",IP141/F141,0),IF(JD141="direct",JR141/F141,0),IF(KF141="direct",KT141/F141,0),IF(LH141="direct",LV141/F141,0))</f>
        <v>0</v>
      </c>
      <c r="BF141" s="7">
        <f>BD141+BE141</f>
        <v>0</v>
      </c>
      <c r="BG141" s="7">
        <f>BF141-SUM(IF(BP141="direct",CP141,0),IF(CR141="direct",DR141,0),IF(DT141="direct",ET141,0),IF(EV141="direct",FV141,0),IF(FX141="direct",GX141,0),IF(GZ141="direct",HZ141,0),IF(IB141="direct",JB141,0),IF(JD141="direct",KD141,0),IF(KF141="direct",LF141,0),IF(LH141="direct",MH141,0))</f>
        <v>0</v>
      </c>
      <c r="BH141" s="7">
        <f>SUM(IF(BP141="treasury",CP141,0),IF(CR141="treasury",DR141,0),IF(DT141="treasury",ET141,0),IF(EV141="treasury",FV141,0),IF(FX141="treasury",GX141,0),IF(GZ141="treasury",HZ141,0),IF(IB141="treasury",JB141,0),IF(JD141="treasury",KD141,0),IF(KF141="treasury",LF141,0),IF(LH141="treasury",MH141,0))</f>
        <v>0.00019561643835616437</v>
      </c>
      <c r="BI141" s="7">
        <f>SUM(IF(BP141="future",CP141,0),IF(CR141="future",DR141,0),IF(DT141="future",ET141,0),IF(EV141="future",FV141,0),IF(FX141="future",GX141,0),IF(GZ141="future",HZ141,0),IF(IB141="future",JB141,0),IF(JD141="future",KD141,0),IF(KF141="future",LF141,0),IF(LH141="future",MH141,0))</f>
        <v>0.012499999999999954</v>
      </c>
      <c r="BJ141" s="7">
        <f>SUM(IF(BP141="cash",CP141,0),IF(CR141="cash",DR141,0),IF(DT141="cash",ET141,0),IF(EV141="cash",FV141,0),IF(FX141="cash",GX141,0),IF(GZ141="cash",HZ141,0),IF(IB141="cash",JB141,0),IF(JD141="cash",KD141,0),IF(KF141="cash",LF141,0),IF(LH141="cash",MH141,0))</f>
        <v>0</v>
      </c>
      <c r="BK141" s="7">
        <f>SUM(BF141,BH141,BI141,BJ141)</f>
        <v>0.012695616438356119</v>
      </c>
      <c r="BL141" s="7">
        <f>G141-BK141</f>
        <v>1.734723475976807e-18</v>
      </c>
      <c r="BM141" s="5">
        <f>MAX(ABS(CG141),ABS(DI141),ABS(EK141),ABS(FM141),ABS(GO141),ABS(HQ141),ABS(IS141),ABS(JU141),ABS(KW141),ABS(LY141))</f>
        <v>1.3482054014857248e-16</v>
      </c>
      <c r="BN141" s="9">
        <f>COUNTA(BO141,CQ141,DS141,EU141,FW141,GY141,IA141,JC141,KE141,LG141)</f>
        <v>4</v>
      </c>
      <c r="BO141" t="inlineStr">
        <is>
          <t xml:space="preserve">Treasury collateral</t>
        </is>
      </c>
      <c r="BP141" t="inlineStr">
        <is>
          <t xml:space="preserve">treasury</t>
        </is>
      </c>
      <c r="BQ141" t="inlineStr">
        <is>
          <t xml:space="preserve">lease</t>
        </is>
      </c>
      <c r="BR141" t="inlineStr">
        <is>
          <t xml:space="preserve">long</t>
        </is>
      </c>
      <c r="BS141"/>
      <c r="BT141" s="4">
        <v>103.62756388438903</v>
      </c>
      <c r="BU141" s="4">
        <v>103.64783513935161</v>
      </c>
      <c r="BV141" s="6"/>
      <c r="BW141" s="4">
        <v>0.0135032278661451</v>
      </c>
      <c r="BX141" s="5">
        <f>IF(BP141="direct",IFERROR(CD141/BU141,0),0)</f>
        <v>0</v>
      </c>
      <c r="BY141" s="5">
        <f>IF(BP141="direct",BW141-BX141,IF(BP141="cash",CI141,BW141))</f>
        <v>0.0135032278661451</v>
      </c>
      <c r="BZ141" s="6">
        <v>1</v>
      </c>
      <c r="CA141" s="4">
        <v>1.3993066083444134</v>
      </c>
      <c r="CB141" s="4">
        <v>1.3993066083444134</v>
      </c>
      <c r="CC141" s="5">
        <f>IF(BP141="direct",BW141*(BU141-BT141),CF141)</f>
        <v>0.00027372737489244356</v>
      </c>
      <c r="CD141" s="5">
        <f>IF(BP141="direct",CB141*BV141*C141/365,0)</f>
        <v>0</v>
      </c>
      <c r="CE141" s="5">
        <f>CC141-CD141</f>
        <v>0.0002737273748925784</v>
      </c>
      <c r="CF141" s="4">
        <v>0.0002737273748925784</v>
      </c>
      <c r="CG141" s="5">
        <f>CF141-CE141</f>
        <v>1.3482054014857248e-16</v>
      </c>
      <c r="CH141" s="4">
        <v>-7.106945240642482e-17</v>
      </c>
      <c r="CI141" s="4">
        <v>1.399580335719306</v>
      </c>
      <c r="CJ141" s="4">
        <v>1.621</v>
      </c>
      <c r="CK141" s="4">
        <v>1.622</v>
      </c>
      <c r="CL141" s="6"/>
      <c r="CM141" s="6"/>
      <c r="CN141" s="6"/>
      <c r="CO141" s="9">
        <v>59</v>
      </c>
      <c r="CP141" s="7">
        <f>IFERROR(CE141/F141,0)</f>
        <v>0.00019561643835616437</v>
      </c>
      <c r="CQ141" t="inlineStr">
        <is>
          <t xml:space="preserve">SI69U</t>
        </is>
      </c>
      <c r="CR141" t="inlineStr">
        <is>
          <t xml:space="preserve">future</t>
        </is>
      </c>
      <c r="CS141" t="inlineStr">
        <is>
          <t xml:space="preserve">lease</t>
        </is>
      </c>
      <c r="CT141" t="inlineStr">
        <is>
          <t xml:space="preserve">long</t>
        </is>
      </c>
      <c r="CU141" t="inlineStr">
        <is>
          <t xml:space="preserve">regular</t>
        </is>
      </c>
      <c r="CV141" s="4">
        <v>1.6</v>
      </c>
      <c r="CW141" s="4">
        <v>1.62</v>
      </c>
      <c r="CX141" s="6"/>
      <c r="CY141" s="4">
        <v>0.8745666302152584</v>
      </c>
      <c r="CZ141" s="5">
        <f>IF(CR141="direct",IFERROR(DF141/CW141,0),0)</f>
        <v>0</v>
      </c>
      <c r="DA141" s="5">
        <f>IF(CR141="direct",CY141-CZ141,IF(CR141="cash",DK141,CY141))</f>
        <v>0.8745666302152584</v>
      </c>
      <c r="DB141" s="6">
        <v>1</v>
      </c>
      <c r="DC141" s="4">
        <v>1.3993066083444134</v>
      </c>
      <c r="DD141" s="4">
        <v>0</v>
      </c>
      <c r="DE141" s="5">
        <f>IF(CR141="direct",CY141*(CW141-CV141),DH141)</f>
        <v>0.017491332604305104</v>
      </c>
      <c r="DF141" s="5">
        <f>IF(CR141="direct",DD141*CX141*C141/365,0)</f>
        <v>0</v>
      </c>
      <c r="DG141" s="5">
        <f>DE141-DF141</f>
        <v>0.017491332604305104</v>
      </c>
      <c r="DH141" s="4">
        <v>0.017491332604305104</v>
      </c>
      <c r="DI141" s="5">
        <f>DH141-DG141</f>
        <v>0</v>
      </c>
      <c r="DJ141" s="4">
        <v>-0.017491332604305104</v>
      </c>
      <c r="DK141" s="4">
        <v>0</v>
      </c>
      <c r="DL141" s="4">
        <v>1.621</v>
      </c>
      <c r="DM141" s="4">
        <v>1.622</v>
      </c>
      <c r="DN141" s="6">
        <v>-0.012954966070326868</v>
      </c>
      <c r="DO141" s="6">
        <v>0.07139999999999999</v>
      </c>
      <c r="DP141" s="6">
        <v>0.15154512907914078</v>
      </c>
      <c r="DQ141" s="9">
        <v>59</v>
      </c>
      <c r="DR141" s="7">
        <f>IFERROR(DG141/F141,0)</f>
        <v>0.012499999999999954</v>
      </c>
      <c r="DS141" t="inlineStr">
        <is>
          <t xml:space="preserve">Lease cash / margin / financing</t>
        </is>
      </c>
      <c r="DT141" t="inlineStr">
        <is>
          <t xml:space="preserve">cash</t>
        </is>
      </c>
      <c r="DU141" t="inlineStr">
        <is>
          <t xml:space="preserve">lease</t>
        </is>
      </c>
      <c r="DV141" t="inlineStr">
        <is>
          <t xml:space="preserve">cash</t>
        </is>
      </c>
      <c r="DW141"/>
      <c r="DX141" s="4">
        <v>1</v>
      </c>
      <c r="DY141" s="4">
        <v>1</v>
      </c>
      <c r="DZ141" s="6"/>
      <c r="EA141" s="4">
        <v>0</v>
      </c>
      <c r="EB141" s="5">
        <f>IF(DT141="direct",IFERROR(EH141/DY141,0),0)</f>
        <v>0</v>
      </c>
      <c r="EC141" s="5">
        <f>IF(DT141="direct",EA141-EB141,IF(DT141="cash",EM141,EA141))</f>
        <v>0.017491332604305174</v>
      </c>
      <c r="ED141" s="6"/>
      <c r="EE141" s="4">
        <v>0</v>
      </c>
      <c r="EF141" s="4">
        <v>0</v>
      </c>
      <c r="EG141" s="5">
        <f>IF(DT141="direct",EA141*(DY141-DX141),EJ141)</f>
        <v>0</v>
      </c>
      <c r="EH141" s="5">
        <f>IF(DT141="direct",EF141*DZ141*C141/365,0)</f>
        <v>0</v>
      </c>
      <c r="EI141" s="5">
        <f>EG141-EH141</f>
        <v>0</v>
      </c>
      <c r="EJ141" s="4">
        <v>0</v>
      </c>
      <c r="EK141" s="5">
        <f>EJ141-EI141</f>
        <v>0</v>
      </c>
      <c r="EL141" s="4">
        <v>0.017491332604305174</v>
      </c>
      <c r="EM141" s="4">
        <v>0.017491332604305174</v>
      </c>
      <c r="EN141" s="4">
        <v>1.621</v>
      </c>
      <c r="EO141" s="4">
        <v>1.622</v>
      </c>
      <c r="EP141" s="6"/>
      <c r="EQ141" s="6"/>
      <c r="ER141" s="6"/>
      <c r="ES141" s="9"/>
      <c r="ET141" s="7">
        <f>IFERROR(EI141/F141,0)</f>
        <v>0</v>
      </c>
      <c r="EU141" t="inlineStr">
        <is>
          <t xml:space="preserve">Keep cash / margin / financing</t>
        </is>
      </c>
      <c r="EV141" t="inlineStr">
        <is>
          <t xml:space="preserve">cash</t>
        </is>
      </c>
      <c r="EW141" t="inlineStr">
        <is>
          <t xml:space="preserve">keep</t>
        </is>
      </c>
      <c r="EX141" t="inlineStr">
        <is>
          <t xml:space="preserve">cash</t>
        </is>
      </c>
      <c r="EY141"/>
      <c r="EZ141" s="4">
        <v>1</v>
      </c>
      <c r="FA141" s="4">
        <v>1</v>
      </c>
      <c r="FB141" s="6"/>
      <c r="FC141" s="4">
        <v>0</v>
      </c>
      <c r="FD141" s="5">
        <f>IF(EV141="direct",IFERROR(FJ141/FA141,0),0)</f>
        <v>0</v>
      </c>
      <c r="FE141" s="5">
        <f>IF(EV141="direct",FC141-FD141,IF(EV141="cash",FO141,FC141))</f>
        <v>0</v>
      </c>
      <c r="FF141" s="6"/>
      <c r="FG141" s="4">
        <v>0</v>
      </c>
      <c r="FH141" s="4">
        <v>0</v>
      </c>
      <c r="FI141" s="5">
        <f>IF(EV141="direct",FC141*(FA141-EZ141),FL141)</f>
        <v>0</v>
      </c>
      <c r="FJ141" s="5">
        <f>IF(EV141="direct",FH141*FB141*C141/365,0)</f>
        <v>0</v>
      </c>
      <c r="FK141" s="5">
        <f>FI141-FJ141</f>
        <v>0</v>
      </c>
      <c r="FL141" s="4">
        <v>0</v>
      </c>
      <c r="FM141" s="5">
        <f>FL141-FK141</f>
        <v>0</v>
      </c>
      <c r="FN141" s="4">
        <v>0</v>
      </c>
      <c r="FO141" s="4">
        <v>0</v>
      </c>
      <c r="FP141" s="4">
        <v>1.621</v>
      </c>
      <c r="FQ141" s="4">
        <v>1.622</v>
      </c>
      <c r="FR141" s="6"/>
      <c r="FS141" s="6"/>
      <c r="FT141" s="6"/>
      <c r="FU141" s="9"/>
      <c r="FV141" s="7">
        <f>IFERROR(FK141/F141,0)</f>
        <v>0</v>
      </c>
      <c r="FW141"/>
      <c r="FX141"/>
      <c r="FY141"/>
      <c r="FZ141"/>
      <c r="GA141"/>
      <c r="GB141" s="4"/>
      <c r="GC141" s="4"/>
      <c r="GD141" s="6"/>
      <c r="GE141" s="4"/>
      <c r="GF141" s="5">
        <v>0</v>
      </c>
      <c r="GG141" s="5"/>
      <c r="GH141" s="6"/>
      <c r="GI141" s="4"/>
      <c r="GJ141" s="4"/>
      <c r="GK141" s="5">
        <v>0</v>
      </c>
      <c r="GL141" s="5">
        <v>0</v>
      </c>
      <c r="GM141" s="5"/>
      <c r="GN141" s="4"/>
      <c r="GO141" s="5">
        <v>0</v>
      </c>
      <c r="GP141" s="4"/>
      <c r="GQ141" s="4"/>
      <c r="GR141" s="4"/>
      <c r="GS141" s="4"/>
      <c r="GT141" s="6"/>
      <c r="GU141" s="6"/>
      <c r="GV141" s="6"/>
      <c r="GW141" s="9"/>
      <c r="GX141"/>
      <c r="GY141"/>
      <c r="GZ141"/>
      <c r="HA141"/>
      <c r="HB141"/>
      <c r="HC141"/>
      <c r="HD141" s="4"/>
      <c r="HE141" s="4"/>
      <c r="HF141" s="6"/>
      <c r="HG141" s="4"/>
      <c r="HH141" s="5">
        <v>0</v>
      </c>
      <c r="HI141" s="5"/>
      <c r="HJ141" s="6"/>
      <c r="HK141" s="4"/>
      <c r="HL141" s="4"/>
      <c r="HM141" s="5">
        <v>0</v>
      </c>
      <c r="HN141" s="5">
        <v>0</v>
      </c>
      <c r="HO141" s="5"/>
      <c r="HP141" s="4"/>
      <c r="HQ141" s="5">
        <v>0</v>
      </c>
      <c r="HR141" s="4"/>
      <c r="HS141" s="4"/>
      <c r="HT141" s="4"/>
      <c r="HU141" s="4"/>
      <c r="HV141" s="6"/>
      <c r="HW141" s="6"/>
      <c r="HX141" s="6"/>
      <c r="HY141" s="9"/>
      <c r="HZ141"/>
      <c r="IA141"/>
      <c r="IB141"/>
      <c r="IC141"/>
      <c r="ID141"/>
      <c r="IE141"/>
      <c r="IF141" s="4"/>
      <c r="IG141" s="4"/>
      <c r="IH141" s="6"/>
      <c r="II141" s="4"/>
      <c r="IJ141" s="5">
        <v>0</v>
      </c>
      <c r="IK141" s="5"/>
      <c r="IL141" s="6"/>
      <c r="IM141" s="4"/>
      <c r="IN141" s="4"/>
      <c r="IO141" s="5">
        <v>0</v>
      </c>
      <c r="IP141" s="5">
        <v>0</v>
      </c>
      <c r="IQ141" s="5"/>
      <c r="IR141" s="4"/>
      <c r="IS141" s="5">
        <v>0</v>
      </c>
      <c r="IT141" s="4"/>
      <c r="IU141" s="4"/>
      <c r="IV141" s="4"/>
      <c r="IW141" s="4"/>
      <c r="IX141" s="6"/>
      <c r="IY141" s="6"/>
      <c r="IZ141" s="6"/>
      <c r="JA141" s="9"/>
      <c r="JB141"/>
      <c r="JC141"/>
      <c r="JD141"/>
      <c r="JE141"/>
      <c r="JF141"/>
      <c r="JG141"/>
      <c r="JH141" s="4"/>
      <c r="JI141" s="4"/>
      <c r="JJ141" s="6"/>
      <c r="JK141" s="4"/>
      <c r="JL141" s="5">
        <v>0</v>
      </c>
      <c r="JM141" s="5"/>
      <c r="JN141" s="6"/>
      <c r="JO141" s="4"/>
      <c r="JP141" s="4"/>
      <c r="JQ141" s="5">
        <v>0</v>
      </c>
      <c r="JR141" s="5">
        <v>0</v>
      </c>
      <c r="JS141" s="5"/>
      <c r="JT141" s="4"/>
      <c r="JU141" s="5">
        <v>0</v>
      </c>
      <c r="JV141" s="4"/>
      <c r="JW141" s="4"/>
      <c r="JX141" s="4"/>
      <c r="JY141" s="4"/>
      <c r="JZ141" s="6"/>
      <c r="KA141" s="6"/>
      <c r="KB141" s="6"/>
      <c r="KC141" s="9"/>
      <c r="KD141"/>
      <c r="KE141"/>
      <c r="KF141"/>
      <c r="KG141"/>
      <c r="KH141"/>
      <c r="KI141"/>
      <c r="KJ141" s="4"/>
      <c r="KK141" s="4"/>
      <c r="KL141" s="6"/>
      <c r="KM141" s="4"/>
      <c r="KN141" s="5">
        <v>0</v>
      </c>
      <c r="KO141" s="5"/>
      <c r="KP141" s="6"/>
      <c r="KQ141" s="4"/>
      <c r="KR141" s="4"/>
      <c r="KS141" s="5">
        <v>0</v>
      </c>
      <c r="KT141" s="5">
        <v>0</v>
      </c>
      <c r="KU141" s="5"/>
      <c r="KV141" s="4"/>
      <c r="KW141" s="5">
        <v>0</v>
      </c>
      <c r="KX141" s="4"/>
      <c r="KY141" s="4"/>
      <c r="KZ141" s="4"/>
      <c r="LA141" s="4"/>
      <c r="LB141" s="6"/>
      <c r="LC141" s="6"/>
      <c r="LD141" s="6"/>
      <c r="LE141" s="9"/>
      <c r="LF141"/>
      <c r="LG141"/>
      <c r="LH141"/>
      <c r="LI141"/>
      <c r="LJ141"/>
      <c r="LK141"/>
      <c r="LL141" s="4"/>
      <c r="LM141" s="4"/>
      <c r="LN141" s="6"/>
      <c r="LO141" s="4"/>
      <c r="LP141" s="5">
        <v>0</v>
      </c>
      <c r="LQ141" s="5"/>
      <c r="LR141" s="6"/>
      <c r="LS141" s="4"/>
      <c r="LT141" s="4"/>
      <c r="LU141" s="5">
        <v>0</v>
      </c>
      <c r="LV141" s="5">
        <v>0</v>
      </c>
      <c r="LW141" s="5"/>
      <c r="LX141" s="4"/>
      <c r="LY141" s="5">
        <v>0</v>
      </c>
      <c r="LZ141" s="4"/>
      <c r="MA141" s="4"/>
      <c r="MB141" s="4"/>
      <c r="MC141" s="4"/>
      <c r="MD141" s="6"/>
      <c r="ME141" s="6"/>
      <c r="MF141" s="6"/>
      <c r="MG141" s="9"/>
      <c r="MH141"/>
    </row>
    <row r="142">
      <c r="A142" s="8">
        <v>25414</v>
      </c>
      <c r="B142" s="8">
        <v>25415</v>
      </c>
      <c r="C142" s="9">
        <f>B142-A142</f>
        <v>1</v>
      </c>
      <c r="D142" s="8">
        <v>25414</v>
      </c>
      <c r="E142" t="inlineStr">
        <is>
          <t xml:space="preserve">positive</t>
        </is>
      </c>
      <c r="F142" s="4">
        <v>1.417071668323611</v>
      </c>
      <c r="G142" s="6">
        <v>-0.0036955142713089484</v>
      </c>
      <c r="H142" s="7">
        <f>SUM(CP142,DR142,ET142,FV142,GX142,HZ142,JB142,KD142,LF142,MH142)</f>
        <v>-0.003695514271308948</v>
      </c>
      <c r="I142" s="7">
        <f>G142-H142</f>
        <v>-4.336808689942018e-19</v>
      </c>
      <c r="J142" s="5">
        <f>F142*(1+H142)</f>
        <v>1.4118348597498536</v>
      </c>
      <c r="K142" s="4">
        <v>1.4118348597498536</v>
      </c>
      <c r="L142" s="5">
        <f>K142-J142</f>
        <v>0</v>
      </c>
      <c r="M142" s="4">
        <v>1.622</v>
      </c>
      <c r="N142" s="4">
        <v>1.629</v>
      </c>
      <c r="O142" s="5">
        <f>M142/$M$3</f>
        <v>0.8283963227783453</v>
      </c>
      <c r="P142" s="5">
        <f>N142/$M$3</f>
        <v>0.8319713993871297</v>
      </c>
      <c r="Q142" s="7">
        <f>IFERROR(N142/M142-1,0)</f>
        <v>0.004315659679408057</v>
      </c>
      <c r="R142" s="5">
        <f>SUM(IF(BQ142="lease",CB142,0),IF(CS142="lease",DD142,0),IF(DU142="lease",EF142,0),IF(EW142="lease",FH142,0),IF(FY142="lease",GJ142,0),IF(HA142="lease",HL142,0),IF(IC142="lease",IN142,0),IF(JE142="lease",JP142,0),IF(KG142="lease",KR142,0),IF(LI142="lease",LT142,0))</f>
        <v>1.417071668323611</v>
      </c>
      <c r="S142" s="5">
        <f>SUM(IF(BQ142="lease",CI142,0),IF(CS142="lease",DK142,0),IF(DU142="lease",EM142,0),IF(EW142="lease",FO142,0),IF(FY142="lease",GQ142,0),IF(HA142="lease",HS142,0),IF(IC142="lease",IU142,0),IF(JE142="lease",JW142,0),IF(KG142="lease",KY142,0),IF(LI142="lease",MA142,0))</f>
        <v>1.4118348597498538</v>
      </c>
      <c r="T142" s="5">
        <f>SUM(IF(BQ142="keep",CB142,0),IF(CS142="keep",DD142,0),IF(DU142="keep",EF142,0),IF(EW142="keep",FH142,0),IF(FY142="keep",GJ142,0),IF(HA142="keep",HL142,0),IF(IC142="keep",IN142,0),IF(JE142="keep",JP142,0),IF(KG142="keep",KR142,0),IF(LI142="keep",LT142,0))</f>
        <v>0</v>
      </c>
      <c r="U142" s="5">
        <f>SUM(IF(BQ142="keep",CI142,0),IF(CS142="keep",DK142,0),IF(DU142="keep",EM142,0),IF(EW142="keep",FO142,0),IF(FY142="keep",GQ142,0),IF(HA142="keep",HS142,0),IF(IC142="keep",IU142,0),IF(JE142="keep",JW142,0),IF(KG142="keep",KY142,0),IF(LI142="keep",MA142,0))</f>
        <v>0</v>
      </c>
      <c r="V142" s="5">
        <f>R142/O142</f>
        <v>1.710620423290771</v>
      </c>
      <c r="W142" s="5">
        <f>S142/P142</f>
        <v>1.6969752335114878</v>
      </c>
      <c r="X142" s="5">
        <f>T142/O142</f>
        <v>0</v>
      </c>
      <c r="Y142" s="5">
        <f>U142/P142</f>
        <v>0</v>
      </c>
      <c r="Z142" s="5">
        <f>V142+X142</f>
        <v>1.710620423290771</v>
      </c>
      <c r="AA142" s="7">
        <f>IFERROR(W142/V142-1,0)</f>
        <v>-0.00797674901661316</v>
      </c>
      <c r="AB142" s="7">
        <f>IFERROR((W142-V142)/Z142,0)</f>
        <v>-0.007976749016613183</v>
      </c>
      <c r="AC142" s="7">
        <f>IFERROR(Y142/X142-1,0)</f>
        <v>0</v>
      </c>
      <c r="AD142" s="7">
        <f>IFERROR((Y142-X142)/Z142,0)</f>
        <v>0</v>
      </c>
      <c r="AE142" s="7">
        <f>AB142+AD142</f>
        <v>-0.007976749016613183</v>
      </c>
      <c r="AF142" s="7">
        <f>(1+Q142)*(1+AE142)-1</f>
        <v>-0.003695514271308875</v>
      </c>
      <c r="AG142" s="7">
        <f>G142-AF142</f>
        <v>-7.32920668600201e-17</v>
      </c>
      <c r="AH142" s="5">
        <f>SUM(IF(BQ142="lease",CE142,0),IF(CS142="lease",DG142,0),IF(DU142="lease",EI142,0),IF(EW142="lease",FK142,0),IF(FY142="lease",GM142,0),IF(HA142="lease",HO142,0),IF(IC142="lease",IQ142,0),IF(JE142="lease",JS142,0),IF(KG142="lease",KU142,0),IF(LI142="lease",LW142,0))</f>
        <v>-0.005236808573757485</v>
      </c>
      <c r="AI142" s="5">
        <f>SUM(IF(BQ142="keep",CE142,0),IF(CS142="keep",DG142,0),IF(DU142="keep",EI142,0),IF(EW142="keep",FK142,0),IF(FY142="keep",GM142,0),IF(HA142="keep",HO142,0),IF(IC142="keep",IQ142,0),IF(JE142="keep",JS142,0),IF(KG142="keep",KU142,0),IF(LI142="keep",LW142,0))</f>
        <v>0</v>
      </c>
      <c r="AJ142" s="5">
        <f>SUM(IF(BQ142="lease",CH142,0),IF(CS142="lease",DJ142,0),IF(DU142="lease",EL142,0),IF(EW142="lease",FN142,0),IF(FY142="lease",GP142,0),IF(HA142="lease",HR142,0),IF(IC142="lease",IT142,0),IF(JE142="lease",JV142,0),IF(KG142="lease",KX142,0),IF(LI142="lease",LZ142,0))</f>
        <v>0</v>
      </c>
      <c r="AK142" s="5">
        <f>SUM(IF(BQ142="keep",CH142,0),IF(CS142="keep",DJ142,0),IF(DU142="keep",EL142,0),IF(EW142="keep",FN142,0),IF(FY142="keep",GP142,0),IF(HA142="keep",HR142,0),IF(IC142="keep",IT142,0),IF(JE142="keep",JV142,0),IF(KG142="keep",KX142,0),IF(LI142="keep",LZ142,0))</f>
        <v>0</v>
      </c>
      <c r="AL142" s="5">
        <f>R142-S141</f>
        <v>0</v>
      </c>
      <c r="AM142" s="5">
        <f>T142-U141</f>
        <v>0</v>
      </c>
      <c r="AN142" s="5">
        <f>AN141</f>
        <v>1</v>
      </c>
      <c r="AO142" s="5">
        <f>AO141+AH142</f>
        <v>0.41183485974985384</v>
      </c>
      <c r="AP142" s="5">
        <f>AP141+AL142</f>
        <v>-4.440892098500626e-16</v>
      </c>
      <c r="AQ142" s="5">
        <f>AN142+AO142+AP142</f>
        <v>1.4118348597498533</v>
      </c>
      <c r="AR142" s="5">
        <f>S142-AQ142</f>
        <v>4.440892098500626e-16</v>
      </c>
      <c r="AS142" s="5">
        <f>AS141</f>
        <v>0</v>
      </c>
      <c r="AT142" s="5">
        <f>AT141+AI142</f>
        <v>0</v>
      </c>
      <c r="AU142" s="5">
        <f>AU141+AM142</f>
        <v>0</v>
      </c>
      <c r="AV142" s="5">
        <f>AS142+AT142+AU142</f>
        <v>0</v>
      </c>
      <c r="AW142" s="5">
        <f>U142-AV142</f>
        <v>0</v>
      </c>
      <c r="AX142" s="4">
        <v>1.417071668323611</v>
      </c>
      <c r="AY142" s="4">
        <v>1.4118348597498536</v>
      </c>
      <c r="AZ142" s="5">
        <f>S142-AY142</f>
        <v>2.220446049250313e-16</v>
      </c>
      <c r="BA142" s="4">
        <v>0</v>
      </c>
      <c r="BB142" s="4">
        <v>0</v>
      </c>
      <c r="BC142" s="5">
        <f>U142-BB142</f>
        <v>0</v>
      </c>
      <c r="BD142" s="7">
        <f>SUM(IF(BP142="direct",CC142/F142,0),IF(CR142="direct",DE142/F142,0),IF(DT142="direct",EG142/F142,0),IF(EV142="direct",FI142/F142,0),IF(FX142="direct",GK142/F142,0),IF(GZ142="direct",HM142/F142,0),IF(IB142="direct",IO142/F142,0),IF(JD142="direct",JQ142/F142,0),IF(KF142="direct",KS142/F142,0),IF(LH142="direct",LU142/F142,0))</f>
        <v>0.0020467826320586</v>
      </c>
      <c r="BE142" s="7">
        <f>-SUM(IF(BP142="direct",CD142/F142,0),IF(CR142="direct",DF142/F142,0),IF(DT142="direct",EH142/F142,0),IF(EV142="direct",FJ142/F142,0),IF(FX142="direct",GL142/F142,0),IF(GZ142="direct",HN142/F142,0),IF(IB142="direct",IP142/F142,0),IF(JD142="direct",JR142/F142,0),IF(KF142="direct",KT142/F142,0),IF(LH142="direct",LV142/F142,0))</f>
        <v>-0.000003248416271231995</v>
      </c>
      <c r="BF142" s="7">
        <f>BD142+BE142</f>
        <v>0.002043534215787368</v>
      </c>
      <c r="BG142" s="7">
        <f>BF142-SUM(IF(BP142="direct",CP142,0),IF(CR142="direct",DR142,0),IF(DT142="direct",ET142,0),IF(EV142="direct",FV142,0),IF(FX142="direct",GX142,0),IF(GZ142="direct",HZ142,0),IF(IB142="direct",JB142,0),IF(JD142="direct",KD142,0),IF(KF142="direct",LF142,0),IF(LH142="direct",MH142,0))</f>
        <v>8.239936510889834e-18</v>
      </c>
      <c r="BH142" s="7">
        <f>SUM(IF(BP142="treasury",CP142,0),IF(CR142="treasury",DR142,0),IF(DT142="treasury",ET142,0),IF(EV142="treasury",FV142,0),IF(FX142="treasury",GX142,0),IF(GZ142="treasury",HZ142,0),IF(IB142="treasury",JB142,0),IF(JD142="treasury",KD142,0),IF(KF142="treasury",LF142,0),IF(LH142="treasury",MH142,0))</f>
        <v>0.00010240956179410726</v>
      </c>
      <c r="BI142" s="7">
        <f>SUM(IF(BP142="future",CP142,0),IF(CR142="future",DR142,0),IF(DT142="future",ET142,0),IF(EV142="future",FV142,0),IF(FX142="future",GX142,0),IF(GZ142="future",HZ142,0),IF(IB142="future",JB142,0),IF(JD142="future",KD142,0),IF(KF142="future",LF142,0),IF(LH142="future",MH142,0))</f>
        <v>-0.005841458048890416</v>
      </c>
      <c r="BJ142" s="7">
        <f>SUM(IF(BP142="cash",CP142,0),IF(CR142="cash",DR142,0),IF(DT142="cash",ET142,0),IF(EV142="cash",FV142,0),IF(FX142="cash",GX142,0),IF(GZ142="cash",HZ142,0),IF(IB142="cash",JB142,0),IF(JD142="cash",KD142,0),IF(KF142="cash",LF142,0),IF(LH142="cash",MH142,0))</f>
        <v>0</v>
      </c>
      <c r="BK142" s="7">
        <f>SUM(BF142,BH142,BI142,BJ142)</f>
        <v>-0.003695514271308949</v>
      </c>
      <c r="BL142" s="7">
        <f>G142-BK142</f>
        <v>4.336808689942018e-19</v>
      </c>
      <c r="BM142" s="5">
        <f>MAX(ABS(CG142),ABS(DI142),ABS(EK142),ABS(FM142),ABS(GO142),ABS(HQ142),ABS(IS142),ABS(JU142),ABS(KW142),ABS(LY142))</f>
        <v>2.6454533008646308e-17</v>
      </c>
      <c r="BN142" s="9">
        <f>COUNTA(BO142,CQ142,DS142,EU142,FW142,GY142,IA142,JC142,KE142,LG142)</f>
        <v>5</v>
      </c>
      <c r="BO142" t="inlineStr">
        <is>
          <t xml:space="preserve">Direct commodity holding</t>
        </is>
      </c>
      <c r="BP142" t="inlineStr">
        <is>
          <t xml:space="preserve">direct</t>
        </is>
      </c>
      <c r="BQ142" t="inlineStr">
        <is>
          <t xml:space="preserve">lease</t>
        </is>
      </c>
      <c r="BR142" t="inlineStr">
        <is>
          <t xml:space="preserve">long</t>
        </is>
      </c>
      <c r="BS142"/>
      <c r="BT142" s="4">
        <v>1.622</v>
      </c>
      <c r="BU142" s="4">
        <v>1.629</v>
      </c>
      <c r="BV142" s="6">
        <v>0.0025</v>
      </c>
      <c r="BW142" s="4">
        <v>0.414348239872445</v>
      </c>
      <c r="BX142" s="5">
        <f>IF(BP142="direct",IFERROR(CD142/BU142,0),0)</f>
        <v>0.0000028258064241155845</v>
      </c>
      <c r="BY142" s="5">
        <f>IF(BP142="direct",BW142-BX142,IF(BP142="cash",CI142,BW142))</f>
        <v>0.4143454140660209</v>
      </c>
      <c r="BZ142" s="6">
        <v>0.47426877559987124</v>
      </c>
      <c r="CA142" s="4">
        <v>0.6720728450731058</v>
      </c>
      <c r="CB142" s="4">
        <v>0.6720728450731058</v>
      </c>
      <c r="CC142" s="5">
        <f>IF(BP142="direct",BW142*(BU142-BT142),CF142)</f>
        <v>0.002900437679107072</v>
      </c>
      <c r="CD142" s="5">
        <f>IF(BP142="direct",CB142*BV142*C142/365,0)</f>
        <v>0.000004603238664884287</v>
      </c>
      <c r="CE142" s="5">
        <f>CC142-CD142</f>
        <v>0.0028958344404421766</v>
      </c>
      <c r="CF142" s="4">
        <v>0.0028958344404421766</v>
      </c>
      <c r="CG142" s="5">
        <f>CF142-CE142</f>
        <v>-1.101058128135865e-17</v>
      </c>
      <c r="CH142" s="4">
        <v>0</v>
      </c>
      <c r="CI142" s="4">
        <v>0.674968679513548</v>
      </c>
      <c r="CJ142" s="4">
        <v>1.622</v>
      </c>
      <c r="CK142" s="4">
        <v>1.629</v>
      </c>
      <c r="CL142" s="6"/>
      <c r="CM142" s="6"/>
      <c r="CN142" s="6"/>
      <c r="CO142" s="9"/>
      <c r="CP142" s="7">
        <f>IFERROR(CE142/F142,0)</f>
        <v>0.00204353421578736</v>
      </c>
      <c r="CQ142" t="inlineStr">
        <is>
          <t xml:space="preserve">Treasury collateral</t>
        </is>
      </c>
      <c r="CR142" t="inlineStr">
        <is>
          <t xml:space="preserve">treasury</t>
        </is>
      </c>
      <c r="CS142" t="inlineStr">
        <is>
          <t xml:space="preserve">lease</t>
        </is>
      </c>
      <c r="CT142" t="inlineStr">
        <is>
          <t xml:space="preserve">long</t>
        </is>
      </c>
      <c r="CU142"/>
      <c r="CV142" s="4">
        <v>103.64783513935161</v>
      </c>
      <c r="CW142" s="4">
        <v>103.66802516970341</v>
      </c>
      <c r="CX142" s="6"/>
      <c r="CY142" s="4">
        <v>0.007187789520628918</v>
      </c>
      <c r="CZ142" s="5">
        <f>IF(CR142="direct",IFERROR(DF142/CW142,0),0)</f>
        <v>0</v>
      </c>
      <c r="DA142" s="5">
        <f>IF(CR142="direct",CY142-CZ142,IF(CR142="cash",DK142,CY142))</f>
        <v>0.007187789520628918</v>
      </c>
      <c r="DB142" s="6">
        <v>0.5257312244001288</v>
      </c>
      <c r="DC142" s="4">
        <v>0.7449988232505053</v>
      </c>
      <c r="DD142" s="4">
        <v>0.7449988232505053</v>
      </c>
      <c r="DE142" s="5">
        <f>IF(CR142="direct",CY142*(CW142-CV142),DH142)</f>
        <v>0.00014512168858383907</v>
      </c>
      <c r="DF142" s="5">
        <f>IF(CR142="direct",DD142*CX142*C142/365,0)</f>
        <v>0</v>
      </c>
      <c r="DG142" s="5">
        <f>DE142-DF142</f>
        <v>0.00014512168858386553</v>
      </c>
      <c r="DH142" s="4">
        <v>0.00014512168858386553</v>
      </c>
      <c r="DI142" s="5">
        <f>DH142-DG142</f>
        <v>2.6454533008646308e-17</v>
      </c>
      <c r="DJ142" s="4">
        <v>-3.8624702394796095e-17</v>
      </c>
      <c r="DK142" s="4">
        <v>0.7451439449390891</v>
      </c>
      <c r="DL142" s="4">
        <v>1.622</v>
      </c>
      <c r="DM142" s="4">
        <v>1.629</v>
      </c>
      <c r="DN142" s="6"/>
      <c r="DO142" s="6"/>
      <c r="DP142" s="6"/>
      <c r="DQ142" s="9">
        <v>58</v>
      </c>
      <c r="DR142" s="7">
        <f>IFERROR(DG142/F142,0)</f>
        <v>0.00010240956179410726</v>
      </c>
      <c r="DS142" t="inlineStr">
        <is>
          <t xml:space="preserve">SI69U</t>
        </is>
      </c>
      <c r="DT142" t="inlineStr">
        <is>
          <t xml:space="preserve">future</t>
        </is>
      </c>
      <c r="DU142" t="inlineStr">
        <is>
          <t xml:space="preserve">lease</t>
        </is>
      </c>
      <c r="DV142" t="inlineStr">
        <is>
          <t xml:space="preserve">long</t>
        </is>
      </c>
      <c r="DW142" t="inlineStr">
        <is>
          <t xml:space="preserve">regular</t>
        </is>
      </c>
      <c r="DX142" s="4">
        <v>1.62</v>
      </c>
      <c r="DY142" s="4">
        <v>1.6019999999999999</v>
      </c>
      <c r="DZ142" s="6"/>
      <c r="EA142" s="4">
        <v>0.4598758168212995</v>
      </c>
      <c r="EB142" s="5">
        <f>IF(DT142="direct",IFERROR(EH142/DY142,0),0)</f>
        <v>0</v>
      </c>
      <c r="EC142" s="5">
        <f>IF(DT142="direct",EA142-EB142,IF(DT142="cash",EM142,EA142))</f>
        <v>0.4598758168212995</v>
      </c>
      <c r="ED142" s="6">
        <v>0.5257312244001288</v>
      </c>
      <c r="EE142" s="4">
        <v>0.7449988232505053</v>
      </c>
      <c r="EF142" s="4">
        <v>0</v>
      </c>
      <c r="EG142" s="5">
        <f>IF(DT142="direct",EA142*(DY142-DX142),EJ142)</f>
        <v>-0.008277764702783528</v>
      </c>
      <c r="EH142" s="5">
        <f>IF(DT142="direct",EF142*DZ142*C142/365,0)</f>
        <v>0</v>
      </c>
      <c r="EI142" s="5">
        <f>EG142-EH142</f>
        <v>-0.008277764702783528</v>
      </c>
      <c r="EJ142" s="4">
        <v>-0.008277764702783528</v>
      </c>
      <c r="EK142" s="5">
        <f>EJ142-EI142</f>
        <v>0</v>
      </c>
      <c r="EL142" s="4">
        <v>0.008277764702783528</v>
      </c>
      <c r="EM142" s="4">
        <v>0</v>
      </c>
      <c r="EN142" s="4">
        <v>1.622</v>
      </c>
      <c r="EO142" s="4">
        <v>1.629</v>
      </c>
      <c r="EP142" s="6">
        <v>-0.0012330456226880004</v>
      </c>
      <c r="EQ142" s="6">
        <v>0.0711</v>
      </c>
      <c r="ER142" s="6">
        <v>0.0788596836600193</v>
      </c>
      <c r="ES142" s="9">
        <v>58</v>
      </c>
      <c r="ET142" s="7">
        <f>IFERROR(EI142/F142,0)</f>
        <v>-0.005841458048890416</v>
      </c>
      <c r="EU142" t="inlineStr">
        <is>
          <t xml:space="preserve">Lease cash / margin / financing</t>
        </is>
      </c>
      <c r="EV142" t="inlineStr">
        <is>
          <t xml:space="preserve">cash</t>
        </is>
      </c>
      <c r="EW142" t="inlineStr">
        <is>
          <t xml:space="preserve">lease</t>
        </is>
      </c>
      <c r="EX142" t="inlineStr">
        <is>
          <t xml:space="preserve">cash</t>
        </is>
      </c>
      <c r="EY142"/>
      <c r="EZ142" s="4">
        <v>1</v>
      </c>
      <c r="FA142" s="4">
        <v>1</v>
      </c>
      <c r="FB142" s="6"/>
      <c r="FC142" s="4">
        <v>0</v>
      </c>
      <c r="FD142" s="5">
        <f>IF(EV142="direct",IFERROR(FJ142/FA142,0),0)</f>
        <v>0</v>
      </c>
      <c r="FE142" s="5">
        <f>IF(EV142="direct",FC142-FD142,IF(EV142="cash",FO142,FC142))</f>
        <v>-0.00827776470278349</v>
      </c>
      <c r="FF142" s="6"/>
      <c r="FG142" s="4">
        <v>0</v>
      </c>
      <c r="FH142" s="4">
        <v>0</v>
      </c>
      <c r="FI142" s="5">
        <f>IF(EV142="direct",FC142*(FA142-EZ142),FL142)</f>
        <v>0</v>
      </c>
      <c r="FJ142" s="5">
        <f>IF(EV142="direct",FH142*FB142*C142/365,0)</f>
        <v>0</v>
      </c>
      <c r="FK142" s="5">
        <f>FI142-FJ142</f>
        <v>0</v>
      </c>
      <c r="FL142" s="4">
        <v>0</v>
      </c>
      <c r="FM142" s="5">
        <f>FL142-FK142</f>
        <v>0</v>
      </c>
      <c r="FN142" s="4">
        <v>-0.00827776470278349</v>
      </c>
      <c r="FO142" s="4">
        <v>-0.00827776470278349</v>
      </c>
      <c r="FP142" s="4">
        <v>1.622</v>
      </c>
      <c r="FQ142" s="4">
        <v>1.629</v>
      </c>
      <c r="FR142" s="6"/>
      <c r="FS142" s="6"/>
      <c r="FT142" s="6"/>
      <c r="FU142" s="9"/>
      <c r="FV142" s="7">
        <f>IFERROR(FK142/F142,0)</f>
        <v>0</v>
      </c>
      <c r="FW142" t="inlineStr">
        <is>
          <t xml:space="preserve">Keep cash / margin / financing</t>
        </is>
      </c>
      <c r="FX142" t="inlineStr">
        <is>
          <t xml:space="preserve">cash</t>
        </is>
      </c>
      <c r="FY142" t="inlineStr">
        <is>
          <t xml:space="preserve">keep</t>
        </is>
      </c>
      <c r="FZ142" t="inlineStr">
        <is>
          <t xml:space="preserve">cash</t>
        </is>
      </c>
      <c r="GA142"/>
      <c r="GB142" s="4">
        <v>1</v>
      </c>
      <c r="GC142" s="4">
        <v>1</v>
      </c>
      <c r="GD142" s="6"/>
      <c r="GE142" s="4">
        <v>0</v>
      </c>
      <c r="GF142" s="5">
        <f>IF(FX142="direct",IFERROR(GL142/GC142,0),0)</f>
        <v>0</v>
      </c>
      <c r="GG142" s="5">
        <f>IF(FX142="direct",GE142-GF142,IF(FX142="cash",GQ142,GE142))</f>
        <v>0</v>
      </c>
      <c r="GH142" s="6"/>
      <c r="GI142" s="4">
        <v>0</v>
      </c>
      <c r="GJ142" s="4">
        <v>0</v>
      </c>
      <c r="GK142" s="5">
        <f>IF(FX142="direct",GE142*(GC142-GB142),GN142)</f>
        <v>0</v>
      </c>
      <c r="GL142" s="5">
        <f>IF(FX142="direct",GJ142*GD142*C142/365,0)</f>
        <v>0</v>
      </c>
      <c r="GM142" s="5">
        <f>GK142-GL142</f>
        <v>0</v>
      </c>
      <c r="GN142" s="4">
        <v>0</v>
      </c>
      <c r="GO142" s="5">
        <f>GN142-GM142</f>
        <v>0</v>
      </c>
      <c r="GP142" s="4">
        <v>0</v>
      </c>
      <c r="GQ142" s="4">
        <v>0</v>
      </c>
      <c r="GR142" s="4">
        <v>1.622</v>
      </c>
      <c r="GS142" s="4">
        <v>1.629</v>
      </c>
      <c r="GT142" s="6"/>
      <c r="GU142" s="6"/>
      <c r="GV142" s="6"/>
      <c r="GW142" s="9"/>
      <c r="GX142" s="7">
        <f>IFERROR(GM142/F142,0)</f>
        <v>0</v>
      </c>
      <c r="GY142"/>
      <c r="GZ142"/>
      <c r="HA142"/>
      <c r="HB142"/>
      <c r="HC142"/>
      <c r="HD142" s="4"/>
      <c r="HE142" s="4"/>
      <c r="HF142" s="6"/>
      <c r="HG142" s="4"/>
      <c r="HH142" s="5">
        <v>0</v>
      </c>
      <c r="HI142" s="5"/>
      <c r="HJ142" s="6"/>
      <c r="HK142" s="4"/>
      <c r="HL142" s="4"/>
      <c r="HM142" s="5">
        <v>0</v>
      </c>
      <c r="HN142" s="5">
        <v>0</v>
      </c>
      <c r="HO142" s="5"/>
      <c r="HP142" s="4"/>
      <c r="HQ142" s="5">
        <v>0</v>
      </c>
      <c r="HR142" s="4"/>
      <c r="HS142" s="4"/>
      <c r="HT142" s="4"/>
      <c r="HU142" s="4"/>
      <c r="HV142" s="6"/>
      <c r="HW142" s="6"/>
      <c r="HX142" s="6"/>
      <c r="HY142" s="9"/>
      <c r="HZ142"/>
      <c r="IA142"/>
      <c r="IB142"/>
      <c r="IC142"/>
      <c r="ID142"/>
      <c r="IE142"/>
      <c r="IF142" s="4"/>
      <c r="IG142" s="4"/>
      <c r="IH142" s="6"/>
      <c r="II142" s="4"/>
      <c r="IJ142" s="5">
        <v>0</v>
      </c>
      <c r="IK142" s="5"/>
      <c r="IL142" s="6"/>
      <c r="IM142" s="4"/>
      <c r="IN142" s="4"/>
      <c r="IO142" s="5">
        <v>0</v>
      </c>
      <c r="IP142" s="5">
        <v>0</v>
      </c>
      <c r="IQ142" s="5"/>
      <c r="IR142" s="4"/>
      <c r="IS142" s="5">
        <v>0</v>
      </c>
      <c r="IT142" s="4"/>
      <c r="IU142" s="4"/>
      <c r="IV142" s="4"/>
      <c r="IW142" s="4"/>
      <c r="IX142" s="6"/>
      <c r="IY142" s="6"/>
      <c r="IZ142" s="6"/>
      <c r="JA142" s="9"/>
      <c r="JB142"/>
      <c r="JC142"/>
      <c r="JD142"/>
      <c r="JE142"/>
      <c r="JF142"/>
      <c r="JG142"/>
      <c r="JH142" s="4"/>
      <c r="JI142" s="4"/>
      <c r="JJ142" s="6"/>
      <c r="JK142" s="4"/>
      <c r="JL142" s="5">
        <v>0</v>
      </c>
      <c r="JM142" s="5"/>
      <c r="JN142" s="6"/>
      <c r="JO142" s="4"/>
      <c r="JP142" s="4"/>
      <c r="JQ142" s="5">
        <v>0</v>
      </c>
      <c r="JR142" s="5">
        <v>0</v>
      </c>
      <c r="JS142" s="5"/>
      <c r="JT142" s="4"/>
      <c r="JU142" s="5">
        <v>0</v>
      </c>
      <c r="JV142" s="4"/>
      <c r="JW142" s="4"/>
      <c r="JX142" s="4"/>
      <c r="JY142" s="4"/>
      <c r="JZ142" s="6"/>
      <c r="KA142" s="6"/>
      <c r="KB142" s="6"/>
      <c r="KC142" s="9"/>
      <c r="KD142"/>
      <c r="KE142"/>
      <c r="KF142"/>
      <c r="KG142"/>
      <c r="KH142"/>
      <c r="KI142"/>
      <c r="KJ142" s="4"/>
      <c r="KK142" s="4"/>
      <c r="KL142" s="6"/>
      <c r="KM142" s="4"/>
      <c r="KN142" s="5">
        <v>0</v>
      </c>
      <c r="KO142" s="5"/>
      <c r="KP142" s="6"/>
      <c r="KQ142" s="4"/>
      <c r="KR142" s="4"/>
      <c r="KS142" s="5">
        <v>0</v>
      </c>
      <c r="KT142" s="5">
        <v>0</v>
      </c>
      <c r="KU142" s="5"/>
      <c r="KV142" s="4"/>
      <c r="KW142" s="5">
        <v>0</v>
      </c>
      <c r="KX142" s="4"/>
      <c r="KY142" s="4"/>
      <c r="KZ142" s="4"/>
      <c r="LA142" s="4"/>
      <c r="LB142" s="6"/>
      <c r="LC142" s="6"/>
      <c r="LD142" s="6"/>
      <c r="LE142" s="9"/>
      <c r="LF142"/>
      <c r="LG142"/>
      <c r="LH142"/>
      <c r="LI142"/>
      <c r="LJ142"/>
      <c r="LK142"/>
      <c r="LL142" s="4"/>
      <c r="LM142" s="4"/>
      <c r="LN142" s="6"/>
      <c r="LO142" s="4"/>
      <c r="LP142" s="5">
        <v>0</v>
      </c>
      <c r="LQ142" s="5"/>
      <c r="LR142" s="6"/>
      <c r="LS142" s="4"/>
      <c r="LT142" s="4"/>
      <c r="LU142" s="5">
        <v>0</v>
      </c>
      <c r="LV142" s="5">
        <v>0</v>
      </c>
      <c r="LW142" s="5"/>
      <c r="LX142" s="4"/>
      <c r="LY142" s="5">
        <v>0</v>
      </c>
      <c r="LZ142" s="4"/>
      <c r="MA142" s="4"/>
      <c r="MB142" s="4"/>
      <c r="MC142" s="4"/>
      <c r="MD142" s="6"/>
      <c r="ME142" s="6"/>
      <c r="MF142" s="6"/>
      <c r="MG142" s="9"/>
      <c r="MH142"/>
    </row>
    <row r="143">
      <c r="A143" s="8">
        <v>25415</v>
      </c>
      <c r="B143" s="8">
        <v>25416</v>
      </c>
      <c r="C143" s="9">
        <f>B143-A143</f>
        <v>1</v>
      </c>
      <c r="D143" s="8">
        <v>25415</v>
      </c>
      <c r="E143" t="inlineStr">
        <is>
          <t xml:space="preserve">positive</t>
        </is>
      </c>
      <c r="F143" s="4">
        <v>1.4118348597498536</v>
      </c>
      <c r="G143" s="6">
        <v>0.007059841636310904</v>
      </c>
      <c r="H143" s="7">
        <f>SUM(CP143,DR143,ET143,FV143,GX143,HZ143,JB143,KD143,LF143,MH143)</f>
        <v>0.007059841636310904</v>
      </c>
      <c r="I143" s="7">
        <f>G143-H143</f>
        <v>0</v>
      </c>
      <c r="J143" s="5">
        <f>F143*(1+H143)</f>
        <v>1.4218021902763105</v>
      </c>
      <c r="K143" s="4">
        <v>1.4218021902763105</v>
      </c>
      <c r="L143" s="5">
        <f>K143-J143</f>
        <v>0</v>
      </c>
      <c r="M143" s="4">
        <v>1.629</v>
      </c>
      <c r="N143" s="4">
        <v>1.614</v>
      </c>
      <c r="O143" s="5">
        <f>M143/$M$3</f>
        <v>0.8319713993871297</v>
      </c>
      <c r="P143" s="5">
        <f>N143/$M$3</f>
        <v>0.8243105209397344</v>
      </c>
      <c r="Q143" s="7">
        <f>IFERROR(N143/M143-1,0)</f>
        <v>-0.009208103130755041</v>
      </c>
      <c r="R143" s="5">
        <f>SUM(IF(BQ143="lease",CB143,0),IF(CS143="lease",DD143,0),IF(DU143="lease",EF143,0),IF(EW143="lease",FH143,0),IF(FY143="lease",GJ143,0),IF(HA143="lease",HL143,0),IF(IC143="lease",IN143,0),IF(JE143="lease",JP143,0),IF(KG143="lease",KR143,0),IF(LI143="lease",LT143,0))</f>
        <v>1.4118348597498536</v>
      </c>
      <c r="S143" s="5">
        <f>SUM(IF(BQ143="lease",CI143,0),IF(CS143="lease",DK143,0),IF(DU143="lease",EM143,0),IF(EW143="lease",FO143,0),IF(FY143="lease",GQ143,0),IF(HA143="lease",HS143,0),IF(IC143="lease",IU143,0),IF(JE143="lease",JW143,0),IF(KG143="lease",KY143,0),IF(LI143="lease",MA143,0))</f>
        <v>1.4218021902763107</v>
      </c>
      <c r="T143" s="5">
        <f>SUM(IF(BQ143="keep",CB143,0),IF(CS143="keep",DD143,0),IF(DU143="keep",EF143,0),IF(EW143="keep",FH143,0),IF(FY143="keep",GJ143,0),IF(HA143="keep",HL143,0),IF(IC143="keep",IN143,0),IF(JE143="keep",JP143,0),IF(KG143="keep",KR143,0),IF(LI143="keep",LT143,0))</f>
        <v>0</v>
      </c>
      <c r="U143" s="5">
        <f>SUM(IF(BQ143="keep",CI143,0),IF(CS143="keep",DK143,0),IF(DU143="keep",EM143,0),IF(EW143="keep",FO143,0),IF(FY143="keep",GQ143,0),IF(HA143="keep",HS143,0),IF(IC143="keep",IU143,0),IF(JE143="keep",JW143,0),IF(KG143="keep",KY143,0),IF(LI143="keep",MA143,0))</f>
        <v>0</v>
      </c>
      <c r="V143" s="5">
        <f>R143/O143</f>
        <v>1.6969752335114876</v>
      </c>
      <c r="W143" s="5">
        <f>S143/P143</f>
        <v>1.7248380970018689</v>
      </c>
      <c r="X143" s="5">
        <f>T143/O143</f>
        <v>0</v>
      </c>
      <c r="Y143" s="5">
        <f>U143/P143</f>
        <v>0</v>
      </c>
      <c r="Z143" s="5">
        <f>V143+X143</f>
        <v>1.6969752335114876</v>
      </c>
      <c r="AA143" s="7">
        <f>IFERROR(W143/V143-1,0)</f>
        <v>0.01641913384482674</v>
      </c>
      <c r="AB143" s="7">
        <f>IFERROR((W143-V143)/Z143,0)</f>
        <v>0.016419133844826756</v>
      </c>
      <c r="AC143" s="7">
        <f>IFERROR(Y143/X143-1,0)</f>
        <v>0</v>
      </c>
      <c r="AD143" s="7">
        <f>IFERROR((Y143-X143)/Z143,0)</f>
        <v>0</v>
      </c>
      <c r="AE143" s="7">
        <f>AB143+AD143</f>
        <v>0.016419133844826756</v>
      </c>
      <c r="AF143" s="7">
        <f>(1+Q143)*(1+AE143)-1</f>
        <v>0.007059841636310793</v>
      </c>
      <c r="AG143" s="7">
        <f>G143-AF143</f>
        <v>1.1102230246251565e-16</v>
      </c>
      <c r="AH143" s="5">
        <f>SUM(IF(BQ143="lease",CE143,0),IF(CS143="lease",DG143,0),IF(DU143="lease",EI143,0),IF(EW143="lease",FK143,0),IF(FY143="lease",GM143,0),IF(HA143="lease",HO143,0),IF(IC143="lease",IQ143,0),IF(JE143="lease",JS143,0),IF(KG143="lease",KU143,0),IF(LI143="lease",LW143,0))</f>
        <v>0.009967330526457182</v>
      </c>
      <c r="AI143" s="5">
        <f>SUM(IF(BQ143="keep",CE143,0),IF(CS143="keep",DG143,0),IF(DU143="keep",EI143,0),IF(EW143="keep",FK143,0),IF(FY143="keep",GM143,0),IF(HA143="keep",HO143,0),IF(IC143="keep",IQ143,0),IF(JE143="keep",JS143,0),IF(KG143="keep",KU143,0),IF(LI143="keep",LW143,0))</f>
        <v>0</v>
      </c>
      <c r="AJ143" s="5">
        <f>SUM(IF(BQ143="lease",CH143,0),IF(CS143="lease",DJ143,0),IF(DU143="lease",EL143,0),IF(EW143="lease",FN143,0),IF(FY143="lease",GP143,0),IF(HA143="lease",HR143,0),IF(IC143="lease",IT143,0),IF(JE143="lease",JV143,0),IF(KG143="lease",KX143,0),IF(LI143="lease",LZ143,0))</f>
        <v>0</v>
      </c>
      <c r="AK143" s="5">
        <f>SUM(IF(BQ143="keep",CH143,0),IF(CS143="keep",DJ143,0),IF(DU143="keep",EL143,0),IF(EW143="keep",FN143,0),IF(FY143="keep",GP143,0),IF(HA143="keep",HR143,0),IF(IC143="keep",IT143,0),IF(JE143="keep",JV143,0),IF(KG143="keep",KX143,0),IF(LI143="keep",LZ143,0))</f>
        <v>0</v>
      </c>
      <c r="AL143" s="5">
        <f>R143-S142</f>
        <v>-2.220446049250313e-16</v>
      </c>
      <c r="AM143" s="5">
        <f>T143-U142</f>
        <v>0</v>
      </c>
      <c r="AN143" s="5">
        <f>AN142</f>
        <v>1</v>
      </c>
      <c r="AO143" s="5">
        <f>AO142+AH143</f>
        <v>0.42180219027631105</v>
      </c>
      <c r="AP143" s="5">
        <f>AP142+AL143</f>
        <v>-6.661338147750939e-16</v>
      </c>
      <c r="AQ143" s="5">
        <f>AN143+AO143+AP143</f>
        <v>1.4218021902763105</v>
      </c>
      <c r="AR143" s="5">
        <f>S143-AQ143</f>
        <v>2.220446049250313e-16</v>
      </c>
      <c r="AS143" s="5">
        <f>AS142</f>
        <v>0</v>
      </c>
      <c r="AT143" s="5">
        <f>AT142+AI143</f>
        <v>0</v>
      </c>
      <c r="AU143" s="5">
        <f>AU142+AM143</f>
        <v>0</v>
      </c>
      <c r="AV143" s="5">
        <f>AS143+AT143+AU143</f>
        <v>0</v>
      </c>
      <c r="AW143" s="5">
        <f>U143-AV143</f>
        <v>0</v>
      </c>
      <c r="AX143" s="4">
        <v>1.4118348597498536</v>
      </c>
      <c r="AY143" s="4">
        <v>1.4218021902763107</v>
      </c>
      <c r="AZ143" s="5">
        <f>S143-AY143</f>
        <v>0</v>
      </c>
      <c r="BA143" s="4">
        <v>0</v>
      </c>
      <c r="BB143" s="4">
        <v>0</v>
      </c>
      <c r="BC143" s="5">
        <f>U143-BB143</f>
        <v>0</v>
      </c>
      <c r="BD143" s="7">
        <f>SUM(IF(BP143="direct",CC143/F143,0),IF(CR143="direct",DE143/F143,0),IF(DT143="direct",EG143/F143,0),IF(EV143="direct",FI143/F143,0),IF(FX143="direct",GK143/F143,0),IF(GZ143="direct",HM143/F143,0),IF(IB143="direct",IO143/F143,0),IF(JD143="direct",JQ143/F143,0),IF(KF143="direct",KS143/F143,0),IF(LH143="direct",LU143/F143,0))</f>
        <v>0</v>
      </c>
      <c r="BE143" s="7">
        <f>-SUM(IF(BP143="direct",CD143/F143,0),IF(CR143="direct",DF143/F143,0),IF(DT143="direct",EH143/F143,0),IF(EV143="direct",FJ143/F143,0),IF(FX143="direct",GL143/F143,0),IF(GZ143="direct",HN143/F143,0),IF(IB143="direct",IP143/F143,0),IF(JD143="direct",JR143/F143,0),IF(KF143="direct",KT143/F143,0),IF(LH143="direct",LV143/F143,0))</f>
        <v>0</v>
      </c>
      <c r="BF143" s="7">
        <f>BD143+BE143</f>
        <v>0</v>
      </c>
      <c r="BG143" s="7">
        <f>BF143-SUM(IF(BP143="direct",CP143,0),IF(CR143="direct",DR143,0),IF(DT143="direct",ET143,0),IF(EV143="direct",FV143,0),IF(FX143="direct",GX143,0),IF(GZ143="direct",HZ143,0),IF(IB143="direct",JB143,0),IF(JD143="direct",KD143,0),IF(KF143="direct",LF143,0),IF(LH143="direct",MH143,0))</f>
        <v>0</v>
      </c>
      <c r="BH143" s="7">
        <f>SUM(IF(BP143="treasury",CP143,0),IF(CR143="treasury",DR143,0),IF(DT143="treasury",ET143,0),IF(EV143="treasury",FV143,0),IF(FX143="treasury",GX143,0),IF(GZ143="treasury",HZ143,0),IF(IB143="treasury",JB143,0),IF(JD143="treasury",KD143,0),IF(KF143="treasury",LF143,0),IF(LH143="treasury",MH143,0))</f>
        <v>0.00019342465753424654</v>
      </c>
      <c r="BI143" s="7">
        <f>SUM(IF(BP143="future",CP143,0),IF(CR143="future",DR143,0),IF(DT143="future",ET143,0),IF(EV143="future",FV143,0),IF(FX143="future",GX143,0),IF(GZ143="future",HZ143,0),IF(IB143="future",JB143,0),IF(JD143="future",KD143,0),IF(KF143="future",LF143,0),IF(LH143="future",MH143,0))</f>
        <v>0.006866416978776657</v>
      </c>
      <c r="BJ143" s="7">
        <f>SUM(IF(BP143="cash",CP143,0),IF(CR143="cash",DR143,0),IF(DT143="cash",ET143,0),IF(EV143="cash",FV143,0),IF(FX143="cash",GX143,0),IF(GZ143="cash",HZ143,0),IF(IB143="cash",JB143,0),IF(JD143="cash",KD143,0),IF(KF143="cash",LF143,0),IF(LH143="cash",MH143,0))</f>
        <v>0</v>
      </c>
      <c r="BK143" s="7">
        <f>SUM(BF143,BH143,BI143,BJ143)</f>
        <v>0.007059841636310904</v>
      </c>
      <c r="BL143" s="7">
        <f>G143-BK143</f>
        <v>0</v>
      </c>
      <c r="BM143" s="5">
        <f>MAX(ABS(CG143),ABS(DI143),ABS(EK143),ABS(FM143),ABS(GO143),ABS(HQ143),ABS(IS143),ABS(JU143),ABS(KW143),ABS(LY143))</f>
        <v>1.7054500173196985e-16</v>
      </c>
      <c r="BN143" s="9">
        <f>COUNTA(BO143,CQ143,DS143,EU143,FW143,GY143,IA143,JC143,KE143,LG143)</f>
        <v>4</v>
      </c>
      <c r="BO143" t="inlineStr">
        <is>
          <t xml:space="preserve">Treasury collateral</t>
        </is>
      </c>
      <c r="BP143" t="inlineStr">
        <is>
          <t xml:space="preserve">treasury</t>
        </is>
      </c>
      <c r="BQ143" t="inlineStr">
        <is>
          <t xml:space="preserve">lease</t>
        </is>
      </c>
      <c r="BR143" t="inlineStr">
        <is>
          <t xml:space="preserve">long</t>
        </is>
      </c>
      <c r="BS143"/>
      <c r="BT143" s="4">
        <v>103.66802516970341</v>
      </c>
      <c r="BU143" s="4">
        <v>103.6880771219691</v>
      </c>
      <c r="BV143" s="6"/>
      <c r="BW143" s="4">
        <v>0.013618807317287037</v>
      </c>
      <c r="BX143" s="5">
        <f>IF(BP143="direct",IFERROR(CD143/BU143,0),0)</f>
        <v>0</v>
      </c>
      <c r="BY143" s="5">
        <f>IF(BP143="direct",BW143-BX143,IF(BP143="cash",CI143,BW143))</f>
        <v>0.013618807317287037</v>
      </c>
      <c r="BZ143" s="6">
        <v>1</v>
      </c>
      <c r="CA143" s="4">
        <v>1.4118348597498536</v>
      </c>
      <c r="CB143" s="4">
        <v>1.4118348597498536</v>
      </c>
      <c r="CC143" s="5">
        <f>IF(BP143="direct",BW143*(BU143-BT143),CF143)</f>
        <v>0.0002730836742418559</v>
      </c>
      <c r="CD143" s="5">
        <f>IF(BP143="direct",CB143*BV143*C143/365,0)</f>
        <v>0</v>
      </c>
      <c r="CE143" s="5">
        <f>CC143-CD143</f>
        <v>0.00027308367424202644</v>
      </c>
      <c r="CF143" s="4">
        <v>0.00027308367424202644</v>
      </c>
      <c r="CG143" s="5">
        <f>CF143-CE143</f>
        <v>1.7054500173196985e-16</v>
      </c>
      <c r="CH143" s="4">
        <v>-7.909254848281755e-17</v>
      </c>
      <c r="CI143" s="4">
        <v>1.4121079434240955</v>
      </c>
      <c r="CJ143" s="4">
        <v>1.629</v>
      </c>
      <c r="CK143" s="4">
        <v>1.614</v>
      </c>
      <c r="CL143" s="6"/>
      <c r="CM143" s="6"/>
      <c r="CN143" s="6"/>
      <c r="CO143" s="9">
        <v>57</v>
      </c>
      <c r="CP143" s="7">
        <f>IFERROR(CE143/F143,0)</f>
        <v>0.00019342465753424654</v>
      </c>
      <c r="CQ143" t="inlineStr">
        <is>
          <t xml:space="preserve">SI69U</t>
        </is>
      </c>
      <c r="CR143" t="inlineStr">
        <is>
          <t xml:space="preserve">future</t>
        </is>
      </c>
      <c r="CS143" t="inlineStr">
        <is>
          <t xml:space="preserve">lease</t>
        </is>
      </c>
      <c r="CT143" t="inlineStr">
        <is>
          <t xml:space="preserve">long</t>
        </is>
      </c>
      <c r="CU143" t="inlineStr">
        <is>
          <t xml:space="preserve">regular</t>
        </is>
      </c>
      <c r="CV143" s="4">
        <v>1.6019999999999999</v>
      </c>
      <c r="CW143" s="4">
        <v>1.6130000000000002</v>
      </c>
      <c r="CX143" s="6"/>
      <c r="CY143" s="4">
        <v>0.8812951683831796</v>
      </c>
      <c r="CZ143" s="5">
        <f>IF(CR143="direct",IFERROR(DF143/CW143,0),0)</f>
        <v>0</v>
      </c>
      <c r="DA143" s="5">
        <f>IF(CR143="direct",CY143-CZ143,IF(CR143="cash",DK143,CY143))</f>
        <v>0.8812951683831796</v>
      </c>
      <c r="DB143" s="6">
        <v>1</v>
      </c>
      <c r="DC143" s="4">
        <v>1.4118348597498536</v>
      </c>
      <c r="DD143" s="4">
        <v>0</v>
      </c>
      <c r="DE143" s="5">
        <f>IF(CR143="direct",CY143*(CW143-CV143),DH143)</f>
        <v>0.009694246852215154</v>
      </c>
      <c r="DF143" s="5">
        <f>IF(CR143="direct",DD143*CX143*C143/365,0)</f>
        <v>0</v>
      </c>
      <c r="DG143" s="5">
        <f>DE143-DF143</f>
        <v>0.009694246852215154</v>
      </c>
      <c r="DH143" s="4">
        <v>0.009694246852215154</v>
      </c>
      <c r="DI143" s="5">
        <f>DH143-DG143</f>
        <v>0</v>
      </c>
      <c r="DJ143" s="4">
        <v>-0.009694246852215154</v>
      </c>
      <c r="DK143" s="4">
        <v>0</v>
      </c>
      <c r="DL143" s="4">
        <v>1.629</v>
      </c>
      <c r="DM143" s="4">
        <v>1.614</v>
      </c>
      <c r="DN143" s="6">
        <v>-0.016574585635359185</v>
      </c>
      <c r="DO143" s="6">
        <v>0.0706</v>
      </c>
      <c r="DP143" s="6">
        <v>0.1767355045071246</v>
      </c>
      <c r="DQ143" s="9">
        <v>57</v>
      </c>
      <c r="DR143" s="7">
        <f>IFERROR(DG143/F143,0)</f>
        <v>0.006866416978776657</v>
      </c>
      <c r="DS143" t="inlineStr">
        <is>
          <t xml:space="preserve">Lease cash / margin / financing</t>
        </is>
      </c>
      <c r="DT143" t="inlineStr">
        <is>
          <t xml:space="preserve">cash</t>
        </is>
      </c>
      <c r="DU143" t="inlineStr">
        <is>
          <t xml:space="preserve">lease</t>
        </is>
      </c>
      <c r="DV143" t="inlineStr">
        <is>
          <t xml:space="preserve">cash</t>
        </is>
      </c>
      <c r="DW143"/>
      <c r="DX143" s="4">
        <v>1</v>
      </c>
      <c r="DY143" s="4">
        <v>1</v>
      </c>
      <c r="DZ143" s="6"/>
      <c r="EA143" s="4">
        <v>0</v>
      </c>
      <c r="EB143" s="5">
        <f>IF(DT143="direct",IFERROR(EH143/DY143,0),0)</f>
        <v>0</v>
      </c>
      <c r="EC143" s="5">
        <f>IF(DT143="direct",EA143-EB143,IF(DT143="cash",EM143,EA143))</f>
        <v>0.009694246852215234</v>
      </c>
      <c r="ED143" s="6"/>
      <c r="EE143" s="4">
        <v>0</v>
      </c>
      <c r="EF143" s="4">
        <v>0</v>
      </c>
      <c r="EG143" s="5">
        <f>IF(DT143="direct",EA143*(DY143-DX143),EJ143)</f>
        <v>0</v>
      </c>
      <c r="EH143" s="5">
        <f>IF(DT143="direct",EF143*DZ143*C143/365,0)</f>
        <v>0</v>
      </c>
      <c r="EI143" s="5">
        <f>EG143-EH143</f>
        <v>0</v>
      </c>
      <c r="EJ143" s="4">
        <v>0</v>
      </c>
      <c r="EK143" s="5">
        <f>EJ143-EI143</f>
        <v>0</v>
      </c>
      <c r="EL143" s="4">
        <v>0.009694246852215234</v>
      </c>
      <c r="EM143" s="4">
        <v>0.009694246852215234</v>
      </c>
      <c r="EN143" s="4">
        <v>1.629</v>
      </c>
      <c r="EO143" s="4">
        <v>1.614</v>
      </c>
      <c r="EP143" s="6"/>
      <c r="EQ143" s="6"/>
      <c r="ER143" s="6"/>
      <c r="ES143" s="9"/>
      <c r="ET143" s="7">
        <f>IFERROR(EI143/F143,0)</f>
        <v>0</v>
      </c>
      <c r="EU143" t="inlineStr">
        <is>
          <t xml:space="preserve">Keep cash / margin / financing</t>
        </is>
      </c>
      <c r="EV143" t="inlineStr">
        <is>
          <t xml:space="preserve">cash</t>
        </is>
      </c>
      <c r="EW143" t="inlineStr">
        <is>
          <t xml:space="preserve">keep</t>
        </is>
      </c>
      <c r="EX143" t="inlineStr">
        <is>
          <t xml:space="preserve">cash</t>
        </is>
      </c>
      <c r="EY143"/>
      <c r="EZ143" s="4">
        <v>1</v>
      </c>
      <c r="FA143" s="4">
        <v>1</v>
      </c>
      <c r="FB143" s="6"/>
      <c r="FC143" s="4">
        <v>0</v>
      </c>
      <c r="FD143" s="5">
        <f>IF(EV143="direct",IFERROR(FJ143/FA143,0),0)</f>
        <v>0</v>
      </c>
      <c r="FE143" s="5">
        <f>IF(EV143="direct",FC143-FD143,IF(EV143="cash",FO143,FC143))</f>
        <v>0</v>
      </c>
      <c r="FF143" s="6"/>
      <c r="FG143" s="4">
        <v>0</v>
      </c>
      <c r="FH143" s="4">
        <v>0</v>
      </c>
      <c r="FI143" s="5">
        <f>IF(EV143="direct",FC143*(FA143-EZ143),FL143)</f>
        <v>0</v>
      </c>
      <c r="FJ143" s="5">
        <f>IF(EV143="direct",FH143*FB143*C143/365,0)</f>
        <v>0</v>
      </c>
      <c r="FK143" s="5">
        <f>FI143-FJ143</f>
        <v>0</v>
      </c>
      <c r="FL143" s="4">
        <v>0</v>
      </c>
      <c r="FM143" s="5">
        <f>FL143-FK143</f>
        <v>0</v>
      </c>
      <c r="FN143" s="4">
        <v>0</v>
      </c>
      <c r="FO143" s="4">
        <v>0</v>
      </c>
      <c r="FP143" s="4">
        <v>1.629</v>
      </c>
      <c r="FQ143" s="4">
        <v>1.614</v>
      </c>
      <c r="FR143" s="6"/>
      <c r="FS143" s="6"/>
      <c r="FT143" s="6"/>
      <c r="FU143" s="9"/>
      <c r="FV143" s="7">
        <f>IFERROR(FK143/F143,0)</f>
        <v>0</v>
      </c>
      <c r="FW143"/>
      <c r="FX143"/>
      <c r="FY143"/>
      <c r="FZ143"/>
      <c r="GA143"/>
      <c r="GB143" s="4"/>
      <c r="GC143" s="4"/>
      <c r="GD143" s="6"/>
      <c r="GE143" s="4"/>
      <c r="GF143" s="5">
        <v>0</v>
      </c>
      <c r="GG143" s="5"/>
      <c r="GH143" s="6"/>
      <c r="GI143" s="4"/>
      <c r="GJ143" s="4"/>
      <c r="GK143" s="5">
        <v>0</v>
      </c>
      <c r="GL143" s="5">
        <v>0</v>
      </c>
      <c r="GM143" s="5"/>
      <c r="GN143" s="4"/>
      <c r="GO143" s="5">
        <v>0</v>
      </c>
      <c r="GP143" s="4"/>
      <c r="GQ143" s="4"/>
      <c r="GR143" s="4"/>
      <c r="GS143" s="4"/>
      <c r="GT143" s="6"/>
      <c r="GU143" s="6"/>
      <c r="GV143" s="6"/>
      <c r="GW143" s="9"/>
      <c r="GX143"/>
      <c r="GY143"/>
      <c r="GZ143"/>
      <c r="HA143"/>
      <c r="HB143"/>
      <c r="HC143"/>
      <c r="HD143" s="4"/>
      <c r="HE143" s="4"/>
      <c r="HF143" s="6"/>
      <c r="HG143" s="4"/>
      <c r="HH143" s="5">
        <v>0</v>
      </c>
      <c r="HI143" s="5"/>
      <c r="HJ143" s="6"/>
      <c r="HK143" s="4"/>
      <c r="HL143" s="4"/>
      <c r="HM143" s="5">
        <v>0</v>
      </c>
      <c r="HN143" s="5">
        <v>0</v>
      </c>
      <c r="HO143" s="5"/>
      <c r="HP143" s="4"/>
      <c r="HQ143" s="5">
        <v>0</v>
      </c>
      <c r="HR143" s="4"/>
      <c r="HS143" s="4"/>
      <c r="HT143" s="4"/>
      <c r="HU143" s="4"/>
      <c r="HV143" s="6"/>
      <c r="HW143" s="6"/>
      <c r="HX143" s="6"/>
      <c r="HY143" s="9"/>
      <c r="HZ143"/>
      <c r="IA143"/>
      <c r="IB143"/>
      <c r="IC143"/>
      <c r="ID143"/>
      <c r="IE143"/>
      <c r="IF143" s="4"/>
      <c r="IG143" s="4"/>
      <c r="IH143" s="6"/>
      <c r="II143" s="4"/>
      <c r="IJ143" s="5">
        <v>0</v>
      </c>
      <c r="IK143" s="5"/>
      <c r="IL143" s="6"/>
      <c r="IM143" s="4"/>
      <c r="IN143" s="4"/>
      <c r="IO143" s="5">
        <v>0</v>
      </c>
      <c r="IP143" s="5">
        <v>0</v>
      </c>
      <c r="IQ143" s="5"/>
      <c r="IR143" s="4"/>
      <c r="IS143" s="5">
        <v>0</v>
      </c>
      <c r="IT143" s="4"/>
      <c r="IU143" s="4"/>
      <c r="IV143" s="4"/>
      <c r="IW143" s="4"/>
      <c r="IX143" s="6"/>
      <c r="IY143" s="6"/>
      <c r="IZ143" s="6"/>
      <c r="JA143" s="9"/>
      <c r="JB143"/>
      <c r="JC143"/>
      <c r="JD143"/>
      <c r="JE143"/>
      <c r="JF143"/>
      <c r="JG143"/>
      <c r="JH143" s="4"/>
      <c r="JI143" s="4"/>
      <c r="JJ143" s="6"/>
      <c r="JK143" s="4"/>
      <c r="JL143" s="5">
        <v>0</v>
      </c>
      <c r="JM143" s="5"/>
      <c r="JN143" s="6"/>
      <c r="JO143" s="4"/>
      <c r="JP143" s="4"/>
      <c r="JQ143" s="5">
        <v>0</v>
      </c>
      <c r="JR143" s="5">
        <v>0</v>
      </c>
      <c r="JS143" s="5"/>
      <c r="JT143" s="4"/>
      <c r="JU143" s="5">
        <v>0</v>
      </c>
      <c r="JV143" s="4"/>
      <c r="JW143" s="4"/>
      <c r="JX143" s="4"/>
      <c r="JY143" s="4"/>
      <c r="JZ143" s="6"/>
      <c r="KA143" s="6"/>
      <c r="KB143" s="6"/>
      <c r="KC143" s="9"/>
      <c r="KD143"/>
      <c r="KE143"/>
      <c r="KF143"/>
      <c r="KG143"/>
      <c r="KH143"/>
      <c r="KI143"/>
      <c r="KJ143" s="4"/>
      <c r="KK143" s="4"/>
      <c r="KL143" s="6"/>
      <c r="KM143" s="4"/>
      <c r="KN143" s="5">
        <v>0</v>
      </c>
      <c r="KO143" s="5"/>
      <c r="KP143" s="6"/>
      <c r="KQ143" s="4"/>
      <c r="KR143" s="4"/>
      <c r="KS143" s="5">
        <v>0</v>
      </c>
      <c r="KT143" s="5">
        <v>0</v>
      </c>
      <c r="KU143" s="5"/>
      <c r="KV143" s="4"/>
      <c r="KW143" s="5">
        <v>0</v>
      </c>
      <c r="KX143" s="4"/>
      <c r="KY143" s="4"/>
      <c r="KZ143" s="4"/>
      <c r="LA143" s="4"/>
      <c r="LB143" s="6"/>
      <c r="LC143" s="6"/>
      <c r="LD143" s="6"/>
      <c r="LE143" s="9"/>
      <c r="LF143"/>
      <c r="LG143"/>
      <c r="LH143"/>
      <c r="LI143"/>
      <c r="LJ143"/>
      <c r="LK143"/>
      <c r="LL143" s="4"/>
      <c r="LM143" s="4"/>
      <c r="LN143" s="6"/>
      <c r="LO143" s="4"/>
      <c r="LP143" s="5">
        <v>0</v>
      </c>
      <c r="LQ143" s="5"/>
      <c r="LR143" s="6"/>
      <c r="LS143" s="4"/>
      <c r="LT143" s="4"/>
      <c r="LU143" s="5">
        <v>0</v>
      </c>
      <c r="LV143" s="5">
        <v>0</v>
      </c>
      <c r="LW143" s="5"/>
      <c r="LX143" s="4"/>
      <c r="LY143" s="5">
        <v>0</v>
      </c>
      <c r="LZ143" s="4"/>
      <c r="MA143" s="4"/>
      <c r="MB143" s="4"/>
      <c r="MC143" s="4"/>
      <c r="MD143" s="6"/>
      <c r="ME143" s="6"/>
      <c r="MF143" s="6"/>
      <c r="MG143" s="9"/>
      <c r="MH143"/>
    </row>
    <row r="144">
      <c r="A144" s="8">
        <v>25416</v>
      </c>
      <c r="B144" s="8">
        <v>25419</v>
      </c>
      <c r="C144" s="9">
        <f>B144-A144</f>
        <v>3</v>
      </c>
      <c r="D144" s="8">
        <v>25416</v>
      </c>
      <c r="E144" t="inlineStr">
        <is>
          <t xml:space="preserve">positive</t>
        </is>
      </c>
      <c r="F144" s="4">
        <v>1.4218021902763105</v>
      </c>
      <c r="G144" s="6">
        <v>-0.0024572190125341765</v>
      </c>
      <c r="H144" s="7">
        <f>SUM(CP144,DR144,ET144,FV144,GX144,HZ144,JB144,KD144,LF144,MH144)</f>
        <v>-0.0024572190125341765</v>
      </c>
      <c r="I144" s="7">
        <f>G144-H144</f>
        <v>0</v>
      </c>
      <c r="J144" s="5">
        <f>F144*(1+H144)</f>
        <v>1.4183085109023008</v>
      </c>
      <c r="K144" s="4">
        <v>1.4183085109023008</v>
      </c>
      <c r="L144" s="5">
        <f>K144-J144</f>
        <v>0</v>
      </c>
      <c r="M144" s="4">
        <v>1.614</v>
      </c>
      <c r="N144" s="4">
        <v>1.617</v>
      </c>
      <c r="O144" s="5">
        <f>M144/$M$3</f>
        <v>0.8243105209397344</v>
      </c>
      <c r="P144" s="5">
        <f>N144/$M$3</f>
        <v>0.8258426966292135</v>
      </c>
      <c r="Q144" s="7">
        <f>IFERROR(N144/M144-1,0)</f>
        <v>0.0018587360594795044</v>
      </c>
      <c r="R144" s="5">
        <f>SUM(IF(BQ144="lease",CB144,0),IF(CS144="lease",DD144,0),IF(DU144="lease",EF144,0),IF(EW144="lease",FH144,0),IF(FY144="lease",GJ144,0),IF(HA144="lease",HL144,0),IF(IC144="lease",IN144,0),IF(JE144="lease",JP144,0),IF(KG144="lease",KR144,0),IF(LI144="lease",LT144,0))</f>
        <v>1.4218021902763107</v>
      </c>
      <c r="S144" s="5">
        <f>SUM(IF(BQ144="lease",CI144,0),IF(CS144="lease",DK144,0),IF(DU144="lease",EM144,0),IF(EW144="lease",FO144,0),IF(FY144="lease",GQ144,0),IF(HA144="lease",HS144,0),IF(IC144="lease",IU144,0),IF(JE144="lease",JW144,0),IF(KG144="lease",KY144,0),IF(LI144="lease",MA144,0))</f>
        <v>1.418308510902301</v>
      </c>
      <c r="T144" s="5">
        <f>SUM(IF(BQ144="keep",CB144,0),IF(CS144="keep",DD144,0),IF(DU144="keep",EF144,0),IF(EW144="keep",FH144,0),IF(FY144="keep",GJ144,0),IF(HA144="keep",HL144,0),IF(IC144="keep",IN144,0),IF(JE144="keep",JP144,0),IF(KG144="keep",KR144,0),IF(LI144="keep",LT144,0))</f>
        <v>0</v>
      </c>
      <c r="U144" s="5">
        <f>SUM(IF(BQ144="keep",CI144,0),IF(CS144="keep",DK144,0),IF(DU144="keep",EM144,0),IF(EW144="keep",FO144,0),IF(FY144="keep",GQ144,0),IF(HA144="keep",HS144,0),IF(IC144="keep",IU144,0),IF(JE144="keep",JW144,0),IF(KG144="keep",KY144,0),IF(LI144="keep",MA144,0))</f>
        <v>0</v>
      </c>
      <c r="V144" s="5">
        <f>R144/O144</f>
        <v>1.7248380970018689</v>
      </c>
      <c r="W144" s="5">
        <f>S144/P144</f>
        <v>1.7174075846299972</v>
      </c>
      <c r="X144" s="5">
        <f>T144/O144</f>
        <v>0</v>
      </c>
      <c r="Y144" s="5">
        <f>U144/P144</f>
        <v>0</v>
      </c>
      <c r="Z144" s="5">
        <f>V144+X144</f>
        <v>1.7248380970018689</v>
      </c>
      <c r="AA144" s="7">
        <f>IFERROR(W144/V144-1,0)</f>
        <v>-0.004307947734217721</v>
      </c>
      <c r="AB144" s="7">
        <f>IFERROR((W144-V144)/Z144,0)</f>
        <v>-0.004307947734217743</v>
      </c>
      <c r="AC144" s="7">
        <f>IFERROR(Y144/X144-1,0)</f>
        <v>0</v>
      </c>
      <c r="AD144" s="7">
        <f>IFERROR((Y144-X144)/Z144,0)</f>
        <v>0</v>
      </c>
      <c r="AE144" s="7">
        <f>AB144+AD144</f>
        <v>-0.004307947734217743</v>
      </c>
      <c r="AF144" s="7">
        <f>(1+Q144)*(1+AE144)-1</f>
        <v>-0.002457219012534151</v>
      </c>
      <c r="AG144" s="7">
        <f>G144-AF144</f>
        <v>-2.5587171270657905e-17</v>
      </c>
      <c r="AH144" s="5">
        <f>SUM(IF(BQ144="lease",CE144,0),IF(CS144="lease",DG144,0),IF(DU144="lease",EI144,0),IF(EW144="lease",FK144,0),IF(FY144="lease",GM144,0),IF(HA144="lease",HO144,0),IF(IC144="lease",IQ144,0),IF(JE144="lease",JS144,0),IF(KG144="lease",KU144,0),IF(LI144="lease",LW144,0))</f>
        <v>-0.0034936793740096847</v>
      </c>
      <c r="AI144" s="5">
        <f>SUM(IF(BQ144="keep",CE144,0),IF(CS144="keep",DG144,0),IF(DU144="keep",EI144,0),IF(EW144="keep",FK144,0),IF(FY144="keep",GM144,0),IF(HA144="keep",HO144,0),IF(IC144="keep",IQ144,0),IF(JE144="keep",JS144,0),IF(KG144="keep",KU144,0),IF(LI144="keep",LW144,0))</f>
        <v>0</v>
      </c>
      <c r="AJ144" s="5">
        <f>SUM(IF(BQ144="lease",CH144,0),IF(CS144="lease",DJ144,0),IF(DU144="lease",EL144,0),IF(EW144="lease",FN144,0),IF(FY144="lease",GP144,0),IF(HA144="lease",HR144,0),IF(IC144="lease",IT144,0),IF(JE144="lease",JV144,0),IF(KG144="lease",KX144,0),IF(LI144="lease",LZ144,0))</f>
        <v>0</v>
      </c>
      <c r="AK144" s="5">
        <f>SUM(IF(BQ144="keep",CH144,0),IF(CS144="keep",DJ144,0),IF(DU144="keep",EL144,0),IF(EW144="keep",FN144,0),IF(FY144="keep",GP144,0),IF(HA144="keep",HR144,0),IF(IC144="keep",IT144,0),IF(JE144="keep",JV144,0),IF(KG144="keep",KX144,0),IF(LI144="keep",LZ144,0))</f>
        <v>0</v>
      </c>
      <c r="AL144" s="5">
        <f>R144-S143</f>
        <v>0</v>
      </c>
      <c r="AM144" s="5">
        <f>T144-U143</f>
        <v>0</v>
      </c>
      <c r="AN144" s="5">
        <f>AN143</f>
        <v>1</v>
      </c>
      <c r="AO144" s="5">
        <f>AO143+AH144</f>
        <v>0.41830851090230137</v>
      </c>
      <c r="AP144" s="5">
        <f>AP143+AL144</f>
        <v>-6.661338147750939e-16</v>
      </c>
      <c r="AQ144" s="5">
        <f>AN144+AO144+AP144</f>
        <v>1.4183085109023008</v>
      </c>
      <c r="AR144" s="5">
        <f>S144-AQ144</f>
        <v>2.220446049250313e-16</v>
      </c>
      <c r="AS144" s="5">
        <f>AS143</f>
        <v>0</v>
      </c>
      <c r="AT144" s="5">
        <f>AT143+AI144</f>
        <v>0</v>
      </c>
      <c r="AU144" s="5">
        <f>AU143+AM144</f>
        <v>0</v>
      </c>
      <c r="AV144" s="5">
        <f>AS144+AT144+AU144</f>
        <v>0</v>
      </c>
      <c r="AW144" s="5">
        <f>U144-AV144</f>
        <v>0</v>
      </c>
      <c r="AX144" s="4">
        <v>1.4218021902763107</v>
      </c>
      <c r="AY144" s="4">
        <v>1.418308510902301</v>
      </c>
      <c r="AZ144" s="5">
        <f>S144-AY144</f>
        <v>0</v>
      </c>
      <c r="BA144" s="4">
        <v>0</v>
      </c>
      <c r="BB144" s="4">
        <v>0</v>
      </c>
      <c r="BC144" s="5">
        <f>U144-BB144</f>
        <v>0</v>
      </c>
      <c r="BD144" s="7">
        <f>SUM(IF(BP144="direct",CC144/F144,0),IF(CR144="direct",DE144/F144,0),IF(DT144="direct",EG144/F144,0),IF(EV144="direct",FI144/F144,0),IF(FX144="direct",GK144/F144,0),IF(GZ144="direct",HM144/F144,0),IF(IB144="direct",IO144/F144,0),IF(JD144="direct",JQ144/F144,0),IF(KF144="direct",KS144/F144,0),IF(LH144="direct",LU144/F144,0))</f>
        <v>0.0009412846918547234</v>
      </c>
      <c r="BE144" s="7">
        <f>-SUM(IF(BP144="direct",CD144/F144,0),IF(CR144="direct",DF144/F144,0),IF(DT144="direct",EH144/F144,0),IF(EV144="direct",FJ144/F144,0),IF(FX144="direct",GL144/F144,0),IF(GZ144="direct",HN144/F144,0),IF(IB144="direct",IP144/F144,0),IF(JD144="direct",JR144/F144,0),IF(KF144="direct",KT144/F144,0),IF(LH144="direct",LV144/F144,0))</f>
        <v>-0.000010405708853791633</v>
      </c>
      <c r="BF144" s="7">
        <f>BD144+BE144</f>
        <v>0.0009308789830009317</v>
      </c>
      <c r="BG144" s="7">
        <f>BF144-SUM(IF(BP144="direct",CP144,0),IF(CR144="direct",DR144,0),IF(DT144="direct",ET144,0),IF(EV144="direct",FV144,0),IF(FX144="direct",GX144,0),IF(GZ144="direct",HZ144,0),IF(IB144="direct",JB144,0),IF(JD144="direct",KD144,0),IF(KF144="direct",LF144,0),IF(LH144="direct",MH144,0))</f>
        <v>-8.998878031629687e-18</v>
      </c>
      <c r="BH144" s="7">
        <f>SUM(IF(BP144="treasury",CP144,0),IF(CR144="treasury",DR144,0),IF(DT144="treasury",ET144,0),IF(EV144="treasury",FV144,0),IF(FX144="treasury",GX144,0),IF(GZ144="treasury",HZ144,0),IF(IB144="treasury",JB144,0),IF(JD144="treasury",KD144,0),IF(KF144="treasury",LF144,0),IF(LH144="treasury",MH144,0))</f>
        <v>0.00028398261784725893</v>
      </c>
      <c r="BI144" s="7">
        <f>SUM(IF(BP144="future",CP144,0),IF(CR144="future",DR144,0),IF(DT144="future",ET144,0),IF(EV144="future",FV144,0),IF(FX144="future",GX144,0),IF(GZ144="future",HZ144,0),IF(IB144="future",JB144,0),IF(JD144="future",KD144,0),IF(KF144="future",LF144,0),IF(LH144="future",MH144,0))</f>
        <v>-0.003672080613382376</v>
      </c>
      <c r="BJ144" s="7">
        <f>SUM(IF(BP144="cash",CP144,0),IF(CR144="cash",DR144,0),IF(DT144="cash",ET144,0),IF(EV144="cash",FV144,0),IF(FX144="cash",GX144,0),IF(GZ144="cash",HZ144,0),IF(IB144="cash",JB144,0),IF(JD144="cash",KD144,0),IF(KF144="cash",LF144,0),IF(LH144="cash",MH144,0))</f>
        <v>0</v>
      </c>
      <c r="BK144" s="7">
        <f>SUM(BF144,BH144,BI144,BJ144)</f>
        <v>-0.0024572190125341765</v>
      </c>
      <c r="BL144" s="7">
        <f>G144-BK144</f>
        <v>0</v>
      </c>
      <c r="BM144" s="5">
        <f>MAX(ABS(CG144),ABS(DI144),ABS(EK144),ABS(FM144),ABS(GO144),ABS(HQ144),ABS(IS144),ABS(JU144),ABS(KW144),ABS(LY144))</f>
        <v>1.2115959277525512e-16</v>
      </c>
      <c r="BN144" s="9">
        <f>COUNTA(BO144,CQ144,DS144,EU144,FW144,GY144,IA144,JC144,KE144,LG144)</f>
        <v>5</v>
      </c>
      <c r="BO144" t="inlineStr">
        <is>
          <t xml:space="preserve">Direct commodity holding</t>
        </is>
      </c>
      <c r="BP144" t="inlineStr">
        <is>
          <t xml:space="preserve">direct</t>
        </is>
      </c>
      <c r="BQ144" t="inlineStr">
        <is>
          <t xml:space="preserve">lease</t>
        </is>
      </c>
      <c r="BR144" t="inlineStr">
        <is>
          <t xml:space="preserve">long</t>
        </is>
      </c>
      <c r="BS144"/>
      <c r="BT144" s="4">
        <v>1.614</v>
      </c>
      <c r="BU144" s="4">
        <v>1.617</v>
      </c>
      <c r="BV144" s="6">
        <v>0.0025</v>
      </c>
      <c r="BW144" s="4">
        <v>0.44610687885088535</v>
      </c>
      <c r="BX144" s="5">
        <f>IF(BP144="direct",IFERROR(CD144/BU144,0),0)</f>
        <v>0.000009149573061038059</v>
      </c>
      <c r="BY144" s="5">
        <f>IF(BP144="direct",BW144-BX144,IF(BP144="cash",CI144,BW144))</f>
        <v>0.4460977292778243</v>
      </c>
      <c r="BZ144" s="6">
        <v>0.5064111642178595</v>
      </c>
      <c r="CA144" s="4">
        <v>0.720016502465329</v>
      </c>
      <c r="CB144" s="4">
        <v>0.720016502465329</v>
      </c>
      <c r="CC144" s="5">
        <f>IF(BP144="direct",BW144*(BU144-BT144),CF144)</f>
        <v>0.0013383206365526078</v>
      </c>
      <c r="CD144" s="5">
        <f>IF(BP144="direct",CB144*BV144*C144/365,0)</f>
        <v>0.00001479485963969854</v>
      </c>
      <c r="CE144" s="5">
        <f>CC144-CD144</f>
        <v>0.001323525776912922</v>
      </c>
      <c r="CF144" s="4">
        <v>0.001323525776912922</v>
      </c>
      <c r="CG144" s="5">
        <f>CF144-CE144</f>
        <v>1.2668224759135316e-17</v>
      </c>
      <c r="CH144" s="4">
        <v>0</v>
      </c>
      <c r="CI144" s="4">
        <v>0.721340028242242</v>
      </c>
      <c r="CJ144" s="4">
        <v>1.614</v>
      </c>
      <c r="CK144" s="4">
        <v>1.617</v>
      </c>
      <c r="CL144" s="6"/>
      <c r="CM144" s="6"/>
      <c r="CN144" s="6"/>
      <c r="CO144" s="9"/>
      <c r="CP144" s="7">
        <f>IFERROR(CE144/F144,0)</f>
        <v>0.0009308789830009407</v>
      </c>
      <c r="CQ144" t="inlineStr">
        <is>
          <t xml:space="preserve">Treasury collateral</t>
        </is>
      </c>
      <c r="CR144" t="inlineStr">
        <is>
          <t xml:space="preserve">treasury</t>
        </is>
      </c>
      <c r="CS144" t="inlineStr">
        <is>
          <t xml:space="preserve">lease</t>
        </is>
      </c>
      <c r="CT144" t="inlineStr">
        <is>
          <t xml:space="preserve">long</t>
        </is>
      </c>
      <c r="CU144"/>
      <c r="CV144" s="4">
        <v>103.6880771219691</v>
      </c>
      <c r="CW144" s="4">
        <v>103.7477332759297</v>
      </c>
      <c r="CX144" s="6"/>
      <c r="CY144" s="4">
        <v>0.006768239003848682</v>
      </c>
      <c r="CZ144" s="5">
        <f>IF(CR144="direct",IFERROR(DF144/CW144,0),0)</f>
        <v>0</v>
      </c>
      <c r="DA144" s="5">
        <f>IF(CR144="direct",CY144-CZ144,IF(CR144="cash",DK144,CY144))</f>
        <v>0.006768239003848682</v>
      </c>
      <c r="DB144" s="6">
        <v>0.49358883578214047</v>
      </c>
      <c r="DC144" s="4">
        <v>0.7017856878109815</v>
      </c>
      <c r="DD144" s="4">
        <v>0.7017856878109815</v>
      </c>
      <c r="DE144" s="5">
        <f>IF(CR144="direct",CY144*(CW144-CV144),DH144)</f>
        <v>0.00040376710805575437</v>
      </c>
      <c r="DF144" s="5">
        <f>IF(CR144="direct",DD144*CX144*C144/365,0)</f>
        <v>0</v>
      </c>
      <c r="DG144" s="5">
        <f>DE144-DF144</f>
        <v>0.0004037671080556332</v>
      </c>
      <c r="DH144" s="4">
        <v>0.0004037671080556332</v>
      </c>
      <c r="DI144" s="5">
        <f>DH144-DG144</f>
        <v>-1.2115959277525512e-16</v>
      </c>
      <c r="DJ144" s="4">
        <v>1.5265566588595902e-16</v>
      </c>
      <c r="DK144" s="4">
        <v>0.7021894549190373</v>
      </c>
      <c r="DL144" s="4">
        <v>1.614</v>
      </c>
      <c r="DM144" s="4">
        <v>1.617</v>
      </c>
      <c r="DN144" s="6"/>
      <c r="DO144" s="6"/>
      <c r="DP144" s="6"/>
      <c r="DQ144" s="9">
        <v>56</v>
      </c>
      <c r="DR144" s="7">
        <f>IFERROR(DG144/F144,0)</f>
        <v>0.00028398261784725893</v>
      </c>
      <c r="DS144" t="inlineStr">
        <is>
          <t xml:space="preserve">SI69U</t>
        </is>
      </c>
      <c r="DT144" t="inlineStr">
        <is>
          <t xml:space="preserve">future</t>
        </is>
      </c>
      <c r="DU144" t="inlineStr">
        <is>
          <t xml:space="preserve">lease</t>
        </is>
      </c>
      <c r="DV144" t="inlineStr">
        <is>
          <t xml:space="preserve">long</t>
        </is>
      </c>
      <c r="DW144" t="inlineStr">
        <is>
          <t xml:space="preserve">regular</t>
        </is>
      </c>
      <c r="DX144" s="4">
        <v>1.6130000000000002</v>
      </c>
      <c r="DY144" s="4">
        <v>1.601</v>
      </c>
      <c r="DZ144" s="6"/>
      <c r="EA144" s="4">
        <v>0.43508102158151357</v>
      </c>
      <c r="EB144" s="5">
        <f>IF(DT144="direct",IFERROR(EH144/DY144,0),0)</f>
        <v>0</v>
      </c>
      <c r="EC144" s="5">
        <f>IF(DT144="direct",EA144-EB144,IF(DT144="cash",EM144,EA144))</f>
        <v>0.43508102158151357</v>
      </c>
      <c r="ED144" s="6">
        <v>0.49358883578214047</v>
      </c>
      <c r="EE144" s="4">
        <v>0.7017856878109815</v>
      </c>
      <c r="EF144" s="4">
        <v>0</v>
      </c>
      <c r="EG144" s="5">
        <f>IF(DT144="direct",EA144*(DY144-DX144),EJ144)</f>
        <v>-0.00522097225897824</v>
      </c>
      <c r="EH144" s="5">
        <f>IF(DT144="direct",EF144*DZ144*C144/365,0)</f>
        <v>0</v>
      </c>
      <c r="EI144" s="5">
        <f>EG144-EH144</f>
        <v>-0.00522097225897824</v>
      </c>
      <c r="EJ144" s="4">
        <v>-0.00522097225897824</v>
      </c>
      <c r="EK144" s="5">
        <f>EJ144-EI144</f>
        <v>0</v>
      </c>
      <c r="EL144" s="4">
        <v>0.00522097225897824</v>
      </c>
      <c r="EM144" s="4">
        <v>0</v>
      </c>
      <c r="EN144" s="4">
        <v>1.614</v>
      </c>
      <c r="EO144" s="4">
        <v>1.617</v>
      </c>
      <c r="EP144" s="6">
        <v>-0.0006195786864930941</v>
      </c>
      <c r="EQ144" s="6">
        <v>0.07</v>
      </c>
      <c r="ER144" s="6">
        <v>0.07403832536732106</v>
      </c>
      <c r="ES144" s="9">
        <v>56</v>
      </c>
      <c r="ET144" s="7">
        <f>IFERROR(EI144/F144,0)</f>
        <v>-0.003672080613382376</v>
      </c>
      <c r="EU144" t="inlineStr">
        <is>
          <t xml:space="preserve">Lease cash / margin / financing</t>
        </is>
      </c>
      <c r="EV144" t="inlineStr">
        <is>
          <t xml:space="preserve">cash</t>
        </is>
      </c>
      <c r="EW144" t="inlineStr">
        <is>
          <t xml:space="preserve">lease</t>
        </is>
      </c>
      <c r="EX144" t="inlineStr">
        <is>
          <t xml:space="preserve">cash</t>
        </is>
      </c>
      <c r="EY144"/>
      <c r="EZ144" s="4">
        <v>1</v>
      </c>
      <c r="FA144" s="4">
        <v>1</v>
      </c>
      <c r="FB144" s="6"/>
      <c r="FC144" s="4">
        <v>2.220446049250313e-16</v>
      </c>
      <c r="FD144" s="5">
        <f>IF(EV144="direct",IFERROR(FJ144/FA144,0),0)</f>
        <v>0</v>
      </c>
      <c r="FE144" s="5">
        <f>IF(EV144="direct",FC144-FD144,IF(EV144="cash",FO144,FC144))</f>
        <v>-0.0052209722589781704</v>
      </c>
      <c r="FF144" s="6"/>
      <c r="FG144" s="4">
        <v>2.220446049250313e-16</v>
      </c>
      <c r="FH144" s="4">
        <v>2.220446049250313e-16</v>
      </c>
      <c r="FI144" s="5">
        <f>IF(EV144="direct",FC144*(FA144-EZ144),FL144)</f>
        <v>0</v>
      </c>
      <c r="FJ144" s="5">
        <f>IF(EV144="direct",FH144*FB144*C144/365,0)</f>
        <v>0</v>
      </c>
      <c r="FK144" s="5">
        <f>FI144-FJ144</f>
        <v>0</v>
      </c>
      <c r="FL144" s="4">
        <v>0</v>
      </c>
      <c r="FM144" s="5">
        <f>FL144-FK144</f>
        <v>0</v>
      </c>
      <c r="FN144" s="4">
        <v>-0.0052209722589783925</v>
      </c>
      <c r="FO144" s="4">
        <v>-0.0052209722589781704</v>
      </c>
      <c r="FP144" s="4">
        <v>1.614</v>
      </c>
      <c r="FQ144" s="4">
        <v>1.617</v>
      </c>
      <c r="FR144" s="6"/>
      <c r="FS144" s="6"/>
      <c r="FT144" s="6"/>
      <c r="FU144" s="9"/>
      <c r="FV144" s="7">
        <f>IFERROR(FK144/F144,0)</f>
        <v>0</v>
      </c>
      <c r="FW144" t="inlineStr">
        <is>
          <t xml:space="preserve">Keep cash / margin / financing</t>
        </is>
      </c>
      <c r="FX144" t="inlineStr">
        <is>
          <t xml:space="preserve">cash</t>
        </is>
      </c>
      <c r="FY144" t="inlineStr">
        <is>
          <t xml:space="preserve">keep</t>
        </is>
      </c>
      <c r="FZ144" t="inlineStr">
        <is>
          <t xml:space="preserve">cash</t>
        </is>
      </c>
      <c r="GA144"/>
      <c r="GB144" s="4">
        <v>1</v>
      </c>
      <c r="GC144" s="4">
        <v>1</v>
      </c>
      <c r="GD144" s="6"/>
      <c r="GE144" s="4">
        <v>0</v>
      </c>
      <c r="GF144" s="5">
        <f>IF(FX144="direct",IFERROR(GL144/GC144,0),0)</f>
        <v>0</v>
      </c>
      <c r="GG144" s="5">
        <f>IF(FX144="direct",GE144-GF144,IF(FX144="cash",GQ144,GE144))</f>
        <v>0</v>
      </c>
      <c r="GH144" s="6"/>
      <c r="GI144" s="4">
        <v>0</v>
      </c>
      <c r="GJ144" s="4">
        <v>0</v>
      </c>
      <c r="GK144" s="5">
        <f>IF(FX144="direct",GE144*(GC144-GB144),GN144)</f>
        <v>0</v>
      </c>
      <c r="GL144" s="5">
        <f>IF(FX144="direct",GJ144*GD144*C144/365,0)</f>
        <v>0</v>
      </c>
      <c r="GM144" s="5">
        <f>GK144-GL144</f>
        <v>0</v>
      </c>
      <c r="GN144" s="4">
        <v>0</v>
      </c>
      <c r="GO144" s="5">
        <f>GN144-GM144</f>
        <v>0</v>
      </c>
      <c r="GP144" s="4">
        <v>0</v>
      </c>
      <c r="GQ144" s="4">
        <v>0</v>
      </c>
      <c r="GR144" s="4">
        <v>1.614</v>
      </c>
      <c r="GS144" s="4">
        <v>1.617</v>
      </c>
      <c r="GT144" s="6"/>
      <c r="GU144" s="6"/>
      <c r="GV144" s="6"/>
      <c r="GW144" s="9"/>
      <c r="GX144" s="7">
        <f>IFERROR(GM144/F144,0)</f>
        <v>0</v>
      </c>
      <c r="GY144"/>
      <c r="GZ144"/>
      <c r="HA144"/>
      <c r="HB144"/>
      <c r="HC144"/>
      <c r="HD144" s="4"/>
      <c r="HE144" s="4"/>
      <c r="HF144" s="6"/>
      <c r="HG144" s="4"/>
      <c r="HH144" s="5">
        <v>0</v>
      </c>
      <c r="HI144" s="5"/>
      <c r="HJ144" s="6"/>
      <c r="HK144" s="4"/>
      <c r="HL144" s="4"/>
      <c r="HM144" s="5">
        <v>0</v>
      </c>
      <c r="HN144" s="5">
        <v>0</v>
      </c>
      <c r="HO144" s="5"/>
      <c r="HP144" s="4"/>
      <c r="HQ144" s="5">
        <v>0</v>
      </c>
      <c r="HR144" s="4"/>
      <c r="HS144" s="4"/>
      <c r="HT144" s="4"/>
      <c r="HU144" s="4"/>
      <c r="HV144" s="6"/>
      <c r="HW144" s="6"/>
      <c r="HX144" s="6"/>
      <c r="HY144" s="9"/>
      <c r="HZ144"/>
      <c r="IA144"/>
      <c r="IB144"/>
      <c r="IC144"/>
      <c r="ID144"/>
      <c r="IE144"/>
      <c r="IF144" s="4"/>
      <c r="IG144" s="4"/>
      <c r="IH144" s="6"/>
      <c r="II144" s="4"/>
      <c r="IJ144" s="5">
        <v>0</v>
      </c>
      <c r="IK144" s="5"/>
      <c r="IL144" s="6"/>
      <c r="IM144" s="4"/>
      <c r="IN144" s="4"/>
      <c r="IO144" s="5">
        <v>0</v>
      </c>
      <c r="IP144" s="5">
        <v>0</v>
      </c>
      <c r="IQ144" s="5"/>
      <c r="IR144" s="4"/>
      <c r="IS144" s="5">
        <v>0</v>
      </c>
      <c r="IT144" s="4"/>
      <c r="IU144" s="4"/>
      <c r="IV144" s="4"/>
      <c r="IW144" s="4"/>
      <c r="IX144" s="6"/>
      <c r="IY144" s="6"/>
      <c r="IZ144" s="6"/>
      <c r="JA144" s="9"/>
      <c r="JB144"/>
      <c r="JC144"/>
      <c r="JD144"/>
      <c r="JE144"/>
      <c r="JF144"/>
      <c r="JG144"/>
      <c r="JH144" s="4"/>
      <c r="JI144" s="4"/>
      <c r="JJ144" s="6"/>
      <c r="JK144" s="4"/>
      <c r="JL144" s="5">
        <v>0</v>
      </c>
      <c r="JM144" s="5"/>
      <c r="JN144" s="6"/>
      <c r="JO144" s="4"/>
      <c r="JP144" s="4"/>
      <c r="JQ144" s="5">
        <v>0</v>
      </c>
      <c r="JR144" s="5">
        <v>0</v>
      </c>
      <c r="JS144" s="5"/>
      <c r="JT144" s="4"/>
      <c r="JU144" s="5">
        <v>0</v>
      </c>
      <c r="JV144" s="4"/>
      <c r="JW144" s="4"/>
      <c r="JX144" s="4"/>
      <c r="JY144" s="4"/>
      <c r="JZ144" s="6"/>
      <c r="KA144" s="6"/>
      <c r="KB144" s="6"/>
      <c r="KC144" s="9"/>
      <c r="KD144"/>
      <c r="KE144"/>
      <c r="KF144"/>
      <c r="KG144"/>
      <c r="KH144"/>
      <c r="KI144"/>
      <c r="KJ144" s="4"/>
      <c r="KK144" s="4"/>
      <c r="KL144" s="6"/>
      <c r="KM144" s="4"/>
      <c r="KN144" s="5">
        <v>0</v>
      </c>
      <c r="KO144" s="5"/>
      <c r="KP144" s="6"/>
      <c r="KQ144" s="4"/>
      <c r="KR144" s="4"/>
      <c r="KS144" s="5">
        <v>0</v>
      </c>
      <c r="KT144" s="5">
        <v>0</v>
      </c>
      <c r="KU144" s="5"/>
      <c r="KV144" s="4"/>
      <c r="KW144" s="5">
        <v>0</v>
      </c>
      <c r="KX144" s="4"/>
      <c r="KY144" s="4"/>
      <c r="KZ144" s="4"/>
      <c r="LA144" s="4"/>
      <c r="LB144" s="6"/>
      <c r="LC144" s="6"/>
      <c r="LD144" s="6"/>
      <c r="LE144" s="9"/>
      <c r="LF144"/>
      <c r="LG144"/>
      <c r="LH144"/>
      <c r="LI144"/>
      <c r="LJ144"/>
      <c r="LK144"/>
      <c r="LL144" s="4"/>
      <c r="LM144" s="4"/>
      <c r="LN144" s="6"/>
      <c r="LO144" s="4"/>
      <c r="LP144" s="5">
        <v>0</v>
      </c>
      <c r="LQ144" s="5"/>
      <c r="LR144" s="6"/>
      <c r="LS144" s="4"/>
      <c r="LT144" s="4"/>
      <c r="LU144" s="5">
        <v>0</v>
      </c>
      <c r="LV144" s="5">
        <v>0</v>
      </c>
      <c r="LW144" s="5"/>
      <c r="LX144" s="4"/>
      <c r="LY144" s="5">
        <v>0</v>
      </c>
      <c r="LZ144" s="4"/>
      <c r="MA144" s="4"/>
      <c r="MB144" s="4"/>
      <c r="MC144" s="4"/>
      <c r="MD144" s="6"/>
      <c r="ME144" s="6"/>
      <c r="MF144" s="6"/>
      <c r="MG144" s="9"/>
      <c r="MH144"/>
    </row>
    <row r="145">
      <c r="A145" s="8">
        <v>25419</v>
      </c>
      <c r="B145" s="8">
        <v>25420</v>
      </c>
      <c r="C145" s="9">
        <f>B145-A145</f>
        <v>1</v>
      </c>
      <c r="D145" s="8">
        <v>25419</v>
      </c>
      <c r="E145" t="inlineStr">
        <is>
          <t xml:space="preserve">positive</t>
        </is>
      </c>
      <c r="F145" s="4">
        <v>1.4183085109023008</v>
      </c>
      <c r="G145" s="6">
        <v>0.015839020031629087</v>
      </c>
      <c r="H145" s="7">
        <f>SUM(CP145,DR145,ET145,FV145,GX145,HZ145,JB145,KD145,LF145,MH145)</f>
        <v>0.015839020031629087</v>
      </c>
      <c r="I145" s="7">
        <f>G145-H145</f>
        <v>0</v>
      </c>
      <c r="J145" s="5">
        <f>F145*(1+H145)</f>
        <v>1.4407731278175124</v>
      </c>
      <c r="K145" s="4">
        <v>1.4407731278175124</v>
      </c>
      <c r="L145" s="5">
        <f>K145-J145</f>
        <v>0</v>
      </c>
      <c r="M145" s="4">
        <v>1.617</v>
      </c>
      <c r="N145" s="4">
        <v>1.599</v>
      </c>
      <c r="O145" s="5">
        <f>M145/$M$3</f>
        <v>0.8258426966292135</v>
      </c>
      <c r="P145" s="5">
        <f>N145/$M$3</f>
        <v>0.8166496424923392</v>
      </c>
      <c r="Q145" s="7">
        <f>IFERROR(N145/M145-1,0)</f>
        <v>-0.011131725417439675</v>
      </c>
      <c r="R145" s="5">
        <f>SUM(IF(BQ145="lease",CB145,0),IF(CS145="lease",DD145,0),IF(DU145="lease",EF145,0),IF(EW145="lease",FH145,0),IF(FY145="lease",GJ145,0),IF(HA145="lease",HL145,0),IF(IC145="lease",IN145,0),IF(JE145="lease",JP145,0),IF(KG145="lease",KR145,0),IF(LI145="lease",LT145,0))</f>
        <v>1.418308510902301</v>
      </c>
      <c r="S145" s="5">
        <f>SUM(IF(BQ145="lease",CI145,0),IF(CS145="lease",DK145,0),IF(DU145="lease",EM145,0),IF(EW145="lease",FO145,0),IF(FY145="lease",GQ145,0),IF(HA145="lease",HS145,0),IF(IC145="lease",IU145,0),IF(JE145="lease",JW145,0),IF(KG145="lease",KY145,0),IF(LI145="lease",MA145,0))</f>
        <v>1.4407731278175127</v>
      </c>
      <c r="T145" s="5">
        <f>SUM(IF(BQ145="keep",CB145,0),IF(CS145="keep",DD145,0),IF(DU145="keep",EF145,0),IF(EW145="keep",FH145,0),IF(FY145="keep",GJ145,0),IF(HA145="keep",HL145,0),IF(IC145="keep",IN145,0),IF(JE145="keep",JP145,0),IF(KG145="keep",KR145,0),IF(LI145="keep",LT145,0))</f>
        <v>0</v>
      </c>
      <c r="U145" s="5">
        <f>SUM(IF(BQ145="keep",CI145,0),IF(CS145="keep",DK145,0),IF(DU145="keep",EM145,0),IF(EW145="keep",FO145,0),IF(FY145="keep",GQ145,0),IF(HA145="keep",HS145,0),IF(IC145="keep",IU145,0),IF(JE145="keep",JW145,0),IF(KG145="keep",KY145,0),IF(LI145="keep",MA145,0))</f>
        <v>0</v>
      </c>
      <c r="V145" s="5">
        <f>R145/O145</f>
        <v>1.7174075846299972</v>
      </c>
      <c r="W145" s="5">
        <f>S145/P145</f>
        <v>1.7642487706483363</v>
      </c>
      <c r="X145" s="5">
        <f>T145/O145</f>
        <v>0</v>
      </c>
      <c r="Y145" s="5">
        <f>U145/P145</f>
        <v>0</v>
      </c>
      <c r="Z145" s="5">
        <f>V145+X145</f>
        <v>1.7174075846299972</v>
      </c>
      <c r="AA145" s="7">
        <f>IFERROR(W145/V145-1,0)</f>
        <v>0.027274356092022556</v>
      </c>
      <c r="AB145" s="7">
        <f>IFERROR((W145-V145)/Z145,0)</f>
        <v>0.02727435609202266</v>
      </c>
      <c r="AC145" s="7">
        <f>IFERROR(Y145/X145-1,0)</f>
        <v>0</v>
      </c>
      <c r="AD145" s="7">
        <f>IFERROR((Y145-X145)/Z145,0)</f>
        <v>0</v>
      </c>
      <c r="AE145" s="7">
        <f>AB145+AD145</f>
        <v>0.02727435609202266</v>
      </c>
      <c r="AF145" s="7">
        <f>(1+Q145)*(1+AE145)-1</f>
        <v>0.01583902003162896</v>
      </c>
      <c r="AG145" s="7">
        <f>G145-AF145</f>
        <v>1.2836953722228372e-16</v>
      </c>
      <c r="AH145" s="5">
        <f>SUM(IF(BQ145="lease",CE145,0),IF(CS145="lease",DG145,0),IF(DU145="lease",EI145,0),IF(EW145="lease",FK145,0),IF(FY145="lease",GM145,0),IF(HA145="lease",HO145,0),IF(IC145="lease",IQ145,0),IF(JE145="lease",JS145,0),IF(KG145="lease",KU145,0),IF(LI145="lease",LW145,0))</f>
        <v>0.022464616915211566</v>
      </c>
      <c r="AI145" s="5">
        <f>SUM(IF(BQ145="keep",CE145,0),IF(CS145="keep",DG145,0),IF(DU145="keep",EI145,0),IF(EW145="keep",FK145,0),IF(FY145="keep",GM145,0),IF(HA145="keep",HO145,0),IF(IC145="keep",IQ145,0),IF(JE145="keep",JS145,0),IF(KG145="keep",KU145,0),IF(LI145="keep",LW145,0))</f>
        <v>0</v>
      </c>
      <c r="AJ145" s="5">
        <f>SUM(IF(BQ145="lease",CH145,0),IF(CS145="lease",DJ145,0),IF(DU145="lease",EL145,0),IF(EW145="lease",FN145,0),IF(FY145="lease",GP145,0),IF(HA145="lease",HR145,0),IF(IC145="lease",IT145,0),IF(JE145="lease",JV145,0),IF(KG145="lease",KX145,0),IF(LI145="lease",LZ145,0))</f>
        <v>0</v>
      </c>
      <c r="AK145" s="5">
        <f>SUM(IF(BQ145="keep",CH145,0),IF(CS145="keep",DJ145,0),IF(DU145="keep",EL145,0),IF(EW145="keep",FN145,0),IF(FY145="keep",GP145,0),IF(HA145="keep",HR145,0),IF(IC145="keep",IT145,0),IF(JE145="keep",JV145,0),IF(KG145="keep",KX145,0),IF(LI145="keep",LZ145,0))</f>
        <v>0</v>
      </c>
      <c r="AL145" s="5">
        <f>R145-S144</f>
        <v>0</v>
      </c>
      <c r="AM145" s="5">
        <f>T145-U144</f>
        <v>0</v>
      </c>
      <c r="AN145" s="5">
        <f>AN144</f>
        <v>1</v>
      </c>
      <c r="AO145" s="5">
        <f>AO144+AH145</f>
        <v>0.44077312781751293</v>
      </c>
      <c r="AP145" s="5">
        <f>AP144+AL145</f>
        <v>-6.661338147750939e-16</v>
      </c>
      <c r="AQ145" s="5">
        <f>AN145+AO145+AP145</f>
        <v>1.4407731278175122</v>
      </c>
      <c r="AR145" s="5">
        <f>S145-AQ145</f>
        <v>4.440892098500626e-16</v>
      </c>
      <c r="AS145" s="5">
        <f>AS144</f>
        <v>0</v>
      </c>
      <c r="AT145" s="5">
        <f>AT144+AI145</f>
        <v>0</v>
      </c>
      <c r="AU145" s="5">
        <f>AU144+AM145</f>
        <v>0</v>
      </c>
      <c r="AV145" s="5">
        <f>AS145+AT145+AU145</f>
        <v>0</v>
      </c>
      <c r="AW145" s="5">
        <f>U145-AV145</f>
        <v>0</v>
      </c>
      <c r="AX145" s="4">
        <v>1.418308510902301</v>
      </c>
      <c r="AY145" s="4">
        <v>1.4407731278175127</v>
      </c>
      <c r="AZ145" s="5">
        <f>S145-AY145</f>
        <v>0</v>
      </c>
      <c r="BA145" s="4">
        <v>0</v>
      </c>
      <c r="BB145" s="4">
        <v>0</v>
      </c>
      <c r="BC145" s="5">
        <f>U145-BB145</f>
        <v>0</v>
      </c>
      <c r="BD145" s="7">
        <f>SUM(IF(BP145="direct",CC145/F145,0),IF(CR145="direct",DE145/F145,0),IF(DT145="direct",EG145/F145,0),IF(EV145="direct",FI145/F145,0),IF(FX145="direct",GK145/F145,0),IF(GZ145="direct",HM145/F145,0),IF(IB145="direct",IO145/F145,0),IF(JD145="direct",JQ145/F145,0),IF(KF145="direct",KS145/F145,0),IF(LH145="direct",LU145/F145,0))</f>
        <v>-0.0009318073738658604</v>
      </c>
      <c r="BE145" s="7">
        <f>-SUM(IF(BP145="direct",CD145/F145,0),IF(CR145="direct",DF145/F145,0),IF(DT145="direct",EH145/F145,0),IF(EV145="direct",FJ145/F145,0),IF(FX145="direct",GL145/F145,0),IF(GZ145="direct",HN145/F145,0),IF(IB145="direct",IP145/F145,0),IF(JD145="direct",JR145/F145,0),IF(KF145="direct",KT145/F145,0),IF(LH145="direct",LV145/F145,0))</f>
        <v>-5.733380987599296e-7</v>
      </c>
      <c r="BF145" s="7">
        <f>BD145+BE145</f>
        <v>-0.0009323807119646203</v>
      </c>
      <c r="BG145" s="7">
        <f>BF145-SUM(IF(BP145="direct",CP145,0),IF(CR145="direct",DR145,0),IF(DT145="direct",ET145,0),IF(EV145="direct",FV145,0),IF(FX145="direct",GX145,0),IF(GZ145="direct",HZ145,0),IF(IB145="direct",JB145,0),IF(JD145="direct",KD145,0),IF(KF145="direct",LF145,0),IF(LH145="direct",MH145,0))</f>
        <v>-3.144186300207963e-18</v>
      </c>
      <c r="BH145" s="7">
        <f>SUM(IF(BP145="treasury",CP145,0),IF(CR145="treasury",DR145,0),IF(DT145="treasury",ET145,0),IF(EV145="treasury",FV145,0),IF(FX145="treasury",GX145,0),IF(GZ145="treasury",HZ145,0),IF(IB145="treasury",JB145,0),IF(JD145="treasury",KD145,0),IF(KF145="treasury",LF145,0),IF(LH145="treasury",MH145,0))</f>
        <v>0.00017397008160100491</v>
      </c>
      <c r="BI145" s="7">
        <f>SUM(IF(BP145="future",CP145,0),IF(CR145="future",DR145,0),IF(DT145="future",ET145,0),IF(EV145="future",FV145,0),IF(FX145="future",GX145,0),IF(GZ145="future",HZ145,0),IF(IB145="future",JB145,0),IF(JD145="future",KD145,0),IF(KF145="future",LF145,0),IF(LH145="future",MH145,0))</f>
        <v>0.0165974306619927</v>
      </c>
      <c r="BJ145" s="7">
        <f>SUM(IF(BP145="cash",CP145,0),IF(CR145="cash",DR145,0),IF(DT145="cash",ET145,0),IF(EV145="cash",FV145,0),IF(FX145="cash",GX145,0),IF(GZ145="cash",HZ145,0),IF(IB145="cash",JB145,0),IF(JD145="cash",KD145,0),IF(KF145="cash",LF145,0),IF(LH145="cash",MH145,0))</f>
        <v>0</v>
      </c>
      <c r="BK145" s="7">
        <f>SUM(BF145,BH145,BI145,BJ145)</f>
        <v>0.015839020031629087</v>
      </c>
      <c r="BL145" s="7">
        <f>G145-BK145</f>
        <v>0</v>
      </c>
      <c r="BM145" s="5">
        <f>MAX(ABS(CG145),ABS(DI145),ABS(EK145),ABS(FM145),ABS(GO145),ABS(HQ145),ABS(IS145),ABS(JU145),ABS(KW145),ABS(LY145))</f>
        <v>1.3427843906232972e-16</v>
      </c>
      <c r="BN145" s="9">
        <f>COUNTA(BO145,CQ145,DS145,EU145,FW145,GY145,IA145,JC145,KE145,LG145)</f>
        <v>5</v>
      </c>
      <c r="BO145" t="inlineStr">
        <is>
          <t xml:space="preserve">Direct commodity holding</t>
        </is>
      </c>
      <c r="BP145" t="inlineStr">
        <is>
          <t xml:space="preserve">direct</t>
        </is>
      </c>
      <c r="BQ145" t="inlineStr">
        <is>
          <t xml:space="preserve">lease</t>
        </is>
      </c>
      <c r="BR145" t="inlineStr">
        <is>
          <t xml:space="preserve">long</t>
        </is>
      </c>
      <c r="BS145"/>
      <c r="BT145" s="4">
        <v>1.617</v>
      </c>
      <c r="BU145" s="4">
        <v>1.599</v>
      </c>
      <c r="BV145" s="6">
        <v>0.0025</v>
      </c>
      <c r="BW145" s="4">
        <v>0.07342168493752615</v>
      </c>
      <c r="BX145" s="5">
        <f>IF(BP145="direct",IFERROR(CD145/BU145,0),0)</f>
        <v>5.085492839873371e-7</v>
      </c>
      <c r="BY145" s="5">
        <f>IF(BP145="direct",BW145-BX145,IF(BP145="cash",CI145,BW145))</f>
        <v>0.07342117638824217</v>
      </c>
      <c r="BZ145" s="6">
        <v>0.0837073624189497</v>
      </c>
      <c r="CA145" s="4">
        <v>0.11872286454397979</v>
      </c>
      <c r="CB145" s="4">
        <v>0.11872286454397979</v>
      </c>
      <c r="CC145" s="5">
        <f>IF(BP145="direct",BW145*(BU145-BT145),CF145)</f>
        <v>-0.0013215903288754719</v>
      </c>
      <c r="CD145" s="5">
        <f>IF(BP145="direct",CB145*BV145*C145/365,0)</f>
        <v>8.131703050957521e-7</v>
      </c>
      <c r="CE145" s="5">
        <f>CC145-CD145</f>
        <v>-0.0013224034991805632</v>
      </c>
      <c r="CF145" s="4">
        <v>-0.0013224034991805632</v>
      </c>
      <c r="CG145" s="5">
        <f>CF145-CE145</f>
        <v>4.42638242411416e-18</v>
      </c>
      <c r="CH145" s="4">
        <v>0</v>
      </c>
      <c r="CI145" s="4">
        <v>0.11740046104479922</v>
      </c>
      <c r="CJ145" s="4">
        <v>1.617</v>
      </c>
      <c r="CK145" s="4">
        <v>1.599</v>
      </c>
      <c r="CL145" s="6"/>
      <c r="CM145" s="6"/>
      <c r="CN145" s="6"/>
      <c r="CO145" s="9"/>
      <c r="CP145" s="7">
        <f>IFERROR(CE145/F145,0)</f>
        <v>-0.0009323807119646172</v>
      </c>
      <c r="CQ145" t="inlineStr">
        <is>
          <t xml:space="preserve">Treasury collateral</t>
        </is>
      </c>
      <c r="CR145" t="inlineStr">
        <is>
          <t xml:space="preserve">treasury</t>
        </is>
      </c>
      <c r="CS145" t="inlineStr">
        <is>
          <t xml:space="preserve">lease</t>
        </is>
      </c>
      <c r="CT145" t="inlineStr">
        <is>
          <t xml:space="preserve">long</t>
        </is>
      </c>
      <c r="CU145"/>
      <c r="CV145" s="4">
        <v>103.7477332759297</v>
      </c>
      <c r="CW145" s="4">
        <v>103.76743113323388</v>
      </c>
      <c r="CX145" s="6"/>
      <c r="CY145" s="4">
        <v>0.012526400387967178</v>
      </c>
      <c r="CZ145" s="5">
        <f>IF(CR145="direct",IFERROR(DF145/CW145,0),0)</f>
        <v>0</v>
      </c>
      <c r="DA145" s="5">
        <f>IF(CR145="direct",CY145-CZ145,IF(CR145="cash",DK145,CY145))</f>
        <v>0.012526400387967178</v>
      </c>
      <c r="DB145" s="6">
        <v>0.9162926375810503</v>
      </c>
      <c r="DC145" s="4">
        <v>1.299585646358321</v>
      </c>
      <c r="DD145" s="4">
        <v>1.299585646358321</v>
      </c>
      <c r="DE145" s="5">
        <f>IF(CR145="direct",CY145*(CW145-CV145),DH145)</f>
        <v>0.0002467432473772073</v>
      </c>
      <c r="DF145" s="5">
        <f>IF(CR145="direct",DD145*CX145*C145/365,0)</f>
        <v>0</v>
      </c>
      <c r="DG145" s="5">
        <f>DE145-DF145</f>
        <v>0.00024674324737707304</v>
      </c>
      <c r="DH145" s="4">
        <v>0.00024674324737707304</v>
      </c>
      <c r="DI145" s="5">
        <f>DH145-DG145</f>
        <v>-1.3427843906232972e-16</v>
      </c>
      <c r="DJ145" s="4">
        <v>9.497611030973019e-17</v>
      </c>
      <c r="DK145" s="4">
        <v>1.2998323896056982</v>
      </c>
      <c r="DL145" s="4">
        <v>1.617</v>
      </c>
      <c r="DM145" s="4">
        <v>1.599</v>
      </c>
      <c r="DN145" s="6"/>
      <c r="DO145" s="6"/>
      <c r="DP145" s="6"/>
      <c r="DQ145" s="9">
        <v>53</v>
      </c>
      <c r="DR145" s="7">
        <f>IFERROR(DG145/F145,0)</f>
        <v>0.00017397008160100491</v>
      </c>
      <c r="DS145" t="inlineStr">
        <is>
          <t xml:space="preserve">SI69U</t>
        </is>
      </c>
      <c r="DT145" t="inlineStr">
        <is>
          <t xml:space="preserve">future</t>
        </is>
      </c>
      <c r="DU145" t="inlineStr">
        <is>
          <t xml:space="preserve">lease</t>
        </is>
      </c>
      <c r="DV145" t="inlineStr">
        <is>
          <t xml:space="preserve">long</t>
        </is>
      </c>
      <c r="DW145" t="inlineStr">
        <is>
          <t xml:space="preserve">regular</t>
        </is>
      </c>
      <c r="DX145" s="4">
        <v>1.601</v>
      </c>
      <c r="DY145" s="4">
        <v>1.63</v>
      </c>
      <c r="DZ145" s="6"/>
      <c r="EA145" s="4">
        <v>0.8117336954143167</v>
      </c>
      <c r="EB145" s="5">
        <f>IF(DT145="direct",IFERROR(EH145/DY145,0),0)</f>
        <v>0</v>
      </c>
      <c r="EC145" s="5">
        <f>IF(DT145="direct",EA145-EB145,IF(DT145="cash",EM145,EA145))</f>
        <v>0.8117336954143167</v>
      </c>
      <c r="ED145" s="6">
        <v>0.9162926375810503</v>
      </c>
      <c r="EE145" s="4">
        <v>1.299585646358321</v>
      </c>
      <c r="EF145" s="4">
        <v>0</v>
      </c>
      <c r="EG145" s="5">
        <f>IF(DT145="direct",EA145*(DY145-DX145),EJ145)</f>
        <v>0.023540277167015056</v>
      </c>
      <c r="EH145" s="5">
        <f>IF(DT145="direct",EF145*DZ145*C145/365,0)</f>
        <v>0</v>
      </c>
      <c r="EI145" s="5">
        <f>EG145-EH145</f>
        <v>0.023540277167015056</v>
      </c>
      <c r="EJ145" s="4">
        <v>0.023540277167015056</v>
      </c>
      <c r="EK145" s="5">
        <f>EJ145-EI145</f>
        <v>0</v>
      </c>
      <c r="EL145" s="4">
        <v>-0.023540277167015056</v>
      </c>
      <c r="EM145" s="4">
        <v>0</v>
      </c>
      <c r="EN145" s="4">
        <v>1.617</v>
      </c>
      <c r="EO145" s="4">
        <v>1.599</v>
      </c>
      <c r="EP145" s="6">
        <v>-0.009894867037724242</v>
      </c>
      <c r="EQ145" s="6">
        <v>0.0693</v>
      </c>
      <c r="ER145" s="6">
        <v>0.13744389563715753</v>
      </c>
      <c r="ES145" s="9">
        <v>53</v>
      </c>
      <c r="ET145" s="7">
        <f>IFERROR(EI145/F145,0)</f>
        <v>0.0165974306619927</v>
      </c>
      <c r="EU145" t="inlineStr">
        <is>
          <t xml:space="preserve">Lease cash / margin / financing</t>
        </is>
      </c>
      <c r="EV145" t="inlineStr">
        <is>
          <t xml:space="preserve">cash</t>
        </is>
      </c>
      <c r="EW145" t="inlineStr">
        <is>
          <t xml:space="preserve">lease</t>
        </is>
      </c>
      <c r="EX145" t="inlineStr">
        <is>
          <t xml:space="preserve">cash</t>
        </is>
      </c>
      <c r="EY145"/>
      <c r="EZ145" s="4">
        <v>1</v>
      </c>
      <c r="FA145" s="4">
        <v>1</v>
      </c>
      <c r="FB145" s="6"/>
      <c r="FC145" s="4">
        <v>2.220446049250313e-16</v>
      </c>
      <c r="FD145" s="5">
        <f>IF(EV145="direct",IFERROR(FJ145/FA145,0),0)</f>
        <v>0</v>
      </c>
      <c r="FE145" s="5">
        <f>IF(EV145="direct",FC145-FD145,IF(EV145="cash",FO145,FC145))</f>
        <v>0.023540277167015185</v>
      </c>
      <c r="FF145" s="6"/>
      <c r="FG145" s="4">
        <v>2.220446049250313e-16</v>
      </c>
      <c r="FH145" s="4">
        <v>2.220446049250313e-16</v>
      </c>
      <c r="FI145" s="5">
        <f>IF(EV145="direct",FC145*(FA145-EZ145),FL145)</f>
        <v>0</v>
      </c>
      <c r="FJ145" s="5">
        <f>IF(EV145="direct",FH145*FB145*C145/365,0)</f>
        <v>0</v>
      </c>
      <c r="FK145" s="5">
        <f>FI145-FJ145</f>
        <v>0</v>
      </c>
      <c r="FL145" s="4">
        <v>0</v>
      </c>
      <c r="FM145" s="5">
        <f>FL145-FK145</f>
        <v>0</v>
      </c>
      <c r="FN145" s="4">
        <v>0.023540277167014963</v>
      </c>
      <c r="FO145" s="4">
        <v>0.023540277167015185</v>
      </c>
      <c r="FP145" s="4">
        <v>1.617</v>
      </c>
      <c r="FQ145" s="4">
        <v>1.599</v>
      </c>
      <c r="FR145" s="6"/>
      <c r="FS145" s="6"/>
      <c r="FT145" s="6"/>
      <c r="FU145" s="9"/>
      <c r="FV145" s="7">
        <f>IFERROR(FK145/F145,0)</f>
        <v>0</v>
      </c>
      <c r="FW145" t="inlineStr">
        <is>
          <t xml:space="preserve">Keep cash / margin / financing</t>
        </is>
      </c>
      <c r="FX145" t="inlineStr">
        <is>
          <t xml:space="preserve">cash</t>
        </is>
      </c>
      <c r="FY145" t="inlineStr">
        <is>
          <t xml:space="preserve">keep</t>
        </is>
      </c>
      <c r="FZ145" t="inlineStr">
        <is>
          <t xml:space="preserve">cash</t>
        </is>
      </c>
      <c r="GA145"/>
      <c r="GB145" s="4">
        <v>1</v>
      </c>
      <c r="GC145" s="4">
        <v>1</v>
      </c>
      <c r="GD145" s="6"/>
      <c r="GE145" s="4">
        <v>0</v>
      </c>
      <c r="GF145" s="5">
        <f>IF(FX145="direct",IFERROR(GL145/GC145,0),0)</f>
        <v>0</v>
      </c>
      <c r="GG145" s="5">
        <f>IF(FX145="direct",GE145-GF145,IF(FX145="cash",GQ145,GE145))</f>
        <v>0</v>
      </c>
      <c r="GH145" s="6"/>
      <c r="GI145" s="4">
        <v>0</v>
      </c>
      <c r="GJ145" s="4">
        <v>0</v>
      </c>
      <c r="GK145" s="5">
        <f>IF(FX145="direct",GE145*(GC145-GB145),GN145)</f>
        <v>0</v>
      </c>
      <c r="GL145" s="5">
        <f>IF(FX145="direct",GJ145*GD145*C145/365,0)</f>
        <v>0</v>
      </c>
      <c r="GM145" s="5">
        <f>GK145-GL145</f>
        <v>0</v>
      </c>
      <c r="GN145" s="4">
        <v>0</v>
      </c>
      <c r="GO145" s="5">
        <f>GN145-GM145</f>
        <v>0</v>
      </c>
      <c r="GP145" s="4">
        <v>0</v>
      </c>
      <c r="GQ145" s="4">
        <v>0</v>
      </c>
      <c r="GR145" s="4">
        <v>1.617</v>
      </c>
      <c r="GS145" s="4">
        <v>1.599</v>
      </c>
      <c r="GT145" s="6"/>
      <c r="GU145" s="6"/>
      <c r="GV145" s="6"/>
      <c r="GW145" s="9"/>
      <c r="GX145" s="7">
        <f>IFERROR(GM145/F145,0)</f>
        <v>0</v>
      </c>
      <c r="GY145"/>
      <c r="GZ145"/>
      <c r="HA145"/>
      <c r="HB145"/>
      <c r="HC145"/>
      <c r="HD145" s="4"/>
      <c r="HE145" s="4"/>
      <c r="HF145" s="6"/>
      <c r="HG145" s="4"/>
      <c r="HH145" s="5">
        <v>0</v>
      </c>
      <c r="HI145" s="5"/>
      <c r="HJ145" s="6"/>
      <c r="HK145" s="4"/>
      <c r="HL145" s="4"/>
      <c r="HM145" s="5">
        <v>0</v>
      </c>
      <c r="HN145" s="5">
        <v>0</v>
      </c>
      <c r="HO145" s="5"/>
      <c r="HP145" s="4"/>
      <c r="HQ145" s="5">
        <v>0</v>
      </c>
      <c r="HR145" s="4"/>
      <c r="HS145" s="4"/>
      <c r="HT145" s="4"/>
      <c r="HU145" s="4"/>
      <c r="HV145" s="6"/>
      <c r="HW145" s="6"/>
      <c r="HX145" s="6"/>
      <c r="HY145" s="9"/>
      <c r="HZ145"/>
      <c r="IA145"/>
      <c r="IB145"/>
      <c r="IC145"/>
      <c r="ID145"/>
      <c r="IE145"/>
      <c r="IF145" s="4"/>
      <c r="IG145" s="4"/>
      <c r="IH145" s="6"/>
      <c r="II145" s="4"/>
      <c r="IJ145" s="5">
        <v>0</v>
      </c>
      <c r="IK145" s="5"/>
      <c r="IL145" s="6"/>
      <c r="IM145" s="4"/>
      <c r="IN145" s="4"/>
      <c r="IO145" s="5">
        <v>0</v>
      </c>
      <c r="IP145" s="5">
        <v>0</v>
      </c>
      <c r="IQ145" s="5"/>
      <c r="IR145" s="4"/>
      <c r="IS145" s="5">
        <v>0</v>
      </c>
      <c r="IT145" s="4"/>
      <c r="IU145" s="4"/>
      <c r="IV145" s="4"/>
      <c r="IW145" s="4"/>
      <c r="IX145" s="6"/>
      <c r="IY145" s="6"/>
      <c r="IZ145" s="6"/>
      <c r="JA145" s="9"/>
      <c r="JB145"/>
      <c r="JC145"/>
      <c r="JD145"/>
      <c r="JE145"/>
      <c r="JF145"/>
      <c r="JG145"/>
      <c r="JH145" s="4"/>
      <c r="JI145" s="4"/>
      <c r="JJ145" s="6"/>
      <c r="JK145" s="4"/>
      <c r="JL145" s="5">
        <v>0</v>
      </c>
      <c r="JM145" s="5"/>
      <c r="JN145" s="6"/>
      <c r="JO145" s="4"/>
      <c r="JP145" s="4"/>
      <c r="JQ145" s="5">
        <v>0</v>
      </c>
      <c r="JR145" s="5">
        <v>0</v>
      </c>
      <c r="JS145" s="5"/>
      <c r="JT145" s="4"/>
      <c r="JU145" s="5">
        <v>0</v>
      </c>
      <c r="JV145" s="4"/>
      <c r="JW145" s="4"/>
      <c r="JX145" s="4"/>
      <c r="JY145" s="4"/>
      <c r="JZ145" s="6"/>
      <c r="KA145" s="6"/>
      <c r="KB145" s="6"/>
      <c r="KC145" s="9"/>
      <c r="KD145"/>
      <c r="KE145"/>
      <c r="KF145"/>
      <c r="KG145"/>
      <c r="KH145"/>
      <c r="KI145"/>
      <c r="KJ145" s="4"/>
      <c r="KK145" s="4"/>
      <c r="KL145" s="6"/>
      <c r="KM145" s="4"/>
      <c r="KN145" s="5">
        <v>0</v>
      </c>
      <c r="KO145" s="5"/>
      <c r="KP145" s="6"/>
      <c r="KQ145" s="4"/>
      <c r="KR145" s="4"/>
      <c r="KS145" s="5">
        <v>0</v>
      </c>
      <c r="KT145" s="5">
        <v>0</v>
      </c>
      <c r="KU145" s="5"/>
      <c r="KV145" s="4"/>
      <c r="KW145" s="5">
        <v>0</v>
      </c>
      <c r="KX145" s="4"/>
      <c r="KY145" s="4"/>
      <c r="KZ145" s="4"/>
      <c r="LA145" s="4"/>
      <c r="LB145" s="6"/>
      <c r="LC145" s="6"/>
      <c r="LD145" s="6"/>
      <c r="LE145" s="9"/>
      <c r="LF145"/>
      <c r="LG145"/>
      <c r="LH145"/>
      <c r="LI145"/>
      <c r="LJ145"/>
      <c r="LK145"/>
      <c r="LL145" s="4"/>
      <c r="LM145" s="4"/>
      <c r="LN145" s="6"/>
      <c r="LO145" s="4"/>
      <c r="LP145" s="5">
        <v>0</v>
      </c>
      <c r="LQ145" s="5"/>
      <c r="LR145" s="6"/>
      <c r="LS145" s="4"/>
      <c r="LT145" s="4"/>
      <c r="LU145" s="5">
        <v>0</v>
      </c>
      <c r="LV145" s="5">
        <v>0</v>
      </c>
      <c r="LW145" s="5"/>
      <c r="LX145" s="4"/>
      <c r="LY145" s="5">
        <v>0</v>
      </c>
      <c r="LZ145" s="4"/>
      <c r="MA145" s="4"/>
      <c r="MB145" s="4"/>
      <c r="MC145" s="4"/>
      <c r="MD145" s="6"/>
      <c r="ME145" s="6"/>
      <c r="MF145" s="6"/>
      <c r="MG145" s="9"/>
      <c r="MH145"/>
    </row>
    <row r="146">
      <c r="A146" s="8">
        <v>25420</v>
      </c>
      <c r="B146" s="8">
        <v>25421</v>
      </c>
      <c r="C146" s="9">
        <f>B146-A146</f>
        <v>1</v>
      </c>
      <c r="D146" s="8">
        <v>25420</v>
      </c>
      <c r="E146" t="inlineStr">
        <is>
          <t xml:space="preserve">neutral</t>
        </is>
      </c>
      <c r="F146" s="4">
        <v>1.4407731278175124</v>
      </c>
      <c r="G146" s="6">
        <v>0.009374013724331174</v>
      </c>
      <c r="H146" s="7">
        <f>SUM(CP146,DR146,ET146,FV146,GX146,HZ146,JB146,KD146,LF146,MH146)</f>
        <v>0.009374013724331174</v>
      </c>
      <c r="I146" s="7">
        <f>G146-H146</f>
        <v>0</v>
      </c>
      <c r="J146" s="5">
        <f>F146*(1+H146)</f>
        <v>1.4542789548913213</v>
      </c>
      <c r="K146" s="4">
        <v>1.4542789548913213</v>
      </c>
      <c r="L146" s="5">
        <f>K146-J146</f>
        <v>0</v>
      </c>
      <c r="M146" s="4">
        <v>1.599</v>
      </c>
      <c r="N146" s="4">
        <v>1.614</v>
      </c>
      <c r="O146" s="5">
        <f>M146/$M$3</f>
        <v>0.8166496424923392</v>
      </c>
      <c r="P146" s="5">
        <f>N146/$M$3</f>
        <v>0.8243105209397344</v>
      </c>
      <c r="Q146" s="7">
        <f>IFERROR(N146/M146-1,0)</f>
        <v>0.009380863039399667</v>
      </c>
      <c r="R146" s="5">
        <f>SUM(IF(BQ146="lease",CB146,0),IF(CS146="lease",DD146,0),IF(DU146="lease",EF146,0),IF(EW146="lease",FH146,0),IF(FY146="lease",GJ146,0),IF(HA146="lease",HL146,0),IF(IC146="lease",IN146,0),IF(JE146="lease",JP146,0),IF(KG146="lease",KR146,0),IF(LI146="lease",LT146,0))</f>
        <v>1.4407731278175127</v>
      </c>
      <c r="S146" s="5">
        <f>SUM(IF(BQ146="lease",CI146,0),IF(CS146="lease",DK146,0),IF(DU146="lease",EM146,0),IF(EW146="lease",FO146,0),IF(FY146="lease",GQ146,0),IF(HA146="lease",HS146,0),IF(IC146="lease",IU146,0),IF(JE146="lease",JW146,0),IF(KG146="lease",KY146,0),IF(LI146="lease",MA146,0))</f>
        <v>1.4542789548913215</v>
      </c>
      <c r="T146" s="5">
        <f>SUM(IF(BQ146="keep",CB146,0),IF(CS146="keep",DD146,0),IF(DU146="keep",EF146,0),IF(EW146="keep",FH146,0),IF(FY146="keep",GJ146,0),IF(HA146="keep",HL146,0),IF(IC146="keep",IN146,0),IF(JE146="keep",JP146,0),IF(KG146="keep",KR146,0),IF(LI146="keep",LT146,0))</f>
        <v>0</v>
      </c>
      <c r="U146" s="5">
        <f>SUM(IF(BQ146="keep",CI146,0),IF(CS146="keep",DK146,0),IF(DU146="keep",EM146,0),IF(EW146="keep",FO146,0),IF(FY146="keep",GQ146,0),IF(HA146="keep",HS146,0),IF(IC146="keep",IU146,0),IF(JE146="keep",JW146,0),IF(KG146="keep",KY146,0),IF(LI146="keep",MA146,0))</f>
        <v>0</v>
      </c>
      <c r="V146" s="5">
        <f>R146/O146</f>
        <v>1.7642487706483363</v>
      </c>
      <c r="W146" s="5">
        <f>S146/P146</f>
        <v>1.7642367990565102</v>
      </c>
      <c r="X146" s="5">
        <f>T146/O146</f>
        <v>0</v>
      </c>
      <c r="Y146" s="5">
        <f>U146/P146</f>
        <v>0</v>
      </c>
      <c r="Z146" s="5">
        <f>V146+X146</f>
        <v>1.7642487706483363</v>
      </c>
      <c r="AA146" s="7">
        <f>IFERROR(W146/V146-1,0)</f>
        <v>-0.000006785659724006798</v>
      </c>
      <c r="AB146" s="7">
        <f>IFERROR((W146-V146)/Z146,0)</f>
        <v>-0.000006785659723990204</v>
      </c>
      <c r="AC146" s="7">
        <f>IFERROR(Y146/X146-1,0)</f>
        <v>0</v>
      </c>
      <c r="AD146" s="7">
        <f>IFERROR((Y146-X146)/Z146,0)</f>
        <v>0</v>
      </c>
      <c r="AE146" s="7">
        <f>AB146+AD146</f>
        <v>-0.000006785659723990204</v>
      </c>
      <c r="AF146" s="7">
        <f>(1+Q146)*(1+AE146)-1</f>
        <v>0.00937401372433122</v>
      </c>
      <c r="AG146" s="7">
        <f>G146-AF146</f>
        <v>-4.683753385137379e-17</v>
      </c>
      <c r="AH146" s="5">
        <f>SUM(IF(BQ146="lease",CE146,0),IF(CS146="lease",DG146,0),IF(DU146="lease",EI146,0),IF(EW146="lease",FK146,0),IF(FY146="lease",GM146,0),IF(HA146="lease",HO146,0),IF(IC146="lease",IQ146,0),IF(JE146="lease",JS146,0),IF(KG146="lease",KU146,0),IF(LI146="lease",LW146,0))</f>
        <v>0.013505827073808914</v>
      </c>
      <c r="AI146" s="5">
        <f>SUM(IF(BQ146="keep",CE146,0),IF(CS146="keep",DG146,0),IF(DU146="keep",EI146,0),IF(EW146="keep",FK146,0),IF(FY146="keep",GM146,0),IF(HA146="keep",HO146,0),IF(IC146="keep",IQ146,0),IF(JE146="keep",JS146,0),IF(KG146="keep",KU146,0),IF(LI146="keep",LW146,0))</f>
        <v>0</v>
      </c>
      <c r="AJ146" s="5">
        <f>SUM(IF(BQ146="lease",CH146,0),IF(CS146="lease",DJ146,0),IF(DU146="lease",EL146,0),IF(EW146="lease",FN146,0),IF(FY146="lease",GP146,0),IF(HA146="lease",HR146,0),IF(IC146="lease",IT146,0),IF(JE146="lease",JV146,0),IF(KG146="lease",KX146,0),IF(LI146="lease",LZ146,0))</f>
        <v>0</v>
      </c>
      <c r="AK146" s="5">
        <f>SUM(IF(BQ146="keep",CH146,0),IF(CS146="keep",DJ146,0),IF(DU146="keep",EL146,0),IF(EW146="keep",FN146,0),IF(FY146="keep",GP146,0),IF(HA146="keep",HR146,0),IF(IC146="keep",IT146,0),IF(JE146="keep",JV146,0),IF(KG146="keep",KX146,0),IF(LI146="keep",LZ146,0))</f>
        <v>0</v>
      </c>
      <c r="AL146" s="5">
        <f>R146-S145</f>
        <v>0</v>
      </c>
      <c r="AM146" s="5">
        <f>T146-U145</f>
        <v>0</v>
      </c>
      <c r="AN146" s="5">
        <f>AN145</f>
        <v>1</v>
      </c>
      <c r="AO146" s="5">
        <f>AO145+AH146</f>
        <v>0.45427895489132186</v>
      </c>
      <c r="AP146" s="5">
        <f>AP145+AL146</f>
        <v>-6.661338147750939e-16</v>
      </c>
      <c r="AQ146" s="5">
        <f>AN146+AO146+AP146</f>
        <v>1.4542789548913213</v>
      </c>
      <c r="AR146" s="5">
        <f>S146-AQ146</f>
        <v>2.220446049250313e-16</v>
      </c>
      <c r="AS146" s="5">
        <f>AS145</f>
        <v>0</v>
      </c>
      <c r="AT146" s="5">
        <f>AT145+AI146</f>
        <v>0</v>
      </c>
      <c r="AU146" s="5">
        <f>AU145+AM146</f>
        <v>0</v>
      </c>
      <c r="AV146" s="5">
        <f>AS146+AT146+AU146</f>
        <v>0</v>
      </c>
      <c r="AW146" s="5">
        <f>U146-AV146</f>
        <v>0</v>
      </c>
      <c r="AX146" s="4">
        <v>1.4407731278175127</v>
      </c>
      <c r="AY146" s="4">
        <v>1.4542789548913215</v>
      </c>
      <c r="AZ146" s="5">
        <f>S146-AY146</f>
        <v>0</v>
      </c>
      <c r="BA146" s="4">
        <v>0</v>
      </c>
      <c r="BB146" s="4">
        <v>0</v>
      </c>
      <c r="BC146" s="5">
        <f>U146-BB146</f>
        <v>0</v>
      </c>
      <c r="BD146" s="7">
        <f>SUM(IF(BP146="direct",CC146/F146,0),IF(CR146="direct",DE146/F146,0),IF(DT146="direct",EG146/F146,0),IF(EV146="direct",FI146/F146,0),IF(FX146="direct",GK146/F146,0),IF(GZ146="direct",HM146/F146,0),IF(IB146="direct",IO146/F146,0),IF(JD146="direct",JQ146/F146,0),IF(KF146="direct",KS146/F146,0),IF(LH146="direct",LU146/F146,0))</f>
        <v>0.009380863039399702</v>
      </c>
      <c r="BE146" s="7">
        <f>-SUM(IF(BP146="direct",CD146/F146,0),IF(CR146="direct",DF146/F146,0),IF(DT146="direct",EH146/F146,0),IF(EV146="direct",FJ146/F146,0),IF(FX146="direct",GL146/F146,0),IF(GZ146="direct",HN146/F146,0),IF(IB146="direct",IP146/F146,0),IF(JD146="direct",JR146/F146,0),IF(KF146="direct",KT146/F146,0),IF(LH146="direct",LV146/F146,0))</f>
        <v>-0.000006849315068493151</v>
      </c>
      <c r="BF146" s="7">
        <f>BD146+BE146</f>
        <v>0.009374013724331208</v>
      </c>
      <c r="BG146" s="7">
        <f>BF146-SUM(IF(BP146="direct",CP146,0),IF(CR146="direct",DR146,0),IF(DT146="direct",ET146,0),IF(EV146="direct",FV146,0),IF(FX146="direct",GX146,0),IF(GZ146="direct",HZ146,0),IF(IB146="direct",JB146,0),IF(JD146="direct",KD146,0),IF(KF146="direct",LF146,0),IF(LH146="direct",MH146,0))</f>
        <v>3.469446951953614e-17</v>
      </c>
      <c r="BH146" s="7">
        <f>SUM(IF(BP146="treasury",CP146,0),IF(CR146="treasury",DR146,0),IF(DT146="treasury",ET146,0),IF(EV146="treasury",FV146,0),IF(FX146="treasury",GX146,0),IF(GZ146="treasury",HZ146,0),IF(IB146="treasury",JB146,0),IF(JD146="treasury",KD146,0),IF(KF146="treasury",LF146,0),IF(LH146="treasury",MH146,0))</f>
        <v>0</v>
      </c>
      <c r="BI146" s="7">
        <f>SUM(IF(BP146="future",CP146,0),IF(CR146="future",DR146,0),IF(DT146="future",ET146,0),IF(EV146="future",FV146,0),IF(FX146="future",GX146,0),IF(GZ146="future",HZ146,0),IF(IB146="future",JB146,0),IF(JD146="future",KD146,0),IF(KF146="future",LF146,0),IF(LH146="future",MH146,0))</f>
        <v>0</v>
      </c>
      <c r="BJ146" s="7">
        <f>SUM(IF(BP146="cash",CP146,0),IF(CR146="cash",DR146,0),IF(DT146="cash",ET146,0),IF(EV146="cash",FV146,0),IF(FX146="cash",GX146,0),IF(GZ146="cash",HZ146,0),IF(IB146="cash",JB146,0),IF(JD146="cash",KD146,0),IF(KF146="cash",LF146,0),IF(LH146="cash",MH146,0))</f>
        <v>0</v>
      </c>
      <c r="BK146" s="7">
        <f>SUM(BF146,BH146,BI146,BJ146)</f>
        <v>0.009374013724331174</v>
      </c>
      <c r="BL146" s="7">
        <f>G146-BK146</f>
        <v>0</v>
      </c>
      <c r="BM146" s="5">
        <f>MAX(ABS(CG146),ABS(DI146),ABS(EK146),ABS(FM146),ABS(GO146),ABS(HQ146),ABS(IS146),ABS(JU146),ABS(KW146),ABS(LY146))</f>
        <v>5.1735078352398156e-17</v>
      </c>
      <c r="BN146" s="9">
        <f>COUNTA(BO146,CQ146,DS146,EU146,FW146,GY146,IA146,JC146,KE146,LG146)</f>
        <v>3</v>
      </c>
      <c r="BO146" t="inlineStr">
        <is>
          <t xml:space="preserve">Direct commodity holding</t>
        </is>
      </c>
      <c r="BP146" t="inlineStr">
        <is>
          <t xml:space="preserve">direct</t>
        </is>
      </c>
      <c r="BQ146" t="inlineStr">
        <is>
          <t xml:space="preserve">lease</t>
        </is>
      </c>
      <c r="BR146" t="inlineStr">
        <is>
          <t xml:space="preserve">long</t>
        </is>
      </c>
      <c r="BS146"/>
      <c r="BT146" s="4">
        <v>1.599</v>
      </c>
      <c r="BU146" s="4">
        <v>1.614</v>
      </c>
      <c r="BV146" s="6">
        <v>0.0025</v>
      </c>
      <c r="BW146" s="4">
        <v>0.9010463588602329</v>
      </c>
      <c r="BX146" s="5">
        <f>IF(BP146="direct",IFERROR(CD146/BU146,0),0)</f>
        <v>0.000006114193986766106</v>
      </c>
      <c r="BY146" s="5">
        <f>IF(BP146="direct",BW146-BX146,IF(BP146="cash",CI146,BW146))</f>
        <v>0.9010402446662461</v>
      </c>
      <c r="BZ146" s="6">
        <v>1</v>
      </c>
      <c r="CA146" s="4">
        <v>1.4407731278175124</v>
      </c>
      <c r="CB146" s="4">
        <v>1.4407731278175124</v>
      </c>
      <c r="CC146" s="5">
        <f>IF(BP146="direct",BW146*(BU146-BT146),CF146)</f>
        <v>0.013515695382903606</v>
      </c>
      <c r="CD146" s="5">
        <f>IF(BP146="direct",CB146*BV146*C146/365,0)</f>
        <v>0.000009868309094640497</v>
      </c>
      <c r="CE146" s="5">
        <f>CC146-CD146</f>
        <v>0.013505827073808914</v>
      </c>
      <c r="CF146" s="4">
        <v>0.013505827073808914</v>
      </c>
      <c r="CG146" s="5">
        <f>CF146-CE146</f>
        <v>-5.1735078352398156e-17</v>
      </c>
      <c r="CH146" s="4">
        <v>0</v>
      </c>
      <c r="CI146" s="4">
        <v>1.4542789548913213</v>
      </c>
      <c r="CJ146" s="4">
        <v>1.599</v>
      </c>
      <c r="CK146" s="4">
        <v>1.614</v>
      </c>
      <c r="CL146" s="6"/>
      <c r="CM146" s="6"/>
      <c r="CN146" s="6"/>
      <c r="CO146" s="9"/>
      <c r="CP146" s="7">
        <f>IFERROR(CE146/F146,0)</f>
        <v>0.009374013724331174</v>
      </c>
      <c r="CQ146" t="inlineStr">
        <is>
          <t xml:space="preserve">Lease cash / margin / financing</t>
        </is>
      </c>
      <c r="CR146" t="inlineStr">
        <is>
          <t xml:space="preserve">cash</t>
        </is>
      </c>
      <c r="CS146" t="inlineStr">
        <is>
          <t xml:space="preserve">lease</t>
        </is>
      </c>
      <c r="CT146" t="inlineStr">
        <is>
          <t xml:space="preserve">cash</t>
        </is>
      </c>
      <c r="CU146"/>
      <c r="CV146" s="4">
        <v>1</v>
      </c>
      <c r="CW146" s="4">
        <v>1</v>
      </c>
      <c r="CX146" s="6"/>
      <c r="CY146" s="4">
        <v>2.220446049250313e-16</v>
      </c>
      <c r="CZ146" s="5">
        <f>IF(CR146="direct",IFERROR(DF146/CW146,0),0)</f>
        <v>0</v>
      </c>
      <c r="DA146" s="5">
        <f>IF(CR146="direct",CY146-CZ146,IF(CR146="cash",DK146,CY146))</f>
        <v>2.220446049250313e-16</v>
      </c>
      <c r="DB146" s="6"/>
      <c r="DC146" s="4">
        <v>2.220446049250313e-16</v>
      </c>
      <c r="DD146" s="4">
        <v>2.220446049250313e-16</v>
      </c>
      <c r="DE146" s="5">
        <f>IF(CR146="direct",CY146*(CW146-CV146),DH146)</f>
        <v>0</v>
      </c>
      <c r="DF146" s="5">
        <f>IF(CR146="direct",DD146*CX146*C146/365,0)</f>
        <v>0</v>
      </c>
      <c r="DG146" s="5">
        <f>DE146-DF146</f>
        <v>0</v>
      </c>
      <c r="DH146" s="4">
        <v>0</v>
      </c>
      <c r="DI146" s="5">
        <f>DH146-DG146</f>
        <v>0</v>
      </c>
      <c r="DJ146" s="4">
        <v>0</v>
      </c>
      <c r="DK146" s="4">
        <v>2.220446049250313e-16</v>
      </c>
      <c r="DL146" s="4">
        <v>1.599</v>
      </c>
      <c r="DM146" s="4">
        <v>1.614</v>
      </c>
      <c r="DN146" s="6"/>
      <c r="DO146" s="6"/>
      <c r="DP146" s="6"/>
      <c r="DQ146" s="9"/>
      <c r="DR146" s="7">
        <f>IFERROR(DG146/F146,0)</f>
        <v>0</v>
      </c>
      <c r="DS146" t="inlineStr">
        <is>
          <t xml:space="preserve">Keep cash / margin / financing</t>
        </is>
      </c>
      <c r="DT146" t="inlineStr">
        <is>
          <t xml:space="preserve">cash</t>
        </is>
      </c>
      <c r="DU146" t="inlineStr">
        <is>
          <t xml:space="preserve">keep</t>
        </is>
      </c>
      <c r="DV146" t="inlineStr">
        <is>
          <t xml:space="preserve">cash</t>
        </is>
      </c>
      <c r="DW146"/>
      <c r="DX146" s="4">
        <v>1</v>
      </c>
      <c r="DY146" s="4">
        <v>1</v>
      </c>
      <c r="DZ146" s="6"/>
      <c r="EA146" s="4">
        <v>0</v>
      </c>
      <c r="EB146" s="5">
        <f>IF(DT146="direct",IFERROR(EH146/DY146,0),0)</f>
        <v>0</v>
      </c>
      <c r="EC146" s="5">
        <f>IF(DT146="direct",EA146-EB146,IF(DT146="cash",EM146,EA146))</f>
        <v>0</v>
      </c>
      <c r="ED146" s="6"/>
      <c r="EE146" s="4">
        <v>0</v>
      </c>
      <c r="EF146" s="4">
        <v>0</v>
      </c>
      <c r="EG146" s="5">
        <f>IF(DT146="direct",EA146*(DY146-DX146),EJ146)</f>
        <v>0</v>
      </c>
      <c r="EH146" s="5">
        <f>IF(DT146="direct",EF146*DZ146*C146/365,0)</f>
        <v>0</v>
      </c>
      <c r="EI146" s="5">
        <f>EG146-EH146</f>
        <v>0</v>
      </c>
      <c r="EJ146" s="4">
        <v>0</v>
      </c>
      <c r="EK146" s="5">
        <f>EJ146-EI146</f>
        <v>0</v>
      </c>
      <c r="EL146" s="4">
        <v>0</v>
      </c>
      <c r="EM146" s="4">
        <v>0</v>
      </c>
      <c r="EN146" s="4">
        <v>1.599</v>
      </c>
      <c r="EO146" s="4">
        <v>1.614</v>
      </c>
      <c r="EP146" s="6"/>
      <c r="EQ146" s="6"/>
      <c r="ER146" s="6"/>
      <c r="ES146" s="9"/>
      <c r="ET146" s="7">
        <f>IFERROR(EI146/F146,0)</f>
        <v>0</v>
      </c>
      <c r="EU146"/>
      <c r="EV146"/>
      <c r="EW146"/>
      <c r="EX146"/>
      <c r="EY146"/>
      <c r="EZ146" s="4"/>
      <c r="FA146" s="4"/>
      <c r="FB146" s="6"/>
      <c r="FC146" s="4"/>
      <c r="FD146" s="5">
        <v>0</v>
      </c>
      <c r="FE146" s="5"/>
      <c r="FF146" s="6"/>
      <c r="FG146" s="4"/>
      <c r="FH146" s="4"/>
      <c r="FI146" s="5">
        <v>0</v>
      </c>
      <c r="FJ146" s="5">
        <v>0</v>
      </c>
      <c r="FK146" s="5"/>
      <c r="FL146" s="4"/>
      <c r="FM146" s="5">
        <v>0</v>
      </c>
      <c r="FN146" s="4"/>
      <c r="FO146" s="4"/>
      <c r="FP146" s="4"/>
      <c r="FQ146" s="4"/>
      <c r="FR146" s="6"/>
      <c r="FS146" s="6"/>
      <c r="FT146" s="6"/>
      <c r="FU146" s="9"/>
      <c r="FV146"/>
      <c r="FW146"/>
      <c r="FX146"/>
      <c r="FY146"/>
      <c r="FZ146"/>
      <c r="GA146"/>
      <c r="GB146" s="4"/>
      <c r="GC146" s="4"/>
      <c r="GD146" s="6"/>
      <c r="GE146" s="4"/>
      <c r="GF146" s="5">
        <v>0</v>
      </c>
      <c r="GG146" s="5"/>
      <c r="GH146" s="6"/>
      <c r="GI146" s="4"/>
      <c r="GJ146" s="4"/>
      <c r="GK146" s="5">
        <v>0</v>
      </c>
      <c r="GL146" s="5">
        <v>0</v>
      </c>
      <c r="GM146" s="5"/>
      <c r="GN146" s="4"/>
      <c r="GO146" s="5">
        <v>0</v>
      </c>
      <c r="GP146" s="4"/>
      <c r="GQ146" s="4"/>
      <c r="GR146" s="4"/>
      <c r="GS146" s="4"/>
      <c r="GT146" s="6"/>
      <c r="GU146" s="6"/>
      <c r="GV146" s="6"/>
      <c r="GW146" s="9"/>
      <c r="GX146"/>
      <c r="GY146"/>
      <c r="GZ146"/>
      <c r="HA146"/>
      <c r="HB146"/>
      <c r="HC146"/>
      <c r="HD146" s="4"/>
      <c r="HE146" s="4"/>
      <c r="HF146" s="6"/>
      <c r="HG146" s="4"/>
      <c r="HH146" s="5">
        <v>0</v>
      </c>
      <c r="HI146" s="5"/>
      <c r="HJ146" s="6"/>
      <c r="HK146" s="4"/>
      <c r="HL146" s="4"/>
      <c r="HM146" s="5">
        <v>0</v>
      </c>
      <c r="HN146" s="5">
        <v>0</v>
      </c>
      <c r="HO146" s="5"/>
      <c r="HP146" s="4"/>
      <c r="HQ146" s="5">
        <v>0</v>
      </c>
      <c r="HR146" s="4"/>
      <c r="HS146" s="4"/>
      <c r="HT146" s="4"/>
      <c r="HU146" s="4"/>
      <c r="HV146" s="6"/>
      <c r="HW146" s="6"/>
      <c r="HX146" s="6"/>
      <c r="HY146" s="9"/>
      <c r="HZ146"/>
      <c r="IA146"/>
      <c r="IB146"/>
      <c r="IC146"/>
      <c r="ID146"/>
      <c r="IE146"/>
      <c r="IF146" s="4"/>
      <c r="IG146" s="4"/>
      <c r="IH146" s="6"/>
      <c r="II146" s="4"/>
      <c r="IJ146" s="5">
        <v>0</v>
      </c>
      <c r="IK146" s="5"/>
      <c r="IL146" s="6"/>
      <c r="IM146" s="4"/>
      <c r="IN146" s="4"/>
      <c r="IO146" s="5">
        <v>0</v>
      </c>
      <c r="IP146" s="5">
        <v>0</v>
      </c>
      <c r="IQ146" s="5"/>
      <c r="IR146" s="4"/>
      <c r="IS146" s="5">
        <v>0</v>
      </c>
      <c r="IT146" s="4"/>
      <c r="IU146" s="4"/>
      <c r="IV146" s="4"/>
      <c r="IW146" s="4"/>
      <c r="IX146" s="6"/>
      <c r="IY146" s="6"/>
      <c r="IZ146" s="6"/>
      <c r="JA146" s="9"/>
      <c r="JB146"/>
      <c r="JC146"/>
      <c r="JD146"/>
      <c r="JE146"/>
      <c r="JF146"/>
      <c r="JG146"/>
      <c r="JH146" s="4"/>
      <c r="JI146" s="4"/>
      <c r="JJ146" s="6"/>
      <c r="JK146" s="4"/>
      <c r="JL146" s="5">
        <v>0</v>
      </c>
      <c r="JM146" s="5"/>
      <c r="JN146" s="6"/>
      <c r="JO146" s="4"/>
      <c r="JP146" s="4"/>
      <c r="JQ146" s="5">
        <v>0</v>
      </c>
      <c r="JR146" s="5">
        <v>0</v>
      </c>
      <c r="JS146" s="5"/>
      <c r="JT146" s="4"/>
      <c r="JU146" s="5">
        <v>0</v>
      </c>
      <c r="JV146" s="4"/>
      <c r="JW146" s="4"/>
      <c r="JX146" s="4"/>
      <c r="JY146" s="4"/>
      <c r="JZ146" s="6"/>
      <c r="KA146" s="6"/>
      <c r="KB146" s="6"/>
      <c r="KC146" s="9"/>
      <c r="KD146"/>
      <c r="KE146"/>
      <c r="KF146"/>
      <c r="KG146"/>
      <c r="KH146"/>
      <c r="KI146"/>
      <c r="KJ146" s="4"/>
      <c r="KK146" s="4"/>
      <c r="KL146" s="6"/>
      <c r="KM146" s="4"/>
      <c r="KN146" s="5">
        <v>0</v>
      </c>
      <c r="KO146" s="5"/>
      <c r="KP146" s="6"/>
      <c r="KQ146" s="4"/>
      <c r="KR146" s="4"/>
      <c r="KS146" s="5">
        <v>0</v>
      </c>
      <c r="KT146" s="5">
        <v>0</v>
      </c>
      <c r="KU146" s="5"/>
      <c r="KV146" s="4"/>
      <c r="KW146" s="5">
        <v>0</v>
      </c>
      <c r="KX146" s="4"/>
      <c r="KY146" s="4"/>
      <c r="KZ146" s="4"/>
      <c r="LA146" s="4"/>
      <c r="LB146" s="6"/>
      <c r="LC146" s="6"/>
      <c r="LD146" s="6"/>
      <c r="LE146" s="9"/>
      <c r="LF146"/>
      <c r="LG146"/>
      <c r="LH146"/>
      <c r="LI146"/>
      <c r="LJ146"/>
      <c r="LK146"/>
      <c r="LL146" s="4"/>
      <c r="LM146" s="4"/>
      <c r="LN146" s="6"/>
      <c r="LO146" s="4"/>
      <c r="LP146" s="5">
        <v>0</v>
      </c>
      <c r="LQ146" s="5"/>
      <c r="LR146" s="6"/>
      <c r="LS146" s="4"/>
      <c r="LT146" s="4"/>
      <c r="LU146" s="5">
        <v>0</v>
      </c>
      <c r="LV146" s="5">
        <v>0</v>
      </c>
      <c r="LW146" s="5"/>
      <c r="LX146" s="4"/>
      <c r="LY146" s="5">
        <v>0</v>
      </c>
      <c r="LZ146" s="4"/>
      <c r="MA146" s="4"/>
      <c r="MB146" s="4"/>
      <c r="MC146" s="4"/>
      <c r="MD146" s="6"/>
      <c r="ME146" s="6"/>
      <c r="MF146" s="6"/>
      <c r="MG146" s="9"/>
      <c r="MH146"/>
    </row>
    <row r="147">
      <c r="A147" s="8">
        <v>25421</v>
      </c>
      <c r="B147" s="8">
        <v>25422</v>
      </c>
      <c r="C147" s="9">
        <f>B147-A147</f>
        <v>1</v>
      </c>
      <c r="D147" s="8">
        <v>25421</v>
      </c>
      <c r="E147" t="inlineStr">
        <is>
          <t xml:space="preserve">positive</t>
        </is>
      </c>
      <c r="F147" s="4">
        <v>1.4542789548913213</v>
      </c>
      <c r="G147" s="6">
        <v>0.00019440359290555002</v>
      </c>
      <c r="H147" s="7">
        <f>SUM(CP147,DR147,ET147,FV147,GX147,HZ147,JB147,KD147,LF147,MH147)</f>
        <v>0.00019440359290555</v>
      </c>
      <c r="I147" s="7">
        <f>G147-H147</f>
        <v>2.710505431213761e-20</v>
      </c>
      <c r="J147" s="5">
        <f>F147*(1+H147)</f>
        <v>1.4545616719452392</v>
      </c>
      <c r="K147" s="4">
        <v>1.4545616719452392</v>
      </c>
      <c r="L147" s="5">
        <f>K147-J147</f>
        <v>0</v>
      </c>
      <c r="M147" s="4">
        <v>1.614</v>
      </c>
      <c r="N147" s="4">
        <v>1.614</v>
      </c>
      <c r="O147" s="5">
        <f>M147/$M$3</f>
        <v>0.8243105209397344</v>
      </c>
      <c r="P147" s="5">
        <f>N147/$M$3</f>
        <v>0.8243105209397344</v>
      </c>
      <c r="Q147" s="7">
        <f>IFERROR(N147/M147-1,0)</f>
        <v>0</v>
      </c>
      <c r="R147" s="5">
        <f>SUM(IF(BQ147="lease",CB147,0),IF(CS147="lease",DD147,0),IF(DU147="lease",EF147,0),IF(EW147="lease",FH147,0),IF(FY147="lease",GJ147,0),IF(HA147="lease",HL147,0),IF(IC147="lease",IN147,0),IF(JE147="lease",JP147,0),IF(KG147="lease",KR147,0),IF(LI147="lease",LT147,0))</f>
        <v>1.4542789548913215</v>
      </c>
      <c r="S147" s="5">
        <f>SUM(IF(BQ147="lease",CI147,0),IF(CS147="lease",DK147,0),IF(DU147="lease",EM147,0),IF(EW147="lease",FO147,0),IF(FY147="lease",GQ147,0),IF(HA147="lease",HS147,0),IF(IC147="lease",IU147,0),IF(JE147="lease",JW147,0),IF(KG147="lease",KY147,0),IF(LI147="lease",MA147,0))</f>
        <v>1.4545616719452392</v>
      </c>
      <c r="T147" s="5">
        <f>SUM(IF(BQ147="keep",CB147,0),IF(CS147="keep",DD147,0),IF(DU147="keep",EF147,0),IF(EW147="keep",FH147,0),IF(FY147="keep",GJ147,0),IF(HA147="keep",HL147,0),IF(IC147="keep",IN147,0),IF(JE147="keep",JP147,0),IF(KG147="keep",KR147,0),IF(LI147="keep",LT147,0))</f>
        <v>0</v>
      </c>
      <c r="U147" s="5">
        <f>SUM(IF(BQ147="keep",CI147,0),IF(CS147="keep",DK147,0),IF(DU147="keep",EM147,0),IF(EW147="keep",FO147,0),IF(FY147="keep",GQ147,0),IF(HA147="keep",HS147,0),IF(IC147="keep",IU147,0),IF(JE147="keep",JW147,0),IF(KG147="keep",KY147,0),IF(LI147="keep",MA147,0))</f>
        <v>0</v>
      </c>
      <c r="V147" s="5">
        <f>R147/O147</f>
        <v>1.7642367990565102</v>
      </c>
      <c r="W147" s="5">
        <f>S147/P147</f>
        <v>1.764579773028983</v>
      </c>
      <c r="X147" s="5">
        <f>T147/O147</f>
        <v>0</v>
      </c>
      <c r="Y147" s="5">
        <f>U147/P147</f>
        <v>0</v>
      </c>
      <c r="Z147" s="5">
        <f>V147+X147</f>
        <v>1.7642367990565102</v>
      </c>
      <c r="AA147" s="7">
        <f>IFERROR(W147/V147-1,0)</f>
        <v>0.00019440359290556763</v>
      </c>
      <c r="AB147" s="7">
        <f>IFERROR((W147-V147)/Z147,0)</f>
        <v>0.00019440359290553028</v>
      </c>
      <c r="AC147" s="7">
        <f>IFERROR(Y147/X147-1,0)</f>
        <v>0</v>
      </c>
      <c r="AD147" s="7">
        <f>IFERROR((Y147-X147)/Z147,0)</f>
        <v>0</v>
      </c>
      <c r="AE147" s="7">
        <f>AB147+AD147</f>
        <v>0.00019440359290553028</v>
      </c>
      <c r="AF147" s="7">
        <f>(1+Q147)*(1+AE147)-1</f>
        <v>0.00019440359290556763</v>
      </c>
      <c r="AG147" s="7">
        <f>G147-AF147</f>
        <v>-1.7618285302889447e-17</v>
      </c>
      <c r="AH147" s="5">
        <f>SUM(IF(BQ147="lease",CE147,0),IF(CS147="lease",DG147,0),IF(DU147="lease",EI147,0),IF(EW147="lease",FK147,0),IF(FY147="lease",GM147,0),IF(HA147="lease",HO147,0),IF(IC147="lease",IQ147,0),IF(JE147="lease",JS147,0),IF(KG147="lease",KU147,0),IF(LI147="lease",LW147,0))</f>
        <v>0.00028271705391780114</v>
      </c>
      <c r="AI147" s="5">
        <f>SUM(IF(BQ147="keep",CE147,0),IF(CS147="keep",DG147,0),IF(DU147="keep",EI147,0),IF(EW147="keep",FK147,0),IF(FY147="keep",GM147,0),IF(HA147="keep",HO147,0),IF(IC147="keep",IQ147,0),IF(JE147="keep",JS147,0),IF(KG147="keep",KU147,0),IF(LI147="keep",LW147,0))</f>
        <v>0</v>
      </c>
      <c r="AJ147" s="5">
        <f>SUM(IF(BQ147="lease",CH147,0),IF(CS147="lease",DJ147,0),IF(DU147="lease",EL147,0),IF(EW147="lease",FN147,0),IF(FY147="lease",GP147,0),IF(HA147="lease",HR147,0),IF(IC147="lease",IT147,0),IF(JE147="lease",JV147,0),IF(KG147="lease",KX147,0),IF(LI147="lease",LZ147,0))</f>
        <v>0</v>
      </c>
      <c r="AK147" s="5">
        <f>SUM(IF(BQ147="keep",CH147,0),IF(CS147="keep",DJ147,0),IF(DU147="keep",EL147,0),IF(EW147="keep",FN147,0),IF(FY147="keep",GP147,0),IF(HA147="keep",HR147,0),IF(IC147="keep",IT147,0),IF(JE147="keep",JV147,0),IF(KG147="keep",KX147,0),IF(LI147="keep",LZ147,0))</f>
        <v>0</v>
      </c>
      <c r="AL147" s="5">
        <f>R147-S146</f>
        <v>0</v>
      </c>
      <c r="AM147" s="5">
        <f>T147-U146</f>
        <v>0</v>
      </c>
      <c r="AN147" s="5">
        <f>AN146</f>
        <v>1</v>
      </c>
      <c r="AO147" s="5">
        <f>AO146+AH147</f>
        <v>0.45456167194523966</v>
      </c>
      <c r="AP147" s="5">
        <f>AP146+AL147</f>
        <v>-6.661338147750939e-16</v>
      </c>
      <c r="AQ147" s="5">
        <f>AN147+AO147+AP147</f>
        <v>1.454561671945239</v>
      </c>
      <c r="AR147" s="5">
        <f>S147-AQ147</f>
        <v>2.220446049250313e-16</v>
      </c>
      <c r="AS147" s="5">
        <f>AS146</f>
        <v>0</v>
      </c>
      <c r="AT147" s="5">
        <f>AT146+AI147</f>
        <v>0</v>
      </c>
      <c r="AU147" s="5">
        <f>AU146+AM147</f>
        <v>0</v>
      </c>
      <c r="AV147" s="5">
        <f>AS147+AT147+AU147</f>
        <v>0</v>
      </c>
      <c r="AW147" s="5">
        <f>U147-AV147</f>
        <v>0</v>
      </c>
      <c r="AX147" s="4">
        <v>1.4542789548913215</v>
      </c>
      <c r="AY147" s="4">
        <v>1.4545616719452392</v>
      </c>
      <c r="AZ147" s="5">
        <f>S147-AY147</f>
        <v>0</v>
      </c>
      <c r="BA147" s="4">
        <v>0</v>
      </c>
      <c r="BB147" s="4">
        <v>0</v>
      </c>
      <c r="BC147" s="5">
        <f>U147-BB147</f>
        <v>0</v>
      </c>
      <c r="BD147" s="7">
        <f>SUM(IF(BP147="direct",CC147/F147,0),IF(CR147="direct",DE147/F147,0),IF(DT147="direct",EG147/F147,0),IF(EV147="direct",FI147/F147,0),IF(FX147="direct",GK147/F147,0),IF(GZ147="direct",HM147/F147,0),IF(IB147="direct",IO147/F147,0),IF(JD147="direct",JQ147/F147,0),IF(KF147="direct",KS147/F147,0),IF(LH147="direct",LU147/F147,0))</f>
        <v>0</v>
      </c>
      <c r="BE147" s="7">
        <f>-SUM(IF(BP147="direct",CD147/F147,0),IF(CR147="direct",DF147/F147,0),IF(DT147="direct",EH147/F147,0),IF(EV147="direct",FJ147/F147,0),IF(FX147="direct",GL147/F147,0),IF(GZ147="direct",HN147/F147,0),IF(IB147="direct",IP147/F147,0),IF(JD147="direct",JR147/F147,0),IF(KF147="direct",KT147/F147,0),IF(LH147="direct",LV147/F147,0))</f>
        <v>-0.000005884777890831853</v>
      </c>
      <c r="BF147" s="7">
        <f>BD147+BE147</f>
        <v>-0.000005884777890831853</v>
      </c>
      <c r="BG147" s="7">
        <f>BF147-SUM(IF(BP147="direct",CP147,0),IF(CR147="direct",DR147,0),IF(DT147="direct",ET147,0),IF(EV147="direct",FV147,0),IF(FX147="direct",GX147,0),IF(GZ147="direct",HZ147,0),IF(IB147="direct",JB147,0),IF(JD147="direct",KD147,0),IF(KF147="direct",LF147,0),IF(LH147="direct",MH147,0))</f>
        <v>0</v>
      </c>
      <c r="BH147" s="7">
        <f>SUM(IF(BP147="treasury",CP147,0),IF(CR147="treasury",DR147,0),IF(DT147="treasury",ET147,0),IF(EV147="treasury",FV147,0),IF(FX147="treasury",GX147,0),IF(GZ147="treasury",HZ147,0),IF(IB147="treasury",JB147,0),IF(JD147="treasury",KD147,0),IF(KF147="treasury",LF147,0),IF(LH147="treasury",MH147,0))</f>
        <v>0.000026968459487409875</v>
      </c>
      <c r="BI147" s="7">
        <f>SUM(IF(BP147="future",CP147,0),IF(CR147="future",DR147,0),IF(DT147="future",ET147,0),IF(EV147="future",FV147,0),IF(FX147="future",GX147,0),IF(GZ147="future",HZ147,0),IF(IB147="future",JB147,0),IF(JD147="future",KD147,0),IF(KF147="future",LF147,0),IF(LH147="future",MH147,0))</f>
        <v>0.00017331991130897198</v>
      </c>
      <c r="BJ147" s="7">
        <f>SUM(IF(BP147="cash",CP147,0),IF(CR147="cash",DR147,0),IF(DT147="cash",ET147,0),IF(EV147="cash",FV147,0),IF(FX147="cash",GX147,0),IF(GZ147="cash",HZ147,0),IF(IB147="cash",JB147,0),IF(JD147="cash",KD147,0),IF(KF147="cash",LF147,0),IF(LH147="cash",MH147,0))</f>
        <v>0</v>
      </c>
      <c r="BK147" s="7">
        <f>SUM(BF147,BH147,BI147,BJ147)</f>
        <v>0.00019440359290555002</v>
      </c>
      <c r="BL147" s="7">
        <f>G147-BK147</f>
        <v>0</v>
      </c>
      <c r="BM147" s="5">
        <f>MAX(ABS(CG147),ABS(DI147),ABS(EK147),ABS(FM147),ABS(GO147),ABS(HQ147),ABS(IS147),ABS(JU147),ABS(KW147),ABS(LY147))</f>
        <v>8.287370355936075e-18</v>
      </c>
      <c r="BN147" s="9">
        <f>COUNTA(BO147,CQ147,DS147,EU147,FW147,GY147,IA147,JC147,KE147,LG147)</f>
        <v>5</v>
      </c>
      <c r="BO147" t="inlineStr">
        <is>
          <t xml:space="preserve">Direct commodity holding</t>
        </is>
      </c>
      <c r="BP147" t="inlineStr">
        <is>
          <t xml:space="preserve">direct</t>
        </is>
      </c>
      <c r="BQ147" t="inlineStr">
        <is>
          <t xml:space="preserve">lease</t>
        </is>
      </c>
      <c r="BR147" t="inlineStr">
        <is>
          <t xml:space="preserve">long</t>
        </is>
      </c>
      <c r="BS147"/>
      <c r="BT147" s="4">
        <v>1.614</v>
      </c>
      <c r="BU147" s="4">
        <v>1.614</v>
      </c>
      <c r="BV147" s="6">
        <v>0.0025</v>
      </c>
      <c r="BW147" s="4">
        <v>0.7741535697420008</v>
      </c>
      <c r="BX147" s="5">
        <f>IF(BP147="direct",IFERROR(CD147/BU147,0),0)</f>
        <v>0.000005302421710561649</v>
      </c>
      <c r="BY147" s="5">
        <f>IF(BP147="direct",BW147-BX147,IF(BP147="cash",CI147,BW147))</f>
        <v>0.7741482673202902</v>
      </c>
      <c r="BZ147" s="6">
        <v>0.8591775720614507</v>
      </c>
      <c r="CA147" s="4">
        <v>1.2494838615635893</v>
      </c>
      <c r="CB147" s="4">
        <v>1.2494838615635893</v>
      </c>
      <c r="CC147" s="5">
        <f>IF(BP147="direct",BW147*(BU147-BT147),CF147)</f>
        <v>0</v>
      </c>
      <c r="CD147" s="5">
        <f>IF(BP147="direct",CB147*BV147*C147/365,0)</f>
        <v>0.000008558108640846502</v>
      </c>
      <c r="CE147" s="5">
        <f>CC147-CD147</f>
        <v>-0.000008558108640846502</v>
      </c>
      <c r="CF147" s="4">
        <v>-0.000008558108640846502</v>
      </c>
      <c r="CG147" s="5">
        <f>CF147-CE147</f>
        <v>0</v>
      </c>
      <c r="CH147" s="4">
        <v>0</v>
      </c>
      <c r="CI147" s="4">
        <v>1.2494753034549484</v>
      </c>
      <c r="CJ147" s="4">
        <v>1.614</v>
      </c>
      <c r="CK147" s="4">
        <v>1.614</v>
      </c>
      <c r="CL147" s="6"/>
      <c r="CM147" s="6"/>
      <c r="CN147" s="6"/>
      <c r="CO147" s="9"/>
      <c r="CP147" s="7">
        <f>IFERROR(CE147/F147,0)</f>
        <v>-0.000005884777890831853</v>
      </c>
      <c r="CQ147" t="inlineStr">
        <is>
          <t xml:space="preserve">Treasury collateral</t>
        </is>
      </c>
      <c r="CR147" t="inlineStr">
        <is>
          <t xml:space="preserve">treasury</t>
        </is>
      </c>
      <c r="CS147" t="inlineStr">
        <is>
          <t xml:space="preserve">lease</t>
        </is>
      </c>
      <c r="CT147" t="inlineStr">
        <is>
          <t xml:space="preserve">long</t>
        </is>
      </c>
      <c r="CU147"/>
      <c r="CV147" s="4">
        <v>103.78727487759853</v>
      </c>
      <c r="CW147" s="4">
        <v>103.80715085160934</v>
      </c>
      <c r="CX147" s="6"/>
      <c r="CY147" s="4">
        <v>0.001973219680054776</v>
      </c>
      <c r="CZ147" s="5">
        <f>IF(CR147="direct",IFERROR(DF147/CW147,0),0)</f>
        <v>0</v>
      </c>
      <c r="DA147" s="5">
        <f>IF(CR147="direct",CY147-CZ147,IF(CR147="cash",DK147,CY147))</f>
        <v>0.001973219680054776</v>
      </c>
      <c r="DB147" s="6">
        <v>0.1408224279385494</v>
      </c>
      <c r="DC147" s="4">
        <v>0.20479509332773205</v>
      </c>
      <c r="DD147" s="4">
        <v>0.20479509332773205</v>
      </c>
      <c r="DE147" s="5">
        <f>IF(CR147="direct",CY147*(CW147-CV147),DH147)</f>
        <v>0.000039219663078371085</v>
      </c>
      <c r="DF147" s="5">
        <f>IF(CR147="direct",DD147*CX147*C147/365,0)</f>
        <v>0</v>
      </c>
      <c r="DG147" s="5">
        <f>DE147-DF147</f>
        <v>0.00003921966307837937</v>
      </c>
      <c r="DH147" s="4">
        <v>0.00003921966307837937</v>
      </c>
      <c r="DI147" s="5">
        <f>DH147-DG147</f>
        <v>8.287370355936075e-18</v>
      </c>
      <c r="DJ147" s="4">
        <v>-2.3852447794681098e-18</v>
      </c>
      <c r="DK147" s="4">
        <v>0.20483431299081042</v>
      </c>
      <c r="DL147" s="4">
        <v>1.614</v>
      </c>
      <c r="DM147" s="4">
        <v>1.614</v>
      </c>
      <c r="DN147" s="6"/>
      <c r="DO147" s="6"/>
      <c r="DP147" s="6"/>
      <c r="DQ147" s="9">
        <v>51</v>
      </c>
      <c r="DR147" s="7">
        <f>IFERROR(DG147/F147,0)</f>
        <v>0.000026968459487409875</v>
      </c>
      <c r="DS147" t="inlineStr">
        <is>
          <t xml:space="preserve">SI69U</t>
        </is>
      </c>
      <c r="DT147" t="inlineStr">
        <is>
          <t xml:space="preserve">future</t>
        </is>
      </c>
      <c r="DU147" t="inlineStr">
        <is>
          <t xml:space="preserve">lease</t>
        </is>
      </c>
      <c r="DV147" t="inlineStr">
        <is>
          <t xml:space="preserve">long</t>
        </is>
      </c>
      <c r="DW147" t="inlineStr">
        <is>
          <t xml:space="preserve">regular</t>
        </is>
      </c>
      <c r="DX147" s="4">
        <v>1.625</v>
      </c>
      <c r="DY147" s="4">
        <v>1.6269999999999998</v>
      </c>
      <c r="DZ147" s="6"/>
      <c r="EA147" s="4">
        <v>0.1260277497401428</v>
      </c>
      <c r="EB147" s="5">
        <f>IF(DT147="direct",IFERROR(EH147/DY147,0),0)</f>
        <v>0</v>
      </c>
      <c r="EC147" s="5">
        <f>IF(DT147="direct",EA147-EB147,IF(DT147="cash",EM147,EA147))</f>
        <v>0.1260277497401428</v>
      </c>
      <c r="ED147" s="6">
        <v>0.1408224279385494</v>
      </c>
      <c r="EE147" s="4">
        <v>0.20479509332773205</v>
      </c>
      <c r="EF147" s="4">
        <v>0</v>
      </c>
      <c r="EG147" s="5">
        <f>IF(DT147="direct",EA147*(DY147-DX147),EJ147)</f>
        <v>0.0002520554994802683</v>
      </c>
      <c r="EH147" s="5">
        <f>IF(DT147="direct",EF147*DZ147*C147/365,0)</f>
        <v>0</v>
      </c>
      <c r="EI147" s="5">
        <f>EG147-EH147</f>
        <v>0.0002520554994802683</v>
      </c>
      <c r="EJ147" s="4">
        <v>0.0002520554994802683</v>
      </c>
      <c r="EK147" s="5">
        <f>EJ147-EI147</f>
        <v>0</v>
      </c>
      <c r="EL147" s="4">
        <v>-0.0002520554994802683</v>
      </c>
      <c r="EM147" s="4">
        <v>0</v>
      </c>
      <c r="EN147" s="4">
        <v>1.614</v>
      </c>
      <c r="EO147" s="4">
        <v>1.614</v>
      </c>
      <c r="EP147" s="6">
        <v>0.006815365551424923</v>
      </c>
      <c r="EQ147" s="6">
        <v>0.0699</v>
      </c>
      <c r="ER147" s="6">
        <v>0.02112336419078241</v>
      </c>
      <c r="ES147" s="9">
        <v>51</v>
      </c>
      <c r="ET147" s="7">
        <f>IFERROR(EI147/F147,0)</f>
        <v>0.00017331991130897198</v>
      </c>
      <c r="EU147" t="inlineStr">
        <is>
          <t xml:space="preserve">Lease cash / margin / financing</t>
        </is>
      </c>
      <c r="EV147" t="inlineStr">
        <is>
          <t xml:space="preserve">cash</t>
        </is>
      </c>
      <c r="EW147" t="inlineStr">
        <is>
          <t xml:space="preserve">lease</t>
        </is>
      </c>
      <c r="EX147" t="inlineStr">
        <is>
          <t xml:space="preserve">cash</t>
        </is>
      </c>
      <c r="EY147"/>
      <c r="EZ147" s="4">
        <v>1</v>
      </c>
      <c r="FA147" s="4">
        <v>1</v>
      </c>
      <c r="FB147" s="6"/>
      <c r="FC147" s="4">
        <v>2.220446049250313e-16</v>
      </c>
      <c r="FD147" s="5">
        <f>IF(EV147="direct",IFERROR(FJ147/FA147,0),0)</f>
        <v>0</v>
      </c>
      <c r="FE147" s="5">
        <f>IF(EV147="direct",FC147-FD147,IF(EV147="cash",FO147,FC147))</f>
        <v>0.0002520554994804927</v>
      </c>
      <c r="FF147" s="6"/>
      <c r="FG147" s="4">
        <v>2.220446049250313e-16</v>
      </c>
      <c r="FH147" s="4">
        <v>2.220446049250313e-16</v>
      </c>
      <c r="FI147" s="5">
        <f>IF(EV147="direct",FC147*(FA147-EZ147),FL147)</f>
        <v>0</v>
      </c>
      <c r="FJ147" s="5">
        <f>IF(EV147="direct",FH147*FB147*C147/365,0)</f>
        <v>0</v>
      </c>
      <c r="FK147" s="5">
        <f>FI147-FJ147</f>
        <v>0</v>
      </c>
      <c r="FL147" s="4">
        <v>0</v>
      </c>
      <c r="FM147" s="5">
        <f>FL147-FK147</f>
        <v>0</v>
      </c>
      <c r="FN147" s="4">
        <v>0.00025205549948027067</v>
      </c>
      <c r="FO147" s="4">
        <v>0.0002520554994804927</v>
      </c>
      <c r="FP147" s="4">
        <v>1.614</v>
      </c>
      <c r="FQ147" s="4">
        <v>1.614</v>
      </c>
      <c r="FR147" s="6"/>
      <c r="FS147" s="6"/>
      <c r="FT147" s="6"/>
      <c r="FU147" s="9"/>
      <c r="FV147" s="7">
        <f>IFERROR(FK147/F147,0)</f>
        <v>0</v>
      </c>
      <c r="FW147" t="inlineStr">
        <is>
          <t xml:space="preserve">Keep cash / margin / financing</t>
        </is>
      </c>
      <c r="FX147" t="inlineStr">
        <is>
          <t xml:space="preserve">cash</t>
        </is>
      </c>
      <c r="FY147" t="inlineStr">
        <is>
          <t xml:space="preserve">keep</t>
        </is>
      </c>
      <c r="FZ147" t="inlineStr">
        <is>
          <t xml:space="preserve">cash</t>
        </is>
      </c>
      <c r="GA147"/>
      <c r="GB147" s="4">
        <v>1</v>
      </c>
      <c r="GC147" s="4">
        <v>1</v>
      </c>
      <c r="GD147" s="6"/>
      <c r="GE147" s="4">
        <v>0</v>
      </c>
      <c r="GF147" s="5">
        <f>IF(FX147="direct",IFERROR(GL147/GC147,0),0)</f>
        <v>0</v>
      </c>
      <c r="GG147" s="5">
        <f>IF(FX147="direct",GE147-GF147,IF(FX147="cash",GQ147,GE147))</f>
        <v>0</v>
      </c>
      <c r="GH147" s="6"/>
      <c r="GI147" s="4">
        <v>0</v>
      </c>
      <c r="GJ147" s="4">
        <v>0</v>
      </c>
      <c r="GK147" s="5">
        <f>IF(FX147="direct",GE147*(GC147-GB147),GN147)</f>
        <v>0</v>
      </c>
      <c r="GL147" s="5">
        <f>IF(FX147="direct",GJ147*GD147*C147/365,0)</f>
        <v>0</v>
      </c>
      <c r="GM147" s="5">
        <f>GK147-GL147</f>
        <v>0</v>
      </c>
      <c r="GN147" s="4">
        <v>0</v>
      </c>
      <c r="GO147" s="5">
        <f>GN147-GM147</f>
        <v>0</v>
      </c>
      <c r="GP147" s="4">
        <v>0</v>
      </c>
      <c r="GQ147" s="4">
        <v>0</v>
      </c>
      <c r="GR147" s="4">
        <v>1.614</v>
      </c>
      <c r="GS147" s="4">
        <v>1.614</v>
      </c>
      <c r="GT147" s="6"/>
      <c r="GU147" s="6"/>
      <c r="GV147" s="6"/>
      <c r="GW147" s="9"/>
      <c r="GX147" s="7">
        <f>IFERROR(GM147/F147,0)</f>
        <v>0</v>
      </c>
      <c r="GY147"/>
      <c r="GZ147"/>
      <c r="HA147"/>
      <c r="HB147"/>
      <c r="HC147"/>
      <c r="HD147" s="4"/>
      <c r="HE147" s="4"/>
      <c r="HF147" s="6"/>
      <c r="HG147" s="4"/>
      <c r="HH147" s="5">
        <v>0</v>
      </c>
      <c r="HI147" s="5"/>
      <c r="HJ147" s="6"/>
      <c r="HK147" s="4"/>
      <c r="HL147" s="4"/>
      <c r="HM147" s="5">
        <v>0</v>
      </c>
      <c r="HN147" s="5">
        <v>0</v>
      </c>
      <c r="HO147" s="5"/>
      <c r="HP147" s="4"/>
      <c r="HQ147" s="5">
        <v>0</v>
      </c>
      <c r="HR147" s="4"/>
      <c r="HS147" s="4"/>
      <c r="HT147" s="4"/>
      <c r="HU147" s="4"/>
      <c r="HV147" s="6"/>
      <c r="HW147" s="6"/>
      <c r="HX147" s="6"/>
      <c r="HY147" s="9"/>
      <c r="HZ147"/>
      <c r="IA147"/>
      <c r="IB147"/>
      <c r="IC147"/>
      <c r="ID147"/>
      <c r="IE147"/>
      <c r="IF147" s="4"/>
      <c r="IG147" s="4"/>
      <c r="IH147" s="6"/>
      <c r="II147" s="4"/>
      <c r="IJ147" s="5">
        <v>0</v>
      </c>
      <c r="IK147" s="5"/>
      <c r="IL147" s="6"/>
      <c r="IM147" s="4"/>
      <c r="IN147" s="4"/>
      <c r="IO147" s="5">
        <v>0</v>
      </c>
      <c r="IP147" s="5">
        <v>0</v>
      </c>
      <c r="IQ147" s="5"/>
      <c r="IR147" s="4"/>
      <c r="IS147" s="5">
        <v>0</v>
      </c>
      <c r="IT147" s="4"/>
      <c r="IU147" s="4"/>
      <c r="IV147" s="4"/>
      <c r="IW147" s="4"/>
      <c r="IX147" s="6"/>
      <c r="IY147" s="6"/>
      <c r="IZ147" s="6"/>
      <c r="JA147" s="9"/>
      <c r="JB147"/>
      <c r="JC147"/>
      <c r="JD147"/>
      <c r="JE147"/>
      <c r="JF147"/>
      <c r="JG147"/>
      <c r="JH147" s="4"/>
      <c r="JI147" s="4"/>
      <c r="JJ147" s="6"/>
      <c r="JK147" s="4"/>
      <c r="JL147" s="5">
        <v>0</v>
      </c>
      <c r="JM147" s="5"/>
      <c r="JN147" s="6"/>
      <c r="JO147" s="4"/>
      <c r="JP147" s="4"/>
      <c r="JQ147" s="5">
        <v>0</v>
      </c>
      <c r="JR147" s="5">
        <v>0</v>
      </c>
      <c r="JS147" s="5"/>
      <c r="JT147" s="4"/>
      <c r="JU147" s="5">
        <v>0</v>
      </c>
      <c r="JV147" s="4"/>
      <c r="JW147" s="4"/>
      <c r="JX147" s="4"/>
      <c r="JY147" s="4"/>
      <c r="JZ147" s="6"/>
      <c r="KA147" s="6"/>
      <c r="KB147" s="6"/>
      <c r="KC147" s="9"/>
      <c r="KD147"/>
      <c r="KE147"/>
      <c r="KF147"/>
      <c r="KG147"/>
      <c r="KH147"/>
      <c r="KI147"/>
      <c r="KJ147" s="4"/>
      <c r="KK147" s="4"/>
      <c r="KL147" s="6"/>
      <c r="KM147" s="4"/>
      <c r="KN147" s="5">
        <v>0</v>
      </c>
      <c r="KO147" s="5"/>
      <c r="KP147" s="6"/>
      <c r="KQ147" s="4"/>
      <c r="KR147" s="4"/>
      <c r="KS147" s="5">
        <v>0</v>
      </c>
      <c r="KT147" s="5">
        <v>0</v>
      </c>
      <c r="KU147" s="5"/>
      <c r="KV147" s="4"/>
      <c r="KW147" s="5">
        <v>0</v>
      </c>
      <c r="KX147" s="4"/>
      <c r="KY147" s="4"/>
      <c r="KZ147" s="4"/>
      <c r="LA147" s="4"/>
      <c r="LB147" s="6"/>
      <c r="LC147" s="6"/>
      <c r="LD147" s="6"/>
      <c r="LE147" s="9"/>
      <c r="LF147"/>
      <c r="LG147"/>
      <c r="LH147"/>
      <c r="LI147"/>
      <c r="LJ147"/>
      <c r="LK147"/>
      <c r="LL147" s="4"/>
      <c r="LM147" s="4"/>
      <c r="LN147" s="6"/>
      <c r="LO147" s="4"/>
      <c r="LP147" s="5">
        <v>0</v>
      </c>
      <c r="LQ147" s="5"/>
      <c r="LR147" s="6"/>
      <c r="LS147" s="4"/>
      <c r="LT147" s="4"/>
      <c r="LU147" s="5">
        <v>0</v>
      </c>
      <c r="LV147" s="5">
        <v>0</v>
      </c>
      <c r="LW147" s="5"/>
      <c r="LX147" s="4"/>
      <c r="LY147" s="5">
        <v>0</v>
      </c>
      <c r="LZ147" s="4"/>
      <c r="MA147" s="4"/>
      <c r="MB147" s="4"/>
      <c r="MC147" s="4"/>
      <c r="MD147" s="6"/>
      <c r="ME147" s="6"/>
      <c r="MF147" s="6"/>
      <c r="MG147" s="9"/>
      <c r="MH147"/>
    </row>
    <row r="148">
      <c r="A148" s="8">
        <v>25422</v>
      </c>
      <c r="B148" s="8">
        <v>25423</v>
      </c>
      <c r="C148" s="9">
        <f>B148-A148</f>
        <v>1</v>
      </c>
      <c r="D148" s="8">
        <v>25422</v>
      </c>
      <c r="E148" t="inlineStr">
        <is>
          <t xml:space="preserve">positive</t>
        </is>
      </c>
      <c r="F148" s="4">
        <v>1.4545616719452392</v>
      </c>
      <c r="G148" s="6">
        <v>0.005797676258439385</v>
      </c>
      <c r="H148" s="7">
        <f>SUM(CP148,DR148,ET148,FV148,GX148,HZ148,JB148,KD148,LF148,MH148)</f>
        <v>0.0057976762584393835</v>
      </c>
      <c r="I148" s="7">
        <f>G148-H148</f>
        <v>1.734723475976807e-18</v>
      </c>
      <c r="J148" s="5">
        <f>F148*(1+H148)</f>
        <v>1.4629947496171118</v>
      </c>
      <c r="K148" s="4">
        <v>1.4629947496171118</v>
      </c>
      <c r="L148" s="5">
        <f>K148-J148</f>
        <v>0</v>
      </c>
      <c r="M148" s="4">
        <v>1.614</v>
      </c>
      <c r="N148" s="4">
        <v>1.624</v>
      </c>
      <c r="O148" s="5">
        <f>M148/$M$3</f>
        <v>0.8243105209397344</v>
      </c>
      <c r="P148" s="5">
        <f>N148/$M$3</f>
        <v>0.829417773237998</v>
      </c>
      <c r="Q148" s="7">
        <f>IFERROR(N148/M148-1,0)</f>
        <v>0.006195786864931829</v>
      </c>
      <c r="R148" s="5">
        <f>SUM(IF(BQ148="lease",CB148,0),IF(CS148="lease",DD148,0),IF(DU148="lease",EF148,0),IF(EW148="lease",FH148,0),IF(FY148="lease",GJ148,0),IF(HA148="lease",HL148,0),IF(IC148="lease",IN148,0),IF(JE148="lease",JP148,0),IF(KG148="lease",KR148,0),IF(LI148="lease",LT148,0))</f>
        <v>1.4545616719452392</v>
      </c>
      <c r="S148" s="5">
        <f>SUM(IF(BQ148="lease",CI148,0),IF(CS148="lease",DK148,0),IF(DU148="lease",EM148,0),IF(EW148="lease",FO148,0),IF(FY148="lease",GQ148,0),IF(HA148="lease",HS148,0),IF(IC148="lease",IU148,0),IF(JE148="lease",JW148,0),IF(KG148="lease",KY148,0),IF(LI148="lease",MA148,0))</f>
        <v>1.462994749617112</v>
      </c>
      <c r="T148" s="5">
        <f>SUM(IF(BQ148="keep",CB148,0),IF(CS148="keep",DD148,0),IF(DU148="keep",EF148,0),IF(EW148="keep",FH148,0),IF(FY148="keep",GJ148,0),IF(HA148="keep",HL148,0),IF(IC148="keep",IN148,0),IF(JE148="keep",JP148,0),IF(KG148="keep",KR148,0),IF(LI148="keep",LT148,0))</f>
        <v>0</v>
      </c>
      <c r="U148" s="5">
        <f>SUM(IF(BQ148="keep",CI148,0),IF(CS148="keep",DK148,0),IF(DU148="keep",EM148,0),IF(EW148="keep",FO148,0),IF(FY148="keep",GQ148,0),IF(HA148="keep",HS148,0),IF(IC148="keep",IU148,0),IF(JE148="keep",JW148,0),IF(KG148="keep",KY148,0),IF(LI148="keep",MA148,0))</f>
        <v>0</v>
      </c>
      <c r="V148" s="5">
        <f>R148/O148</f>
        <v>1.764579773028983</v>
      </c>
      <c r="W148" s="5">
        <f>S148/P148</f>
        <v>1.7638816008314686</v>
      </c>
      <c r="X148" s="5">
        <f>T148/O148</f>
        <v>0</v>
      </c>
      <c r="Y148" s="5">
        <f>U148/P148</f>
        <v>0</v>
      </c>
      <c r="Z148" s="5">
        <f>V148+X148</f>
        <v>1.764579773028983</v>
      </c>
      <c r="AA148" s="7">
        <f>IFERROR(W148/V148-1,0)</f>
        <v>-0.00039565918650186216</v>
      </c>
      <c r="AB148" s="7">
        <f>IFERROR((W148-V148)/Z148,0)</f>
        <v>-0.0003956591865018889</v>
      </c>
      <c r="AC148" s="7">
        <f>IFERROR(Y148/X148-1,0)</f>
        <v>0</v>
      </c>
      <c r="AD148" s="7">
        <f>IFERROR((Y148-X148)/Z148,0)</f>
        <v>0</v>
      </c>
      <c r="AE148" s="7">
        <f>AB148+AD148</f>
        <v>-0.0003956591865018889</v>
      </c>
      <c r="AF148" s="7">
        <f>(1+Q148)*(1+AE148)-1</f>
        <v>0.005797676258439299</v>
      </c>
      <c r="AG148" s="7">
        <f>G148-AF148</f>
        <v>8.586881206085195e-17</v>
      </c>
      <c r="AH148" s="5">
        <f>SUM(IF(BQ148="lease",CE148,0),IF(CS148="lease",DG148,0),IF(DU148="lease",EI148,0),IF(EW148="lease",FK148,0),IF(FY148="lease",GM148,0),IF(HA148="lease",HO148,0),IF(IC148="lease",IQ148,0),IF(JE148="lease",JS148,0),IF(KG148="lease",KU148,0),IF(LI148="lease",LW148,0))</f>
        <v>0.008433077671872808</v>
      </c>
      <c r="AI148" s="5">
        <f>SUM(IF(BQ148="keep",CE148,0),IF(CS148="keep",DG148,0),IF(DU148="keep",EI148,0),IF(EW148="keep",FK148,0),IF(FY148="keep",GM148,0),IF(HA148="keep",HO148,0),IF(IC148="keep",IQ148,0),IF(JE148="keep",JS148,0),IF(KG148="keep",KU148,0),IF(LI148="keep",LW148,0))</f>
        <v>0</v>
      </c>
      <c r="AJ148" s="5">
        <f>SUM(IF(BQ148="lease",CH148,0),IF(CS148="lease",DJ148,0),IF(DU148="lease",EL148,0),IF(EW148="lease",FN148,0),IF(FY148="lease",GP148,0),IF(HA148="lease",HR148,0),IF(IC148="lease",IT148,0),IF(JE148="lease",JV148,0),IF(KG148="lease",KX148,0),IF(LI148="lease",LZ148,0))</f>
        <v>0</v>
      </c>
      <c r="AK148" s="5">
        <f>SUM(IF(BQ148="keep",CH148,0),IF(CS148="keep",DJ148,0),IF(DU148="keep",EL148,0),IF(EW148="keep",FN148,0),IF(FY148="keep",GP148,0),IF(HA148="keep",HR148,0),IF(IC148="keep",IT148,0),IF(JE148="keep",JV148,0),IF(KG148="keep",KX148,0),IF(LI148="keep",LZ148,0))</f>
        <v>0</v>
      </c>
      <c r="AL148" s="5">
        <f>R148-S147</f>
        <v>0</v>
      </c>
      <c r="AM148" s="5">
        <f>T148-U147</f>
        <v>0</v>
      </c>
      <c r="AN148" s="5">
        <f>AN147</f>
        <v>1</v>
      </c>
      <c r="AO148" s="5">
        <f>AO147+AH148</f>
        <v>0.46299474961711246</v>
      </c>
      <c r="AP148" s="5">
        <f>AP147+AL148</f>
        <v>-6.661338147750939e-16</v>
      </c>
      <c r="AQ148" s="5">
        <f>AN148+AO148+AP148</f>
        <v>1.4629947496171118</v>
      </c>
      <c r="AR148" s="5">
        <f>S148-AQ148</f>
        <v>2.220446049250313e-16</v>
      </c>
      <c r="AS148" s="5">
        <f>AS147</f>
        <v>0</v>
      </c>
      <c r="AT148" s="5">
        <f>AT147+AI148</f>
        <v>0</v>
      </c>
      <c r="AU148" s="5">
        <f>AU147+AM148</f>
        <v>0</v>
      </c>
      <c r="AV148" s="5">
        <f>AS148+AT148+AU148</f>
        <v>0</v>
      </c>
      <c r="AW148" s="5">
        <f>U148-AV148</f>
        <v>0</v>
      </c>
      <c r="AX148" s="4">
        <v>1.4545616719452392</v>
      </c>
      <c r="AY148" s="4">
        <v>1.462994749617112</v>
      </c>
      <c r="AZ148" s="5">
        <f>S148-AY148</f>
        <v>0</v>
      </c>
      <c r="BA148" s="4">
        <v>0</v>
      </c>
      <c r="BB148" s="4">
        <v>0</v>
      </c>
      <c r="BC148" s="5">
        <f>U148-BB148</f>
        <v>0</v>
      </c>
      <c r="BD148" s="7">
        <f>SUM(IF(BP148="direct",CC148/F148,0),IF(CR148="direct",DE148/F148,0),IF(DT148="direct",EG148/F148,0),IF(EV148="direct",FI148/F148,0),IF(FX148="direct",GK148/F148,0),IF(GZ148="direct",HM148/F148,0),IF(IB148="direct",IO148/F148,0),IF(JD148="direct",JQ148/F148,0),IF(KF148="direct",KS148/F148,0),IF(LH148="direct",LU148/F148,0))</f>
        <v>0.0057454777921603145</v>
      </c>
      <c r="BE148" s="7">
        <f>-SUM(IF(BP148="direct",CD148/F148,0),IF(CR148="direct",DF148/F148,0),IF(DT148="direct",EH148/F148,0),IF(EV148="direct",FJ148/F148,0),IF(FX148="direct",GL148/F148,0),IF(GZ148="direct",HN148/F148,0),IF(IB148="direct",IP148/F148,0),IF(JD148="direct",JR148/F148,0),IF(KF148="direct",KT148/F148,0),IF(LH148="direct",LV148/F148,0))</f>
        <v>-0.00000635150764147037</v>
      </c>
      <c r="BF148" s="7">
        <f>BD148+BE148</f>
        <v>0.005739126284518844</v>
      </c>
      <c r="BG148" s="7">
        <f>BF148-SUM(IF(BP148="direct",CP148,0),IF(CR148="direct",DR148,0),IF(DT148="direct",ET148,0),IF(EV148="direct",FV148,0),IF(FX148="direct",GX148,0),IF(GZ148="direct",HZ148,0),IF(IB148="direct",JB148,0),IF(JD148="direct",KD148,0),IF(KF148="direct",LF148,0),IF(LH148="direct",MH148,0))</f>
        <v>1.9949319973733282e-17</v>
      </c>
      <c r="BH148" s="7">
        <f>SUM(IF(BP148="treasury",CP148,0),IF(CR148="treasury",DR148,0),IF(DT148="treasury",ET148,0),IF(EV148="treasury",FV148,0),IF(FX148="treasury",GX148,0),IF(GZ148="treasury",HZ148,0),IF(IB148="treasury",JB148,0),IF(JD148="treasury",KD148,0),IF(KF148="treasury",LF148,0),IF(LH148="treasury",MH148,0))</f>
        <v>0.000013878871065395115</v>
      </c>
      <c r="BI148" s="7">
        <f>SUM(IF(BP148="future",CP148,0),IF(CR148="future",DR148,0),IF(DT148="future",ET148,0),IF(EV148="future",FV148,0),IF(FX148="future",GX148,0),IF(GZ148="future",HZ148,0),IF(IB148="future",JB148,0),IF(JD148="future",KD148,0),IF(KF148="future",LF148,0),IF(LH148="future",MH148,0))</f>
        <v>0.000044671102855163974</v>
      </c>
      <c r="BJ148" s="7">
        <f>SUM(IF(BP148="cash",CP148,0),IF(CR148="cash",DR148,0),IF(DT148="cash",ET148,0),IF(EV148="cash",FV148,0),IF(FX148="cash",GX148,0),IF(GZ148="cash",HZ148,0),IF(IB148="cash",JB148,0),IF(JD148="cash",KD148,0),IF(KF148="cash",LF148,0),IF(LH148="cash",MH148,0))</f>
        <v>0</v>
      </c>
      <c r="BK148" s="7">
        <f>SUM(BF148,BH148,BI148,BJ148)</f>
        <v>0.0057976762584393835</v>
      </c>
      <c r="BL148" s="7">
        <f>G148-BK148</f>
        <v>1.734723475976807e-18</v>
      </c>
      <c r="BM148" s="5">
        <f>MAX(ABS(CG148),ABS(DI148),ABS(EK148),ABS(FM148),ABS(GO148),ABS(HQ148),ABS(IS148),ABS(JU148),ABS(KW148),ABS(LY148))</f>
        <v>2.9337833161099947e-17</v>
      </c>
      <c r="BN148" s="9">
        <f>COUNTA(BO148,CQ148,DS148,EU148,FW148,GY148,IA148,JC148,KE148,LG148)</f>
        <v>5</v>
      </c>
      <c r="BO148" t="inlineStr">
        <is>
          <t xml:space="preserve">Direct commodity holding</t>
        </is>
      </c>
      <c r="BP148" t="inlineStr">
        <is>
          <t xml:space="preserve">direct</t>
        </is>
      </c>
      <c r="BQ148" t="inlineStr">
        <is>
          <t xml:space="preserve">lease</t>
        </is>
      </c>
      <c r="BR148" t="inlineStr">
        <is>
          <t xml:space="preserve">long</t>
        </is>
      </c>
      <c r="BS148"/>
      <c r="BT148" s="4">
        <v>1.614</v>
      </c>
      <c r="BU148" s="4">
        <v>1.624</v>
      </c>
      <c r="BV148" s="6">
        <v>0.0025</v>
      </c>
      <c r="BW148" s="4">
        <v>0.8357151783488942</v>
      </c>
      <c r="BX148" s="5">
        <f>IF(BP148="direct",IFERROR(CD148/BU148,0),0)</f>
        <v>0.000005688829787161395</v>
      </c>
      <c r="BY148" s="5">
        <f>IF(BP148="direct",BW148-BX148,IF(BP148="cash",CI148,BW148))</f>
        <v>0.8357094895191071</v>
      </c>
      <c r="BZ148" s="6">
        <v>0.927320115654674</v>
      </c>
      <c r="CA148" s="4">
        <v>1.3488442978551154</v>
      </c>
      <c r="CB148" s="4">
        <v>1.3488442978551154</v>
      </c>
      <c r="CC148" s="5">
        <f>IF(BP148="direct",BW148*(BU148-BT148),CF148)</f>
        <v>0.00835715178348895</v>
      </c>
      <c r="CD148" s="5">
        <f>IF(BP148="direct",CB148*BV148*C148/365,0)</f>
        <v>0.000009238659574350105</v>
      </c>
      <c r="CE148" s="5">
        <f>CC148-CD148</f>
        <v>0.00834791312391457</v>
      </c>
      <c r="CF148" s="4">
        <v>0.00834791312391457</v>
      </c>
      <c r="CG148" s="5">
        <f>CF148-CE148</f>
        <v>-2.9337833161099947e-17</v>
      </c>
      <c r="CH148" s="4">
        <v>0</v>
      </c>
      <c r="CI148" s="4">
        <v>1.35719221097903</v>
      </c>
      <c r="CJ148" s="4">
        <v>1.614</v>
      </c>
      <c r="CK148" s="4">
        <v>1.624</v>
      </c>
      <c r="CL148" s="6"/>
      <c r="CM148" s="6"/>
      <c r="CN148" s="6"/>
      <c r="CO148" s="9"/>
      <c r="CP148" s="7">
        <f>IFERROR(CE148/F148,0)</f>
        <v>0.005739126284518824</v>
      </c>
      <c r="CQ148" t="inlineStr">
        <is>
          <t xml:space="preserve">Treasury collateral</t>
        </is>
      </c>
      <c r="CR148" t="inlineStr">
        <is>
          <t xml:space="preserve">treasury</t>
        </is>
      </c>
      <c r="CS148" t="inlineStr">
        <is>
          <t xml:space="preserve">lease</t>
        </is>
      </c>
      <c r="CT148" t="inlineStr">
        <is>
          <t xml:space="preserve">long</t>
        </is>
      </c>
      <c r="CU148"/>
      <c r="CV148" s="4">
        <v>103.80715085160934</v>
      </c>
      <c r="CW148" s="4">
        <v>103.82697375137471</v>
      </c>
      <c r="CX148" s="6"/>
      <c r="CY148" s="4">
        <v>0.001018401653670711</v>
      </c>
      <c r="CZ148" s="5">
        <f>IF(CR148="direct",IFERROR(DF148/CW148,0),0)</f>
        <v>0</v>
      </c>
      <c r="DA148" s="5">
        <f>IF(CR148="direct",CY148-CZ148,IF(CR148="cash",DK148,CY148))</f>
        <v>0.001018401653670711</v>
      </c>
      <c r="DB148" s="6">
        <v>0.07267988434532593</v>
      </c>
      <c r="DC148" s="4">
        <v>0.10571737409012391</v>
      </c>
      <c r="DD148" s="4">
        <v>0.10571737409012391</v>
      </c>
      <c r="DE148" s="5">
        <f>IF(CR148="direct",CY148*(CW148-CV148),DH148)</f>
        <v>0.00002018767390160449</v>
      </c>
      <c r="DF148" s="5">
        <f>IF(CR148="direct",DD148*CX148*C148/365,0)</f>
        <v>0</v>
      </c>
      <c r="DG148" s="5">
        <f>DE148-DF148</f>
        <v>0.000020187673901593524</v>
      </c>
      <c r="DH148" s="4">
        <v>0.000020187673901593524</v>
      </c>
      <c r="DI148" s="5">
        <f>DH148-DG148</f>
        <v>-1.0967382601048681e-17</v>
      </c>
      <c r="DJ148" s="4">
        <v>1.250559443326249e-17</v>
      </c>
      <c r="DK148" s="4">
        <v>0.10573756176402552</v>
      </c>
      <c r="DL148" s="4">
        <v>1.614</v>
      </c>
      <c r="DM148" s="4">
        <v>1.624</v>
      </c>
      <c r="DN148" s="6"/>
      <c r="DO148" s="6"/>
      <c r="DP148" s="6"/>
      <c r="DQ148" s="9">
        <v>50</v>
      </c>
      <c r="DR148" s="7">
        <f>IFERROR(DG148/F148,0)</f>
        <v>0.000013878871065395115</v>
      </c>
      <c r="DS148" t="inlineStr">
        <is>
          <t xml:space="preserve">SI69U</t>
        </is>
      </c>
      <c r="DT148" t="inlineStr">
        <is>
          <t xml:space="preserve">future</t>
        </is>
      </c>
      <c r="DU148" t="inlineStr">
        <is>
          <t xml:space="preserve">lease</t>
        </is>
      </c>
      <c r="DV148" t="inlineStr">
        <is>
          <t xml:space="preserve">long</t>
        </is>
      </c>
      <c r="DW148" t="inlineStr">
        <is>
          <t xml:space="preserve">regular</t>
        </is>
      </c>
      <c r="DX148" s="4">
        <v>1.6269999999999998</v>
      </c>
      <c r="DY148" s="4">
        <v>1.6280000000000001</v>
      </c>
      <c r="DZ148" s="6"/>
      <c r="EA148" s="4">
        <v>0.06497687405662196</v>
      </c>
      <c r="EB148" s="5">
        <f>IF(DT148="direct",IFERROR(EH148/DY148,0),0)</f>
        <v>0</v>
      </c>
      <c r="EC148" s="5">
        <f>IF(DT148="direct",EA148-EB148,IF(DT148="cash",EM148,EA148))</f>
        <v>0.06497687405662196</v>
      </c>
      <c r="ED148" s="6">
        <v>0.07267988434532593</v>
      </c>
      <c r="EE148" s="4">
        <v>0.10571737409012391</v>
      </c>
      <c r="EF148" s="4">
        <v>0</v>
      </c>
      <c r="EG148" s="5">
        <f>IF(DT148="direct",EA148*(DY148-DX148),EJ148)</f>
        <v>0.00006497687405664506</v>
      </c>
      <c r="EH148" s="5">
        <f>IF(DT148="direct",EF148*DZ148*C148/365,0)</f>
        <v>0</v>
      </c>
      <c r="EI148" s="5">
        <f>EG148-EH148</f>
        <v>0.00006497687405664506</v>
      </c>
      <c r="EJ148" s="4">
        <v>0.00006497687405664506</v>
      </c>
      <c r="EK148" s="5">
        <f>EJ148-EI148</f>
        <v>0</v>
      </c>
      <c r="EL148" s="4">
        <v>-0.00006497687405664506</v>
      </c>
      <c r="EM148" s="4">
        <v>0</v>
      </c>
      <c r="EN148" s="4">
        <v>1.614</v>
      </c>
      <c r="EO148" s="4">
        <v>1.624</v>
      </c>
      <c r="EP148" s="6">
        <v>0.008054522924411112</v>
      </c>
      <c r="EQ148" s="6">
        <v>0.0697</v>
      </c>
      <c r="ER148" s="6">
        <v>0.01090198265179889</v>
      </c>
      <c r="ES148" s="9">
        <v>50</v>
      </c>
      <c r="ET148" s="7">
        <f>IFERROR(EI148/F148,0)</f>
        <v>0.000044671102855163974</v>
      </c>
      <c r="EU148" t="inlineStr">
        <is>
          <t xml:space="preserve">Lease cash / margin / financing</t>
        </is>
      </c>
      <c r="EV148" t="inlineStr">
        <is>
          <t xml:space="preserve">cash</t>
        </is>
      </c>
      <c r="EW148" t="inlineStr">
        <is>
          <t xml:space="preserve">lease</t>
        </is>
      </c>
      <c r="EX148" t="inlineStr">
        <is>
          <t xml:space="preserve">cash</t>
        </is>
      </c>
      <c r="EY148"/>
      <c r="EZ148" s="4">
        <v>1</v>
      </c>
      <c r="FA148" s="4">
        <v>1</v>
      </c>
      <c r="FB148" s="6"/>
      <c r="FC148" s="4">
        <v>0</v>
      </c>
      <c r="FD148" s="5">
        <f>IF(EV148="direct",IFERROR(FJ148/FA148,0),0)</f>
        <v>0</v>
      </c>
      <c r="FE148" s="5">
        <f>IF(EV148="direct",FC148-FD148,IF(EV148="cash",FO148,FC148))</f>
        <v>0.00006497687405663256</v>
      </c>
      <c r="FF148" s="6"/>
      <c r="FG148" s="4">
        <v>0</v>
      </c>
      <c r="FH148" s="4">
        <v>0</v>
      </c>
      <c r="FI148" s="5">
        <f>IF(EV148="direct",FC148*(FA148-EZ148),FL148)</f>
        <v>0</v>
      </c>
      <c r="FJ148" s="5">
        <f>IF(EV148="direct",FH148*FB148*C148/365,0)</f>
        <v>0</v>
      </c>
      <c r="FK148" s="5">
        <f>FI148-FJ148</f>
        <v>0</v>
      </c>
      <c r="FL148" s="4">
        <v>0</v>
      </c>
      <c r="FM148" s="5">
        <f>FL148-FK148</f>
        <v>0</v>
      </c>
      <c r="FN148" s="4">
        <v>0.00006497687405663256</v>
      </c>
      <c r="FO148" s="4">
        <v>0.00006497687405663256</v>
      </c>
      <c r="FP148" s="4">
        <v>1.614</v>
      </c>
      <c r="FQ148" s="4">
        <v>1.624</v>
      </c>
      <c r="FR148" s="6"/>
      <c r="FS148" s="6"/>
      <c r="FT148" s="6"/>
      <c r="FU148" s="9"/>
      <c r="FV148" s="7">
        <f>IFERROR(FK148/F148,0)</f>
        <v>0</v>
      </c>
      <c r="FW148" t="inlineStr">
        <is>
          <t xml:space="preserve">Keep cash / margin / financing</t>
        </is>
      </c>
      <c r="FX148" t="inlineStr">
        <is>
          <t xml:space="preserve">cash</t>
        </is>
      </c>
      <c r="FY148" t="inlineStr">
        <is>
          <t xml:space="preserve">keep</t>
        </is>
      </c>
      <c r="FZ148" t="inlineStr">
        <is>
          <t xml:space="preserve">cash</t>
        </is>
      </c>
      <c r="GA148"/>
      <c r="GB148" s="4">
        <v>1</v>
      </c>
      <c r="GC148" s="4">
        <v>1</v>
      </c>
      <c r="GD148" s="6"/>
      <c r="GE148" s="4">
        <v>0</v>
      </c>
      <c r="GF148" s="5">
        <f>IF(FX148="direct",IFERROR(GL148/GC148,0),0)</f>
        <v>0</v>
      </c>
      <c r="GG148" s="5">
        <f>IF(FX148="direct",GE148-GF148,IF(FX148="cash",GQ148,GE148))</f>
        <v>0</v>
      </c>
      <c r="GH148" s="6"/>
      <c r="GI148" s="4">
        <v>0</v>
      </c>
      <c r="GJ148" s="4">
        <v>0</v>
      </c>
      <c r="GK148" s="5">
        <f>IF(FX148="direct",GE148*(GC148-GB148),GN148)</f>
        <v>0</v>
      </c>
      <c r="GL148" s="5">
        <f>IF(FX148="direct",GJ148*GD148*C148/365,0)</f>
        <v>0</v>
      </c>
      <c r="GM148" s="5">
        <f>GK148-GL148</f>
        <v>0</v>
      </c>
      <c r="GN148" s="4">
        <v>0</v>
      </c>
      <c r="GO148" s="5">
        <f>GN148-GM148</f>
        <v>0</v>
      </c>
      <c r="GP148" s="4">
        <v>0</v>
      </c>
      <c r="GQ148" s="4">
        <v>0</v>
      </c>
      <c r="GR148" s="4">
        <v>1.614</v>
      </c>
      <c r="GS148" s="4">
        <v>1.624</v>
      </c>
      <c r="GT148" s="6"/>
      <c r="GU148" s="6"/>
      <c r="GV148" s="6"/>
      <c r="GW148" s="9"/>
      <c r="GX148" s="7">
        <f>IFERROR(GM148/F148,0)</f>
        <v>0</v>
      </c>
      <c r="GY148"/>
      <c r="GZ148"/>
      <c r="HA148"/>
      <c r="HB148"/>
      <c r="HC148"/>
      <c r="HD148" s="4"/>
      <c r="HE148" s="4"/>
      <c r="HF148" s="6"/>
      <c r="HG148" s="4"/>
      <c r="HH148" s="5">
        <v>0</v>
      </c>
      <c r="HI148" s="5"/>
      <c r="HJ148" s="6"/>
      <c r="HK148" s="4"/>
      <c r="HL148" s="4"/>
      <c r="HM148" s="5">
        <v>0</v>
      </c>
      <c r="HN148" s="5">
        <v>0</v>
      </c>
      <c r="HO148" s="5"/>
      <c r="HP148" s="4"/>
      <c r="HQ148" s="5">
        <v>0</v>
      </c>
      <c r="HR148" s="4"/>
      <c r="HS148" s="4"/>
      <c r="HT148" s="4"/>
      <c r="HU148" s="4"/>
      <c r="HV148" s="6"/>
      <c r="HW148" s="6"/>
      <c r="HX148" s="6"/>
      <c r="HY148" s="9"/>
      <c r="HZ148"/>
      <c r="IA148"/>
      <c r="IB148"/>
      <c r="IC148"/>
      <c r="ID148"/>
      <c r="IE148"/>
      <c r="IF148" s="4"/>
      <c r="IG148" s="4"/>
      <c r="IH148" s="6"/>
      <c r="II148" s="4"/>
      <c r="IJ148" s="5">
        <v>0</v>
      </c>
      <c r="IK148" s="5"/>
      <c r="IL148" s="6"/>
      <c r="IM148" s="4"/>
      <c r="IN148" s="4"/>
      <c r="IO148" s="5">
        <v>0</v>
      </c>
      <c r="IP148" s="5">
        <v>0</v>
      </c>
      <c r="IQ148" s="5"/>
      <c r="IR148" s="4"/>
      <c r="IS148" s="5">
        <v>0</v>
      </c>
      <c r="IT148" s="4"/>
      <c r="IU148" s="4"/>
      <c r="IV148" s="4"/>
      <c r="IW148" s="4"/>
      <c r="IX148" s="6"/>
      <c r="IY148" s="6"/>
      <c r="IZ148" s="6"/>
      <c r="JA148" s="9"/>
      <c r="JB148"/>
      <c r="JC148"/>
      <c r="JD148"/>
      <c r="JE148"/>
      <c r="JF148"/>
      <c r="JG148"/>
      <c r="JH148" s="4"/>
      <c r="JI148" s="4"/>
      <c r="JJ148" s="6"/>
      <c r="JK148" s="4"/>
      <c r="JL148" s="5">
        <v>0</v>
      </c>
      <c r="JM148" s="5"/>
      <c r="JN148" s="6"/>
      <c r="JO148" s="4"/>
      <c r="JP148" s="4"/>
      <c r="JQ148" s="5">
        <v>0</v>
      </c>
      <c r="JR148" s="5">
        <v>0</v>
      </c>
      <c r="JS148" s="5"/>
      <c r="JT148" s="4"/>
      <c r="JU148" s="5">
        <v>0</v>
      </c>
      <c r="JV148" s="4"/>
      <c r="JW148" s="4"/>
      <c r="JX148" s="4"/>
      <c r="JY148" s="4"/>
      <c r="JZ148" s="6"/>
      <c r="KA148" s="6"/>
      <c r="KB148" s="6"/>
      <c r="KC148" s="9"/>
      <c r="KD148"/>
      <c r="KE148"/>
      <c r="KF148"/>
      <c r="KG148"/>
      <c r="KH148"/>
      <c r="KI148"/>
      <c r="KJ148" s="4"/>
      <c r="KK148" s="4"/>
      <c r="KL148" s="6"/>
      <c r="KM148" s="4"/>
      <c r="KN148" s="5">
        <v>0</v>
      </c>
      <c r="KO148" s="5"/>
      <c r="KP148" s="6"/>
      <c r="KQ148" s="4"/>
      <c r="KR148" s="4"/>
      <c r="KS148" s="5">
        <v>0</v>
      </c>
      <c r="KT148" s="5">
        <v>0</v>
      </c>
      <c r="KU148" s="5"/>
      <c r="KV148" s="4"/>
      <c r="KW148" s="5">
        <v>0</v>
      </c>
      <c r="KX148" s="4"/>
      <c r="KY148" s="4"/>
      <c r="KZ148" s="4"/>
      <c r="LA148" s="4"/>
      <c r="LB148" s="6"/>
      <c r="LC148" s="6"/>
      <c r="LD148" s="6"/>
      <c r="LE148" s="9"/>
      <c r="LF148"/>
      <c r="LG148"/>
      <c r="LH148"/>
      <c r="LI148"/>
      <c r="LJ148"/>
      <c r="LK148"/>
      <c r="LL148" s="4"/>
      <c r="LM148" s="4"/>
      <c r="LN148" s="6"/>
      <c r="LO148" s="4"/>
      <c r="LP148" s="5">
        <v>0</v>
      </c>
      <c r="LQ148" s="5"/>
      <c r="LR148" s="6"/>
      <c r="LS148" s="4"/>
      <c r="LT148" s="4"/>
      <c r="LU148" s="5">
        <v>0</v>
      </c>
      <c r="LV148" s="5">
        <v>0</v>
      </c>
      <c r="LW148" s="5"/>
      <c r="LX148" s="4"/>
      <c r="LY148" s="5">
        <v>0</v>
      </c>
      <c r="LZ148" s="4"/>
      <c r="MA148" s="4"/>
      <c r="MB148" s="4"/>
      <c r="MC148" s="4"/>
      <c r="MD148" s="6"/>
      <c r="ME148" s="6"/>
      <c r="MF148" s="6"/>
      <c r="MG148" s="9"/>
      <c r="MH148"/>
    </row>
    <row r="149">
      <c r="A149" s="8">
        <v>25423</v>
      </c>
      <c r="B149" s="8">
        <v>25426</v>
      </c>
      <c r="C149" s="9">
        <f>B149-A149</f>
        <v>3</v>
      </c>
      <c r="D149" s="8">
        <v>25423</v>
      </c>
      <c r="E149" t="inlineStr">
        <is>
          <t xml:space="preserve">positive</t>
        </is>
      </c>
      <c r="F149" s="4">
        <v>1.4629947496171118</v>
      </c>
      <c r="G149" s="6">
        <v>0.035908129878511115</v>
      </c>
      <c r="H149" s="7">
        <f>SUM(CP149,DR149,ET149,FV149,GX149,HZ149,JB149,KD149,LF149,MH149)</f>
        <v>0.035908129878511115</v>
      </c>
      <c r="I149" s="7">
        <f>G149-H149</f>
        <v>0</v>
      </c>
      <c r="J149" s="5">
        <f>F149*(1+H149)</f>
        <v>1.515528155097943</v>
      </c>
      <c r="K149" s="4">
        <v>1.515528155097943</v>
      </c>
      <c r="L149" s="5">
        <f>K149-J149</f>
        <v>0</v>
      </c>
      <c r="M149" s="4">
        <v>1.624</v>
      </c>
      <c r="N149" s="4">
        <v>1.69</v>
      </c>
      <c r="O149" s="5">
        <f>M149/$M$3</f>
        <v>0.829417773237998</v>
      </c>
      <c r="P149" s="5">
        <f>N149/$M$3</f>
        <v>0.8631256384065372</v>
      </c>
      <c r="Q149" s="7">
        <f>IFERROR(N149/M149-1,0)</f>
        <v>0.04064039408866993</v>
      </c>
      <c r="R149" s="5">
        <f>SUM(IF(BQ149="lease",CB149,0),IF(CS149="lease",DD149,0),IF(DU149="lease",EF149,0),IF(EW149="lease",FH149,0),IF(FY149="lease",GJ149,0),IF(HA149="lease",HL149,0),IF(IC149="lease",IN149,0),IF(JE149="lease",JP149,0),IF(KG149="lease",KR149,0),IF(LI149="lease",LT149,0))</f>
        <v>1.462994749617112</v>
      </c>
      <c r="S149" s="5">
        <f>SUM(IF(BQ149="lease",CI149,0),IF(CS149="lease",DK149,0),IF(DU149="lease",EM149,0),IF(EW149="lease",FO149,0),IF(FY149="lease",GQ149,0),IF(HA149="lease",HS149,0),IF(IC149="lease",IU149,0),IF(JE149="lease",JW149,0),IF(KG149="lease",KY149,0),IF(LI149="lease",MA149,0))</f>
        <v>1.515528155097943</v>
      </c>
      <c r="T149" s="5">
        <f>SUM(IF(BQ149="keep",CB149,0),IF(CS149="keep",DD149,0),IF(DU149="keep",EF149,0),IF(EW149="keep",FH149,0),IF(FY149="keep",GJ149,0),IF(HA149="keep",HL149,0),IF(IC149="keep",IN149,0),IF(JE149="keep",JP149,0),IF(KG149="keep",KR149,0),IF(LI149="keep",LT149,0))</f>
        <v>0</v>
      </c>
      <c r="U149" s="5">
        <f>SUM(IF(BQ149="keep",CI149,0),IF(CS149="keep",DK149,0),IF(DU149="keep",EM149,0),IF(EW149="keep",FO149,0),IF(FY149="keep",GQ149,0),IF(HA149="keep",HS149,0),IF(IC149="keep",IU149,0),IF(JE149="keep",JW149,0),IF(KG149="keep",KY149,0),IF(LI149="keep",MA149,0))</f>
        <v>0</v>
      </c>
      <c r="V149" s="5">
        <f>R149/O149</f>
        <v>1.7638816008314686</v>
      </c>
      <c r="W149" s="5">
        <f>S149/P149</f>
        <v>1.7558604305809304</v>
      </c>
      <c r="X149" s="5">
        <f>T149/O149</f>
        <v>0</v>
      </c>
      <c r="Y149" s="5">
        <f>U149/P149</f>
        <v>0</v>
      </c>
      <c r="Z149" s="5">
        <f>V149+X149</f>
        <v>1.7638816008314686</v>
      </c>
      <c r="AA149" s="7">
        <f>IFERROR(W149/V149-1,0)</f>
        <v>-0.004547453891892261</v>
      </c>
      <c r="AB149" s="7">
        <f>IFERROR((W149-V149)/Z149,0)</f>
        <v>-0.004547453891892235</v>
      </c>
      <c r="AC149" s="7">
        <f>IFERROR(Y149/X149-1,0)</f>
        <v>0</v>
      </c>
      <c r="AD149" s="7">
        <f>IFERROR((Y149-X149)/Z149,0)</f>
        <v>0</v>
      </c>
      <c r="AE149" s="7">
        <f>AB149+AD149</f>
        <v>-0.004547453891892235</v>
      </c>
      <c r="AF149" s="7">
        <f>(1+Q149)*(1+AE149)-1</f>
        <v>0.03590812987851111</v>
      </c>
      <c r="AG149" s="7">
        <f>G149-AF149</f>
        <v>6.938893903907228e-18</v>
      </c>
      <c r="AH149" s="5">
        <f>SUM(IF(BQ149="lease",CE149,0),IF(CS149="lease",DG149,0),IF(DU149="lease",EI149,0),IF(EW149="lease",FK149,0),IF(FY149="lease",GM149,0),IF(HA149="lease",HO149,0),IF(IC149="lease",IQ149,0),IF(JE149="lease",JS149,0),IF(KG149="lease",KU149,0),IF(LI149="lease",LW149,0))</f>
        <v>0.0525334054808311</v>
      </c>
      <c r="AI149" s="5">
        <f>SUM(IF(BQ149="keep",CE149,0),IF(CS149="keep",DG149,0),IF(DU149="keep",EI149,0),IF(EW149="keep",FK149,0),IF(FY149="keep",GM149,0),IF(HA149="keep",HO149,0),IF(IC149="keep",IQ149,0),IF(JE149="keep",JS149,0),IF(KG149="keep",KU149,0),IF(LI149="keep",LW149,0))</f>
        <v>0</v>
      </c>
      <c r="AJ149" s="5">
        <f>SUM(IF(BQ149="lease",CH149,0),IF(CS149="lease",DJ149,0),IF(DU149="lease",EL149,0),IF(EW149="lease",FN149,0),IF(FY149="lease",GP149,0),IF(HA149="lease",HR149,0),IF(IC149="lease",IT149,0),IF(JE149="lease",JV149,0),IF(KG149="lease",KX149,0),IF(LI149="lease",LZ149,0))</f>
        <v>0</v>
      </c>
      <c r="AK149" s="5">
        <f>SUM(IF(BQ149="keep",CH149,0),IF(CS149="keep",DJ149,0),IF(DU149="keep",EL149,0),IF(EW149="keep",FN149,0),IF(FY149="keep",GP149,0),IF(HA149="keep",HR149,0),IF(IC149="keep",IT149,0),IF(JE149="keep",JV149,0),IF(KG149="keep",KX149,0),IF(LI149="keep",LZ149,0))</f>
        <v>0</v>
      </c>
      <c r="AL149" s="5">
        <f>R149-S148</f>
        <v>0</v>
      </c>
      <c r="AM149" s="5">
        <f>T149-U148</f>
        <v>0</v>
      </c>
      <c r="AN149" s="5">
        <f>AN148</f>
        <v>1</v>
      </c>
      <c r="AO149" s="5">
        <f>AO148+AH149</f>
        <v>0.5155281550979436</v>
      </c>
      <c r="AP149" s="5">
        <f>AP148+AL149</f>
        <v>-6.661338147750939e-16</v>
      </c>
      <c r="AQ149" s="5">
        <f>AN149+AO149+AP149</f>
        <v>1.515528155097943</v>
      </c>
      <c r="AR149" s="5">
        <f>S149-AQ149</f>
        <v>0</v>
      </c>
      <c r="AS149" s="5">
        <f>AS148</f>
        <v>0</v>
      </c>
      <c r="AT149" s="5">
        <f>AT148+AI149</f>
        <v>0</v>
      </c>
      <c r="AU149" s="5">
        <f>AU148+AM149</f>
        <v>0</v>
      </c>
      <c r="AV149" s="5">
        <f>AS149+AT149+AU149</f>
        <v>0</v>
      </c>
      <c r="AW149" s="5">
        <f>U149-AV149</f>
        <v>0</v>
      </c>
      <c r="AX149" s="4">
        <v>1.462994749617112</v>
      </c>
      <c r="AY149" s="4">
        <v>1.5155281550979431</v>
      </c>
      <c r="AZ149" s="5">
        <f>S149-AY149</f>
        <v>-2.220446049250313e-16</v>
      </c>
      <c r="BA149" s="4">
        <v>0</v>
      </c>
      <c r="BB149" s="4">
        <v>0</v>
      </c>
      <c r="BC149" s="5">
        <f>U149-BB149</f>
        <v>0</v>
      </c>
      <c r="BD149" s="7">
        <f>SUM(IF(BP149="direct",CC149/F149,0),IF(CR149="direct",DE149/F149,0),IF(DT149="direct",EG149/F149,0),IF(EV149="direct",FI149/F149,0),IF(FX149="direct",GK149/F149,0),IF(GZ149="direct",HM149/F149,0),IF(IB149="direct",IO149/F149,0),IF(JD149="direct",JQ149/F149,0),IF(KF149="direct",KS149/F149,0),IF(LH149="direct",LU149/F149,0))</f>
        <v>0.026591616850093713</v>
      </c>
      <c r="BE149" s="7">
        <f>-SUM(IF(BP149="direct",CD149/F149,0),IF(CR149="direct",DF149/F149,0),IF(DT149="direct",EH149/F149,0),IF(EV149="direct",FJ149/F149,0),IF(FX149="direct",GL149/F149,0),IF(GZ149="direct",HN149/F149,0),IF(IB149="direct",IP149/F149,0),IF(JD149="direct",JR149/F149,0),IF(KF149="direct",KT149/F149,0),IF(LH149="direct",LV149/F149,0))</f>
        <v>-0.000013444827448490755</v>
      </c>
      <c r="BF149" s="7">
        <f>BD149+BE149</f>
        <v>0.026578172022645223</v>
      </c>
      <c r="BG149" s="7">
        <f>BF149-SUM(IF(BP149="direct",CP149,0),IF(CR149="direct",DR149,0),IF(DT149="direct",ET149,0),IF(EV149="direct",FV149,0),IF(FX149="direct",GX149,0),IF(GZ149="direct",HZ149,0),IF(IB149="direct",JB149,0),IF(JD149="direct",KD149,0),IF(KF149="direct",LF149,0),IF(LH149="direct",MH149,0))</f>
        <v>-5.551115123125783e-17</v>
      </c>
      <c r="BH149" s="7">
        <f>SUM(IF(BP149="treasury",CP149,0),IF(CR149="treasury",DR149,0),IF(DT149="treasury",ET149,0),IF(EV149="treasury",FV149,0),IF(FX149="treasury",GX149,0),IF(GZ149="treasury",HZ149,0),IF(IB149="treasury",JB149,0),IF(JD149="treasury",KD149,0),IF(KF149="treasury",LF149,0),IF(LH149="treasury",MH149,0))</f>
        <v>0.00019945554661624266</v>
      </c>
      <c r="BI149" s="7">
        <f>SUM(IF(BP149="future",CP149,0),IF(CR149="future",DR149,0),IF(DT149="future",ET149,0),IF(EV149="future",FV149,0),IF(FX149="future",GX149,0),IF(GZ149="future",HZ149,0),IF(IB149="future",JB149,0),IF(JD149="future",KD149,0),IF(KF149="future",LF149,0),IF(LH149="future",MH149,0))</f>
        <v>0.009130502309249595</v>
      </c>
      <c r="BJ149" s="7">
        <f>SUM(IF(BP149="cash",CP149,0),IF(CR149="cash",DR149,0),IF(DT149="cash",ET149,0),IF(EV149="cash",FV149,0),IF(FX149="cash",GX149,0),IF(GZ149="cash",HZ149,0),IF(IB149="cash",JB149,0),IF(JD149="cash",KD149,0),IF(KF149="cash",LF149,0),IF(LH149="cash",MH149,0))</f>
        <v>0</v>
      </c>
      <c r="BK149" s="7">
        <f>SUM(BF149,BH149,BI149,BJ149)</f>
        <v>0.035908129878511115</v>
      </c>
      <c r="BL149" s="7">
        <f>G149-BK149</f>
        <v>0</v>
      </c>
      <c r="BM149" s="5">
        <f>MAX(ABS(CG149),ABS(DI149),ABS(EK149),ABS(FM149),ABS(GO149),ABS(HQ149),ABS(IS149),ABS(JU149),ABS(KW149),ABS(LY149))</f>
        <v>8.10339479979244e-17</v>
      </c>
      <c r="BN149" s="9">
        <f>COUNTA(BO149,CQ149,DS149,EU149,FW149,GY149,IA149,JC149,KE149,LG149)</f>
        <v>5</v>
      </c>
      <c r="BO149" t="inlineStr">
        <is>
          <t xml:space="preserve">Direct commodity holding</t>
        </is>
      </c>
      <c r="BP149" t="inlineStr">
        <is>
          <t xml:space="preserve">direct</t>
        </is>
      </c>
      <c r="BQ149" t="inlineStr">
        <is>
          <t xml:space="preserve">lease</t>
        </is>
      </c>
      <c r="BR149" t="inlineStr">
        <is>
          <t xml:space="preserve">long</t>
        </is>
      </c>
      <c r="BS149"/>
      <c r="BT149" s="4">
        <v>1.624</v>
      </c>
      <c r="BU149" s="4">
        <v>1.69</v>
      </c>
      <c r="BV149" s="6">
        <v>0.0025</v>
      </c>
      <c r="BW149" s="4">
        <v>0.5894453914472291</v>
      </c>
      <c r="BX149" s="5">
        <f>IF(BP149="direct",IFERROR(CD149/BU149,0),0)</f>
        <v>0.000011638882820502961</v>
      </c>
      <c r="BY149" s="5">
        <f>IF(BP149="direct",BW149-BX149,IF(BP149="cash",CI149,BW149))</f>
        <v>0.5894337525644086</v>
      </c>
      <c r="BZ149" s="6">
        <v>0.65431493582655</v>
      </c>
      <c r="CA149" s="4">
        <v>0.9572593157103001</v>
      </c>
      <c r="CB149" s="4">
        <v>0.9572593157103001</v>
      </c>
      <c r="CC149" s="5">
        <f>IF(BP149="direct",BW149*(BU149-BT149),CF149)</f>
        <v>0.038903395835517024</v>
      </c>
      <c r="CD149" s="5">
        <f>IF(BP149="direct",CB149*BV149*C149/365,0)</f>
        <v>0.000019669711966650004</v>
      </c>
      <c r="CE149" s="5">
        <f>CC149-CD149</f>
        <v>0.038883726123550455</v>
      </c>
      <c r="CF149" s="4">
        <v>0.038883726123550455</v>
      </c>
      <c r="CG149" s="5">
        <f>CF149-CE149</f>
        <v>8.10339479979244e-17</v>
      </c>
      <c r="CH149" s="4">
        <v>0</v>
      </c>
      <c r="CI149" s="4">
        <v>0.9961430418338504</v>
      </c>
      <c r="CJ149" s="4">
        <v>1.624</v>
      </c>
      <c r="CK149" s="4">
        <v>1.69</v>
      </c>
      <c r="CL149" s="6"/>
      <c r="CM149" s="6"/>
      <c r="CN149" s="6"/>
      <c r="CO149" s="9"/>
      <c r="CP149" s="7">
        <f>IFERROR(CE149/F149,0)</f>
        <v>0.02657817202264528</v>
      </c>
      <c r="CQ149" t="inlineStr">
        <is>
          <t xml:space="preserve">Treasury collateral</t>
        </is>
      </c>
      <c r="CR149" t="inlineStr">
        <is>
          <t xml:space="preserve">treasury</t>
        </is>
      </c>
      <c r="CS149" t="inlineStr">
        <is>
          <t xml:space="preserve">lease</t>
        </is>
      </c>
      <c r="CT149" t="inlineStr">
        <is>
          <t xml:space="preserve">long</t>
        </is>
      </c>
      <c r="CU149"/>
      <c r="CV149" s="4">
        <v>103.82697375137471</v>
      </c>
      <c r="CW149" s="4">
        <v>103.88688049294193</v>
      </c>
      <c r="CX149" s="6"/>
      <c r="CY149" s="4">
        <v>0.004870944568969637</v>
      </c>
      <c r="CZ149" s="5">
        <f>IF(CR149="direct",IFERROR(DF149/CW149,0),0)</f>
        <v>0</v>
      </c>
      <c r="DA149" s="5">
        <f>IF(CR149="direct",CY149-CZ149,IF(CR149="cash",DK149,CY149))</f>
        <v>0.004870944568969637</v>
      </c>
      <c r="DB149" s="6">
        <v>0.34568506417344996</v>
      </c>
      <c r="DC149" s="4">
        <v>0.5057354339068117</v>
      </c>
      <c r="DD149" s="4">
        <v>0.5057354339068117</v>
      </c>
      <c r="DE149" s="5">
        <f>IF(CR149="direct",CY149*(CW149-CV149),DH149)</f>
        <v>0.0002918024174815086</v>
      </c>
      <c r="DF149" s="5">
        <f>IF(CR149="direct",DD149*CX149*C149/365,0)</f>
        <v>0</v>
      </c>
      <c r="DG149" s="5">
        <f>DE149-DF149</f>
        <v>0.00029180241748157413</v>
      </c>
      <c r="DH149" s="4">
        <v>0.00029180241748157413</v>
      </c>
      <c r="DI149" s="5">
        <f>DH149-DG149</f>
        <v>6.554002132674874e-17</v>
      </c>
      <c r="DJ149" s="4">
        <v>-7.26415455565288e-17</v>
      </c>
      <c r="DK149" s="4">
        <v>0.5060272363242933</v>
      </c>
      <c r="DL149" s="4">
        <v>1.624</v>
      </c>
      <c r="DM149" s="4">
        <v>1.69</v>
      </c>
      <c r="DN149" s="6"/>
      <c r="DO149" s="6"/>
      <c r="DP149" s="6"/>
      <c r="DQ149" s="9">
        <v>49</v>
      </c>
      <c r="DR149" s="7">
        <f>IFERROR(DG149/F149,0)</f>
        <v>0.00019945554661624266</v>
      </c>
      <c r="DS149" t="inlineStr">
        <is>
          <t xml:space="preserve">SI69U</t>
        </is>
      </c>
      <c r="DT149" t="inlineStr">
        <is>
          <t xml:space="preserve">future</t>
        </is>
      </c>
      <c r="DU149" t="inlineStr">
        <is>
          <t xml:space="preserve">lease</t>
        </is>
      </c>
      <c r="DV149" t="inlineStr">
        <is>
          <t xml:space="preserve">long</t>
        </is>
      </c>
      <c r="DW149" t="inlineStr">
        <is>
          <t xml:space="preserve">regular</t>
        </is>
      </c>
      <c r="DX149" s="4">
        <v>1.6280000000000001</v>
      </c>
      <c r="DY149" s="4">
        <v>1.671</v>
      </c>
      <c r="DZ149" s="6"/>
      <c r="EA149" s="4">
        <v>0.31064830092556</v>
      </c>
      <c r="EB149" s="5">
        <f>IF(DT149="direct",IFERROR(EH149/DY149,0),0)</f>
        <v>0</v>
      </c>
      <c r="EC149" s="5">
        <f>IF(DT149="direct",EA149-EB149,IF(DT149="cash",EM149,EA149))</f>
        <v>0.31064830092556</v>
      </c>
      <c r="ED149" s="6">
        <v>0.34568506417344996</v>
      </c>
      <c r="EE149" s="4">
        <v>0.5057354339068117</v>
      </c>
      <c r="EF149" s="4">
        <v>0</v>
      </c>
      <c r="EG149" s="5">
        <f>IF(DT149="direct",EA149*(DY149-DX149),EJ149)</f>
        <v>0.013357876939799073</v>
      </c>
      <c r="EH149" s="5">
        <f>IF(DT149="direct",EF149*DZ149*C149/365,0)</f>
        <v>0</v>
      </c>
      <c r="EI149" s="5">
        <f>EG149-EH149</f>
        <v>0.013357876939799073</v>
      </c>
      <c r="EJ149" s="4">
        <v>0.013357876939799073</v>
      </c>
      <c r="EK149" s="5">
        <f>EJ149-EI149</f>
        <v>0</v>
      </c>
      <c r="EL149" s="4">
        <v>-0.013357876939799073</v>
      </c>
      <c r="EM149" s="4">
        <v>0</v>
      </c>
      <c r="EN149" s="4">
        <v>1.624</v>
      </c>
      <c r="EO149" s="4">
        <v>1.69</v>
      </c>
      <c r="EP149" s="6">
        <v>0.0024630541871921707</v>
      </c>
      <c r="EQ149" s="6">
        <v>0.0702</v>
      </c>
      <c r="ER149" s="6">
        <v>0.0518527596260175</v>
      </c>
      <c r="ES149" s="9">
        <v>49</v>
      </c>
      <c r="ET149" s="7">
        <f>IFERROR(EI149/F149,0)</f>
        <v>0.009130502309249595</v>
      </c>
      <c r="EU149" t="inlineStr">
        <is>
          <t xml:space="preserve">Lease cash / margin / financing</t>
        </is>
      </c>
      <c r="EV149" t="inlineStr">
        <is>
          <t xml:space="preserve">cash</t>
        </is>
      </c>
      <c r="EW149" t="inlineStr">
        <is>
          <t xml:space="preserve">lease</t>
        </is>
      </c>
      <c r="EX149" t="inlineStr">
        <is>
          <t xml:space="preserve">cash</t>
        </is>
      </c>
      <c r="EY149"/>
      <c r="EZ149" s="4">
        <v>1</v>
      </c>
      <c r="FA149" s="4">
        <v>1</v>
      </c>
      <c r="FB149" s="6"/>
      <c r="FC149" s="4">
        <v>2.220446049250313e-16</v>
      </c>
      <c r="FD149" s="5">
        <f>IF(EV149="direct",IFERROR(FJ149/FA149,0),0)</f>
        <v>0</v>
      </c>
      <c r="FE149" s="5">
        <f>IF(EV149="direct",FC149-FD149,IF(EV149="cash",FO149,FC149))</f>
        <v>0.013357876939799368</v>
      </c>
      <c r="FF149" s="6"/>
      <c r="FG149" s="4">
        <v>2.220446049250313e-16</v>
      </c>
      <c r="FH149" s="4">
        <v>2.220446049250313e-16</v>
      </c>
      <c r="FI149" s="5">
        <f>IF(EV149="direct",FC149*(FA149-EZ149),FL149)</f>
        <v>0</v>
      </c>
      <c r="FJ149" s="5">
        <f>IF(EV149="direct",FH149*FB149*C149/365,0)</f>
        <v>0</v>
      </c>
      <c r="FK149" s="5">
        <f>FI149-FJ149</f>
        <v>0</v>
      </c>
      <c r="FL149" s="4">
        <v>0</v>
      </c>
      <c r="FM149" s="5">
        <f>FL149-FK149</f>
        <v>0</v>
      </c>
      <c r="FN149" s="4">
        <v>0.013357876939799146</v>
      </c>
      <c r="FO149" s="4">
        <v>0.013357876939799368</v>
      </c>
      <c r="FP149" s="4">
        <v>1.624</v>
      </c>
      <c r="FQ149" s="4">
        <v>1.69</v>
      </c>
      <c r="FR149" s="6"/>
      <c r="FS149" s="6"/>
      <c r="FT149" s="6"/>
      <c r="FU149" s="9"/>
      <c r="FV149" s="7">
        <f>IFERROR(FK149/F149,0)</f>
        <v>0</v>
      </c>
      <c r="FW149" t="inlineStr">
        <is>
          <t xml:space="preserve">Keep cash / margin / financing</t>
        </is>
      </c>
      <c r="FX149" t="inlineStr">
        <is>
          <t xml:space="preserve">cash</t>
        </is>
      </c>
      <c r="FY149" t="inlineStr">
        <is>
          <t xml:space="preserve">keep</t>
        </is>
      </c>
      <c r="FZ149" t="inlineStr">
        <is>
          <t xml:space="preserve">cash</t>
        </is>
      </c>
      <c r="GA149"/>
      <c r="GB149" s="4">
        <v>1</v>
      </c>
      <c r="GC149" s="4">
        <v>1</v>
      </c>
      <c r="GD149" s="6"/>
      <c r="GE149" s="4">
        <v>0</v>
      </c>
      <c r="GF149" s="5">
        <f>IF(FX149="direct",IFERROR(GL149/GC149,0),0)</f>
        <v>0</v>
      </c>
      <c r="GG149" s="5">
        <f>IF(FX149="direct",GE149-GF149,IF(FX149="cash",GQ149,GE149))</f>
        <v>0</v>
      </c>
      <c r="GH149" s="6"/>
      <c r="GI149" s="4">
        <v>0</v>
      </c>
      <c r="GJ149" s="4">
        <v>0</v>
      </c>
      <c r="GK149" s="5">
        <f>IF(FX149="direct",GE149*(GC149-GB149),GN149)</f>
        <v>0</v>
      </c>
      <c r="GL149" s="5">
        <f>IF(FX149="direct",GJ149*GD149*C149/365,0)</f>
        <v>0</v>
      </c>
      <c r="GM149" s="5">
        <f>GK149-GL149</f>
        <v>0</v>
      </c>
      <c r="GN149" s="4">
        <v>0</v>
      </c>
      <c r="GO149" s="5">
        <f>GN149-GM149</f>
        <v>0</v>
      </c>
      <c r="GP149" s="4">
        <v>0</v>
      </c>
      <c r="GQ149" s="4">
        <v>0</v>
      </c>
      <c r="GR149" s="4">
        <v>1.624</v>
      </c>
      <c r="GS149" s="4">
        <v>1.69</v>
      </c>
      <c r="GT149" s="6"/>
      <c r="GU149" s="6"/>
      <c r="GV149" s="6"/>
      <c r="GW149" s="9"/>
      <c r="GX149" s="7">
        <f>IFERROR(GM149/F149,0)</f>
        <v>0</v>
      </c>
      <c r="GY149"/>
      <c r="GZ149"/>
      <c r="HA149"/>
      <c r="HB149"/>
      <c r="HC149"/>
      <c r="HD149" s="4"/>
      <c r="HE149" s="4"/>
      <c r="HF149" s="6"/>
      <c r="HG149" s="4"/>
      <c r="HH149" s="5">
        <v>0</v>
      </c>
      <c r="HI149" s="5"/>
      <c r="HJ149" s="6"/>
      <c r="HK149" s="4"/>
      <c r="HL149" s="4"/>
      <c r="HM149" s="5">
        <v>0</v>
      </c>
      <c r="HN149" s="5">
        <v>0</v>
      </c>
      <c r="HO149" s="5"/>
      <c r="HP149" s="4"/>
      <c r="HQ149" s="5">
        <v>0</v>
      </c>
      <c r="HR149" s="4"/>
      <c r="HS149" s="4"/>
      <c r="HT149" s="4"/>
      <c r="HU149" s="4"/>
      <c r="HV149" s="6"/>
      <c r="HW149" s="6"/>
      <c r="HX149" s="6"/>
      <c r="HY149" s="9"/>
      <c r="HZ149"/>
      <c r="IA149"/>
      <c r="IB149"/>
      <c r="IC149"/>
      <c r="ID149"/>
      <c r="IE149"/>
      <c r="IF149" s="4"/>
      <c r="IG149" s="4"/>
      <c r="IH149" s="6"/>
      <c r="II149" s="4"/>
      <c r="IJ149" s="5">
        <v>0</v>
      </c>
      <c r="IK149" s="5"/>
      <c r="IL149" s="6"/>
      <c r="IM149" s="4"/>
      <c r="IN149" s="4"/>
      <c r="IO149" s="5">
        <v>0</v>
      </c>
      <c r="IP149" s="5">
        <v>0</v>
      </c>
      <c r="IQ149" s="5"/>
      <c r="IR149" s="4"/>
      <c r="IS149" s="5">
        <v>0</v>
      </c>
      <c r="IT149" s="4"/>
      <c r="IU149" s="4"/>
      <c r="IV149" s="4"/>
      <c r="IW149" s="4"/>
      <c r="IX149" s="6"/>
      <c r="IY149" s="6"/>
      <c r="IZ149" s="6"/>
      <c r="JA149" s="9"/>
      <c r="JB149"/>
      <c r="JC149"/>
      <c r="JD149"/>
      <c r="JE149"/>
      <c r="JF149"/>
      <c r="JG149"/>
      <c r="JH149" s="4"/>
      <c r="JI149" s="4"/>
      <c r="JJ149" s="6"/>
      <c r="JK149" s="4"/>
      <c r="JL149" s="5">
        <v>0</v>
      </c>
      <c r="JM149" s="5"/>
      <c r="JN149" s="6"/>
      <c r="JO149" s="4"/>
      <c r="JP149" s="4"/>
      <c r="JQ149" s="5">
        <v>0</v>
      </c>
      <c r="JR149" s="5">
        <v>0</v>
      </c>
      <c r="JS149" s="5"/>
      <c r="JT149" s="4"/>
      <c r="JU149" s="5">
        <v>0</v>
      </c>
      <c r="JV149" s="4"/>
      <c r="JW149" s="4"/>
      <c r="JX149" s="4"/>
      <c r="JY149" s="4"/>
      <c r="JZ149" s="6"/>
      <c r="KA149" s="6"/>
      <c r="KB149" s="6"/>
      <c r="KC149" s="9"/>
      <c r="KD149"/>
      <c r="KE149"/>
      <c r="KF149"/>
      <c r="KG149"/>
      <c r="KH149"/>
      <c r="KI149"/>
      <c r="KJ149" s="4"/>
      <c r="KK149" s="4"/>
      <c r="KL149" s="6"/>
      <c r="KM149" s="4"/>
      <c r="KN149" s="5">
        <v>0</v>
      </c>
      <c r="KO149" s="5"/>
      <c r="KP149" s="6"/>
      <c r="KQ149" s="4"/>
      <c r="KR149" s="4"/>
      <c r="KS149" s="5">
        <v>0</v>
      </c>
      <c r="KT149" s="5">
        <v>0</v>
      </c>
      <c r="KU149" s="5"/>
      <c r="KV149" s="4"/>
      <c r="KW149" s="5">
        <v>0</v>
      </c>
      <c r="KX149" s="4"/>
      <c r="KY149" s="4"/>
      <c r="KZ149" s="4"/>
      <c r="LA149" s="4"/>
      <c r="LB149" s="6"/>
      <c r="LC149" s="6"/>
      <c r="LD149" s="6"/>
      <c r="LE149" s="9"/>
      <c r="LF149"/>
      <c r="LG149"/>
      <c r="LH149"/>
      <c r="LI149"/>
      <c r="LJ149"/>
      <c r="LK149"/>
      <c r="LL149" s="4"/>
      <c r="LM149" s="4"/>
      <c r="LN149" s="6"/>
      <c r="LO149" s="4"/>
      <c r="LP149" s="5">
        <v>0</v>
      </c>
      <c r="LQ149" s="5"/>
      <c r="LR149" s="6"/>
      <c r="LS149" s="4"/>
      <c r="LT149" s="4"/>
      <c r="LU149" s="5">
        <v>0</v>
      </c>
      <c r="LV149" s="5">
        <v>0</v>
      </c>
      <c r="LW149" s="5"/>
      <c r="LX149" s="4"/>
      <c r="LY149" s="5">
        <v>0</v>
      </c>
      <c r="LZ149" s="4"/>
      <c r="MA149" s="4"/>
      <c r="MB149" s="4"/>
      <c r="MC149" s="4"/>
      <c r="MD149" s="6"/>
      <c r="ME149" s="6"/>
      <c r="MF149" s="6"/>
      <c r="MG149" s="9"/>
      <c r="MH149"/>
    </row>
    <row r="150">
      <c r="A150" s="8">
        <v>25426</v>
      </c>
      <c r="B150" s="8">
        <v>25427</v>
      </c>
      <c r="C150" s="9">
        <f>B150-A150</f>
        <v>1</v>
      </c>
      <c r="D150" s="8">
        <v>25426</v>
      </c>
      <c r="E150" t="inlineStr">
        <is>
          <t xml:space="preserve">positive</t>
        </is>
      </c>
      <c r="F150" s="4">
        <v>1.515528155097943</v>
      </c>
      <c r="G150" s="6">
        <v>0.0037827190674110016</v>
      </c>
      <c r="H150" s="7">
        <f>SUM(CP150,DR150,ET150,FV150,GX150,HZ150,JB150,KD150,LF150,MH150)</f>
        <v>0.003782719067411002</v>
      </c>
      <c r="I150" s="7">
        <f>G150-H150</f>
        <v>-4.336808689942018e-19</v>
      </c>
      <c r="J150" s="5">
        <f>F150*(1+H150)</f>
        <v>1.52126097234743</v>
      </c>
      <c r="K150" s="4">
        <v>1.52126097234743</v>
      </c>
      <c r="L150" s="5">
        <f>K150-J150</f>
        <v>0</v>
      </c>
      <c r="M150" s="4">
        <v>1.69</v>
      </c>
      <c r="N150" s="4">
        <v>1.654</v>
      </c>
      <c r="O150" s="5">
        <f>M150/$M$3</f>
        <v>0.8631256384065372</v>
      </c>
      <c r="P150" s="5">
        <f>N150/$M$3</f>
        <v>0.8447395301327886</v>
      </c>
      <c r="Q150" s="7">
        <f>IFERROR(N150/M150-1,0)</f>
        <v>-0.02130177514792897</v>
      </c>
      <c r="R150" s="5">
        <f>SUM(IF(BQ150="lease",CB150,0),IF(CS150="lease",DD150,0),IF(DU150="lease",EF150,0),IF(EW150="lease",FH150,0),IF(FY150="lease",GJ150,0),IF(HA150="lease",HL150,0),IF(IC150="lease",IN150,0),IF(JE150="lease",JP150,0),IF(KG150="lease",KR150,0),IF(LI150="lease",LT150,0))</f>
        <v>1.5155281550979431</v>
      </c>
      <c r="S150" s="5">
        <f>SUM(IF(BQ150="lease",CI150,0),IF(CS150="lease",DK150,0),IF(DU150="lease",EM150,0),IF(EW150="lease",FO150,0),IF(FY150="lease",GQ150,0),IF(HA150="lease",HS150,0),IF(IC150="lease",IU150,0),IF(JE150="lease",JW150,0),IF(KG150="lease",KY150,0),IF(LI150="lease",MA150,0))</f>
        <v>1.5212609723474304</v>
      </c>
      <c r="T150" s="5">
        <f>SUM(IF(BQ150="keep",CB150,0),IF(CS150="keep",DD150,0),IF(DU150="keep",EF150,0),IF(EW150="keep",FH150,0),IF(FY150="keep",GJ150,0),IF(HA150="keep",HL150,0),IF(IC150="keep",IN150,0),IF(JE150="keep",JP150,0),IF(KG150="keep",KR150,0),IF(LI150="keep",LT150,0))</f>
        <v>0</v>
      </c>
      <c r="U150" s="5">
        <f>SUM(IF(BQ150="keep",CI150,0),IF(CS150="keep",DK150,0),IF(DU150="keep",EM150,0),IF(EW150="keep",FO150,0),IF(FY150="keep",GQ150,0),IF(HA150="keep",HS150,0),IF(IC150="keep",IU150,0),IF(JE150="keep",JW150,0),IF(KG150="keep",KY150,0),IF(LI150="keep",MA150,0))</f>
        <v>0</v>
      </c>
      <c r="V150" s="5">
        <f>R150/O150</f>
        <v>1.7558604305809307</v>
      </c>
      <c r="W150" s="5">
        <f>S150/P150</f>
        <v>1.8008639563822664</v>
      </c>
      <c r="X150" s="5">
        <f>T150/O150</f>
        <v>0</v>
      </c>
      <c r="Y150" s="5">
        <f>U150/P150</f>
        <v>0</v>
      </c>
      <c r="Z150" s="5">
        <f>V150+X150</f>
        <v>1.7558604305809307</v>
      </c>
      <c r="AA150" s="7">
        <f>IFERROR(W150/V150-1,0)</f>
        <v>0.025630468696447695</v>
      </c>
      <c r="AB150" s="7">
        <f>IFERROR((W150-V150)/Z150,0)</f>
        <v>0.02563046869644769</v>
      </c>
      <c r="AC150" s="7">
        <f>IFERROR(Y150/X150-1,0)</f>
        <v>0</v>
      </c>
      <c r="AD150" s="7">
        <f>IFERROR((Y150-X150)/Z150,0)</f>
        <v>0</v>
      </c>
      <c r="AE150" s="7">
        <f>AB150+AD150</f>
        <v>0.02563046869644769</v>
      </c>
      <c r="AF150" s="7">
        <f>(1+Q150)*(1+AE150)-1</f>
        <v>0.0037827190674109</v>
      </c>
      <c r="AG150" s="7">
        <f>G150-AF150</f>
        <v>1.0148132334464322e-16</v>
      </c>
      <c r="AH150" s="5">
        <f>SUM(IF(BQ150="lease",CE150,0),IF(CS150="lease",DG150,0),IF(DU150="lease",EI150,0),IF(EW150="lease",FK150,0),IF(FY150="lease",GM150,0),IF(HA150="lease",HO150,0),IF(IC150="lease",IQ150,0),IF(JE150="lease",JS150,0),IF(KG150="lease",KU150,0),IF(LI150="lease",LW150,0))</f>
        <v>0.005732817249487207</v>
      </c>
      <c r="AI150" s="5">
        <f>SUM(IF(BQ150="keep",CE150,0),IF(CS150="keep",DG150,0),IF(DU150="keep",EI150,0),IF(EW150="keep",FK150,0),IF(FY150="keep",GM150,0),IF(HA150="keep",HO150,0),IF(IC150="keep",IQ150,0),IF(JE150="keep",JS150,0),IF(KG150="keep",KU150,0),IF(LI150="keep",LW150,0))</f>
        <v>0</v>
      </c>
      <c r="AJ150" s="5">
        <f>SUM(IF(BQ150="lease",CH150,0),IF(CS150="lease",DJ150,0),IF(DU150="lease",EL150,0),IF(EW150="lease",FN150,0),IF(FY150="lease",GP150,0),IF(HA150="lease",HR150,0),IF(IC150="lease",IT150,0),IF(JE150="lease",JV150,0),IF(KG150="lease",KX150,0),IF(LI150="lease",LZ150,0))</f>
        <v>0</v>
      </c>
      <c r="AK150" s="5">
        <f>SUM(IF(BQ150="keep",CH150,0),IF(CS150="keep",DJ150,0),IF(DU150="keep",EL150,0),IF(EW150="keep",FN150,0),IF(FY150="keep",GP150,0),IF(HA150="keep",HR150,0),IF(IC150="keep",IT150,0),IF(JE150="keep",JV150,0),IF(KG150="keep",KX150,0),IF(LI150="keep",LZ150,0))</f>
        <v>0</v>
      </c>
      <c r="AL150" s="5">
        <f>R150-S149</f>
        <v>2.220446049250313e-16</v>
      </c>
      <c r="AM150" s="5">
        <f>T150-U149</f>
        <v>0</v>
      </c>
      <c r="AN150" s="5">
        <f>AN149</f>
        <v>1</v>
      </c>
      <c r="AO150" s="5">
        <f>AO149+AH150</f>
        <v>0.5212609723474307</v>
      </c>
      <c r="AP150" s="5">
        <f>AP149+AL150</f>
        <v>-4.440892098500626e-16</v>
      </c>
      <c r="AQ150" s="5">
        <f>AN150+AO150+AP150</f>
        <v>1.5212609723474304</v>
      </c>
      <c r="AR150" s="5">
        <f>S150-AQ150</f>
        <v>0</v>
      </c>
      <c r="AS150" s="5">
        <f>AS149</f>
        <v>0</v>
      </c>
      <c r="AT150" s="5">
        <f>AT149+AI150</f>
        <v>0</v>
      </c>
      <c r="AU150" s="5">
        <f>AU149+AM150</f>
        <v>0</v>
      </c>
      <c r="AV150" s="5">
        <f>AS150+AT150+AU150</f>
        <v>0</v>
      </c>
      <c r="AW150" s="5">
        <f>U150-AV150</f>
        <v>0</v>
      </c>
      <c r="AX150" s="4">
        <v>1.5155281550979431</v>
      </c>
      <c r="AY150" s="4">
        <v>1.5212609723474304</v>
      </c>
      <c r="AZ150" s="5">
        <f>S150-AY150</f>
        <v>0</v>
      </c>
      <c r="BA150" s="4">
        <v>0</v>
      </c>
      <c r="BB150" s="4">
        <v>0</v>
      </c>
      <c r="BC150" s="5">
        <f>U150-BB150</f>
        <v>0</v>
      </c>
      <c r="BD150" s="7">
        <f>SUM(IF(BP150="direct",CC150/F150,0),IF(CR150="direct",DE150/F150,0),IF(DT150="direct",EG150/F150,0),IF(EV150="direct",FI150/F150,0),IF(FX150="direct",GK150/F150,0),IF(GZ150="direct",HM150/F150,0),IF(IB150="direct",IO150/F150,0),IF(JD150="direct",JQ150/F150,0),IF(KF150="direct",KS150/F150,0),IF(LH150="direct",LU150/F150,0))</f>
        <v>0</v>
      </c>
      <c r="BE150" s="7">
        <f>-SUM(IF(BP150="direct",CD150/F150,0),IF(CR150="direct",DF150/F150,0),IF(DT150="direct",EH150/F150,0),IF(EV150="direct",FJ150/F150,0),IF(FX150="direct",GL150/F150,0),IF(GZ150="direct",HN150/F150,0),IF(IB150="direct",IP150/F150,0),IF(JD150="direct",JR150/F150,0),IF(KF150="direct",KT150/F150,0),IF(LH150="direct",LV150/F150,0))</f>
        <v>0</v>
      </c>
      <c r="BF150" s="7">
        <f>BD150+BE150</f>
        <v>0</v>
      </c>
      <c r="BG150" s="7">
        <f>BF150-SUM(IF(BP150="direct",CP150,0),IF(CR150="direct",DR150,0),IF(DT150="direct",ET150,0),IF(EV150="direct",FV150,0),IF(FX150="direct",GX150,0),IF(GZ150="direct",HZ150,0),IF(IB150="direct",JB150,0),IF(JD150="direct",KD150,0),IF(KF150="direct",LF150,0),IF(LH150="direct",MH150,0))</f>
        <v>0</v>
      </c>
      <c r="BH150" s="7">
        <f>SUM(IF(BP150="treasury",CP150,0),IF(CR150="treasury",DR150,0),IF(DT150="treasury",ET150,0),IF(EV150="treasury",FV150,0),IF(FX150="treasury",GX150,0),IF(GZ150="treasury",HZ150,0),IF(IB150="treasury",JB150,0),IF(JD150="treasury",KD150,0),IF(KF150="treasury",LF150,0),IF(LH150="treasury",MH150,0))</f>
        <v>0.00019205479452054795</v>
      </c>
      <c r="BI150" s="7">
        <f>SUM(IF(BP150="future",CP150,0),IF(CR150="future",DR150,0),IF(DT150="future",ET150,0),IF(EV150="future",FV150,0),IF(FX150="future",GX150,0),IF(GZ150="future",HZ150,0),IF(IB150="future",JB150,0),IF(JD150="future",KD150,0),IF(KF150="future",LF150,0),IF(LH150="future",MH150,0))</f>
        <v>0.003590664272890454</v>
      </c>
      <c r="BJ150" s="7">
        <f>SUM(IF(BP150="cash",CP150,0),IF(CR150="cash",DR150,0),IF(DT150="cash",ET150,0),IF(EV150="cash",FV150,0),IF(FX150="cash",GX150,0),IF(GZ150="cash",HZ150,0),IF(IB150="cash",JB150,0),IF(JD150="cash",KD150,0),IF(KF150="cash",LF150,0),IF(LH150="cash",MH150,0))</f>
        <v>0</v>
      </c>
      <c r="BK150" s="7">
        <f>SUM(BF150,BH150,BI150,BJ150)</f>
        <v>0.003782719067411002</v>
      </c>
      <c r="BL150" s="7">
        <f>G150-BK150</f>
        <v>-4.336808689942018e-19</v>
      </c>
      <c r="BM150" s="5">
        <f>MAX(ABS(CG150),ABS(DI150),ABS(EK150),ABS(FM150),ABS(GO150),ABS(HQ150),ABS(IS150),ABS(JU150),ABS(KW150),ABS(LY150))</f>
        <v>3.5735303605122226e-16</v>
      </c>
      <c r="BN150" s="9">
        <f>COUNTA(BO150,CQ150,DS150,EU150,FW150,GY150,IA150,JC150,KE150,LG150)</f>
        <v>4</v>
      </c>
      <c r="BO150" t="inlineStr">
        <is>
          <t xml:space="preserve">Treasury collateral</t>
        </is>
      </c>
      <c r="BP150" t="inlineStr">
        <is>
          <t xml:space="preserve">treasury</t>
        </is>
      </c>
      <c r="BQ150" t="inlineStr">
        <is>
          <t xml:space="preserve">lease</t>
        </is>
      </c>
      <c r="BR150" t="inlineStr">
        <is>
          <t xml:space="preserve">long</t>
        </is>
      </c>
      <c r="BS150"/>
      <c r="BT150" s="4">
        <v>103.88688049294193</v>
      </c>
      <c r="BU150" s="4">
        <v>103.90683246642836</v>
      </c>
      <c r="BV150" s="6"/>
      <c r="BW150" s="4">
        <v>0.014588253568754601</v>
      </c>
      <c r="BX150" s="5">
        <f>IF(BP150="direct",IFERROR(CD150/BU150,0),0)</f>
        <v>0</v>
      </c>
      <c r="BY150" s="5">
        <f>IF(BP150="direct",BW150-BX150,IF(BP150="cash",CI150,BW150))</f>
        <v>0.014588253568754601</v>
      </c>
      <c r="BZ150" s="6">
        <v>1</v>
      </c>
      <c r="CA150" s="4">
        <v>1.515528155097943</v>
      </c>
      <c r="CB150" s="4">
        <v>1.515528155097943</v>
      </c>
      <c r="CC150" s="5">
        <f>IF(BP150="direct",BW150*(BU150-BT150),CF150)</f>
        <v>0.0002910644484170832</v>
      </c>
      <c r="CD150" s="5">
        <f>IF(BP150="direct",CB150*BV150*C150/365,0)</f>
        <v>0</v>
      </c>
      <c r="CE150" s="5">
        <f>CC150-CD150</f>
        <v>0.00029106444841744055</v>
      </c>
      <c r="CF150" s="4">
        <v>0.00029106444841744055</v>
      </c>
      <c r="CG150" s="5">
        <f>CF150-CE150</f>
        <v>3.5735303605122226e-16</v>
      </c>
      <c r="CH150" s="4">
        <v>-3.517693948629219e-16</v>
      </c>
      <c r="CI150" s="4">
        <v>1.51581921954636</v>
      </c>
      <c r="CJ150" s="4">
        <v>1.69</v>
      </c>
      <c r="CK150" s="4">
        <v>1.654</v>
      </c>
      <c r="CL150" s="6"/>
      <c r="CM150" s="6"/>
      <c r="CN150" s="6"/>
      <c r="CO150" s="9">
        <v>46</v>
      </c>
      <c r="CP150" s="7">
        <f>IFERROR(CE150/F150,0)</f>
        <v>0.00019205479452054795</v>
      </c>
      <c r="CQ150" t="inlineStr">
        <is>
          <t xml:space="preserve">SI69U</t>
        </is>
      </c>
      <c r="CR150" t="inlineStr">
        <is>
          <t xml:space="preserve">future</t>
        </is>
      </c>
      <c r="CS150" t="inlineStr">
        <is>
          <t xml:space="preserve">lease</t>
        </is>
      </c>
      <c r="CT150" t="inlineStr">
        <is>
          <t xml:space="preserve">long</t>
        </is>
      </c>
      <c r="CU150" t="inlineStr">
        <is>
          <t xml:space="preserve">regular</t>
        </is>
      </c>
      <c r="CV150" s="4">
        <v>1.671</v>
      </c>
      <c r="CW150" s="4">
        <v>1.6769999999999998</v>
      </c>
      <c r="CX150" s="6"/>
      <c r="CY150" s="4">
        <v>0.9069588001783021</v>
      </c>
      <c r="CZ150" s="5">
        <f>IF(CR150="direct",IFERROR(DF150/CW150,0),0)</f>
        <v>0</v>
      </c>
      <c r="DA150" s="5">
        <f>IF(CR150="direct",CY150-CZ150,IF(CR150="cash",DK150,CY150))</f>
        <v>0.9069588001783021</v>
      </c>
      <c r="DB150" s="6">
        <v>1</v>
      </c>
      <c r="DC150" s="4">
        <v>1.515528155097943</v>
      </c>
      <c r="DD150" s="4">
        <v>0</v>
      </c>
      <c r="DE150" s="5">
        <f>IF(CR150="direct",CY150*(CW150-CV150),DH150)</f>
        <v>0.005441752801069766</v>
      </c>
      <c r="DF150" s="5">
        <f>IF(CR150="direct",DD150*CX150*C150/365,0)</f>
        <v>0</v>
      </c>
      <c r="DG150" s="5">
        <f>DE150-DF150</f>
        <v>0.005441752801069766</v>
      </c>
      <c r="DH150" s="4">
        <v>0.005441752801069766</v>
      </c>
      <c r="DI150" s="5">
        <f>DH150-DG150</f>
        <v>0</v>
      </c>
      <c r="DJ150" s="4">
        <v>-0.005441752801069766</v>
      </c>
      <c r="DK150" s="4">
        <v>0</v>
      </c>
      <c r="DL150" s="4">
        <v>1.69</v>
      </c>
      <c r="DM150" s="4">
        <v>1.654</v>
      </c>
      <c r="DN150" s="6">
        <v>-0.011242603550295827</v>
      </c>
      <c r="DO150" s="6">
        <v>0.0701</v>
      </c>
      <c r="DP150" s="6">
        <v>0.1593076151273473</v>
      </c>
      <c r="DQ150" s="9">
        <v>46</v>
      </c>
      <c r="DR150" s="7">
        <f>IFERROR(DG150/F150,0)</f>
        <v>0.003590664272890454</v>
      </c>
      <c r="DS150" t="inlineStr">
        <is>
          <t xml:space="preserve">Lease cash / margin / financing</t>
        </is>
      </c>
      <c r="DT150" t="inlineStr">
        <is>
          <t xml:space="preserve">cash</t>
        </is>
      </c>
      <c r="DU150" t="inlineStr">
        <is>
          <t xml:space="preserve">lease</t>
        </is>
      </c>
      <c r="DV150" t="inlineStr">
        <is>
          <t xml:space="preserve">cash</t>
        </is>
      </c>
      <c r="DW150"/>
      <c r="DX150" s="4">
        <v>1</v>
      </c>
      <c r="DY150" s="4">
        <v>1</v>
      </c>
      <c r="DZ150" s="6"/>
      <c r="EA150" s="4">
        <v>2.220446049250313e-16</v>
      </c>
      <c r="EB150" s="5">
        <f>IF(DT150="direct",IFERROR(EH150/DY150,0),0)</f>
        <v>0</v>
      </c>
      <c r="EC150" s="5">
        <f>IF(DT150="direct",EA150-EB150,IF(DT150="cash",EM150,EA150))</f>
        <v>0.0054417528010703405</v>
      </c>
      <c r="ED150" s="6"/>
      <c r="EE150" s="4">
        <v>2.220446049250313e-16</v>
      </c>
      <c r="EF150" s="4">
        <v>2.220446049250313e-16</v>
      </c>
      <c r="EG150" s="5">
        <f>IF(DT150="direct",EA150*(DY150-DX150),EJ150)</f>
        <v>0</v>
      </c>
      <c r="EH150" s="5">
        <f>IF(DT150="direct",EF150*DZ150*C150/365,0)</f>
        <v>0</v>
      </c>
      <c r="EI150" s="5">
        <f>EG150-EH150</f>
        <v>0</v>
      </c>
      <c r="EJ150" s="4">
        <v>0</v>
      </c>
      <c r="EK150" s="5">
        <f>EJ150-EI150</f>
        <v>0</v>
      </c>
      <c r="EL150" s="4">
        <v>0.0054417528010701184</v>
      </c>
      <c r="EM150" s="4">
        <v>0.0054417528010703405</v>
      </c>
      <c r="EN150" s="4">
        <v>1.69</v>
      </c>
      <c r="EO150" s="4">
        <v>1.654</v>
      </c>
      <c r="EP150" s="6"/>
      <c r="EQ150" s="6"/>
      <c r="ER150" s="6"/>
      <c r="ES150" s="9"/>
      <c r="ET150" s="7">
        <f>IFERROR(EI150/F150,0)</f>
        <v>0</v>
      </c>
      <c r="EU150" t="inlineStr">
        <is>
          <t xml:space="preserve">Keep cash / margin / financing</t>
        </is>
      </c>
      <c r="EV150" t="inlineStr">
        <is>
          <t xml:space="preserve">cash</t>
        </is>
      </c>
      <c r="EW150" t="inlineStr">
        <is>
          <t xml:space="preserve">keep</t>
        </is>
      </c>
      <c r="EX150" t="inlineStr">
        <is>
          <t xml:space="preserve">cash</t>
        </is>
      </c>
      <c r="EY150"/>
      <c r="EZ150" s="4">
        <v>1</v>
      </c>
      <c r="FA150" s="4">
        <v>1</v>
      </c>
      <c r="FB150" s="6"/>
      <c r="FC150" s="4">
        <v>0</v>
      </c>
      <c r="FD150" s="5">
        <f>IF(EV150="direct",IFERROR(FJ150/FA150,0),0)</f>
        <v>0</v>
      </c>
      <c r="FE150" s="5">
        <f>IF(EV150="direct",FC150-FD150,IF(EV150="cash",FO150,FC150))</f>
        <v>0</v>
      </c>
      <c r="FF150" s="6"/>
      <c r="FG150" s="4">
        <v>0</v>
      </c>
      <c r="FH150" s="4">
        <v>0</v>
      </c>
      <c r="FI150" s="5">
        <f>IF(EV150="direct",FC150*(FA150-EZ150),FL150)</f>
        <v>0</v>
      </c>
      <c r="FJ150" s="5">
        <f>IF(EV150="direct",FH150*FB150*C150/365,0)</f>
        <v>0</v>
      </c>
      <c r="FK150" s="5">
        <f>FI150-FJ150</f>
        <v>0</v>
      </c>
      <c r="FL150" s="4">
        <v>0</v>
      </c>
      <c r="FM150" s="5">
        <f>FL150-FK150</f>
        <v>0</v>
      </c>
      <c r="FN150" s="4">
        <v>0</v>
      </c>
      <c r="FO150" s="4">
        <v>0</v>
      </c>
      <c r="FP150" s="4">
        <v>1.69</v>
      </c>
      <c r="FQ150" s="4">
        <v>1.654</v>
      </c>
      <c r="FR150" s="6"/>
      <c r="FS150" s="6"/>
      <c r="FT150" s="6"/>
      <c r="FU150" s="9"/>
      <c r="FV150" s="7">
        <f>IFERROR(FK150/F150,0)</f>
        <v>0</v>
      </c>
      <c r="FW150"/>
      <c r="FX150"/>
      <c r="FY150"/>
      <c r="FZ150"/>
      <c r="GA150"/>
      <c r="GB150" s="4"/>
      <c r="GC150" s="4"/>
      <c r="GD150" s="6"/>
      <c r="GE150" s="4"/>
      <c r="GF150" s="5">
        <v>0</v>
      </c>
      <c r="GG150" s="5"/>
      <c r="GH150" s="6"/>
      <c r="GI150" s="4"/>
      <c r="GJ150" s="4"/>
      <c r="GK150" s="5">
        <v>0</v>
      </c>
      <c r="GL150" s="5">
        <v>0</v>
      </c>
      <c r="GM150" s="5"/>
      <c r="GN150" s="4"/>
      <c r="GO150" s="5">
        <v>0</v>
      </c>
      <c r="GP150" s="4"/>
      <c r="GQ150" s="4"/>
      <c r="GR150" s="4"/>
      <c r="GS150" s="4"/>
      <c r="GT150" s="6"/>
      <c r="GU150" s="6"/>
      <c r="GV150" s="6"/>
      <c r="GW150" s="9"/>
      <c r="GX150"/>
      <c r="GY150"/>
      <c r="GZ150"/>
      <c r="HA150"/>
      <c r="HB150"/>
      <c r="HC150"/>
      <c r="HD150" s="4"/>
      <c r="HE150" s="4"/>
      <c r="HF150" s="6"/>
      <c r="HG150" s="4"/>
      <c r="HH150" s="5">
        <v>0</v>
      </c>
      <c r="HI150" s="5"/>
      <c r="HJ150" s="6"/>
      <c r="HK150" s="4"/>
      <c r="HL150" s="4"/>
      <c r="HM150" s="5">
        <v>0</v>
      </c>
      <c r="HN150" s="5">
        <v>0</v>
      </c>
      <c r="HO150" s="5"/>
      <c r="HP150" s="4"/>
      <c r="HQ150" s="5">
        <v>0</v>
      </c>
      <c r="HR150" s="4"/>
      <c r="HS150" s="4"/>
      <c r="HT150" s="4"/>
      <c r="HU150" s="4"/>
      <c r="HV150" s="6"/>
      <c r="HW150" s="6"/>
      <c r="HX150" s="6"/>
      <c r="HY150" s="9"/>
      <c r="HZ150"/>
      <c r="IA150"/>
      <c r="IB150"/>
      <c r="IC150"/>
      <c r="ID150"/>
      <c r="IE150"/>
      <c r="IF150" s="4"/>
      <c r="IG150" s="4"/>
      <c r="IH150" s="6"/>
      <c r="II150" s="4"/>
      <c r="IJ150" s="5">
        <v>0</v>
      </c>
      <c r="IK150" s="5"/>
      <c r="IL150" s="6"/>
      <c r="IM150" s="4"/>
      <c r="IN150" s="4"/>
      <c r="IO150" s="5">
        <v>0</v>
      </c>
      <c r="IP150" s="5">
        <v>0</v>
      </c>
      <c r="IQ150" s="5"/>
      <c r="IR150" s="4"/>
      <c r="IS150" s="5">
        <v>0</v>
      </c>
      <c r="IT150" s="4"/>
      <c r="IU150" s="4"/>
      <c r="IV150" s="4"/>
      <c r="IW150" s="4"/>
      <c r="IX150" s="6"/>
      <c r="IY150" s="6"/>
      <c r="IZ150" s="6"/>
      <c r="JA150" s="9"/>
      <c r="JB150"/>
      <c r="JC150"/>
      <c r="JD150"/>
      <c r="JE150"/>
      <c r="JF150"/>
      <c r="JG150"/>
      <c r="JH150" s="4"/>
      <c r="JI150" s="4"/>
      <c r="JJ150" s="6"/>
      <c r="JK150" s="4"/>
      <c r="JL150" s="5">
        <v>0</v>
      </c>
      <c r="JM150" s="5"/>
      <c r="JN150" s="6"/>
      <c r="JO150" s="4"/>
      <c r="JP150" s="4"/>
      <c r="JQ150" s="5">
        <v>0</v>
      </c>
      <c r="JR150" s="5">
        <v>0</v>
      </c>
      <c r="JS150" s="5"/>
      <c r="JT150" s="4"/>
      <c r="JU150" s="5">
        <v>0</v>
      </c>
      <c r="JV150" s="4"/>
      <c r="JW150" s="4"/>
      <c r="JX150" s="4"/>
      <c r="JY150" s="4"/>
      <c r="JZ150" s="6"/>
      <c r="KA150" s="6"/>
      <c r="KB150" s="6"/>
      <c r="KC150" s="9"/>
      <c r="KD150"/>
      <c r="KE150"/>
      <c r="KF150"/>
      <c r="KG150"/>
      <c r="KH150"/>
      <c r="KI150"/>
      <c r="KJ150" s="4"/>
      <c r="KK150" s="4"/>
      <c r="KL150" s="6"/>
      <c r="KM150" s="4"/>
      <c r="KN150" s="5">
        <v>0</v>
      </c>
      <c r="KO150" s="5"/>
      <c r="KP150" s="6"/>
      <c r="KQ150" s="4"/>
      <c r="KR150" s="4"/>
      <c r="KS150" s="5">
        <v>0</v>
      </c>
      <c r="KT150" s="5">
        <v>0</v>
      </c>
      <c r="KU150" s="5"/>
      <c r="KV150" s="4"/>
      <c r="KW150" s="5">
        <v>0</v>
      </c>
      <c r="KX150" s="4"/>
      <c r="KY150" s="4"/>
      <c r="KZ150" s="4"/>
      <c r="LA150" s="4"/>
      <c r="LB150" s="6"/>
      <c r="LC150" s="6"/>
      <c r="LD150" s="6"/>
      <c r="LE150" s="9"/>
      <c r="LF150"/>
      <c r="LG150"/>
      <c r="LH150"/>
      <c r="LI150"/>
      <c r="LJ150"/>
      <c r="LK150"/>
      <c r="LL150" s="4"/>
      <c r="LM150" s="4"/>
      <c r="LN150" s="6"/>
      <c r="LO150" s="4"/>
      <c r="LP150" s="5">
        <v>0</v>
      </c>
      <c r="LQ150" s="5"/>
      <c r="LR150" s="6"/>
      <c r="LS150" s="4"/>
      <c r="LT150" s="4"/>
      <c r="LU150" s="5">
        <v>0</v>
      </c>
      <c r="LV150" s="5">
        <v>0</v>
      </c>
      <c r="LW150" s="5"/>
      <c r="LX150" s="4"/>
      <c r="LY150" s="5">
        <v>0</v>
      </c>
      <c r="LZ150" s="4"/>
      <c r="MA150" s="4"/>
      <c r="MB150" s="4"/>
      <c r="MC150" s="4"/>
      <c r="MD150" s="6"/>
      <c r="ME150" s="6"/>
      <c r="MF150" s="6"/>
      <c r="MG150" s="9"/>
      <c r="MH150"/>
    </row>
    <row r="151">
      <c r="A151" s="8">
        <v>25427</v>
      </c>
      <c r="B151" s="8">
        <v>25428</v>
      </c>
      <c r="C151" s="9">
        <f>B151-A151</f>
        <v>1</v>
      </c>
      <c r="D151" s="8">
        <v>25427</v>
      </c>
      <c r="E151" t="inlineStr">
        <is>
          <t xml:space="preserve">neutral</t>
        </is>
      </c>
      <c r="F151" s="4">
        <v>1.52126097234743</v>
      </c>
      <c r="G151" s="6">
        <v>0.012689644034387501</v>
      </c>
      <c r="H151" s="7">
        <f>SUM(CP151,DR151,ET151,FV151,GX151,HZ151,JB151,KD151,LF151,MH151)</f>
        <v>0.012689644034387501</v>
      </c>
      <c r="I151" s="7">
        <f>G151-H151</f>
        <v>0</v>
      </c>
      <c r="J151" s="5">
        <f>F151*(1+H151)</f>
        <v>1.540565232569925</v>
      </c>
      <c r="K151" s="4">
        <v>1.540565232569925</v>
      </c>
      <c r="L151" s="5">
        <f>K151-J151</f>
        <v>0</v>
      </c>
      <c r="M151" s="4">
        <v>1.654</v>
      </c>
      <c r="N151" s="4">
        <v>1.675</v>
      </c>
      <c r="O151" s="5">
        <f>M151/$M$3</f>
        <v>0.8447395301327886</v>
      </c>
      <c r="P151" s="5">
        <f>N151/$M$3</f>
        <v>0.8554647599591421</v>
      </c>
      <c r="Q151" s="7">
        <f>IFERROR(N151/M151-1,0)</f>
        <v>0.012696493349455995</v>
      </c>
      <c r="R151" s="5">
        <f>SUM(IF(BQ151="lease",CB151,0),IF(CS151="lease",DD151,0),IF(DU151="lease",EF151,0),IF(EW151="lease",FH151,0),IF(FY151="lease",GJ151,0),IF(HA151="lease",HL151,0),IF(IC151="lease",IN151,0),IF(JE151="lease",JP151,0),IF(KG151="lease",KR151,0),IF(LI151="lease",LT151,0))</f>
        <v>1.5212609723474304</v>
      </c>
      <c r="S151" s="5">
        <f>SUM(IF(BQ151="lease",CI151,0),IF(CS151="lease",DK151,0),IF(DU151="lease",EM151,0),IF(EW151="lease",FO151,0),IF(FY151="lease",GQ151,0),IF(HA151="lease",HS151,0),IF(IC151="lease",IU151,0),IF(JE151="lease",JW151,0),IF(KG151="lease",KY151,0),IF(LI151="lease",MA151,0))</f>
        <v>1.5405652325699255</v>
      </c>
      <c r="T151" s="5">
        <f>SUM(IF(BQ151="keep",CB151,0),IF(CS151="keep",DD151,0),IF(DU151="keep",EF151,0),IF(EW151="keep",FH151,0),IF(FY151="keep",GJ151,0),IF(HA151="keep",HL151,0),IF(IC151="keep",IN151,0),IF(JE151="keep",JP151,0),IF(KG151="keep",KR151,0),IF(LI151="keep",LT151,0))</f>
        <v>0</v>
      </c>
      <c r="U151" s="5">
        <f>SUM(IF(BQ151="keep",CI151,0),IF(CS151="keep",DK151,0),IF(DU151="keep",EM151,0),IF(EW151="keep",FO151,0),IF(FY151="keep",GQ151,0),IF(HA151="keep",HS151,0),IF(IC151="keep",IU151,0),IF(JE151="keep",JW151,0),IF(KG151="keep",KY151,0),IF(LI151="keep",MA151,0))</f>
        <v>0</v>
      </c>
      <c r="V151" s="5">
        <f>R151/O151</f>
        <v>1.8008639563822664</v>
      </c>
      <c r="W151" s="5">
        <f>S151/P151</f>
        <v>1.8008517763414411</v>
      </c>
      <c r="X151" s="5">
        <f>T151/O151</f>
        <v>0</v>
      </c>
      <c r="Y151" s="5">
        <f>U151/P151</f>
        <v>0</v>
      </c>
      <c r="Z151" s="5">
        <f>V151+X151</f>
        <v>1.8008639563822664</v>
      </c>
      <c r="AA151" s="7">
        <f>IFERROR(W151/V151-1,0)</f>
        <v>-0.000006763443058610541</v>
      </c>
      <c r="AB151" s="7">
        <f>IFERROR((W151-V151)/Z151,0)</f>
        <v>-0.000006763443058590999</v>
      </c>
      <c r="AC151" s="7">
        <f>IFERROR(Y151/X151-1,0)</f>
        <v>0</v>
      </c>
      <c r="AD151" s="7">
        <f>IFERROR((Y151-X151)/Z151,0)</f>
        <v>0</v>
      </c>
      <c r="AE151" s="7">
        <f>AB151+AD151</f>
        <v>-0.000006763443058590999</v>
      </c>
      <c r="AF151" s="7">
        <f>(1+Q151)*(1+AE151)-1</f>
        <v>0.012689644034387548</v>
      </c>
      <c r="AG151" s="7">
        <f>G151-AF151</f>
        <v>-4.683753385137379e-17</v>
      </c>
      <c r="AH151" s="5">
        <f>SUM(IF(BQ151="lease",CE151,0),IF(CS151="lease",DG151,0),IF(DU151="lease",EI151,0),IF(EW151="lease",FK151,0),IF(FY151="lease",GM151,0),IF(HA151="lease",HO151,0),IF(IC151="lease",IQ151,0),IF(JE151="lease",JS151,0),IF(KG151="lease",KU151,0),IF(LI151="lease",LW151,0))</f>
        <v>0.019304260222495095</v>
      </c>
      <c r="AI151" s="5">
        <f>SUM(IF(BQ151="keep",CE151,0),IF(CS151="keep",DG151,0),IF(DU151="keep",EI151,0),IF(EW151="keep",FK151,0),IF(FY151="keep",GM151,0),IF(HA151="keep",HO151,0),IF(IC151="keep",IQ151,0),IF(JE151="keep",JS151,0),IF(KG151="keep",KU151,0),IF(LI151="keep",LW151,0))</f>
        <v>0</v>
      </c>
      <c r="AJ151" s="5">
        <f>SUM(IF(BQ151="lease",CH151,0),IF(CS151="lease",DJ151,0),IF(DU151="lease",EL151,0),IF(EW151="lease",FN151,0),IF(FY151="lease",GP151,0),IF(HA151="lease",HR151,0),IF(IC151="lease",IT151,0),IF(JE151="lease",JV151,0),IF(KG151="lease",KX151,0),IF(LI151="lease",LZ151,0))</f>
        <v>0</v>
      </c>
      <c r="AK151" s="5">
        <f>SUM(IF(BQ151="keep",CH151,0),IF(CS151="keep",DJ151,0),IF(DU151="keep",EL151,0),IF(EW151="keep",FN151,0),IF(FY151="keep",GP151,0),IF(HA151="keep",HR151,0),IF(IC151="keep",IT151,0),IF(JE151="keep",JV151,0),IF(KG151="keep",KX151,0),IF(LI151="keep",LZ151,0))</f>
        <v>0</v>
      </c>
      <c r="AL151" s="5">
        <f>R151-S150</f>
        <v>0</v>
      </c>
      <c r="AM151" s="5">
        <f>T151-U150</f>
        <v>0</v>
      </c>
      <c r="AN151" s="5">
        <f>AN150</f>
        <v>1</v>
      </c>
      <c r="AO151" s="5">
        <f>AO150+AH151</f>
        <v>0.5405652325699258</v>
      </c>
      <c r="AP151" s="5">
        <f>AP150+AL151</f>
        <v>-4.440892098500626e-16</v>
      </c>
      <c r="AQ151" s="5">
        <f>AN151+AO151+AP151</f>
        <v>1.5405652325699255</v>
      </c>
      <c r="AR151" s="5">
        <f>S151-AQ151</f>
        <v>0</v>
      </c>
      <c r="AS151" s="5">
        <f>AS150</f>
        <v>0</v>
      </c>
      <c r="AT151" s="5">
        <f>AT150+AI151</f>
        <v>0</v>
      </c>
      <c r="AU151" s="5">
        <f>AU150+AM151</f>
        <v>0</v>
      </c>
      <c r="AV151" s="5">
        <f>AS151+AT151+AU151</f>
        <v>0</v>
      </c>
      <c r="AW151" s="5">
        <f>U151-AV151</f>
        <v>0</v>
      </c>
      <c r="AX151" s="4">
        <v>1.5212609723474304</v>
      </c>
      <c r="AY151" s="4">
        <v>1.5405652325699255</v>
      </c>
      <c r="AZ151" s="5">
        <f>S151-AY151</f>
        <v>0</v>
      </c>
      <c r="BA151" s="4">
        <v>0</v>
      </c>
      <c r="BB151" s="4">
        <v>0</v>
      </c>
      <c r="BC151" s="5">
        <f>U151-BB151</f>
        <v>0</v>
      </c>
      <c r="BD151" s="7">
        <f>SUM(IF(BP151="direct",CC151/F151,0),IF(CR151="direct",DE151/F151,0),IF(DT151="direct",EG151/F151,0),IF(EV151="direct",FI151/F151,0),IF(FX151="direct",GK151/F151,0),IF(GZ151="direct",HM151/F151,0),IF(IB151="direct",IO151/F151,0),IF(JD151="direct",JQ151/F151,0),IF(KF151="direct",KS151/F151,0),IF(LH151="direct",LU151/F151,0))</f>
        <v>0.012696493349455943</v>
      </c>
      <c r="BE151" s="7">
        <f>-SUM(IF(BP151="direct",CD151/F151,0),IF(CR151="direct",DF151/F151,0),IF(DT151="direct",EH151/F151,0),IF(EV151="direct",FJ151/F151,0),IF(FX151="direct",GL151/F151,0),IF(GZ151="direct",HN151/F151,0),IF(IB151="direct",IP151/F151,0),IF(JD151="direct",JR151/F151,0),IF(KF151="direct",KT151/F151,0),IF(LH151="direct",LV151/F151,0))</f>
        <v>-0.000006849315068493151</v>
      </c>
      <c r="BF151" s="7">
        <f>BD151+BE151</f>
        <v>0.01268964403438745</v>
      </c>
      <c r="BG151" s="7">
        <f>BF151-SUM(IF(BP151="direct",CP151,0),IF(CR151="direct",DR151,0),IF(DT151="direct",ET151,0),IF(EV151="direct",FV151,0),IF(FX151="direct",GX151,0),IF(GZ151="direct",HZ151,0),IF(IB151="direct",JB151,0),IF(JD151="direct",KD151,0),IF(KF151="direct",LF151,0),IF(LH151="direct",MH151,0))</f>
        <v>-5.204170427930421e-17</v>
      </c>
      <c r="BH151" s="7">
        <f>SUM(IF(BP151="treasury",CP151,0),IF(CR151="treasury",DR151,0),IF(DT151="treasury",ET151,0),IF(EV151="treasury",FV151,0),IF(FX151="treasury",GX151,0),IF(GZ151="treasury",HZ151,0),IF(IB151="treasury",JB151,0),IF(JD151="treasury",KD151,0),IF(KF151="treasury",LF151,0),IF(LH151="treasury",MH151,0))</f>
        <v>0</v>
      </c>
      <c r="BI151" s="7">
        <f>SUM(IF(BP151="future",CP151,0),IF(CR151="future",DR151,0),IF(DT151="future",ET151,0),IF(EV151="future",FV151,0),IF(FX151="future",GX151,0),IF(GZ151="future",HZ151,0),IF(IB151="future",JB151,0),IF(JD151="future",KD151,0),IF(KF151="future",LF151,0),IF(LH151="future",MH151,0))</f>
        <v>0</v>
      </c>
      <c r="BJ151" s="7">
        <f>SUM(IF(BP151="cash",CP151,0),IF(CR151="cash",DR151,0),IF(DT151="cash",ET151,0),IF(EV151="cash",FV151,0),IF(FX151="cash",GX151,0),IF(GZ151="cash",HZ151,0),IF(IB151="cash",JB151,0),IF(JD151="cash",KD151,0),IF(KF151="cash",LF151,0),IF(LH151="cash",MH151,0))</f>
        <v>0</v>
      </c>
      <c r="BK151" s="7">
        <f>SUM(BF151,BH151,BI151,BJ151)</f>
        <v>0.012689644034387501</v>
      </c>
      <c r="BL151" s="7">
        <f>G151-BK151</f>
        <v>0</v>
      </c>
      <c r="BM151" s="5">
        <f>MAX(ABS(CG151),ABS(DI151),ABS(EK151),ABS(FM151),ABS(GO151),ABS(HQ151),ABS(IS151),ABS(JU151),ABS(KW151),ABS(LY151))</f>
        <v>7.914337045965281e-17</v>
      </c>
      <c r="BN151" s="9">
        <f>COUNTA(BO151,CQ151,DS151,EU151,FW151,GY151,IA151,JC151,KE151,LG151)</f>
        <v>3</v>
      </c>
      <c r="BO151" t="inlineStr">
        <is>
          <t xml:space="preserve">Direct commodity holding</t>
        </is>
      </c>
      <c r="BP151" t="inlineStr">
        <is>
          <t xml:space="preserve">direct</t>
        </is>
      </c>
      <c r="BQ151" t="inlineStr">
        <is>
          <t xml:space="preserve">lease</t>
        </is>
      </c>
      <c r="BR151" t="inlineStr">
        <is>
          <t xml:space="preserve">long</t>
        </is>
      </c>
      <c r="BS151"/>
      <c r="BT151" s="4">
        <v>1.654</v>
      </c>
      <c r="BU151" s="4">
        <v>1.675</v>
      </c>
      <c r="BV151" s="6">
        <v>0.0025</v>
      </c>
      <c r="BW151" s="4">
        <v>0.919746658009329</v>
      </c>
      <c r="BX151" s="5">
        <f>IF(BP151="direct",IFERROR(CD151/BU151,0),0)</f>
        <v>0.0000062206541498565934</v>
      </c>
      <c r="BY151" s="5">
        <f>IF(BP151="direct",BW151-BX151,IF(BP151="cash",CI151,BW151))</f>
        <v>0.9197404373551791</v>
      </c>
      <c r="BZ151" s="6">
        <v>1</v>
      </c>
      <c r="CA151" s="4">
        <v>1.52126097234743</v>
      </c>
      <c r="CB151" s="4">
        <v>1.52126097234743</v>
      </c>
      <c r="CC151" s="5">
        <f>IF(BP151="direct",BW151*(BU151-BT151),CF151)</f>
        <v>0.019314679818196026</v>
      </c>
      <c r="CD151" s="5">
        <f>IF(BP151="direct",CB151*BV151*C151/365,0)</f>
        <v>0.000010419595701009794</v>
      </c>
      <c r="CE151" s="5">
        <f>CC151-CD151</f>
        <v>0.019304260222495095</v>
      </c>
      <c r="CF151" s="4">
        <v>0.019304260222495095</v>
      </c>
      <c r="CG151" s="5">
        <f>CF151-CE151</f>
        <v>7.914337045965281e-17</v>
      </c>
      <c r="CH151" s="4">
        <v>0</v>
      </c>
      <c r="CI151" s="4">
        <v>1.540565232569925</v>
      </c>
      <c r="CJ151" s="4">
        <v>1.654</v>
      </c>
      <c r="CK151" s="4">
        <v>1.675</v>
      </c>
      <c r="CL151" s="6"/>
      <c r="CM151" s="6"/>
      <c r="CN151" s="6"/>
      <c r="CO151" s="9"/>
      <c r="CP151" s="7">
        <f>IFERROR(CE151/F151,0)</f>
        <v>0.012689644034387501</v>
      </c>
      <c r="CQ151" t="inlineStr">
        <is>
          <t xml:space="preserve">Lease cash / margin / financing</t>
        </is>
      </c>
      <c r="CR151" t="inlineStr">
        <is>
          <t xml:space="preserve">cash</t>
        </is>
      </c>
      <c r="CS151" t="inlineStr">
        <is>
          <t xml:space="preserve">lease</t>
        </is>
      </c>
      <c r="CT151" t="inlineStr">
        <is>
          <t xml:space="preserve">cash</t>
        </is>
      </c>
      <c r="CU151"/>
      <c r="CV151" s="4">
        <v>1</v>
      </c>
      <c r="CW151" s="4">
        <v>1</v>
      </c>
      <c r="CX151" s="6"/>
      <c r="CY151" s="4">
        <v>4.440892098500626e-16</v>
      </c>
      <c r="CZ151" s="5">
        <f>IF(CR151="direct",IFERROR(DF151/CW151,0),0)</f>
        <v>0</v>
      </c>
      <c r="DA151" s="5">
        <f>IF(CR151="direct",CY151-CZ151,IF(CR151="cash",DK151,CY151))</f>
        <v>4.440892098500626e-16</v>
      </c>
      <c r="DB151" s="6"/>
      <c r="DC151" s="4">
        <v>4.440892098500626e-16</v>
      </c>
      <c r="DD151" s="4">
        <v>4.440892098500626e-16</v>
      </c>
      <c r="DE151" s="5">
        <f>IF(CR151="direct",CY151*(CW151-CV151),DH151)</f>
        <v>0</v>
      </c>
      <c r="DF151" s="5">
        <f>IF(CR151="direct",DD151*CX151*C151/365,0)</f>
        <v>0</v>
      </c>
      <c r="DG151" s="5">
        <f>DE151-DF151</f>
        <v>0</v>
      </c>
      <c r="DH151" s="4">
        <v>0</v>
      </c>
      <c r="DI151" s="5">
        <f>DH151-DG151</f>
        <v>0</v>
      </c>
      <c r="DJ151" s="4">
        <v>0</v>
      </c>
      <c r="DK151" s="4">
        <v>4.440892098500626e-16</v>
      </c>
      <c r="DL151" s="4">
        <v>1.654</v>
      </c>
      <c r="DM151" s="4">
        <v>1.675</v>
      </c>
      <c r="DN151" s="6"/>
      <c r="DO151" s="6"/>
      <c r="DP151" s="6"/>
      <c r="DQ151" s="9"/>
      <c r="DR151" s="7">
        <f>IFERROR(DG151/F151,0)</f>
        <v>0</v>
      </c>
      <c r="DS151" t="inlineStr">
        <is>
          <t xml:space="preserve">Keep cash / margin / financing</t>
        </is>
      </c>
      <c r="DT151" t="inlineStr">
        <is>
          <t xml:space="preserve">cash</t>
        </is>
      </c>
      <c r="DU151" t="inlineStr">
        <is>
          <t xml:space="preserve">keep</t>
        </is>
      </c>
      <c r="DV151" t="inlineStr">
        <is>
          <t xml:space="preserve">cash</t>
        </is>
      </c>
      <c r="DW151"/>
      <c r="DX151" s="4">
        <v>1</v>
      </c>
      <c r="DY151" s="4">
        <v>1</v>
      </c>
      <c r="DZ151" s="6"/>
      <c r="EA151" s="4">
        <v>0</v>
      </c>
      <c r="EB151" s="5">
        <f>IF(DT151="direct",IFERROR(EH151/DY151,0),0)</f>
        <v>0</v>
      </c>
      <c r="EC151" s="5">
        <f>IF(DT151="direct",EA151-EB151,IF(DT151="cash",EM151,EA151))</f>
        <v>0</v>
      </c>
      <c r="ED151" s="6"/>
      <c r="EE151" s="4">
        <v>0</v>
      </c>
      <c r="EF151" s="4">
        <v>0</v>
      </c>
      <c r="EG151" s="5">
        <f>IF(DT151="direct",EA151*(DY151-DX151),EJ151)</f>
        <v>0</v>
      </c>
      <c r="EH151" s="5">
        <f>IF(DT151="direct",EF151*DZ151*C151/365,0)</f>
        <v>0</v>
      </c>
      <c r="EI151" s="5">
        <f>EG151-EH151</f>
        <v>0</v>
      </c>
      <c r="EJ151" s="4">
        <v>0</v>
      </c>
      <c r="EK151" s="5">
        <f>EJ151-EI151</f>
        <v>0</v>
      </c>
      <c r="EL151" s="4">
        <v>0</v>
      </c>
      <c r="EM151" s="4">
        <v>0</v>
      </c>
      <c r="EN151" s="4">
        <v>1.654</v>
      </c>
      <c r="EO151" s="4">
        <v>1.675</v>
      </c>
      <c r="EP151" s="6"/>
      <c r="EQ151" s="6"/>
      <c r="ER151" s="6"/>
      <c r="ES151" s="9"/>
      <c r="ET151" s="7">
        <f>IFERROR(EI151/F151,0)</f>
        <v>0</v>
      </c>
      <c r="EU151"/>
      <c r="EV151"/>
      <c r="EW151"/>
      <c r="EX151"/>
      <c r="EY151"/>
      <c r="EZ151" s="4"/>
      <c r="FA151" s="4"/>
      <c r="FB151" s="6"/>
      <c r="FC151" s="4"/>
      <c r="FD151" s="5">
        <v>0</v>
      </c>
      <c r="FE151" s="5"/>
      <c r="FF151" s="6"/>
      <c r="FG151" s="4"/>
      <c r="FH151" s="4"/>
      <c r="FI151" s="5">
        <v>0</v>
      </c>
      <c r="FJ151" s="5">
        <v>0</v>
      </c>
      <c r="FK151" s="5"/>
      <c r="FL151" s="4"/>
      <c r="FM151" s="5">
        <v>0</v>
      </c>
      <c r="FN151" s="4"/>
      <c r="FO151" s="4"/>
      <c r="FP151" s="4"/>
      <c r="FQ151" s="4"/>
      <c r="FR151" s="6"/>
      <c r="FS151" s="6"/>
      <c r="FT151" s="6"/>
      <c r="FU151" s="9"/>
      <c r="FV151"/>
      <c r="FW151"/>
      <c r="FX151"/>
      <c r="FY151"/>
      <c r="FZ151"/>
      <c r="GA151"/>
      <c r="GB151" s="4"/>
      <c r="GC151" s="4"/>
      <c r="GD151" s="6"/>
      <c r="GE151" s="4"/>
      <c r="GF151" s="5">
        <v>0</v>
      </c>
      <c r="GG151" s="5"/>
      <c r="GH151" s="6"/>
      <c r="GI151" s="4"/>
      <c r="GJ151" s="4"/>
      <c r="GK151" s="5">
        <v>0</v>
      </c>
      <c r="GL151" s="5">
        <v>0</v>
      </c>
      <c r="GM151" s="5"/>
      <c r="GN151" s="4"/>
      <c r="GO151" s="5">
        <v>0</v>
      </c>
      <c r="GP151" s="4"/>
      <c r="GQ151" s="4"/>
      <c r="GR151" s="4"/>
      <c r="GS151" s="4"/>
      <c r="GT151" s="6"/>
      <c r="GU151" s="6"/>
      <c r="GV151" s="6"/>
      <c r="GW151" s="9"/>
      <c r="GX151"/>
      <c r="GY151"/>
      <c r="GZ151"/>
      <c r="HA151"/>
      <c r="HB151"/>
      <c r="HC151"/>
      <c r="HD151" s="4"/>
      <c r="HE151" s="4"/>
      <c r="HF151" s="6"/>
      <c r="HG151" s="4"/>
      <c r="HH151" s="5">
        <v>0</v>
      </c>
      <c r="HI151" s="5"/>
      <c r="HJ151" s="6"/>
      <c r="HK151" s="4"/>
      <c r="HL151" s="4"/>
      <c r="HM151" s="5">
        <v>0</v>
      </c>
      <c r="HN151" s="5">
        <v>0</v>
      </c>
      <c r="HO151" s="5"/>
      <c r="HP151" s="4"/>
      <c r="HQ151" s="5">
        <v>0</v>
      </c>
      <c r="HR151" s="4"/>
      <c r="HS151" s="4"/>
      <c r="HT151" s="4"/>
      <c r="HU151" s="4"/>
      <c r="HV151" s="6"/>
      <c r="HW151" s="6"/>
      <c r="HX151" s="6"/>
      <c r="HY151" s="9"/>
      <c r="HZ151"/>
      <c r="IA151"/>
      <c r="IB151"/>
      <c r="IC151"/>
      <c r="ID151"/>
      <c r="IE151"/>
      <c r="IF151" s="4"/>
      <c r="IG151" s="4"/>
      <c r="IH151" s="6"/>
      <c r="II151" s="4"/>
      <c r="IJ151" s="5">
        <v>0</v>
      </c>
      <c r="IK151" s="5"/>
      <c r="IL151" s="6"/>
      <c r="IM151" s="4"/>
      <c r="IN151" s="4"/>
      <c r="IO151" s="5">
        <v>0</v>
      </c>
      <c r="IP151" s="5">
        <v>0</v>
      </c>
      <c r="IQ151" s="5"/>
      <c r="IR151" s="4"/>
      <c r="IS151" s="5">
        <v>0</v>
      </c>
      <c r="IT151" s="4"/>
      <c r="IU151" s="4"/>
      <c r="IV151" s="4"/>
      <c r="IW151" s="4"/>
      <c r="IX151" s="6"/>
      <c r="IY151" s="6"/>
      <c r="IZ151" s="6"/>
      <c r="JA151" s="9"/>
      <c r="JB151"/>
      <c r="JC151"/>
      <c r="JD151"/>
      <c r="JE151"/>
      <c r="JF151"/>
      <c r="JG151"/>
      <c r="JH151" s="4"/>
      <c r="JI151" s="4"/>
      <c r="JJ151" s="6"/>
      <c r="JK151" s="4"/>
      <c r="JL151" s="5">
        <v>0</v>
      </c>
      <c r="JM151" s="5"/>
      <c r="JN151" s="6"/>
      <c r="JO151" s="4"/>
      <c r="JP151" s="4"/>
      <c r="JQ151" s="5">
        <v>0</v>
      </c>
      <c r="JR151" s="5">
        <v>0</v>
      </c>
      <c r="JS151" s="5"/>
      <c r="JT151" s="4"/>
      <c r="JU151" s="5">
        <v>0</v>
      </c>
      <c r="JV151" s="4"/>
      <c r="JW151" s="4"/>
      <c r="JX151" s="4"/>
      <c r="JY151" s="4"/>
      <c r="JZ151" s="6"/>
      <c r="KA151" s="6"/>
      <c r="KB151" s="6"/>
      <c r="KC151" s="9"/>
      <c r="KD151"/>
      <c r="KE151"/>
      <c r="KF151"/>
      <c r="KG151"/>
      <c r="KH151"/>
      <c r="KI151"/>
      <c r="KJ151" s="4"/>
      <c r="KK151" s="4"/>
      <c r="KL151" s="6"/>
      <c r="KM151" s="4"/>
      <c r="KN151" s="5">
        <v>0</v>
      </c>
      <c r="KO151" s="5"/>
      <c r="KP151" s="6"/>
      <c r="KQ151" s="4"/>
      <c r="KR151" s="4"/>
      <c r="KS151" s="5">
        <v>0</v>
      </c>
      <c r="KT151" s="5">
        <v>0</v>
      </c>
      <c r="KU151" s="5"/>
      <c r="KV151" s="4"/>
      <c r="KW151" s="5">
        <v>0</v>
      </c>
      <c r="KX151" s="4"/>
      <c r="KY151" s="4"/>
      <c r="KZ151" s="4"/>
      <c r="LA151" s="4"/>
      <c r="LB151" s="6"/>
      <c r="LC151" s="6"/>
      <c r="LD151" s="6"/>
      <c r="LE151" s="9"/>
      <c r="LF151"/>
      <c r="LG151"/>
      <c r="LH151"/>
      <c r="LI151"/>
      <c r="LJ151"/>
      <c r="LK151"/>
      <c r="LL151" s="4"/>
      <c r="LM151" s="4"/>
      <c r="LN151" s="6"/>
      <c r="LO151" s="4"/>
      <c r="LP151" s="5">
        <v>0</v>
      </c>
      <c r="LQ151" s="5"/>
      <c r="LR151" s="6"/>
      <c r="LS151" s="4"/>
      <c r="LT151" s="4"/>
      <c r="LU151" s="5">
        <v>0</v>
      </c>
      <c r="LV151" s="5">
        <v>0</v>
      </c>
      <c r="LW151" s="5"/>
      <c r="LX151" s="4"/>
      <c r="LY151" s="5">
        <v>0</v>
      </c>
      <c r="LZ151" s="4"/>
      <c r="MA151" s="4"/>
      <c r="MB151" s="4"/>
      <c r="MC151" s="4"/>
      <c r="MD151" s="6"/>
      <c r="ME151" s="6"/>
      <c r="MF151" s="6"/>
      <c r="MG151" s="9"/>
      <c r="MH151"/>
    </row>
    <row r="152">
      <c r="A152" s="8">
        <v>25428</v>
      </c>
      <c r="B152" s="8">
        <v>25429</v>
      </c>
      <c r="C152" s="9">
        <f>B152-A152</f>
        <v>1</v>
      </c>
      <c r="D152" s="8">
        <v>25428</v>
      </c>
      <c r="E152" t="inlineStr">
        <is>
          <t xml:space="preserve">neutral</t>
        </is>
      </c>
      <c r="F152" s="4">
        <v>1.540565232569925</v>
      </c>
      <c r="G152" s="6">
        <v>0.019097628296871737</v>
      </c>
      <c r="H152" s="7">
        <f>SUM(CP152,DR152,ET152,FV152,GX152,HZ152,JB152,KD152,LF152,MH152)</f>
        <v>0.019097628296871737</v>
      </c>
      <c r="I152" s="7">
        <f>G152-H152</f>
        <v>0</v>
      </c>
      <c r="J152" s="5">
        <f>F152*(1+H152)</f>
        <v>1.5699863747486293</v>
      </c>
      <c r="K152" s="4">
        <v>1.5699863747486293</v>
      </c>
      <c r="L152" s="5">
        <f>K152-J152</f>
        <v>0</v>
      </c>
      <c r="M152" s="4">
        <v>1.675</v>
      </c>
      <c r="N152" s="4">
        <v>1.707</v>
      </c>
      <c r="O152" s="5">
        <f>M152/$M$3</f>
        <v>0.8554647599591421</v>
      </c>
      <c r="P152" s="5">
        <f>N152/$M$3</f>
        <v>0.8718079673135853</v>
      </c>
      <c r="Q152" s="7">
        <f>IFERROR(N152/M152-1,0)</f>
        <v>0.01910447761194023</v>
      </c>
      <c r="R152" s="5">
        <f>SUM(IF(BQ152="lease",CB152,0),IF(CS152="lease",DD152,0),IF(DU152="lease",EF152,0),IF(EW152="lease",FH152,0),IF(FY152="lease",GJ152,0),IF(HA152="lease",HL152,0),IF(IC152="lease",IN152,0),IF(JE152="lease",JP152,0),IF(KG152="lease",KR152,0),IF(LI152="lease",LT152,0))</f>
        <v>1.5405652325699255</v>
      </c>
      <c r="S152" s="5">
        <f>SUM(IF(BQ152="lease",CI152,0),IF(CS152="lease",DK152,0),IF(DU152="lease",EM152,0),IF(EW152="lease",FO152,0),IF(FY152="lease",GQ152,0),IF(HA152="lease",HS152,0),IF(IC152="lease",IU152,0),IF(JE152="lease",JW152,0),IF(KG152="lease",KY152,0),IF(LI152="lease",MA152,0))</f>
        <v>1.5699863747486296</v>
      </c>
      <c r="T152" s="5">
        <f>SUM(IF(BQ152="keep",CB152,0),IF(CS152="keep",DD152,0),IF(DU152="keep",EF152,0),IF(EW152="keep",FH152,0),IF(FY152="keep",GJ152,0),IF(HA152="keep",HL152,0),IF(IC152="keep",IN152,0),IF(JE152="keep",JP152,0),IF(KG152="keep",KR152,0),IF(LI152="keep",LT152,0))</f>
        <v>0</v>
      </c>
      <c r="U152" s="5">
        <f>SUM(IF(BQ152="keep",CI152,0),IF(CS152="keep",DK152,0),IF(DU152="keep",EM152,0),IF(EW152="keep",FO152,0),IF(FY152="keep",GQ152,0),IF(HA152="keep",HS152,0),IF(IC152="keep",IU152,0),IF(JE152="keep",JW152,0),IF(KG152="keep",KY152,0),IF(LI152="keep",MA152,0))</f>
        <v>0</v>
      </c>
      <c r="V152" s="5">
        <f>R152/O152</f>
        <v>1.8008517763414411</v>
      </c>
      <c r="W152" s="5">
        <f>S152/P152</f>
        <v>1.8008396729688438</v>
      </c>
      <c r="X152" s="5">
        <f>T152/O152</f>
        <v>0</v>
      </c>
      <c r="Y152" s="5">
        <f>U152/P152</f>
        <v>0</v>
      </c>
      <c r="Z152" s="5">
        <f>V152+X152</f>
        <v>1.8008517763414411</v>
      </c>
      <c r="AA152" s="7">
        <f>IFERROR(W152/V152-1,0)</f>
        <v>-0.000006720915489144552</v>
      </c>
      <c r="AB152" s="7">
        <f>IFERROR((W152-V152)/Z152,0)</f>
        <v>-0.000006720915489147455</v>
      </c>
      <c r="AC152" s="7">
        <f>IFERROR(Y152/X152-1,0)</f>
        <v>0</v>
      </c>
      <c r="AD152" s="7">
        <f>IFERROR((Y152-X152)/Z152,0)</f>
        <v>0</v>
      </c>
      <c r="AE152" s="7">
        <f>AB152+AD152</f>
        <v>-0.000006720915489147455</v>
      </c>
      <c r="AF152" s="7">
        <f>(1+Q152)*(1+AE152)-1</f>
        <v>0.01909762829687156</v>
      </c>
      <c r="AG152" s="7">
        <f>G152-AF152</f>
        <v>1.7694179454963432e-16</v>
      </c>
      <c r="AH152" s="5">
        <f>SUM(IF(BQ152="lease",CE152,0),IF(CS152="lease",DG152,0),IF(DU152="lease",EI152,0),IF(EW152="lease",FK152,0),IF(FY152="lease",GM152,0),IF(HA152="lease",HO152,0),IF(IC152="lease",IQ152,0),IF(JE152="lease",JS152,0),IF(KG152="lease",KU152,0),IF(LI152="lease",LW152,0))</f>
        <v>0.02942114217870419</v>
      </c>
      <c r="AI152" s="5">
        <f>SUM(IF(BQ152="keep",CE152,0),IF(CS152="keep",DG152,0),IF(DU152="keep",EI152,0),IF(EW152="keep",FK152,0),IF(FY152="keep",GM152,0),IF(HA152="keep",HO152,0),IF(IC152="keep",IQ152,0),IF(JE152="keep",JS152,0),IF(KG152="keep",KU152,0),IF(LI152="keep",LW152,0))</f>
        <v>0</v>
      </c>
      <c r="AJ152" s="5">
        <f>SUM(IF(BQ152="lease",CH152,0),IF(CS152="lease",DJ152,0),IF(DU152="lease",EL152,0),IF(EW152="lease",FN152,0),IF(FY152="lease",GP152,0),IF(HA152="lease",HR152,0),IF(IC152="lease",IT152,0),IF(JE152="lease",JV152,0),IF(KG152="lease",KX152,0),IF(LI152="lease",LZ152,0))</f>
        <v>0</v>
      </c>
      <c r="AK152" s="5">
        <f>SUM(IF(BQ152="keep",CH152,0),IF(CS152="keep",DJ152,0),IF(DU152="keep",EL152,0),IF(EW152="keep",FN152,0),IF(FY152="keep",GP152,0),IF(HA152="keep",HR152,0),IF(IC152="keep",IT152,0),IF(JE152="keep",JV152,0),IF(KG152="keep",KX152,0),IF(LI152="keep",LZ152,0))</f>
        <v>0</v>
      </c>
      <c r="AL152" s="5">
        <f>R152-S151</f>
        <v>0</v>
      </c>
      <c r="AM152" s="5">
        <f>T152-U151</f>
        <v>0</v>
      </c>
      <c r="AN152" s="5">
        <f>AN151</f>
        <v>1</v>
      </c>
      <c r="AO152" s="5">
        <f>AO151+AH152</f>
        <v>0.56998637474863</v>
      </c>
      <c r="AP152" s="5">
        <f>AP151+AL152</f>
        <v>-4.440892098500626e-16</v>
      </c>
      <c r="AQ152" s="5">
        <f>AN152+AO152+AP152</f>
        <v>1.5699863747486296</v>
      </c>
      <c r="AR152" s="5">
        <f>S152-AQ152</f>
        <v>0</v>
      </c>
      <c r="AS152" s="5">
        <f>AS151</f>
        <v>0</v>
      </c>
      <c r="AT152" s="5">
        <f>AT151+AI152</f>
        <v>0</v>
      </c>
      <c r="AU152" s="5">
        <f>AU151+AM152</f>
        <v>0</v>
      </c>
      <c r="AV152" s="5">
        <f>AS152+AT152+AU152</f>
        <v>0</v>
      </c>
      <c r="AW152" s="5">
        <f>U152-AV152</f>
        <v>0</v>
      </c>
      <c r="AX152" s="4">
        <v>1.5405652325699255</v>
      </c>
      <c r="AY152" s="4">
        <v>1.5699863747486298</v>
      </c>
      <c r="AZ152" s="5">
        <f>S152-AY152</f>
        <v>-2.220446049250313e-16</v>
      </c>
      <c r="BA152" s="4">
        <v>0</v>
      </c>
      <c r="BB152" s="4">
        <v>0</v>
      </c>
      <c r="BC152" s="5">
        <f>U152-BB152</f>
        <v>0</v>
      </c>
      <c r="BD152" s="7">
        <f>SUM(IF(BP152="direct",CC152/F152,0),IF(CR152="direct",DE152/F152,0),IF(DT152="direct",EG152/F152,0),IF(EV152="direct",FI152/F152,0),IF(FX152="direct",GK152/F152,0),IF(GZ152="direct",HM152/F152,0),IF(IB152="direct",IO152/F152,0),IF(JD152="direct",JQ152/F152,0),IF(KF152="direct",KS152/F152,0),IF(LH152="direct",LU152/F152,0))</f>
        <v>0.019104477611940316</v>
      </c>
      <c r="BE152" s="7">
        <f>-SUM(IF(BP152="direct",CD152/F152,0),IF(CR152="direct",DF152/F152,0),IF(DT152="direct",EH152/F152,0),IF(EV152="direct",FJ152/F152,0),IF(FX152="direct",GL152/F152,0),IF(GZ152="direct",HN152/F152,0),IF(IB152="direct",IP152/F152,0),IF(JD152="direct",JR152/F152,0),IF(KF152="direct",KT152/F152,0),IF(LH152="direct",LV152/F152,0))</f>
        <v>-0.000006849315068493151</v>
      </c>
      <c r="BF152" s="7">
        <f>BD152+BE152</f>
        <v>0.019097628296871824</v>
      </c>
      <c r="BG152" s="7">
        <f>BF152-SUM(IF(BP152="direct",CP152,0),IF(CR152="direct",DR152,0),IF(DT152="direct",ET152,0),IF(EV152="direct",FV152,0),IF(FX152="direct",GX152,0),IF(GZ152="direct",HZ152,0),IF(IB152="direct",JB152,0),IF(JD152="direct",KD152,0),IF(KF152="direct",LF152,0),IF(LH152="direct",MH152,0))</f>
        <v>8.673617379884035e-17</v>
      </c>
      <c r="BH152" s="7">
        <f>SUM(IF(BP152="treasury",CP152,0),IF(CR152="treasury",DR152,0),IF(DT152="treasury",ET152,0),IF(EV152="treasury",FV152,0),IF(FX152="treasury",GX152,0),IF(GZ152="treasury",HZ152,0),IF(IB152="treasury",JB152,0),IF(JD152="treasury",KD152,0),IF(KF152="treasury",LF152,0),IF(LH152="treasury",MH152,0))</f>
        <v>0</v>
      </c>
      <c r="BI152" s="7">
        <f>SUM(IF(BP152="future",CP152,0),IF(CR152="future",DR152,0),IF(DT152="future",ET152,0),IF(EV152="future",FV152,0),IF(FX152="future",GX152,0),IF(GZ152="future",HZ152,0),IF(IB152="future",JB152,0),IF(JD152="future",KD152,0),IF(KF152="future",LF152,0),IF(LH152="future",MH152,0))</f>
        <v>0</v>
      </c>
      <c r="BJ152" s="7">
        <f>SUM(IF(BP152="cash",CP152,0),IF(CR152="cash",DR152,0),IF(DT152="cash",ET152,0),IF(EV152="cash",FV152,0),IF(FX152="cash",GX152,0),IF(GZ152="cash",HZ152,0),IF(IB152="cash",JB152,0),IF(JD152="cash",KD152,0),IF(KF152="cash",LF152,0),IF(LH152="cash",MH152,0))</f>
        <v>0</v>
      </c>
      <c r="BK152" s="7">
        <f>SUM(BF152,BH152,BI152,BJ152)</f>
        <v>0.019097628296871737</v>
      </c>
      <c r="BL152" s="7">
        <f>G152-BK152</f>
        <v>0</v>
      </c>
      <c r="BM152" s="5">
        <f>MAX(ABS(CG152),ABS(DI152),ABS(EK152),ABS(FM152),ABS(GO152),ABS(HQ152),ABS(IS152),ABS(JU152),ABS(KW152),ABS(LY152))</f>
        <v>1.2792230382613345e-16</v>
      </c>
      <c r="BN152" s="9">
        <f>COUNTA(BO152,CQ152,DS152,EU152,FW152,GY152,IA152,JC152,KE152,LG152)</f>
        <v>3</v>
      </c>
      <c r="BO152" t="inlineStr">
        <is>
          <t xml:space="preserve">Direct commodity holding</t>
        </is>
      </c>
      <c r="BP152" t="inlineStr">
        <is>
          <t xml:space="preserve">direct</t>
        </is>
      </c>
      <c r="BQ152" t="inlineStr">
        <is>
          <t xml:space="preserve">lease</t>
        </is>
      </c>
      <c r="BR152" t="inlineStr">
        <is>
          <t xml:space="preserve">long</t>
        </is>
      </c>
      <c r="BS152"/>
      <c r="BT152" s="4">
        <v>1.675</v>
      </c>
      <c r="BU152" s="4">
        <v>1.707</v>
      </c>
      <c r="BV152" s="6">
        <v>0.0025</v>
      </c>
      <c r="BW152" s="4">
        <v>0.9197404373551791</v>
      </c>
      <c r="BX152" s="5">
        <f>IF(BP152="direct",IFERROR(CD152/BU152,0),0)</f>
        <v>0.000006181497751281689</v>
      </c>
      <c r="BY152" s="5">
        <f>IF(BP152="direct",BW152-BX152,IF(BP152="cash",CI152,BW152))</f>
        <v>0.9197342558574277</v>
      </c>
      <c r="BZ152" s="6">
        <v>1</v>
      </c>
      <c r="CA152" s="4">
        <v>1.540565232569925</v>
      </c>
      <c r="CB152" s="4">
        <v>1.540565232569925</v>
      </c>
      <c r="CC152" s="5">
        <f>IF(BP152="direct",BW152*(BU152-BT152),CF152)</f>
        <v>0.029431693995365757</v>
      </c>
      <c r="CD152" s="5">
        <f>IF(BP152="direct",CB152*BV152*C152/365,0)</f>
        <v>0.000010551816661437844</v>
      </c>
      <c r="CE152" s="5">
        <f>CC152-CD152</f>
        <v>0.02942114217870419</v>
      </c>
      <c r="CF152" s="4">
        <v>0.02942114217870419</v>
      </c>
      <c r="CG152" s="5">
        <f>CF152-CE152</f>
        <v>-1.2792230382613345e-16</v>
      </c>
      <c r="CH152" s="4">
        <v>0</v>
      </c>
      <c r="CI152" s="4">
        <v>1.5699863747486291</v>
      </c>
      <c r="CJ152" s="4">
        <v>1.675</v>
      </c>
      <c r="CK152" s="4">
        <v>1.707</v>
      </c>
      <c r="CL152" s="6"/>
      <c r="CM152" s="6"/>
      <c r="CN152" s="6"/>
      <c r="CO152" s="9"/>
      <c r="CP152" s="7">
        <f>IFERROR(CE152/F152,0)</f>
        <v>0.019097628296871737</v>
      </c>
      <c r="CQ152" t="inlineStr">
        <is>
          <t xml:space="preserve">Lease cash / margin / financing</t>
        </is>
      </c>
      <c r="CR152" t="inlineStr">
        <is>
          <t xml:space="preserve">cash</t>
        </is>
      </c>
      <c r="CS152" t="inlineStr">
        <is>
          <t xml:space="preserve">lease</t>
        </is>
      </c>
      <c r="CT152" t="inlineStr">
        <is>
          <t xml:space="preserve">cash</t>
        </is>
      </c>
      <c r="CU152"/>
      <c r="CV152" s="4">
        <v>1</v>
      </c>
      <c r="CW152" s="4">
        <v>1</v>
      </c>
      <c r="CX152" s="6"/>
      <c r="CY152" s="4">
        <v>4.440892098500626e-16</v>
      </c>
      <c r="CZ152" s="5">
        <f>IF(CR152="direct",IFERROR(DF152/CW152,0),0)</f>
        <v>0</v>
      </c>
      <c r="DA152" s="5">
        <f>IF(CR152="direct",CY152-CZ152,IF(CR152="cash",DK152,CY152))</f>
        <v>4.440892098500626e-16</v>
      </c>
      <c r="DB152" s="6"/>
      <c r="DC152" s="4">
        <v>4.440892098500626e-16</v>
      </c>
      <c r="DD152" s="4">
        <v>4.440892098500626e-16</v>
      </c>
      <c r="DE152" s="5">
        <f>IF(CR152="direct",CY152*(CW152-CV152),DH152)</f>
        <v>0</v>
      </c>
      <c r="DF152" s="5">
        <f>IF(CR152="direct",DD152*CX152*C152/365,0)</f>
        <v>0</v>
      </c>
      <c r="DG152" s="5">
        <f>DE152-DF152</f>
        <v>0</v>
      </c>
      <c r="DH152" s="4">
        <v>0</v>
      </c>
      <c r="DI152" s="5">
        <f>DH152-DG152</f>
        <v>0</v>
      </c>
      <c r="DJ152" s="4">
        <v>0</v>
      </c>
      <c r="DK152" s="4">
        <v>4.440892098500626e-16</v>
      </c>
      <c r="DL152" s="4">
        <v>1.675</v>
      </c>
      <c r="DM152" s="4">
        <v>1.707</v>
      </c>
      <c r="DN152" s="6"/>
      <c r="DO152" s="6"/>
      <c r="DP152" s="6"/>
      <c r="DQ152" s="9"/>
      <c r="DR152" s="7">
        <f>IFERROR(DG152/F152,0)</f>
        <v>0</v>
      </c>
      <c r="DS152" t="inlineStr">
        <is>
          <t xml:space="preserve">Keep cash / margin / financing</t>
        </is>
      </c>
      <c r="DT152" t="inlineStr">
        <is>
          <t xml:space="preserve">cash</t>
        </is>
      </c>
      <c r="DU152" t="inlineStr">
        <is>
          <t xml:space="preserve">keep</t>
        </is>
      </c>
      <c r="DV152" t="inlineStr">
        <is>
          <t xml:space="preserve">cash</t>
        </is>
      </c>
      <c r="DW152"/>
      <c r="DX152" s="4">
        <v>1</v>
      </c>
      <c r="DY152" s="4">
        <v>1</v>
      </c>
      <c r="DZ152" s="6"/>
      <c r="EA152" s="4">
        <v>0</v>
      </c>
      <c r="EB152" s="5">
        <f>IF(DT152="direct",IFERROR(EH152/DY152,0),0)</f>
        <v>0</v>
      </c>
      <c r="EC152" s="5">
        <f>IF(DT152="direct",EA152-EB152,IF(DT152="cash",EM152,EA152))</f>
        <v>0</v>
      </c>
      <c r="ED152" s="6"/>
      <c r="EE152" s="4">
        <v>0</v>
      </c>
      <c r="EF152" s="4">
        <v>0</v>
      </c>
      <c r="EG152" s="5">
        <f>IF(DT152="direct",EA152*(DY152-DX152),EJ152)</f>
        <v>0</v>
      </c>
      <c r="EH152" s="5">
        <f>IF(DT152="direct",EF152*DZ152*C152/365,0)</f>
        <v>0</v>
      </c>
      <c r="EI152" s="5">
        <f>EG152-EH152</f>
        <v>0</v>
      </c>
      <c r="EJ152" s="4">
        <v>0</v>
      </c>
      <c r="EK152" s="5">
        <f>EJ152-EI152</f>
        <v>0</v>
      </c>
      <c r="EL152" s="4">
        <v>0</v>
      </c>
      <c r="EM152" s="4">
        <v>0</v>
      </c>
      <c r="EN152" s="4">
        <v>1.675</v>
      </c>
      <c r="EO152" s="4">
        <v>1.707</v>
      </c>
      <c r="EP152" s="6"/>
      <c r="EQ152" s="6"/>
      <c r="ER152" s="6"/>
      <c r="ES152" s="9"/>
      <c r="ET152" s="7">
        <f>IFERROR(EI152/F152,0)</f>
        <v>0</v>
      </c>
      <c r="EU152"/>
      <c r="EV152"/>
      <c r="EW152"/>
      <c r="EX152"/>
      <c r="EY152"/>
      <c r="EZ152" s="4"/>
      <c r="FA152" s="4"/>
      <c r="FB152" s="6"/>
      <c r="FC152" s="4"/>
      <c r="FD152" s="5">
        <v>0</v>
      </c>
      <c r="FE152" s="5"/>
      <c r="FF152" s="6"/>
      <c r="FG152" s="4"/>
      <c r="FH152" s="4"/>
      <c r="FI152" s="5">
        <v>0</v>
      </c>
      <c r="FJ152" s="5">
        <v>0</v>
      </c>
      <c r="FK152" s="5"/>
      <c r="FL152" s="4"/>
      <c r="FM152" s="5">
        <v>0</v>
      </c>
      <c r="FN152" s="4"/>
      <c r="FO152" s="4"/>
      <c r="FP152" s="4"/>
      <c r="FQ152" s="4"/>
      <c r="FR152" s="6"/>
      <c r="FS152" s="6"/>
      <c r="FT152" s="6"/>
      <c r="FU152" s="9"/>
      <c r="FV152"/>
      <c r="FW152"/>
      <c r="FX152"/>
      <c r="FY152"/>
      <c r="FZ152"/>
      <c r="GA152"/>
      <c r="GB152" s="4"/>
      <c r="GC152" s="4"/>
      <c r="GD152" s="6"/>
      <c r="GE152" s="4"/>
      <c r="GF152" s="5">
        <v>0</v>
      </c>
      <c r="GG152" s="5"/>
      <c r="GH152" s="6"/>
      <c r="GI152" s="4"/>
      <c r="GJ152" s="4"/>
      <c r="GK152" s="5">
        <v>0</v>
      </c>
      <c r="GL152" s="5">
        <v>0</v>
      </c>
      <c r="GM152" s="5"/>
      <c r="GN152" s="4"/>
      <c r="GO152" s="5">
        <v>0</v>
      </c>
      <c r="GP152" s="4"/>
      <c r="GQ152" s="4"/>
      <c r="GR152" s="4"/>
      <c r="GS152" s="4"/>
      <c r="GT152" s="6"/>
      <c r="GU152" s="6"/>
      <c r="GV152" s="6"/>
      <c r="GW152" s="9"/>
      <c r="GX152"/>
      <c r="GY152"/>
      <c r="GZ152"/>
      <c r="HA152"/>
      <c r="HB152"/>
      <c r="HC152"/>
      <c r="HD152" s="4"/>
      <c r="HE152" s="4"/>
      <c r="HF152" s="6"/>
      <c r="HG152" s="4"/>
      <c r="HH152" s="5">
        <v>0</v>
      </c>
      <c r="HI152" s="5"/>
      <c r="HJ152" s="6"/>
      <c r="HK152" s="4"/>
      <c r="HL152" s="4"/>
      <c r="HM152" s="5">
        <v>0</v>
      </c>
      <c r="HN152" s="5">
        <v>0</v>
      </c>
      <c r="HO152" s="5"/>
      <c r="HP152" s="4"/>
      <c r="HQ152" s="5">
        <v>0</v>
      </c>
      <c r="HR152" s="4"/>
      <c r="HS152" s="4"/>
      <c r="HT152" s="4"/>
      <c r="HU152" s="4"/>
      <c r="HV152" s="6"/>
      <c r="HW152" s="6"/>
      <c r="HX152" s="6"/>
      <c r="HY152" s="9"/>
      <c r="HZ152"/>
      <c r="IA152"/>
      <c r="IB152"/>
      <c r="IC152"/>
      <c r="ID152"/>
      <c r="IE152"/>
      <c r="IF152" s="4"/>
      <c r="IG152" s="4"/>
      <c r="IH152" s="6"/>
      <c r="II152" s="4"/>
      <c r="IJ152" s="5">
        <v>0</v>
      </c>
      <c r="IK152" s="5"/>
      <c r="IL152" s="6"/>
      <c r="IM152" s="4"/>
      <c r="IN152" s="4"/>
      <c r="IO152" s="5">
        <v>0</v>
      </c>
      <c r="IP152" s="5">
        <v>0</v>
      </c>
      <c r="IQ152" s="5"/>
      <c r="IR152" s="4"/>
      <c r="IS152" s="5">
        <v>0</v>
      </c>
      <c r="IT152" s="4"/>
      <c r="IU152" s="4"/>
      <c r="IV152" s="4"/>
      <c r="IW152" s="4"/>
      <c r="IX152" s="6"/>
      <c r="IY152" s="6"/>
      <c r="IZ152" s="6"/>
      <c r="JA152" s="9"/>
      <c r="JB152"/>
      <c r="JC152"/>
      <c r="JD152"/>
      <c r="JE152"/>
      <c r="JF152"/>
      <c r="JG152"/>
      <c r="JH152" s="4"/>
      <c r="JI152" s="4"/>
      <c r="JJ152" s="6"/>
      <c r="JK152" s="4"/>
      <c r="JL152" s="5">
        <v>0</v>
      </c>
      <c r="JM152" s="5"/>
      <c r="JN152" s="6"/>
      <c r="JO152" s="4"/>
      <c r="JP152" s="4"/>
      <c r="JQ152" s="5">
        <v>0</v>
      </c>
      <c r="JR152" s="5">
        <v>0</v>
      </c>
      <c r="JS152" s="5"/>
      <c r="JT152" s="4"/>
      <c r="JU152" s="5">
        <v>0</v>
      </c>
      <c r="JV152" s="4"/>
      <c r="JW152" s="4"/>
      <c r="JX152" s="4"/>
      <c r="JY152" s="4"/>
      <c r="JZ152" s="6"/>
      <c r="KA152" s="6"/>
      <c r="KB152" s="6"/>
      <c r="KC152" s="9"/>
      <c r="KD152"/>
      <c r="KE152"/>
      <c r="KF152"/>
      <c r="KG152"/>
      <c r="KH152"/>
      <c r="KI152"/>
      <c r="KJ152" s="4"/>
      <c r="KK152" s="4"/>
      <c r="KL152" s="6"/>
      <c r="KM152" s="4"/>
      <c r="KN152" s="5">
        <v>0</v>
      </c>
      <c r="KO152" s="5"/>
      <c r="KP152" s="6"/>
      <c r="KQ152" s="4"/>
      <c r="KR152" s="4"/>
      <c r="KS152" s="5">
        <v>0</v>
      </c>
      <c r="KT152" s="5">
        <v>0</v>
      </c>
      <c r="KU152" s="5"/>
      <c r="KV152" s="4"/>
      <c r="KW152" s="5">
        <v>0</v>
      </c>
      <c r="KX152" s="4"/>
      <c r="KY152" s="4"/>
      <c r="KZ152" s="4"/>
      <c r="LA152" s="4"/>
      <c r="LB152" s="6"/>
      <c r="LC152" s="6"/>
      <c r="LD152" s="6"/>
      <c r="LE152" s="9"/>
      <c r="LF152"/>
      <c r="LG152"/>
      <c r="LH152"/>
      <c r="LI152"/>
      <c r="LJ152"/>
      <c r="LK152"/>
      <c r="LL152" s="4"/>
      <c r="LM152" s="4"/>
      <c r="LN152" s="6"/>
      <c r="LO152" s="4"/>
      <c r="LP152" s="5">
        <v>0</v>
      </c>
      <c r="LQ152" s="5"/>
      <c r="LR152" s="6"/>
      <c r="LS152" s="4"/>
      <c r="LT152" s="4"/>
      <c r="LU152" s="5">
        <v>0</v>
      </c>
      <c r="LV152" s="5">
        <v>0</v>
      </c>
      <c r="LW152" s="5"/>
      <c r="LX152" s="4"/>
      <c r="LY152" s="5">
        <v>0</v>
      </c>
      <c r="LZ152" s="4"/>
      <c r="MA152" s="4"/>
      <c r="MB152" s="4"/>
      <c r="MC152" s="4"/>
      <c r="MD152" s="6"/>
      <c r="ME152" s="6"/>
      <c r="MF152" s="6"/>
      <c r="MG152" s="9"/>
      <c r="MH152"/>
    </row>
    <row r="153">
      <c r="A153" s="8">
        <v>25429</v>
      </c>
      <c r="B153" s="8">
        <v>25430</v>
      </c>
      <c r="C153" s="9">
        <f>B153-A153</f>
        <v>1</v>
      </c>
      <c r="D153" s="8">
        <v>25429</v>
      </c>
      <c r="E153" t="inlineStr">
        <is>
          <t xml:space="preserve">positive</t>
        </is>
      </c>
      <c r="F153" s="4">
        <v>1.5699863747486293</v>
      </c>
      <c r="G153" s="6">
        <v>0.0031987265761214624</v>
      </c>
      <c r="H153" s="7">
        <f>SUM(CP153,DR153,ET153,FV153,GX153,HZ153,JB153,KD153,LF153,MH153)</f>
        <v>0.003198726576121463</v>
      </c>
      <c r="I153" s="7">
        <f>G153-H153</f>
        <v>-4.336808689942018e-19</v>
      </c>
      <c r="J153" s="5">
        <f>F153*(1+H153)</f>
        <v>1.5750083318896864</v>
      </c>
      <c r="K153" s="4">
        <v>1.5750083318896864</v>
      </c>
      <c r="L153" s="5">
        <f>K153-J153</f>
        <v>0</v>
      </c>
      <c r="M153" s="4">
        <v>1.707</v>
      </c>
      <c r="N153" s="4">
        <v>1.696</v>
      </c>
      <c r="O153" s="5">
        <f>M153/$M$3</f>
        <v>0.8718079673135853</v>
      </c>
      <c r="P153" s="5">
        <f>N153/$M$3</f>
        <v>0.8661899897854954</v>
      </c>
      <c r="Q153" s="7">
        <f>IFERROR(N153/M153-1,0)</f>
        <v>-0.006444053895723556</v>
      </c>
      <c r="R153" s="5">
        <f>SUM(IF(BQ153="lease",CB153,0),IF(CS153="lease",DD153,0),IF(DU153="lease",EF153,0),IF(EW153="lease",FH153,0),IF(FY153="lease",GJ153,0),IF(HA153="lease",HL153,0),IF(IC153="lease",IN153,0),IF(JE153="lease",JP153,0),IF(KG153="lease",KR153,0),IF(LI153="lease",LT153,0))</f>
        <v>1.5699863747486298</v>
      </c>
      <c r="S153" s="5">
        <f>SUM(IF(BQ153="lease",CI153,0),IF(CS153="lease",DK153,0),IF(DU153="lease",EM153,0),IF(EW153="lease",FO153,0),IF(FY153="lease",GQ153,0),IF(HA153="lease",HS153,0),IF(IC153="lease",IU153,0),IF(JE153="lease",JW153,0),IF(KG153="lease",KY153,0),IF(LI153="lease",MA153,0))</f>
        <v>1.5750083318896868</v>
      </c>
      <c r="T153" s="5">
        <f>SUM(IF(BQ153="keep",CB153,0),IF(CS153="keep",DD153,0),IF(DU153="keep",EF153,0),IF(EW153="keep",FH153,0),IF(FY153="keep",GJ153,0),IF(HA153="keep",HL153,0),IF(IC153="keep",IN153,0),IF(JE153="keep",JP153,0),IF(KG153="keep",KR153,0),IF(LI153="keep",LT153,0))</f>
        <v>0</v>
      </c>
      <c r="U153" s="5">
        <f>SUM(IF(BQ153="keep",CI153,0),IF(CS153="keep",DK153,0),IF(DU153="keep",EM153,0),IF(EW153="keep",FO153,0),IF(FY153="keep",GQ153,0),IF(HA153="keep",HS153,0),IF(IC153="keep",IU153,0),IF(JE153="keep",JW153,0),IF(KG153="keep",KY153,0),IF(LI153="keep",MA153,0))</f>
        <v>0</v>
      </c>
      <c r="V153" s="5">
        <f>R153/O153</f>
        <v>1.800839672968844</v>
      </c>
      <c r="W153" s="5">
        <f>S153/P153</f>
        <v>1.8183174020283057</v>
      </c>
      <c r="X153" s="5">
        <f>T153/O153</f>
        <v>0</v>
      </c>
      <c r="Y153" s="5">
        <f>U153/P153</f>
        <v>0</v>
      </c>
      <c r="Z153" s="5">
        <f>V153+X153</f>
        <v>1.800839672968844</v>
      </c>
      <c r="AA153" s="7">
        <f>IFERROR(W153/V153-1,0)</f>
        <v>0.009705322090471258</v>
      </c>
      <c r="AB153" s="7">
        <f>IFERROR((W153-V153)/Z153,0)</f>
        <v>0.009705322090471312</v>
      </c>
      <c r="AC153" s="7">
        <f>IFERROR(Y153/X153-1,0)</f>
        <v>0</v>
      </c>
      <c r="AD153" s="7">
        <f>IFERROR((Y153-X153)/Z153,0)</f>
        <v>0</v>
      </c>
      <c r="AE153" s="7">
        <f>AB153+AD153</f>
        <v>0.009705322090471312</v>
      </c>
      <c r="AF153" s="7">
        <f>(1+Q153)*(1+AE153)-1</f>
        <v>0.0031987265761213024</v>
      </c>
      <c r="AG153" s="7">
        <f>G153-AF153</f>
        <v>1.6002824065886045e-16</v>
      </c>
      <c r="AH153" s="5">
        <f>SUM(IF(BQ153="lease",CE153,0),IF(CS153="lease",DG153,0),IF(DU153="lease",EI153,0),IF(EW153="lease",FK153,0),IF(FY153="lease",GM153,0),IF(HA153="lease",HO153,0),IF(IC153="lease",IQ153,0),IF(JE153="lease",JS153,0),IF(KG153="lease",KU153,0),IF(LI153="lease",LW153,0))</f>
        <v>0.005021957141057031</v>
      </c>
      <c r="AI153" s="5">
        <f>SUM(IF(BQ153="keep",CE153,0),IF(CS153="keep",DG153,0),IF(DU153="keep",EI153,0),IF(EW153="keep",FK153,0),IF(FY153="keep",GM153,0),IF(HA153="keep",HO153,0),IF(IC153="keep",IQ153,0),IF(JE153="keep",JS153,0),IF(KG153="keep",KU153,0),IF(LI153="keep",LW153,0))</f>
        <v>0</v>
      </c>
      <c r="AJ153" s="5">
        <f>SUM(IF(BQ153="lease",CH153,0),IF(CS153="lease",DJ153,0),IF(DU153="lease",EL153,0),IF(EW153="lease",FN153,0),IF(FY153="lease",GP153,0),IF(HA153="lease",HR153,0),IF(IC153="lease",IT153,0),IF(JE153="lease",JV153,0),IF(KG153="lease",KX153,0),IF(LI153="lease",LZ153,0))</f>
        <v>0</v>
      </c>
      <c r="AK153" s="5">
        <f>SUM(IF(BQ153="keep",CH153,0),IF(CS153="keep",DJ153,0),IF(DU153="keep",EL153,0),IF(EW153="keep",FN153,0),IF(FY153="keep",GP153,0),IF(HA153="keep",HR153,0),IF(IC153="keep",IT153,0),IF(JE153="keep",JV153,0),IF(KG153="keep",KX153,0),IF(LI153="keep",LZ153,0))</f>
        <v>0</v>
      </c>
      <c r="AL153" s="5">
        <f>R153-S152</f>
        <v>2.220446049250313e-16</v>
      </c>
      <c r="AM153" s="5">
        <f>T153-U152</f>
        <v>0</v>
      </c>
      <c r="AN153" s="5">
        <f>AN152</f>
        <v>1</v>
      </c>
      <c r="AO153" s="5">
        <f>AO152+AH153</f>
        <v>0.575008331889687</v>
      </c>
      <c r="AP153" s="5">
        <f>AP152+AL153</f>
        <v>-2.220446049250313e-16</v>
      </c>
      <c r="AQ153" s="5">
        <f>AN153+AO153+AP153</f>
        <v>1.5750083318896868</v>
      </c>
      <c r="AR153" s="5">
        <f>S153-AQ153</f>
        <v>0</v>
      </c>
      <c r="AS153" s="5">
        <f>AS152</f>
        <v>0</v>
      </c>
      <c r="AT153" s="5">
        <f>AT152+AI153</f>
        <v>0</v>
      </c>
      <c r="AU153" s="5">
        <f>AU152+AM153</f>
        <v>0</v>
      </c>
      <c r="AV153" s="5">
        <f>AS153+AT153+AU153</f>
        <v>0</v>
      </c>
      <c r="AW153" s="5">
        <f>U153-AV153</f>
        <v>0</v>
      </c>
      <c r="AX153" s="4">
        <v>1.5699863747486298</v>
      </c>
      <c r="AY153" s="4">
        <v>1.5750083318896868</v>
      </c>
      <c r="AZ153" s="5">
        <f>S153-AY153</f>
        <v>0</v>
      </c>
      <c r="BA153" s="4">
        <v>0</v>
      </c>
      <c r="BB153" s="4">
        <v>0</v>
      </c>
      <c r="BC153" s="5">
        <f>U153-BB153</f>
        <v>0</v>
      </c>
      <c r="BD153" s="7">
        <f>SUM(IF(BP153="direct",CC153/F153,0),IF(CR153="direct",DE153/F153,0),IF(DT153="direct",EG153/F153,0),IF(EV153="direct",FI153/F153,0),IF(FX153="direct",GK153/F153,0),IF(GZ153="direct",HM153/F153,0),IF(IB153="direct",IO153/F153,0),IF(JD153="direct",JQ153/F153,0),IF(KF153="direct",KS153/F153,0),IF(LH153="direct",LU153/F153,0))</f>
        <v>-0.0006725488994057207</v>
      </c>
      <c r="BE153" s="7">
        <f>-SUM(IF(BP153="direct",CD153/F153,0),IF(CR153="direct",DF153/F153,0),IF(DT153="direct",EH153/F153,0),IF(EV153="direct",FJ153/F153,0),IF(FX153="direct",GL153/F153,0),IF(GZ153="direct",HN153/F153,0),IF(IB153="direct",IP153/F153,0),IF(JD153="direct",JR153/F153,0),IF(KF153="direct",KT153/F153,0),IF(LH153="direct",LV153/F153,0))</f>
        <v>-7.148449385339681e-7</v>
      </c>
      <c r="BF153" s="7">
        <f>BD153+BE153</f>
        <v>-0.0006732637443442546</v>
      </c>
      <c r="BG153" s="7">
        <f>BF153-SUM(IF(BP153="direct",CP153,0),IF(CR153="direct",DR153,0),IF(DT153="direct",ET153,0),IF(EV153="direct",FV153,0),IF(FX153="direct",GX153,0),IF(GZ153="direct",HZ153,0),IF(IB153="direct",JB153,0),IF(JD153="direct",KD153,0),IF(KF153="direct",LF153,0),IF(LH153="direct",MH153,0))</f>
        <v>-5.421010862427522e-19</v>
      </c>
      <c r="BH153" s="7">
        <f>SUM(IF(BP153="treasury",CP153,0),IF(CR153="treasury",DR153,0),IF(DT153="treasury",ET153,0),IF(EV153="treasury",FV153,0),IF(FX153="treasury",GX153,0),IF(GZ153="treasury",HZ153,0),IF(IB153="treasury",JB153,0),IF(JD153="treasury",KD153,0),IF(KF153="treasury",LF153,0),IF(LH153="treasury",MH153,0))</f>
        <v>0.000171029027223262</v>
      </c>
      <c r="BI153" s="7">
        <f>SUM(IF(BP153="future",CP153,0),IF(CR153="future",DR153,0),IF(DT153="future",ET153,0),IF(EV153="future",FV153,0),IF(FX153="future",GX153,0),IF(GZ153="future",HZ153,0),IF(IB153="future",JB153,0),IF(JD153="future",KD153,0),IF(KF153="future",LF153,0),IF(LH153="future",MH153,0))</f>
        <v>0.0037009612932424546</v>
      </c>
      <c r="BJ153" s="7">
        <f>SUM(IF(BP153="cash",CP153,0),IF(CR153="cash",DR153,0),IF(DT153="cash",ET153,0),IF(EV153="cash",FV153,0),IF(FX153="cash",GX153,0),IF(GZ153="cash",HZ153,0),IF(IB153="cash",JB153,0),IF(JD153="cash",KD153,0),IF(KF153="cash",LF153,0),IF(LH153="cash",MH153,0))</f>
        <v>0</v>
      </c>
      <c r="BK153" s="7">
        <f>SUM(BF153,BH153,BI153,BJ153)</f>
        <v>0.0031987265761214624</v>
      </c>
      <c r="BL153" s="7">
        <f>G153-BK153</f>
        <v>0</v>
      </c>
      <c r="BM153" s="5">
        <f>MAX(ABS(CG153),ABS(DI153),ABS(EK153),ABS(FM153),ABS(GO153),ABS(HQ153),ABS(IS153),ABS(JU153),ABS(KW153),ABS(LY153))</f>
        <v>1.2349062744609896e-16</v>
      </c>
      <c r="BN153" s="9">
        <f>COUNTA(BO153,CQ153,DS153,EU153,FW153,GY153,IA153,JC153,KE153,LG153)</f>
        <v>7</v>
      </c>
      <c r="BO153" t="inlineStr">
        <is>
          <t xml:space="preserve">Direct commodity holding</t>
        </is>
      </c>
      <c r="BP153" t="inlineStr">
        <is>
          <t xml:space="preserve">direct</t>
        </is>
      </c>
      <c r="BQ153" t="inlineStr">
        <is>
          <t xml:space="preserve">lease</t>
        </is>
      </c>
      <c r="BR153" t="inlineStr">
        <is>
          <t xml:space="preserve">long</t>
        </is>
      </c>
      <c r="BS153"/>
      <c r="BT153" s="4">
        <v>1.707</v>
      </c>
      <c r="BU153" s="4">
        <v>1.696</v>
      </c>
      <c r="BV153" s="6">
        <v>0.0025</v>
      </c>
      <c r="BW153" s="4">
        <v>0.09599023712901422</v>
      </c>
      <c r="BX153" s="5">
        <f>IF(BP153="direct",IFERROR(CD153/BU153,0),0)</f>
        <v>6.617316117667166e-7</v>
      </c>
      <c r="BY153" s="5">
        <f>IF(BP153="direct",BW153-BX153,IF(BP153="cash",CI153,BW153))</f>
        <v>0.09598957539740245</v>
      </c>
      <c r="BZ153" s="6">
        <v>0.10436736102595934</v>
      </c>
      <c r="CA153" s="4">
        <v>0.16385533477922729</v>
      </c>
      <c r="CB153" s="4">
        <v>0.16385533477922729</v>
      </c>
      <c r="CC153" s="5">
        <f>IF(BP153="direct",BW153*(BU153-BT153),CF153)</f>
        <v>-0.001055892608419168</v>
      </c>
      <c r="CD153" s="5">
        <f>IF(BP153="direct",CB153*BV153*C153/365,0)</f>
        <v>0.0000011222968135563514</v>
      </c>
      <c r="CE153" s="5">
        <f>CC153-CD153</f>
        <v>-0.0010570149052327234</v>
      </c>
      <c r="CF153" s="4">
        <v>-0.0010570149052327234</v>
      </c>
      <c r="CG153" s="5">
        <f>CF153-CE153</f>
        <v>9.615941533704445e-19</v>
      </c>
      <c r="CH153" s="4">
        <v>0</v>
      </c>
      <c r="CI153" s="4">
        <v>0.16279831987399454</v>
      </c>
      <c r="CJ153" s="4">
        <v>1.707</v>
      </c>
      <c r="CK153" s="4">
        <v>1.696</v>
      </c>
      <c r="CL153" s="6"/>
      <c r="CM153" s="6"/>
      <c r="CN153" s="6"/>
      <c r="CO153" s="9"/>
      <c r="CP153" s="7">
        <f>IFERROR(CE153/F153,0)</f>
        <v>-0.0006732637443442541</v>
      </c>
      <c r="CQ153" t="inlineStr">
        <is>
          <t xml:space="preserve">Treasury collateral</t>
        </is>
      </c>
      <c r="CR153" t="inlineStr">
        <is>
          <t xml:space="preserve">treasury</t>
        </is>
      </c>
      <c r="CS153" t="inlineStr">
        <is>
          <t xml:space="preserve">lease</t>
        </is>
      </c>
      <c r="CT153" t="inlineStr">
        <is>
          <t xml:space="preserve">long</t>
        </is>
      </c>
      <c r="CU153"/>
      <c r="CV153" s="4">
        <v>103.9472034797279</v>
      </c>
      <c r="CW153" s="4">
        <v>103.96705312378964</v>
      </c>
      <c r="CX153" s="6"/>
      <c r="CY153" s="4">
        <v>0.013527358051952114</v>
      </c>
      <c r="CZ153" s="5">
        <f>IF(CR153="direct",IFERROR(DF153/CW153,0),0)</f>
        <v>0</v>
      </c>
      <c r="DA153" s="5">
        <f>IF(CR153="direct",CY153-CZ153,IF(CR153="cash",DK153,CY153))</f>
        <v>0.013527358051952114</v>
      </c>
      <c r="DB153" s="6">
        <v>0.8956326389740407</v>
      </c>
      <c r="DC153" s="4">
        <v>1.406131039969402</v>
      </c>
      <c r="DD153" s="4">
        <v>1.406131039969402</v>
      </c>
      <c r="DE153" s="5">
        <f>IF(CR153="direct",CY153*(CW153-CV153),DH153)</f>
        <v>0.00026851324242691026</v>
      </c>
      <c r="DF153" s="5">
        <f>IF(CR153="direct",DD153*CX153*C153/365,0)</f>
        <v>0</v>
      </c>
      <c r="DG153" s="5">
        <f>DE153-DF153</f>
        <v>0.00026851324242703375</v>
      </c>
      <c r="DH153" s="4">
        <v>0.00026851324242703375</v>
      </c>
      <c r="DI153" s="5">
        <f>DH153-DG153</f>
        <v>1.2349062744609896e-16</v>
      </c>
      <c r="DJ153" s="4">
        <v>-9.611452259083997e-17</v>
      </c>
      <c r="DK153" s="4">
        <v>1.406399553211829</v>
      </c>
      <c r="DL153" s="4">
        <v>1.707</v>
      </c>
      <c r="DM153" s="4">
        <v>1.696</v>
      </c>
      <c r="DN153" s="6"/>
      <c r="DO153" s="6"/>
      <c r="DP153" s="6"/>
      <c r="DQ153" s="9">
        <v>43</v>
      </c>
      <c r="DR153" s="7">
        <f>IFERROR(DG153/F153,0)</f>
        <v>0.000171029027223262</v>
      </c>
      <c r="DS153" t="inlineStr">
        <is>
          <t xml:space="preserve">SI69U</t>
        </is>
      </c>
      <c r="DT153" t="inlineStr">
        <is>
          <t xml:space="preserve">future</t>
        </is>
      </c>
      <c r="DU153" t="inlineStr">
        <is>
          <t xml:space="preserve">lease</t>
        </is>
      </c>
      <c r="DV153" t="inlineStr">
        <is>
          <t xml:space="preserve">long</t>
        </is>
      </c>
      <c r="DW153" t="inlineStr">
        <is>
          <t xml:space="preserve">regular</t>
        </is>
      </c>
      <c r="DX153" s="4">
        <v>1.694</v>
      </c>
      <c r="DY153" s="4">
        <v>1.7009999999999998</v>
      </c>
      <c r="DZ153" s="6"/>
      <c r="EA153" s="4">
        <v>0.8300653636912151</v>
      </c>
      <c r="EB153" s="5">
        <f>IF(DT153="direct",IFERROR(EH153/DY153,0),0)</f>
        <v>0</v>
      </c>
      <c r="EC153" s="5">
        <f>IF(DT153="direct",EA153-EB153,IF(DT153="cash",EM153,EA153))</f>
        <v>0.8300653636912151</v>
      </c>
      <c r="ED153" s="6">
        <v>0.8956324390509784</v>
      </c>
      <c r="EE153" s="4">
        <v>1.4061307260929183</v>
      </c>
      <c r="EF153" s="4">
        <v>0</v>
      </c>
      <c r="EG153" s="5">
        <f>IF(DT153="direct",EA153*(DY153-DX153),EJ153)</f>
        <v>0.005810457545838331</v>
      </c>
      <c r="EH153" s="5">
        <f>IF(DT153="direct",EF153*DZ153*C153/365,0)</f>
        <v>0</v>
      </c>
      <c r="EI153" s="5">
        <f>EG153-EH153</f>
        <v>0.005810457545838331</v>
      </c>
      <c r="EJ153" s="4">
        <v>0.005810457545838331</v>
      </c>
      <c r="EK153" s="5">
        <f>EJ153-EI153</f>
        <v>0</v>
      </c>
      <c r="EL153" s="4">
        <v>-0.005810457545838331</v>
      </c>
      <c r="EM153" s="4">
        <v>0</v>
      </c>
      <c r="EN153" s="4">
        <v>1.707</v>
      </c>
      <c r="EO153" s="4">
        <v>1.696</v>
      </c>
      <c r="EP153" s="6">
        <v>-0.007615700058582364</v>
      </c>
      <c r="EQ153" s="6">
        <v>0.0697</v>
      </c>
      <c r="ER153" s="6">
        <v>0.1343448958461061</v>
      </c>
      <c r="ES153" s="9">
        <v>43</v>
      </c>
      <c r="ET153" s="7">
        <f>IFERROR(EI153/F153,0)</f>
        <v>0.0037009604919460808</v>
      </c>
      <c r="EU153" t="inlineStr">
        <is>
          <t xml:space="preserve">SI69Z</t>
        </is>
      </c>
      <c r="EV153" t="inlineStr">
        <is>
          <t xml:space="preserve">future</t>
        </is>
      </c>
      <c r="EW153" t="inlineStr">
        <is>
          <t xml:space="preserve">lease</t>
        </is>
      </c>
      <c r="EX153" t="inlineStr">
        <is>
          <t xml:space="preserve">long</t>
        </is>
      </c>
      <c r="EY153" t="inlineStr">
        <is>
          <t xml:space="preserve">regular</t>
        </is>
      </c>
      <c r="EZ153" s="4">
        <v>1.745</v>
      </c>
      <c r="FA153" s="4">
        <v>1.7519999999999998</v>
      </c>
      <c r="FB153" s="6"/>
      <c r="FC153" s="4">
        <v>1.64774707571415e-7</v>
      </c>
      <c r="FD153" s="5">
        <f>IF(EV153="direct",IFERROR(FJ153/FA153,0),0)</f>
        <v>0</v>
      </c>
      <c r="FE153" s="5">
        <f>IF(EV153="direct",FC153-FD153,IF(EV153="cash",FO153,FC153))</f>
        <v>1.64774707571415e-7</v>
      </c>
      <c r="FF153" s="6">
        <v>1.831429045097006e-7</v>
      </c>
      <c r="FG153" s="4">
        <v>2.875318647121192e-7</v>
      </c>
      <c r="FH153" s="4">
        <v>0</v>
      </c>
      <c r="FI153" s="5">
        <f>IF(EV153="direct",FC153*(FA153-EZ153),FL153)</f>
        <v>1.1534229529998264e-9</v>
      </c>
      <c r="FJ153" s="5">
        <f>IF(EV153="direct",FH153*FB153*C153/365,0)</f>
        <v>0</v>
      </c>
      <c r="FK153" s="5">
        <f>FI153-FJ153</f>
        <v>1.1534229529998264e-9</v>
      </c>
      <c r="FL153" s="4">
        <v>1.1534229529998264e-9</v>
      </c>
      <c r="FM153" s="5">
        <f>FL153-FK153</f>
        <v>0</v>
      </c>
      <c r="FN153" s="4">
        <v>-1.1534229529998264e-9</v>
      </c>
      <c r="FO153" s="4">
        <v>0</v>
      </c>
      <c r="FP153" s="4">
        <v>1.707</v>
      </c>
      <c r="FQ153" s="4">
        <v>1.696</v>
      </c>
      <c r="FR153" s="6">
        <v>0.022261277094317578</v>
      </c>
      <c r="FS153" s="6">
        <v>0.07106483516483517</v>
      </c>
      <c r="FT153" s="6">
        <v>0.011755593271215344</v>
      </c>
      <c r="FU153" s="9">
        <v>137</v>
      </c>
      <c r="FV153" s="7">
        <f>IFERROR(FK153/F153,0)</f>
        <v>7.346706771162273e-10</v>
      </c>
      <c r="FW153" t="inlineStr">
        <is>
          <t xml:space="preserve">SI70F</t>
        </is>
      </c>
      <c r="FX153" t="inlineStr">
        <is>
          <t xml:space="preserve">future</t>
        </is>
      </c>
      <c r="FY153" t="inlineStr">
        <is>
          <t xml:space="preserve">lease</t>
        </is>
      </c>
      <c r="FZ153" t="inlineStr">
        <is>
          <t xml:space="preserve">long</t>
        </is>
      </c>
      <c r="GA153" t="inlineStr">
        <is>
          <t xml:space="preserve">regular</t>
        </is>
      </c>
      <c r="GB153" s="4">
        <v>1.7630000000000001</v>
      </c>
      <c r="GC153" s="4">
        <v>1.77</v>
      </c>
      <c r="GD153" s="6"/>
      <c r="GE153" s="4">
        <v>1.4943062370315572e-8</v>
      </c>
      <c r="GF153" s="5">
        <f>IF(FX153="direct",IFERROR(GL153/GC153,0),0)</f>
        <v>0</v>
      </c>
      <c r="GG153" s="5">
        <f>IF(FX153="direct",GE153-GF153,IF(FX153="cash",GQ153,GE153))</f>
        <v>1.4943062370315572e-8</v>
      </c>
      <c r="GH153" s="6">
        <v>1.678015770237776e-8</v>
      </c>
      <c r="GI153" s="4">
        <v>2.6344618958866353e-8</v>
      </c>
      <c r="GJ153" s="4">
        <v>0</v>
      </c>
      <c r="GK153" s="5">
        <f>IF(FX153="direct",GE153*(GC153-GB153),GN153)</f>
        <v>1.0460143659220718e-10</v>
      </c>
      <c r="GL153" s="5">
        <f>IF(FX153="direct",GJ153*GD153*C153/365,0)</f>
        <v>0</v>
      </c>
      <c r="GM153" s="5">
        <f>GK153-GL153</f>
        <v>1.0460143659220718e-10</v>
      </c>
      <c r="GN153" s="4">
        <v>1.0460143659220718e-10</v>
      </c>
      <c r="GO153" s="5">
        <f>GN153-GM153</f>
        <v>0</v>
      </c>
      <c r="GP153" s="4">
        <v>-1.0460143659220718e-10</v>
      </c>
      <c r="GQ153" s="4">
        <v>0</v>
      </c>
      <c r="GR153" s="4">
        <v>1.707</v>
      </c>
      <c r="GS153" s="4">
        <v>1.696</v>
      </c>
      <c r="GT153" s="6">
        <v>0.03280609256004685</v>
      </c>
      <c r="GU153" s="6">
        <v>0.07195494505494507</v>
      </c>
      <c r="GV153" s="6">
        <v>0.0002530062261001387</v>
      </c>
      <c r="GW153" s="9">
        <v>167</v>
      </c>
      <c r="GX153" s="7">
        <f>IFERROR(GM153/F153,0)</f>
        <v>6.662569705992189e-11</v>
      </c>
      <c r="GY153" t="inlineStr">
        <is>
          <t xml:space="preserve">Lease cash / margin / financing</t>
        </is>
      </c>
      <c r="GZ153" t="inlineStr">
        <is>
          <t xml:space="preserve">cash</t>
        </is>
      </c>
      <c r="HA153" t="inlineStr">
        <is>
          <t xml:space="preserve">lease</t>
        </is>
      </c>
      <c r="HB153" t="inlineStr">
        <is>
          <t xml:space="preserve">cash</t>
        </is>
      </c>
      <c r="HC153"/>
      <c r="HD153" s="4">
        <v>1</v>
      </c>
      <c r="HE153" s="4">
        <v>1</v>
      </c>
      <c r="HF153" s="6"/>
      <c r="HG153" s="4">
        <v>4.440892098500626e-16</v>
      </c>
      <c r="HH153" s="5">
        <f>IF(GZ153="direct",IFERROR(HN153/HE153,0),0)</f>
        <v>0</v>
      </c>
      <c r="HI153" s="5">
        <f>IF(GZ153="direct",HG153-HH153,IF(GZ153="cash",HS153,HG153))</f>
        <v>0.005810458803863261</v>
      </c>
      <c r="HJ153" s="6"/>
      <c r="HK153" s="4">
        <v>4.440892098500626e-16</v>
      </c>
      <c r="HL153" s="4">
        <v>4.440892098500626e-16</v>
      </c>
      <c r="HM153" s="5">
        <f>IF(GZ153="direct",HG153*(HE153-HD153),HP153)</f>
        <v>0</v>
      </c>
      <c r="HN153" s="5">
        <f>IF(GZ153="direct",HL153*HF153*C153/365,0)</f>
        <v>0</v>
      </c>
      <c r="HO153" s="5">
        <f>HM153-HN153</f>
        <v>0</v>
      </c>
      <c r="HP153" s="4">
        <v>0</v>
      </c>
      <c r="HQ153" s="5">
        <f>HP153-HO153</f>
        <v>0</v>
      </c>
      <c r="HR153" s="4">
        <v>0.005810458803862817</v>
      </c>
      <c r="HS153" s="4">
        <v>0.005810458803863261</v>
      </c>
      <c r="HT153" s="4">
        <v>1.707</v>
      </c>
      <c r="HU153" s="4">
        <v>1.696</v>
      </c>
      <c r="HV153" s="6"/>
      <c r="HW153" s="6"/>
      <c r="HX153" s="6"/>
      <c r="HY153" s="9"/>
      <c r="HZ153" s="7">
        <f>IFERROR(HO153/F153,0)</f>
        <v>0</v>
      </c>
      <c r="IA153" t="inlineStr">
        <is>
          <t xml:space="preserve">Keep cash / margin / financing</t>
        </is>
      </c>
      <c r="IB153" t="inlineStr">
        <is>
          <t xml:space="preserve">cash</t>
        </is>
      </c>
      <c r="IC153" t="inlineStr">
        <is>
          <t xml:space="preserve">keep</t>
        </is>
      </c>
      <c r="ID153" t="inlineStr">
        <is>
          <t xml:space="preserve">cash</t>
        </is>
      </c>
      <c r="IE153"/>
      <c r="IF153" s="4">
        <v>1</v>
      </c>
      <c r="IG153" s="4">
        <v>1</v>
      </c>
      <c r="IH153" s="6"/>
      <c r="II153" s="4">
        <v>0</v>
      </c>
      <c r="IJ153" s="5">
        <f>IF(IB153="direct",IFERROR(IP153/IG153,0),0)</f>
        <v>0</v>
      </c>
      <c r="IK153" s="5">
        <f>IF(IB153="direct",II153-IJ153,IF(IB153="cash",IU153,II153))</f>
        <v>0</v>
      </c>
      <c r="IL153" s="6"/>
      <c r="IM153" s="4">
        <v>0</v>
      </c>
      <c r="IN153" s="4">
        <v>0</v>
      </c>
      <c r="IO153" s="5">
        <f>IF(IB153="direct",II153*(IG153-IF153),IR153)</f>
        <v>0</v>
      </c>
      <c r="IP153" s="5">
        <f>IF(IB153="direct",IN153*IH153*C153/365,0)</f>
        <v>0</v>
      </c>
      <c r="IQ153" s="5">
        <f>IO153-IP153</f>
        <v>0</v>
      </c>
      <c r="IR153" s="4">
        <v>0</v>
      </c>
      <c r="IS153" s="5">
        <f>IR153-IQ153</f>
        <v>0</v>
      </c>
      <c r="IT153" s="4">
        <v>0</v>
      </c>
      <c r="IU153" s="4">
        <v>0</v>
      </c>
      <c r="IV153" s="4">
        <v>1.707</v>
      </c>
      <c r="IW153" s="4">
        <v>1.696</v>
      </c>
      <c r="IX153" s="6"/>
      <c r="IY153" s="6"/>
      <c r="IZ153" s="6"/>
      <c r="JA153" s="9"/>
      <c r="JB153" s="7">
        <f>IFERROR(IQ153/F153,0)</f>
        <v>0</v>
      </c>
      <c r="JC153"/>
      <c r="JD153"/>
      <c r="JE153"/>
      <c r="JF153"/>
      <c r="JG153"/>
      <c r="JH153" s="4"/>
      <c r="JI153" s="4"/>
      <c r="JJ153" s="6"/>
      <c r="JK153" s="4"/>
      <c r="JL153" s="5">
        <v>0</v>
      </c>
      <c r="JM153" s="5"/>
      <c r="JN153" s="6"/>
      <c r="JO153" s="4"/>
      <c r="JP153" s="4"/>
      <c r="JQ153" s="5">
        <v>0</v>
      </c>
      <c r="JR153" s="5">
        <v>0</v>
      </c>
      <c r="JS153" s="5"/>
      <c r="JT153" s="4"/>
      <c r="JU153" s="5">
        <v>0</v>
      </c>
      <c r="JV153" s="4"/>
      <c r="JW153" s="4"/>
      <c r="JX153" s="4"/>
      <c r="JY153" s="4"/>
      <c r="JZ153" s="6"/>
      <c r="KA153" s="6"/>
      <c r="KB153" s="6"/>
      <c r="KC153" s="9"/>
      <c r="KD153"/>
      <c r="KE153"/>
      <c r="KF153"/>
      <c r="KG153"/>
      <c r="KH153"/>
      <c r="KI153"/>
      <c r="KJ153" s="4"/>
      <c r="KK153" s="4"/>
      <c r="KL153" s="6"/>
      <c r="KM153" s="4"/>
      <c r="KN153" s="5">
        <v>0</v>
      </c>
      <c r="KO153" s="5"/>
      <c r="KP153" s="6"/>
      <c r="KQ153" s="4"/>
      <c r="KR153" s="4"/>
      <c r="KS153" s="5">
        <v>0</v>
      </c>
      <c r="KT153" s="5">
        <v>0</v>
      </c>
      <c r="KU153" s="5"/>
      <c r="KV153" s="4"/>
      <c r="KW153" s="5">
        <v>0</v>
      </c>
      <c r="KX153" s="4"/>
      <c r="KY153" s="4"/>
      <c r="KZ153" s="4"/>
      <c r="LA153" s="4"/>
      <c r="LB153" s="6"/>
      <c r="LC153" s="6"/>
      <c r="LD153" s="6"/>
      <c r="LE153" s="9"/>
      <c r="LF153"/>
      <c r="LG153"/>
      <c r="LH153"/>
      <c r="LI153"/>
      <c r="LJ153"/>
      <c r="LK153"/>
      <c r="LL153" s="4"/>
      <c r="LM153" s="4"/>
      <c r="LN153" s="6"/>
      <c r="LO153" s="4"/>
      <c r="LP153" s="5">
        <v>0</v>
      </c>
      <c r="LQ153" s="5"/>
      <c r="LR153" s="6"/>
      <c r="LS153" s="4"/>
      <c r="LT153" s="4"/>
      <c r="LU153" s="5">
        <v>0</v>
      </c>
      <c r="LV153" s="5">
        <v>0</v>
      </c>
      <c r="LW153" s="5"/>
      <c r="LX153" s="4"/>
      <c r="LY153" s="5">
        <v>0</v>
      </c>
      <c r="LZ153" s="4"/>
      <c r="MA153" s="4"/>
      <c r="MB153" s="4"/>
      <c r="MC153" s="4"/>
      <c r="MD153" s="6"/>
      <c r="ME153" s="6"/>
      <c r="MF153" s="6"/>
      <c r="MG153" s="9"/>
      <c r="MH153"/>
    </row>
    <row r="154">
      <c r="A154" s="8">
        <v>25430</v>
      </c>
      <c r="B154" s="8">
        <v>25433</v>
      </c>
      <c r="C154" s="9">
        <f>B154-A154</f>
        <v>3</v>
      </c>
      <c r="D154" s="8">
        <v>25430</v>
      </c>
      <c r="E154" t="inlineStr">
        <is>
          <t xml:space="preserve">positive</t>
        </is>
      </c>
      <c r="F154" s="4">
        <v>1.5750083318896864</v>
      </c>
      <c r="G154" s="6">
        <v>-0.014993668719898426</v>
      </c>
      <c r="H154" s="7">
        <f>SUM(CP154,DR154,ET154,FV154,GX154,HZ154,JB154,KD154,LF154,MH154)</f>
        <v>-0.014993668719898426</v>
      </c>
      <c r="I154" s="7">
        <f>G154-H154</f>
        <v>0</v>
      </c>
      <c r="J154" s="5">
        <f>F154*(1+H154)</f>
        <v>1.5513931787302526</v>
      </c>
      <c r="K154" s="4">
        <v>1.5513931787302526</v>
      </c>
      <c r="L154" s="5">
        <f>K154-J154</f>
        <v>0</v>
      </c>
      <c r="M154" s="4">
        <v>1.696</v>
      </c>
      <c r="N154" s="4">
        <v>1.68</v>
      </c>
      <c r="O154" s="5">
        <f>M154/$M$3</f>
        <v>0.8661899897854954</v>
      </c>
      <c r="P154" s="5">
        <f>N154/$M$3</f>
        <v>0.8580183861082737</v>
      </c>
      <c r="Q154" s="7">
        <f>IFERROR(N154/M154-1,0)</f>
        <v>-0.009433962264150941</v>
      </c>
      <c r="R154" s="5">
        <f>SUM(IF(BQ154="lease",CB154,0),IF(CS154="lease",DD154,0),IF(DU154="lease",EF154,0),IF(EW154="lease",FH154,0),IF(FY154="lease",GJ154,0),IF(HA154="lease",HL154,0),IF(IC154="lease",IN154,0),IF(JE154="lease",JP154,0),IF(KG154="lease",KR154,0),IF(LI154="lease",LT154,0))</f>
        <v>1.5750083318896868</v>
      </c>
      <c r="S154" s="5">
        <f>SUM(IF(BQ154="lease",CI154,0),IF(CS154="lease",DK154,0),IF(DU154="lease",EM154,0),IF(EW154="lease",FO154,0),IF(FY154="lease",GQ154,0),IF(HA154="lease",HS154,0),IF(IC154="lease",IU154,0),IF(JE154="lease",JW154,0),IF(KG154="lease",KY154,0),IF(LI154="lease",MA154,0))</f>
        <v>1.5513931787302533</v>
      </c>
      <c r="T154" s="5">
        <f>SUM(IF(BQ154="keep",CB154,0),IF(CS154="keep",DD154,0),IF(DU154="keep",EF154,0),IF(EW154="keep",FH154,0),IF(FY154="keep",GJ154,0),IF(HA154="keep",HL154,0),IF(IC154="keep",IN154,0),IF(JE154="keep",JP154,0),IF(KG154="keep",KR154,0),IF(LI154="keep",LT154,0))</f>
        <v>0</v>
      </c>
      <c r="U154" s="5">
        <f>SUM(IF(BQ154="keep",CI154,0),IF(CS154="keep",DK154,0),IF(DU154="keep",EM154,0),IF(EW154="keep",FO154,0),IF(FY154="keep",GQ154,0),IF(HA154="keep",HS154,0),IF(IC154="keep",IU154,0),IF(JE154="keep",JW154,0),IF(KG154="keep",KY154,0),IF(LI154="keep",MA154,0))</f>
        <v>0</v>
      </c>
      <c r="V154" s="5">
        <f>R154/O154</f>
        <v>1.8183174020283057</v>
      </c>
      <c r="W154" s="5">
        <f>S154/P154</f>
        <v>1.8081118118772832</v>
      </c>
      <c r="X154" s="5">
        <f>T154/O154</f>
        <v>0</v>
      </c>
      <c r="Y154" s="5">
        <f>U154/P154</f>
        <v>0</v>
      </c>
      <c r="Z154" s="5">
        <f>V154+X154</f>
        <v>1.8183174020283057</v>
      </c>
      <c r="AA154" s="7">
        <f>IFERROR(W154/V154-1,0)</f>
        <v>-0.005612656041040109</v>
      </c>
      <c r="AB154" s="7">
        <f>IFERROR((W154-V154)/Z154,0)</f>
        <v>-0.0056126560410401025</v>
      </c>
      <c r="AC154" s="7">
        <f>IFERROR(Y154/X154-1,0)</f>
        <v>0</v>
      </c>
      <c r="AD154" s="7">
        <f>IFERROR((Y154-X154)/Z154,0)</f>
        <v>0</v>
      </c>
      <c r="AE154" s="7">
        <f>AB154+AD154</f>
        <v>-0.0056126560410401025</v>
      </c>
      <c r="AF154" s="7">
        <f>(1+Q154)*(1+AE154)-1</f>
        <v>-0.014993668719898268</v>
      </c>
      <c r="AG154" s="7">
        <f>G154-AF154</f>
        <v>-1.5785983631388945e-16</v>
      </c>
      <c r="AH154" s="5">
        <f>SUM(IF(BQ154="lease",CE154,0),IF(CS154="lease",DG154,0),IF(DU154="lease",EI154,0),IF(EW154="lease",FK154,0),IF(FY154="lease",GM154,0),IF(HA154="lease",HO154,0),IF(IC154="lease",IQ154,0),IF(JE154="lease",JS154,0),IF(KG154="lease",KU154,0),IF(LI154="lease",LW154,0))</f>
        <v>-0.02361515315943379</v>
      </c>
      <c r="AI154" s="5">
        <f>SUM(IF(BQ154="keep",CE154,0),IF(CS154="keep",DG154,0),IF(DU154="keep",EI154,0),IF(EW154="keep",FK154,0),IF(FY154="keep",GM154,0),IF(HA154="keep",HO154,0),IF(IC154="keep",IQ154,0),IF(JE154="keep",JS154,0),IF(KG154="keep",KU154,0),IF(LI154="keep",LW154,0))</f>
        <v>0</v>
      </c>
      <c r="AJ154" s="5">
        <f>SUM(IF(BQ154="lease",CH154,0),IF(CS154="lease",DJ154,0),IF(DU154="lease",EL154,0),IF(EW154="lease",FN154,0),IF(FY154="lease",GP154,0),IF(HA154="lease",HR154,0),IF(IC154="lease",IT154,0),IF(JE154="lease",JV154,0),IF(KG154="lease",KX154,0),IF(LI154="lease",LZ154,0))</f>
        <v>0</v>
      </c>
      <c r="AK154" s="5">
        <f>SUM(IF(BQ154="keep",CH154,0),IF(CS154="keep",DJ154,0),IF(DU154="keep",EL154,0),IF(EW154="keep",FN154,0),IF(FY154="keep",GP154,0),IF(HA154="keep",HR154,0),IF(IC154="keep",IT154,0),IF(JE154="keep",JV154,0),IF(KG154="keep",KX154,0),IF(LI154="keep",LZ154,0))</f>
        <v>0</v>
      </c>
      <c r="AL154" s="5">
        <f>R154-S153</f>
        <v>0</v>
      </c>
      <c r="AM154" s="5">
        <f>T154-U153</f>
        <v>0</v>
      </c>
      <c r="AN154" s="5">
        <f>AN153</f>
        <v>1</v>
      </c>
      <c r="AO154" s="5">
        <f>AO153+AH154</f>
        <v>0.5513931787302533</v>
      </c>
      <c r="AP154" s="5">
        <f>AP153+AL154</f>
        <v>-2.220446049250313e-16</v>
      </c>
      <c r="AQ154" s="5">
        <f>AN154+AO154+AP154</f>
        <v>1.551393178730253</v>
      </c>
      <c r="AR154" s="5">
        <f>S154-AQ154</f>
        <v>2.220446049250313e-16</v>
      </c>
      <c r="AS154" s="5">
        <f>AS153</f>
        <v>0</v>
      </c>
      <c r="AT154" s="5">
        <f>AT153+AI154</f>
        <v>0</v>
      </c>
      <c r="AU154" s="5">
        <f>AU153+AM154</f>
        <v>0</v>
      </c>
      <c r="AV154" s="5">
        <f>AS154+AT154+AU154</f>
        <v>0</v>
      </c>
      <c r="AW154" s="5">
        <f>U154-AV154</f>
        <v>0</v>
      </c>
      <c r="AX154" s="4">
        <v>1.5750083318896868</v>
      </c>
      <c r="AY154" s="4">
        <v>1.551393178730253</v>
      </c>
      <c r="AZ154" s="5">
        <f>S154-AY154</f>
        <v>2.220446049250313e-16</v>
      </c>
      <c r="BA154" s="4">
        <v>0</v>
      </c>
      <c r="BB154" s="4">
        <v>0</v>
      </c>
      <c r="BC154" s="5">
        <f>U154-BB154</f>
        <v>0</v>
      </c>
      <c r="BD154" s="7">
        <f>SUM(IF(BP154="direct",CC154/F154,0),IF(CR154="direct",DE154/F154,0),IF(DT154="direct",EG154/F154,0),IF(EV154="direct",FI154/F154,0),IF(FX154="direct",GK154/F154,0),IF(GZ154="direct",HM154/F154,0),IF(IB154="direct",IO154/F154,0),IF(JD154="direct",JQ154/F154,0),IF(KF154="direct",KS154/F154,0),IF(LH154="direct",LU154/F154,0))</f>
        <v>-0.006737138845095363</v>
      </c>
      <c r="BE154" s="7">
        <f>-SUM(IF(BP154="direct",CD154/F154,0),IF(CR154="direct",DF154/F154,0),IF(DT154="direct",EH154/F154,0),IF(EV154="direct",FJ154/F154,0),IF(FX154="direct",GL154/F154,0),IF(GZ154="direct",HN154/F154,0),IF(IB154="direct",IP154/F154,0),IF(JD154="direct",JR154/F154,0),IF(KF154="direct",KT154/F154,0),IF(LH154="direct",LV154/F154,0))</f>
        <v>-0.000014674042142057009</v>
      </c>
      <c r="BF154" s="7">
        <f>BD154+BE154</f>
        <v>-0.00675181288723742</v>
      </c>
      <c r="BG154" s="7">
        <f>BF154-SUM(IF(BP154="direct",CP154,0),IF(CR154="direct",DR154,0),IF(DT154="direct",ET154,0),IF(EV154="direct",FV154,0),IF(FX154="direct",GX154,0),IF(GZ154="direct",HZ154,0),IF(IB154="direct",JB154,0),IF(JD154="direct",KD154,0),IF(KF154="direct",LF154,0),IF(LH154="direct",MH154,0))</f>
        <v>-8.673617379884035e-18</v>
      </c>
      <c r="BH154" s="7">
        <f>SUM(IF(BP154="treasury",CP154,0),IF(CR154="treasury",DR154,0),IF(DT154="treasury",ET154,0),IF(EV154="treasury",FV154,0),IF(FX154="treasury",GX154,0),IF(GZ154="treasury",HZ154,0),IF(IB154="treasury",JB154,0),IF(JD154="treasury",KD154,0),IF(KF154="treasury",LF154,0),IF(LH154="treasury",MH154,0))</f>
        <v>0.0001609449439377749</v>
      </c>
      <c r="BI154" s="7">
        <f>SUM(IF(BP154="future",CP154,0),IF(CR154="future",DR154,0),IF(DT154="future",ET154,0),IF(EV154="future",FV154,0),IF(FX154="future",GX154,0),IF(GZ154="future",HZ154,0),IF(IB154="future",JB154,0),IF(JD154="future",KD154,0),IF(KF154="future",LF154,0),IF(LH154="future",MH154,0))</f>
        <v>-0.008402800776598789</v>
      </c>
      <c r="BJ154" s="7">
        <f>SUM(IF(BP154="cash",CP154,0),IF(CR154="cash",DR154,0),IF(DT154="cash",ET154,0),IF(EV154="cash",FV154,0),IF(FX154="cash",GX154,0),IF(GZ154="cash",HZ154,0),IF(IB154="cash",JB154,0),IF(JD154="cash",KD154,0),IF(KF154="cash",LF154,0),IF(LH154="cash",MH154,0))</f>
        <v>0</v>
      </c>
      <c r="BK154" s="7">
        <f>SUM(BF154,BH154,BI154,BJ154)</f>
        <v>-0.014993668719898426</v>
      </c>
      <c r="BL154" s="7">
        <f>G154-BK154</f>
        <v>0</v>
      </c>
      <c r="BM154" s="5">
        <f>MAX(ABS(CG154),ABS(DI154),ABS(EK154),ABS(FM154),ABS(GO154),ABS(HQ154),ABS(IS154),ABS(JU154),ABS(KW154),ABS(LY154))</f>
        <v>1.2329411580233596e-17</v>
      </c>
      <c r="BN154" s="9">
        <f>COUNTA(BO154,CQ154,DS154,EU154,FW154,GY154,IA154,JC154,KE154,LG154)</f>
        <v>5</v>
      </c>
      <c r="BO154" t="inlineStr">
        <is>
          <t xml:space="preserve">Direct commodity holding</t>
        </is>
      </c>
      <c r="BP154" t="inlineStr">
        <is>
          <t xml:space="preserve">direct</t>
        </is>
      </c>
      <c r="BQ154" t="inlineStr">
        <is>
          <t xml:space="preserve">lease</t>
        </is>
      </c>
      <c r="BR154" t="inlineStr">
        <is>
          <t xml:space="preserve">long</t>
        </is>
      </c>
      <c r="BS154"/>
      <c r="BT154" s="4">
        <v>1.696</v>
      </c>
      <c r="BU154" s="4">
        <v>1.68</v>
      </c>
      <c r="BV154" s="6">
        <v>0.0025</v>
      </c>
      <c r="BW154" s="4">
        <v>0.6631906133826778</v>
      </c>
      <c r="BX154" s="5">
        <f>IF(BP154="direct",IFERROR(CD154/BU154,0),0)</f>
        <v>0.000013756987283476293</v>
      </c>
      <c r="BY154" s="5">
        <f>IF(BP154="direct",BW154-BX154,IF(BP154="cash",CI154,BW154))</f>
        <v>0.6631768563953944</v>
      </c>
      <c r="BZ154" s="6">
        <v>0.7141367175801078</v>
      </c>
      <c r="CA154" s="4">
        <v>1.1247712802970216</v>
      </c>
      <c r="CB154" s="4">
        <v>1.1247712802970216</v>
      </c>
      <c r="CC154" s="5">
        <f>IF(BP154="direct",BW154*(BU154-BT154),CF154)</f>
        <v>-0.010611049814122855</v>
      </c>
      <c r="CD154" s="5">
        <f>IF(BP154="direct",CB154*BV154*C154/365,0)</f>
        <v>0.00002311173863624017</v>
      </c>
      <c r="CE154" s="5">
        <f>CC154-CD154</f>
        <v>-0.010634161552759083</v>
      </c>
      <c r="CF154" s="4">
        <v>-0.010634161552759083</v>
      </c>
      <c r="CG154" s="5">
        <f>CF154-CE154</f>
        <v>1.2329411580233596e-17</v>
      </c>
      <c r="CH154" s="4">
        <v>0</v>
      </c>
      <c r="CI154" s="4">
        <v>1.1141371187442626</v>
      </c>
      <c r="CJ154" s="4">
        <v>1.696</v>
      </c>
      <c r="CK154" s="4">
        <v>1.68</v>
      </c>
      <c r="CL154" s="6"/>
      <c r="CM154" s="6"/>
      <c r="CN154" s="6"/>
      <c r="CO154" s="9"/>
      <c r="CP154" s="7">
        <f>IFERROR(CE154/F154,0)</f>
        <v>-0.006751812887237411</v>
      </c>
      <c r="CQ154" t="inlineStr">
        <is>
          <t xml:space="preserve">Treasury collateral</t>
        </is>
      </c>
      <c r="CR154" t="inlineStr">
        <is>
          <t xml:space="preserve">treasury</t>
        </is>
      </c>
      <c r="CS154" t="inlineStr">
        <is>
          <t xml:space="preserve">lease</t>
        </is>
      </c>
      <c r="CT154" t="inlineStr">
        <is>
          <t xml:space="preserve">long</t>
        </is>
      </c>
      <c r="CU154"/>
      <c r="CV154" s="4">
        <v>103.96705312378964</v>
      </c>
      <c r="CW154" s="4">
        <v>104.02558799890454</v>
      </c>
      <c r="CX154" s="6"/>
      <c r="CY154" s="4">
        <v>0.004330574331625852</v>
      </c>
      <c r="CZ154" s="5">
        <f>IF(CR154="direct",IFERROR(DF154/CW154,0),0)</f>
        <v>0</v>
      </c>
      <c r="DA154" s="5">
        <f>IF(CR154="direct",CY154-CZ154,IF(CR154="cash",DK154,CY154))</f>
        <v>0.004330574331625852</v>
      </c>
      <c r="DB154" s="6">
        <v>0.28586328241989223</v>
      </c>
      <c r="DC154" s="4">
        <v>0.45023705159266475</v>
      </c>
      <c r="DD154" s="4">
        <v>0.45023705159266475</v>
      </c>
      <c r="DE154" s="5">
        <f>IF(CR154="direct",CY154*(CW154-CV154),DH154)</f>
        <v>0.0002534896276775164</v>
      </c>
      <c r="DF154" s="5">
        <f>IF(CR154="direct",DD154*CX154*C154/365,0)</f>
        <v>0</v>
      </c>
      <c r="DG154" s="5">
        <f>DE154-DF154</f>
        <v>0.00025348962767751394</v>
      </c>
      <c r="DH154" s="4">
        <v>0.00025348962767751394</v>
      </c>
      <c r="DI154" s="5">
        <f>DH154-DG154</f>
        <v>-2.439454888092385e-18</v>
      </c>
      <c r="DJ154" s="4">
        <v>2.7647155398380363e-18</v>
      </c>
      <c r="DK154" s="4">
        <v>0.45049054122034227</v>
      </c>
      <c r="DL154" s="4">
        <v>1.696</v>
      </c>
      <c r="DM154" s="4">
        <v>1.68</v>
      </c>
      <c r="DN154" s="6"/>
      <c r="DO154" s="6"/>
      <c r="DP154" s="6"/>
      <c r="DQ154" s="9">
        <v>42</v>
      </c>
      <c r="DR154" s="7">
        <f>IFERROR(DG154/F154,0)</f>
        <v>0.0001609449439377749</v>
      </c>
      <c r="DS154" t="inlineStr">
        <is>
          <t xml:space="preserve">SI69U</t>
        </is>
      </c>
      <c r="DT154" t="inlineStr">
        <is>
          <t xml:space="preserve">future</t>
        </is>
      </c>
      <c r="DU154" t="inlineStr">
        <is>
          <t xml:space="preserve">lease</t>
        </is>
      </c>
      <c r="DV154" t="inlineStr">
        <is>
          <t xml:space="preserve">long</t>
        </is>
      </c>
      <c r="DW154" t="inlineStr">
        <is>
          <t xml:space="preserve">regular</t>
        </is>
      </c>
      <c r="DX154" s="4">
        <v>1.7009999999999998</v>
      </c>
      <c r="DY154" s="4">
        <v>1.651</v>
      </c>
      <c r="DZ154" s="6"/>
      <c r="EA154" s="4">
        <v>0.2646896246870457</v>
      </c>
      <c r="EB154" s="5">
        <f>IF(DT154="direct",IFERROR(EH154/DY154,0),0)</f>
        <v>0</v>
      </c>
      <c r="EC154" s="5">
        <f>IF(DT154="direct",EA154-EB154,IF(DT154="cash",EM154,EA154))</f>
        <v>0.2646896246870457</v>
      </c>
      <c r="ED154" s="6">
        <v>0.28586328241989223</v>
      </c>
      <c r="EE154" s="4">
        <v>0.45023705159266475</v>
      </c>
      <c r="EF154" s="4">
        <v>0</v>
      </c>
      <c r="EG154" s="5">
        <f>IF(DT154="direct",EA154*(DY154-DX154),EJ154)</f>
        <v>-0.01323448123435222</v>
      </c>
      <c r="EH154" s="5">
        <f>IF(DT154="direct",EF154*DZ154*C154/365,0)</f>
        <v>0</v>
      </c>
      <c r="EI154" s="5">
        <f>EG154-EH154</f>
        <v>-0.01323448123435222</v>
      </c>
      <c r="EJ154" s="4">
        <v>-0.01323448123435222</v>
      </c>
      <c r="EK154" s="5">
        <f>EJ154-EI154</f>
        <v>0</v>
      </c>
      <c r="EL154" s="4">
        <v>0.01323448123435222</v>
      </c>
      <c r="EM154" s="4">
        <v>0</v>
      </c>
      <c r="EN154" s="4">
        <v>1.696</v>
      </c>
      <c r="EO154" s="4">
        <v>1.68</v>
      </c>
      <c r="EP154" s="6">
        <v>0.002948113207547065</v>
      </c>
      <c r="EQ154" s="6">
        <v>0.06849999999999999</v>
      </c>
      <c r="ER154" s="6">
        <v>0.04287949236298383</v>
      </c>
      <c r="ES154" s="9">
        <v>42</v>
      </c>
      <c r="ET154" s="7">
        <f>IFERROR(EI154/F154,0)</f>
        <v>-0.008402800776598789</v>
      </c>
      <c r="EU154" t="inlineStr">
        <is>
          <t xml:space="preserve">Lease cash / margin / financing</t>
        </is>
      </c>
      <c r="EV154" t="inlineStr">
        <is>
          <t xml:space="preserve">cash</t>
        </is>
      </c>
      <c r="EW154" t="inlineStr">
        <is>
          <t xml:space="preserve">lease</t>
        </is>
      </c>
      <c r="EX154" t="inlineStr">
        <is>
          <t xml:space="preserve">cash</t>
        </is>
      </c>
      <c r="EY154"/>
      <c r="EZ154" s="4">
        <v>1</v>
      </c>
      <c r="FA154" s="4">
        <v>1</v>
      </c>
      <c r="FB154" s="6"/>
      <c r="FC154" s="4">
        <v>4.440892098500626e-16</v>
      </c>
      <c r="FD154" s="5">
        <f>IF(EV154="direct",IFERROR(FJ154/FA154,0),0)</f>
        <v>0</v>
      </c>
      <c r="FE154" s="5">
        <f>IF(EV154="direct",FC154-FD154,IF(EV154="cash",FO154,FC154))</f>
        <v>-0.013234481234351779</v>
      </c>
      <c r="FF154" s="6"/>
      <c r="FG154" s="4">
        <v>4.440892098500626e-16</v>
      </c>
      <c r="FH154" s="4">
        <v>4.440892098500626e-16</v>
      </c>
      <c r="FI154" s="5">
        <f>IF(EV154="direct",FC154*(FA154-EZ154),FL154)</f>
        <v>0</v>
      </c>
      <c r="FJ154" s="5">
        <f>IF(EV154="direct",FH154*FB154*C154/365,0)</f>
        <v>0</v>
      </c>
      <c r="FK154" s="5">
        <f>FI154-FJ154</f>
        <v>0</v>
      </c>
      <c r="FL154" s="4">
        <v>0</v>
      </c>
      <c r="FM154" s="5">
        <f>FL154-FK154</f>
        <v>0</v>
      </c>
      <c r="FN154" s="4">
        <v>-0.013234481234352223</v>
      </c>
      <c r="FO154" s="4">
        <v>-0.013234481234351779</v>
      </c>
      <c r="FP154" s="4">
        <v>1.696</v>
      </c>
      <c r="FQ154" s="4">
        <v>1.68</v>
      </c>
      <c r="FR154" s="6"/>
      <c r="FS154" s="6"/>
      <c r="FT154" s="6"/>
      <c r="FU154" s="9"/>
      <c r="FV154" s="7">
        <f>IFERROR(FK154/F154,0)</f>
        <v>0</v>
      </c>
      <c r="FW154" t="inlineStr">
        <is>
          <t xml:space="preserve">Keep cash / margin / financing</t>
        </is>
      </c>
      <c r="FX154" t="inlineStr">
        <is>
          <t xml:space="preserve">cash</t>
        </is>
      </c>
      <c r="FY154" t="inlineStr">
        <is>
          <t xml:space="preserve">keep</t>
        </is>
      </c>
      <c r="FZ154" t="inlineStr">
        <is>
          <t xml:space="preserve">cash</t>
        </is>
      </c>
      <c r="GA154"/>
      <c r="GB154" s="4">
        <v>1</v>
      </c>
      <c r="GC154" s="4">
        <v>1</v>
      </c>
      <c r="GD154" s="6"/>
      <c r="GE154" s="4">
        <v>0</v>
      </c>
      <c r="GF154" s="5">
        <f>IF(FX154="direct",IFERROR(GL154/GC154,0),0)</f>
        <v>0</v>
      </c>
      <c r="GG154" s="5">
        <f>IF(FX154="direct",GE154-GF154,IF(FX154="cash",GQ154,GE154))</f>
        <v>0</v>
      </c>
      <c r="GH154" s="6"/>
      <c r="GI154" s="4">
        <v>0</v>
      </c>
      <c r="GJ154" s="4">
        <v>0</v>
      </c>
      <c r="GK154" s="5">
        <f>IF(FX154="direct",GE154*(GC154-GB154),GN154)</f>
        <v>0</v>
      </c>
      <c r="GL154" s="5">
        <f>IF(FX154="direct",GJ154*GD154*C154/365,0)</f>
        <v>0</v>
      </c>
      <c r="GM154" s="5">
        <f>GK154-GL154</f>
        <v>0</v>
      </c>
      <c r="GN154" s="4">
        <v>0</v>
      </c>
      <c r="GO154" s="5">
        <f>GN154-GM154</f>
        <v>0</v>
      </c>
      <c r="GP154" s="4">
        <v>0</v>
      </c>
      <c r="GQ154" s="4">
        <v>0</v>
      </c>
      <c r="GR154" s="4">
        <v>1.696</v>
      </c>
      <c r="GS154" s="4">
        <v>1.68</v>
      </c>
      <c r="GT154" s="6"/>
      <c r="GU154" s="6"/>
      <c r="GV154" s="6"/>
      <c r="GW154" s="9"/>
      <c r="GX154" s="7">
        <f>IFERROR(GM154/F154,0)</f>
        <v>0</v>
      </c>
      <c r="GY154"/>
      <c r="GZ154"/>
      <c r="HA154"/>
      <c r="HB154"/>
      <c r="HC154"/>
      <c r="HD154" s="4"/>
      <c r="HE154" s="4"/>
      <c r="HF154" s="6"/>
      <c r="HG154" s="4"/>
      <c r="HH154" s="5">
        <v>0</v>
      </c>
      <c r="HI154" s="5"/>
      <c r="HJ154" s="6"/>
      <c r="HK154" s="4"/>
      <c r="HL154" s="4"/>
      <c r="HM154" s="5">
        <v>0</v>
      </c>
      <c r="HN154" s="5">
        <v>0</v>
      </c>
      <c r="HO154" s="5"/>
      <c r="HP154" s="4"/>
      <c r="HQ154" s="5">
        <v>0</v>
      </c>
      <c r="HR154" s="4"/>
      <c r="HS154" s="4"/>
      <c r="HT154" s="4"/>
      <c r="HU154" s="4"/>
      <c r="HV154" s="6"/>
      <c r="HW154" s="6"/>
      <c r="HX154" s="6"/>
      <c r="HY154" s="9"/>
      <c r="HZ154"/>
      <c r="IA154"/>
      <c r="IB154"/>
      <c r="IC154"/>
      <c r="ID154"/>
      <c r="IE154"/>
      <c r="IF154" s="4"/>
      <c r="IG154" s="4"/>
      <c r="IH154" s="6"/>
      <c r="II154" s="4"/>
      <c r="IJ154" s="5">
        <v>0</v>
      </c>
      <c r="IK154" s="5"/>
      <c r="IL154" s="6"/>
      <c r="IM154" s="4"/>
      <c r="IN154" s="4"/>
      <c r="IO154" s="5">
        <v>0</v>
      </c>
      <c r="IP154" s="5">
        <v>0</v>
      </c>
      <c r="IQ154" s="5"/>
      <c r="IR154" s="4"/>
      <c r="IS154" s="5">
        <v>0</v>
      </c>
      <c r="IT154" s="4"/>
      <c r="IU154" s="4"/>
      <c r="IV154" s="4"/>
      <c r="IW154" s="4"/>
      <c r="IX154" s="6"/>
      <c r="IY154" s="6"/>
      <c r="IZ154" s="6"/>
      <c r="JA154" s="9"/>
      <c r="JB154"/>
      <c r="JC154"/>
      <c r="JD154"/>
      <c r="JE154"/>
      <c r="JF154"/>
      <c r="JG154"/>
      <c r="JH154" s="4"/>
      <c r="JI154" s="4"/>
      <c r="JJ154" s="6"/>
      <c r="JK154" s="4"/>
      <c r="JL154" s="5">
        <v>0</v>
      </c>
      <c r="JM154" s="5"/>
      <c r="JN154" s="6"/>
      <c r="JO154" s="4"/>
      <c r="JP154" s="4"/>
      <c r="JQ154" s="5">
        <v>0</v>
      </c>
      <c r="JR154" s="5">
        <v>0</v>
      </c>
      <c r="JS154" s="5"/>
      <c r="JT154" s="4"/>
      <c r="JU154" s="5">
        <v>0</v>
      </c>
      <c r="JV154" s="4"/>
      <c r="JW154" s="4"/>
      <c r="JX154" s="4"/>
      <c r="JY154" s="4"/>
      <c r="JZ154" s="6"/>
      <c r="KA154" s="6"/>
      <c r="KB154" s="6"/>
      <c r="KC154" s="9"/>
      <c r="KD154"/>
      <c r="KE154"/>
      <c r="KF154"/>
      <c r="KG154"/>
      <c r="KH154"/>
      <c r="KI154"/>
      <c r="KJ154" s="4"/>
      <c r="KK154" s="4"/>
      <c r="KL154" s="6"/>
      <c r="KM154" s="4"/>
      <c r="KN154" s="5">
        <v>0</v>
      </c>
      <c r="KO154" s="5"/>
      <c r="KP154" s="6"/>
      <c r="KQ154" s="4"/>
      <c r="KR154" s="4"/>
      <c r="KS154" s="5">
        <v>0</v>
      </c>
      <c r="KT154" s="5">
        <v>0</v>
      </c>
      <c r="KU154" s="5"/>
      <c r="KV154" s="4"/>
      <c r="KW154" s="5">
        <v>0</v>
      </c>
      <c r="KX154" s="4"/>
      <c r="KY154" s="4"/>
      <c r="KZ154" s="4"/>
      <c r="LA154" s="4"/>
      <c r="LB154" s="6"/>
      <c r="LC154" s="6"/>
      <c r="LD154" s="6"/>
      <c r="LE154" s="9"/>
      <c r="LF154"/>
      <c r="LG154"/>
      <c r="LH154"/>
      <c r="LI154"/>
      <c r="LJ154"/>
      <c r="LK154"/>
      <c r="LL154" s="4"/>
      <c r="LM154" s="4"/>
      <c r="LN154" s="6"/>
      <c r="LO154" s="4"/>
      <c r="LP154" s="5">
        <v>0</v>
      </c>
      <c r="LQ154" s="5"/>
      <c r="LR154" s="6"/>
      <c r="LS154" s="4"/>
      <c r="LT154" s="4"/>
      <c r="LU154" s="5">
        <v>0</v>
      </c>
      <c r="LV154" s="5">
        <v>0</v>
      </c>
      <c r="LW154" s="5"/>
      <c r="LX154" s="4"/>
      <c r="LY154" s="5">
        <v>0</v>
      </c>
      <c r="LZ154" s="4"/>
      <c r="MA154" s="4"/>
      <c r="MB154" s="4"/>
      <c r="MC154" s="4"/>
      <c r="MD154" s="6"/>
      <c r="ME154" s="6"/>
      <c r="MF154" s="6"/>
      <c r="MG154" s="9"/>
      <c r="MH154"/>
    </row>
    <row r="155">
      <c r="A155" s="8">
        <v>25433</v>
      </c>
      <c r="B155" s="8">
        <v>25434</v>
      </c>
      <c r="C155" s="9">
        <f>B155-A155</f>
        <v>1</v>
      </c>
      <c r="D155" s="8">
        <v>25433</v>
      </c>
      <c r="E155" t="inlineStr">
        <is>
          <t xml:space="preserve">positive</t>
        </is>
      </c>
      <c r="F155" s="4">
        <v>1.5513931787302526</v>
      </c>
      <c r="G155" s="6">
        <v>0.0026085275009749475</v>
      </c>
      <c r="H155" s="7">
        <f>SUM(CP155,DR155,ET155,FV155,GX155,HZ155,JB155,KD155,LF155,MH155)</f>
        <v>0.0026085275009749475</v>
      </c>
      <c r="I155" s="7">
        <f>G155-H155</f>
        <v>0</v>
      </c>
      <c r="J155" s="5">
        <f>F155*(1+H155)</f>
        <v>1.5554400305017952</v>
      </c>
      <c r="K155" s="4">
        <v>1.5554400305017952</v>
      </c>
      <c r="L155" s="5">
        <f>K155-J155</f>
        <v>0</v>
      </c>
      <c r="M155" s="4">
        <v>1.68</v>
      </c>
      <c r="N155" s="4">
        <v>1.659</v>
      </c>
      <c r="O155" s="5">
        <f>M155/$M$3</f>
        <v>0.8580183861082737</v>
      </c>
      <c r="P155" s="5">
        <f>N155/$M$3</f>
        <v>0.8472931562819204</v>
      </c>
      <c r="Q155" s="7">
        <f>IFERROR(N155/M155-1,0)</f>
        <v>-0.012499999999999956</v>
      </c>
      <c r="R155" s="5">
        <f>SUM(IF(BQ155="lease",CB155,0),IF(CS155="lease",DD155,0),IF(DU155="lease",EF155,0),IF(EW155="lease",FH155,0),IF(FY155="lease",GJ155,0),IF(HA155="lease",HL155,0),IF(IC155="lease",IN155,0),IF(JE155="lease",JP155,0),IF(KG155="lease",KR155,0),IF(LI155="lease",LT155,0))</f>
        <v>1.551393178730253</v>
      </c>
      <c r="S155" s="5">
        <f>SUM(IF(BQ155="lease",CI155,0),IF(CS155="lease",DK155,0),IF(DU155="lease",EM155,0),IF(EW155="lease",FO155,0),IF(FY155="lease",GQ155,0),IF(HA155="lease",HS155,0),IF(IC155="lease",IU155,0),IF(JE155="lease",JW155,0),IF(KG155="lease",KY155,0),IF(LI155="lease",MA155,0))</f>
        <v>1.555440030501796</v>
      </c>
      <c r="T155" s="5">
        <f>SUM(IF(BQ155="keep",CB155,0),IF(CS155="keep",DD155,0),IF(DU155="keep",EF155,0),IF(EW155="keep",FH155,0),IF(FY155="keep",GJ155,0),IF(HA155="keep",HL155,0),IF(IC155="keep",IN155,0),IF(JE155="keep",JP155,0),IF(KG155="keep",KR155,0),IF(LI155="keep",LT155,0))</f>
        <v>0</v>
      </c>
      <c r="U155" s="5">
        <f>SUM(IF(BQ155="keep",CI155,0),IF(CS155="keep",DK155,0),IF(DU155="keep",EM155,0),IF(EW155="keep",FO155,0),IF(FY155="keep",GQ155,0),IF(HA155="keep",HS155,0),IF(IC155="keep",IU155,0),IF(JE155="keep",JW155,0),IF(KG155="keep",KY155,0),IF(LI155="keep",MA155,0))</f>
        <v>0</v>
      </c>
      <c r="V155" s="5">
        <f>R155/O155</f>
        <v>1.808111811877283</v>
      </c>
      <c r="W155" s="5">
        <f>S155/P155</f>
        <v>1.8357755152034456</v>
      </c>
      <c r="X155" s="5">
        <f>T155/O155</f>
        <v>0</v>
      </c>
      <c r="Y155" s="5">
        <f>U155/P155</f>
        <v>0</v>
      </c>
      <c r="Z155" s="5">
        <f>V155+X155</f>
        <v>1.808111811877283</v>
      </c>
      <c r="AA155" s="7">
        <f>IFERROR(W155/V155-1,0)</f>
        <v>0.015299774684531586</v>
      </c>
      <c r="AB155" s="7">
        <f>IFERROR((W155-V155)/Z155,0)</f>
        <v>0.01529977468453161</v>
      </c>
      <c r="AC155" s="7">
        <f>IFERROR(Y155/X155-1,0)</f>
        <v>0</v>
      </c>
      <c r="AD155" s="7">
        <f>IFERROR((Y155-X155)/Z155,0)</f>
        <v>0</v>
      </c>
      <c r="AE155" s="7">
        <f>AB155+AD155</f>
        <v>0.01529977468453161</v>
      </c>
      <c r="AF155" s="7">
        <f>(1+Q155)*(1+AE155)-1</f>
        <v>0.0026085275009750664</v>
      </c>
      <c r="AG155" s="7">
        <f>G155-AF155</f>
        <v>-1.1882855810441129e-16</v>
      </c>
      <c r="AH155" s="5">
        <f>SUM(IF(BQ155="lease",CE155,0),IF(CS155="lease",DG155,0),IF(DU155="lease",EI155,0),IF(EW155="lease",FK155,0),IF(FY155="lease",GM155,0),IF(HA155="lease",HO155,0),IF(IC155="lease",IQ155,0),IF(JE155="lease",JS155,0),IF(KG155="lease",KU155,0),IF(LI155="lease",LW155,0))</f>
        <v>0.004046851771542806</v>
      </c>
      <c r="AI155" s="5">
        <f>SUM(IF(BQ155="keep",CE155,0),IF(CS155="keep",DG155,0),IF(DU155="keep",EI155,0),IF(EW155="keep",FK155,0),IF(FY155="keep",GM155,0),IF(HA155="keep",HO155,0),IF(IC155="keep",IQ155,0),IF(JE155="keep",JS155,0),IF(KG155="keep",KU155,0),IF(LI155="keep",LW155,0))</f>
        <v>0</v>
      </c>
      <c r="AJ155" s="5">
        <f>SUM(IF(BQ155="lease",CH155,0),IF(CS155="lease",DJ155,0),IF(DU155="lease",EL155,0),IF(EW155="lease",FN155,0),IF(FY155="lease",GP155,0),IF(HA155="lease",HR155,0),IF(IC155="lease",IT155,0),IF(JE155="lease",JV155,0),IF(KG155="lease",KX155,0),IF(LI155="lease",LZ155,0))</f>
        <v>0</v>
      </c>
      <c r="AK155" s="5">
        <f>SUM(IF(BQ155="keep",CH155,0),IF(CS155="keep",DJ155,0),IF(DU155="keep",EL155,0),IF(EW155="keep",FN155,0),IF(FY155="keep",GP155,0),IF(HA155="keep",HR155,0),IF(IC155="keep",IT155,0),IF(JE155="keep",JV155,0),IF(KG155="keep",KX155,0),IF(LI155="keep",LZ155,0))</f>
        <v>0</v>
      </c>
      <c r="AL155" s="5">
        <f>R155-S154</f>
        <v>-2.220446049250313e-16</v>
      </c>
      <c r="AM155" s="5">
        <f>T155-U154</f>
        <v>0</v>
      </c>
      <c r="AN155" s="5">
        <f>AN154</f>
        <v>1</v>
      </c>
      <c r="AO155" s="5">
        <f>AO154+AH155</f>
        <v>0.5554400305017961</v>
      </c>
      <c r="AP155" s="5">
        <f>AP154+AL155</f>
        <v>-4.440892098500626e-16</v>
      </c>
      <c r="AQ155" s="5">
        <f>AN155+AO155+AP155</f>
        <v>1.5554400305017957</v>
      </c>
      <c r="AR155" s="5">
        <f>S155-AQ155</f>
        <v>2.220446049250313e-16</v>
      </c>
      <c r="AS155" s="5">
        <f>AS154</f>
        <v>0</v>
      </c>
      <c r="AT155" s="5">
        <f>AT154+AI155</f>
        <v>0</v>
      </c>
      <c r="AU155" s="5">
        <f>AU154+AM155</f>
        <v>0</v>
      </c>
      <c r="AV155" s="5">
        <f>AS155+AT155+AU155</f>
        <v>0</v>
      </c>
      <c r="AW155" s="5">
        <f>U155-AV155</f>
        <v>0</v>
      </c>
      <c r="AX155" s="4">
        <v>1.551393178730253</v>
      </c>
      <c r="AY155" s="4">
        <v>1.555440030501796</v>
      </c>
      <c r="AZ155" s="5">
        <f>S155-AY155</f>
        <v>0</v>
      </c>
      <c r="BA155" s="4">
        <v>0</v>
      </c>
      <c r="BB155" s="4">
        <v>0</v>
      </c>
      <c r="BC155" s="5">
        <f>U155-BB155</f>
        <v>0</v>
      </c>
      <c r="BD155" s="7">
        <f>SUM(IF(BP155="direct",CC155/F155,0),IF(CR155="direct",DE155/F155,0),IF(DT155="direct",EG155/F155,0),IF(EV155="direct",FI155/F155,0),IF(FX155="direct",GK155/F155,0),IF(GZ155="direct",HM155/F155,0),IF(IB155="direct",IO155/F155,0),IF(JD155="direct",JQ155/F155,0),IF(KF155="direct",KS155/F155,0),IF(LH155="direct",LU155/F155,0))</f>
        <v>0</v>
      </c>
      <c r="BE155" s="7">
        <f>-SUM(IF(BP155="direct",CD155/F155,0),IF(CR155="direct",DF155/F155,0),IF(DT155="direct",EH155/F155,0),IF(EV155="direct",FJ155/F155,0),IF(FX155="direct",GL155/F155,0),IF(GZ155="direct",HN155/F155,0),IF(IB155="direct",IP155/F155,0),IF(JD155="direct",JR155/F155,0),IF(KF155="direct",KT155/F155,0),IF(LH155="direct",LV155/F155,0))</f>
        <v>0</v>
      </c>
      <c r="BF155" s="7">
        <f>BD155+BE155</f>
        <v>0</v>
      </c>
      <c r="BG155" s="7">
        <f>BF155-SUM(IF(BP155="direct",CP155,0),IF(CR155="direct",DR155,0),IF(DT155="direct",ET155,0),IF(EV155="direct",FV155,0),IF(FX155="direct",GX155,0),IF(GZ155="direct",HZ155,0),IF(IB155="direct",JB155,0),IF(JD155="direct",KD155,0),IF(KF155="direct",LF155,0),IF(LH155="direct",MH155,0))</f>
        <v>0</v>
      </c>
      <c r="BH155" s="7">
        <f>SUM(IF(BP155="treasury",CP155,0),IF(CR155="treasury",DR155,0),IF(DT155="treasury",ET155,0),IF(EV155="treasury",FV155,0),IF(FX155="treasury",GX155,0),IF(GZ155="treasury",HZ155,0),IF(IB155="treasury",JB155,0),IF(JD155="treasury",KD155,0),IF(KF155="treasury",LF155,0),IF(LH155="treasury",MH155,0))</f>
        <v>0.00018575342465753427</v>
      </c>
      <c r="BI155" s="7">
        <f>SUM(IF(BP155="future",CP155,0),IF(CR155="future",DR155,0),IF(DT155="future",ET155,0),IF(EV155="future",FV155,0),IF(FX155="future",GX155,0),IF(GZ155="future",HZ155,0),IF(IB155="future",JB155,0),IF(JD155="future",KD155,0),IF(KF155="future",LF155,0),IF(LH155="future",MH155,0))</f>
        <v>0.0024227740763174133</v>
      </c>
      <c r="BJ155" s="7">
        <f>SUM(IF(BP155="cash",CP155,0),IF(CR155="cash",DR155,0),IF(DT155="cash",ET155,0),IF(EV155="cash",FV155,0),IF(FX155="cash",GX155,0),IF(GZ155="cash",HZ155,0),IF(IB155="cash",JB155,0),IF(JD155="cash",KD155,0),IF(KF155="cash",LF155,0),IF(LH155="cash",MH155,0))</f>
        <v>0</v>
      </c>
      <c r="BK155" s="7">
        <f>SUM(BF155,BH155,BI155,BJ155)</f>
        <v>0.0026085275009749475</v>
      </c>
      <c r="BL155" s="7">
        <f>G155-BK155</f>
        <v>0</v>
      </c>
      <c r="BM155" s="5">
        <f>MAX(ABS(CG155),ABS(DI155),ABS(EK155),ABS(FM155),ABS(GO155),ABS(HQ155),ABS(IS155),ABS(JU155),ABS(KW155),ABS(LY155))</f>
        <v>4.2213411585723115e-16</v>
      </c>
      <c r="BN155" s="9">
        <f>COUNTA(BO155,CQ155,DS155,EU155,FW155,GY155,IA155,JC155,KE155,LG155)</f>
        <v>4</v>
      </c>
      <c r="BO155" t="inlineStr">
        <is>
          <t xml:space="preserve">Treasury collateral</t>
        </is>
      </c>
      <c r="BP155" t="inlineStr">
        <is>
          <t xml:space="preserve">treasury</t>
        </is>
      </c>
      <c r="BQ155" t="inlineStr">
        <is>
          <t xml:space="preserve">lease</t>
        </is>
      </c>
      <c r="BR155" t="inlineStr">
        <is>
          <t xml:space="preserve">long</t>
        </is>
      </c>
      <c r="BS155"/>
      <c r="BT155" s="4">
        <v>104.02558799890454</v>
      </c>
      <c r="BU155" s="4">
        <v>104.04491110812732</v>
      </c>
      <c r="BV155" s="6"/>
      <c r="BW155" s="4">
        <v>0.014913572790827098</v>
      </c>
      <c r="BX155" s="5">
        <f>IF(BP155="direct",IFERROR(CD155/BU155,0),0)</f>
        <v>0</v>
      </c>
      <c r="BY155" s="5">
        <f>IF(BP155="direct",BW155-BX155,IF(BP155="cash",CI155,BW155))</f>
        <v>0.014913572790827098</v>
      </c>
      <c r="BZ155" s="6">
        <v>1</v>
      </c>
      <c r="CA155" s="4">
        <v>1.5513931787302526</v>
      </c>
      <c r="CB155" s="4">
        <v>1.5513931787302526</v>
      </c>
      <c r="CC155" s="5">
        <f>IF(BP155="direct",BW155*(BU155-BT155),CF155)</f>
        <v>0.00028817659593906043</v>
      </c>
      <c r="CD155" s="5">
        <f>IF(BP155="direct",CB155*BV155*C155/365,0)</f>
        <v>0</v>
      </c>
      <c r="CE155" s="5">
        <f>CC155-CD155</f>
        <v>0.00028817659593948256</v>
      </c>
      <c r="CF155" s="4">
        <v>0.00028817659593948256</v>
      </c>
      <c r="CG155" s="5">
        <f>CF155-CE155</f>
        <v>4.2213411585723115e-16</v>
      </c>
      <c r="CH155" s="4">
        <v>-4.333556083424561e-16</v>
      </c>
      <c r="CI155" s="4">
        <v>1.5516813553261917</v>
      </c>
      <c r="CJ155" s="4">
        <v>1.68</v>
      </c>
      <c r="CK155" s="4">
        <v>1.659</v>
      </c>
      <c r="CL155" s="6"/>
      <c r="CM155" s="6"/>
      <c r="CN155" s="6"/>
      <c r="CO155" s="9">
        <v>39</v>
      </c>
      <c r="CP155" s="7">
        <f>IFERROR(CE155/F155,0)</f>
        <v>0.00018575342465753427</v>
      </c>
      <c r="CQ155" t="inlineStr">
        <is>
          <t xml:space="preserve">SI69U</t>
        </is>
      </c>
      <c r="CR155" t="inlineStr">
        <is>
          <t xml:space="preserve">future</t>
        </is>
      </c>
      <c r="CS155" t="inlineStr">
        <is>
          <t xml:space="preserve">lease</t>
        </is>
      </c>
      <c r="CT155" t="inlineStr">
        <is>
          <t xml:space="preserve">long</t>
        </is>
      </c>
      <c r="CU155" t="inlineStr">
        <is>
          <t xml:space="preserve">regular</t>
        </is>
      </c>
      <c r="CV155" s="4">
        <v>1.651</v>
      </c>
      <c r="CW155" s="4">
        <v>1.655</v>
      </c>
      <c r="CX155" s="6"/>
      <c r="CY155" s="4">
        <v>0.9396687939008193</v>
      </c>
      <c r="CZ155" s="5">
        <f>IF(CR155="direct",IFERROR(DF155/CW155,0),0)</f>
        <v>0</v>
      </c>
      <c r="DA155" s="5">
        <f>IF(CR155="direct",CY155-CZ155,IF(CR155="cash",DK155,CY155))</f>
        <v>0.9396687939008193</v>
      </c>
      <c r="DB155" s="6">
        <v>1</v>
      </c>
      <c r="DC155" s="4">
        <v>1.5513931787302526</v>
      </c>
      <c r="DD155" s="4">
        <v>0</v>
      </c>
      <c r="DE155" s="5">
        <f>IF(CR155="direct",CY155*(CW155-CV155),DH155)</f>
        <v>0.0037586751756033235</v>
      </c>
      <c r="DF155" s="5">
        <f>IF(CR155="direct",DD155*CX155*C155/365,0)</f>
        <v>0</v>
      </c>
      <c r="DG155" s="5">
        <f>DE155-DF155</f>
        <v>0.0037586751756033235</v>
      </c>
      <c r="DH155" s="4">
        <v>0.0037586751756033235</v>
      </c>
      <c r="DI155" s="5">
        <f>DH155-DG155</f>
        <v>0</v>
      </c>
      <c r="DJ155" s="4">
        <v>-0.0037586751756033235</v>
      </c>
      <c r="DK155" s="4">
        <v>0</v>
      </c>
      <c r="DL155" s="4">
        <v>1.68</v>
      </c>
      <c r="DM155" s="4">
        <v>1.659</v>
      </c>
      <c r="DN155" s="6">
        <v>-0.0172619047619047</v>
      </c>
      <c r="DO155" s="6">
        <v>0.0678</v>
      </c>
      <c r="DP155" s="6">
        <v>0.22935372405372348</v>
      </c>
      <c r="DQ155" s="9">
        <v>39</v>
      </c>
      <c r="DR155" s="7">
        <f>IFERROR(DG155/F155,0)</f>
        <v>0.0024227740763174133</v>
      </c>
      <c r="DS155" t="inlineStr">
        <is>
          <t xml:space="preserve">Lease cash / margin / financing</t>
        </is>
      </c>
      <c r="DT155" t="inlineStr">
        <is>
          <t xml:space="preserve">cash</t>
        </is>
      </c>
      <c r="DU155" t="inlineStr">
        <is>
          <t xml:space="preserve">lease</t>
        </is>
      </c>
      <c r="DV155" t="inlineStr">
        <is>
          <t xml:space="preserve">cash</t>
        </is>
      </c>
      <c r="DW155"/>
      <c r="DX155" s="4">
        <v>1</v>
      </c>
      <c r="DY155" s="4">
        <v>1</v>
      </c>
      <c r="DZ155" s="6"/>
      <c r="EA155" s="4">
        <v>4.440892098500626e-16</v>
      </c>
      <c r="EB155" s="5">
        <f>IF(DT155="direct",IFERROR(EH155/DY155,0),0)</f>
        <v>0</v>
      </c>
      <c r="EC155" s="5">
        <f>IF(DT155="direct",EA155-EB155,IF(DT155="cash",EM155,EA155))</f>
        <v>0.003758675175604201</v>
      </c>
      <c r="ED155" s="6"/>
      <c r="EE155" s="4">
        <v>4.440892098500626e-16</v>
      </c>
      <c r="EF155" s="4">
        <v>4.440892098500626e-16</v>
      </c>
      <c r="EG155" s="5">
        <f>IF(DT155="direct",EA155*(DY155-DX155),EJ155)</f>
        <v>0</v>
      </c>
      <c r="EH155" s="5">
        <f>IF(DT155="direct",EF155*DZ155*C155/365,0)</f>
        <v>0</v>
      </c>
      <c r="EI155" s="5">
        <f>EG155-EH155</f>
        <v>0</v>
      </c>
      <c r="EJ155" s="4">
        <v>0</v>
      </c>
      <c r="EK155" s="5">
        <f>EJ155-EI155</f>
        <v>0</v>
      </c>
      <c r="EL155" s="4">
        <v>0.0037586751756037567</v>
      </c>
      <c r="EM155" s="4">
        <v>0.003758675175604201</v>
      </c>
      <c r="EN155" s="4">
        <v>1.68</v>
      </c>
      <c r="EO155" s="4">
        <v>1.659</v>
      </c>
      <c r="EP155" s="6"/>
      <c r="EQ155" s="6"/>
      <c r="ER155" s="6"/>
      <c r="ES155" s="9"/>
      <c r="ET155" s="7">
        <f>IFERROR(EI155/F155,0)</f>
        <v>0</v>
      </c>
      <c r="EU155" t="inlineStr">
        <is>
          <t xml:space="preserve">Keep cash / margin / financing</t>
        </is>
      </c>
      <c r="EV155" t="inlineStr">
        <is>
          <t xml:space="preserve">cash</t>
        </is>
      </c>
      <c r="EW155" t="inlineStr">
        <is>
          <t xml:space="preserve">keep</t>
        </is>
      </c>
      <c r="EX155" t="inlineStr">
        <is>
          <t xml:space="preserve">cash</t>
        </is>
      </c>
      <c r="EY155"/>
      <c r="EZ155" s="4">
        <v>1</v>
      </c>
      <c r="FA155" s="4">
        <v>1</v>
      </c>
      <c r="FB155" s="6"/>
      <c r="FC155" s="4">
        <v>0</v>
      </c>
      <c r="FD155" s="5">
        <f>IF(EV155="direct",IFERROR(FJ155/FA155,0),0)</f>
        <v>0</v>
      </c>
      <c r="FE155" s="5">
        <f>IF(EV155="direct",FC155-FD155,IF(EV155="cash",FO155,FC155))</f>
        <v>0</v>
      </c>
      <c r="FF155" s="6"/>
      <c r="FG155" s="4">
        <v>0</v>
      </c>
      <c r="FH155" s="4">
        <v>0</v>
      </c>
      <c r="FI155" s="5">
        <f>IF(EV155="direct",FC155*(FA155-EZ155),FL155)</f>
        <v>0</v>
      </c>
      <c r="FJ155" s="5">
        <f>IF(EV155="direct",FH155*FB155*C155/365,0)</f>
        <v>0</v>
      </c>
      <c r="FK155" s="5">
        <f>FI155-FJ155</f>
        <v>0</v>
      </c>
      <c r="FL155" s="4">
        <v>0</v>
      </c>
      <c r="FM155" s="5">
        <f>FL155-FK155</f>
        <v>0</v>
      </c>
      <c r="FN155" s="4">
        <v>0</v>
      </c>
      <c r="FO155" s="4">
        <v>0</v>
      </c>
      <c r="FP155" s="4">
        <v>1.68</v>
      </c>
      <c r="FQ155" s="4">
        <v>1.659</v>
      </c>
      <c r="FR155" s="6"/>
      <c r="FS155" s="6"/>
      <c r="FT155" s="6"/>
      <c r="FU155" s="9"/>
      <c r="FV155" s="7">
        <f>IFERROR(FK155/F155,0)</f>
        <v>0</v>
      </c>
      <c r="FW155"/>
      <c r="FX155"/>
      <c r="FY155"/>
      <c r="FZ155"/>
      <c r="GA155"/>
      <c r="GB155" s="4"/>
      <c r="GC155" s="4"/>
      <c r="GD155" s="6"/>
      <c r="GE155" s="4"/>
      <c r="GF155" s="5">
        <v>0</v>
      </c>
      <c r="GG155" s="5"/>
      <c r="GH155" s="6"/>
      <c r="GI155" s="4"/>
      <c r="GJ155" s="4"/>
      <c r="GK155" s="5">
        <v>0</v>
      </c>
      <c r="GL155" s="5">
        <v>0</v>
      </c>
      <c r="GM155" s="5"/>
      <c r="GN155" s="4"/>
      <c r="GO155" s="5">
        <v>0</v>
      </c>
      <c r="GP155" s="4"/>
      <c r="GQ155" s="4"/>
      <c r="GR155" s="4"/>
      <c r="GS155" s="4"/>
      <c r="GT155" s="6"/>
      <c r="GU155" s="6"/>
      <c r="GV155" s="6"/>
      <c r="GW155" s="9"/>
      <c r="GX155"/>
      <c r="GY155"/>
      <c r="GZ155"/>
      <c r="HA155"/>
      <c r="HB155"/>
      <c r="HC155"/>
      <c r="HD155" s="4"/>
      <c r="HE155" s="4"/>
      <c r="HF155" s="6"/>
      <c r="HG155" s="4"/>
      <c r="HH155" s="5">
        <v>0</v>
      </c>
      <c r="HI155" s="5"/>
      <c r="HJ155" s="6"/>
      <c r="HK155" s="4"/>
      <c r="HL155" s="4"/>
      <c r="HM155" s="5">
        <v>0</v>
      </c>
      <c r="HN155" s="5">
        <v>0</v>
      </c>
      <c r="HO155" s="5"/>
      <c r="HP155" s="4"/>
      <c r="HQ155" s="5">
        <v>0</v>
      </c>
      <c r="HR155" s="4"/>
      <c r="HS155" s="4"/>
      <c r="HT155" s="4"/>
      <c r="HU155" s="4"/>
      <c r="HV155" s="6"/>
      <c r="HW155" s="6"/>
      <c r="HX155" s="6"/>
      <c r="HY155" s="9"/>
      <c r="HZ155"/>
      <c r="IA155"/>
      <c r="IB155"/>
      <c r="IC155"/>
      <c r="ID155"/>
      <c r="IE155"/>
      <c r="IF155" s="4"/>
      <c r="IG155" s="4"/>
      <c r="IH155" s="6"/>
      <c r="II155" s="4"/>
      <c r="IJ155" s="5">
        <v>0</v>
      </c>
      <c r="IK155" s="5"/>
      <c r="IL155" s="6"/>
      <c r="IM155" s="4"/>
      <c r="IN155" s="4"/>
      <c r="IO155" s="5">
        <v>0</v>
      </c>
      <c r="IP155" s="5">
        <v>0</v>
      </c>
      <c r="IQ155" s="5"/>
      <c r="IR155" s="4"/>
      <c r="IS155" s="5">
        <v>0</v>
      </c>
      <c r="IT155" s="4"/>
      <c r="IU155" s="4"/>
      <c r="IV155" s="4"/>
      <c r="IW155" s="4"/>
      <c r="IX155" s="6"/>
      <c r="IY155" s="6"/>
      <c r="IZ155" s="6"/>
      <c r="JA155" s="9"/>
      <c r="JB155"/>
      <c r="JC155"/>
      <c r="JD155"/>
      <c r="JE155"/>
      <c r="JF155"/>
      <c r="JG155"/>
      <c r="JH155" s="4"/>
      <c r="JI155" s="4"/>
      <c r="JJ155" s="6"/>
      <c r="JK155" s="4"/>
      <c r="JL155" s="5">
        <v>0</v>
      </c>
      <c r="JM155" s="5"/>
      <c r="JN155" s="6"/>
      <c r="JO155" s="4"/>
      <c r="JP155" s="4"/>
      <c r="JQ155" s="5">
        <v>0</v>
      </c>
      <c r="JR155" s="5">
        <v>0</v>
      </c>
      <c r="JS155" s="5"/>
      <c r="JT155" s="4"/>
      <c r="JU155" s="5">
        <v>0</v>
      </c>
      <c r="JV155" s="4"/>
      <c r="JW155" s="4"/>
      <c r="JX155" s="4"/>
      <c r="JY155" s="4"/>
      <c r="JZ155" s="6"/>
      <c r="KA155" s="6"/>
      <c r="KB155" s="6"/>
      <c r="KC155" s="9"/>
      <c r="KD155"/>
      <c r="KE155"/>
      <c r="KF155"/>
      <c r="KG155"/>
      <c r="KH155"/>
      <c r="KI155"/>
      <c r="KJ155" s="4"/>
      <c r="KK155" s="4"/>
      <c r="KL155" s="6"/>
      <c r="KM155" s="4"/>
      <c r="KN155" s="5">
        <v>0</v>
      </c>
      <c r="KO155" s="5"/>
      <c r="KP155" s="6"/>
      <c r="KQ155" s="4"/>
      <c r="KR155" s="4"/>
      <c r="KS155" s="5">
        <v>0</v>
      </c>
      <c r="KT155" s="5">
        <v>0</v>
      </c>
      <c r="KU155" s="5"/>
      <c r="KV155" s="4"/>
      <c r="KW155" s="5">
        <v>0</v>
      </c>
      <c r="KX155" s="4"/>
      <c r="KY155" s="4"/>
      <c r="KZ155" s="4"/>
      <c r="LA155" s="4"/>
      <c r="LB155" s="6"/>
      <c r="LC155" s="6"/>
      <c r="LD155" s="6"/>
      <c r="LE155" s="9"/>
      <c r="LF155"/>
      <c r="LG155"/>
      <c r="LH155"/>
      <c r="LI155"/>
      <c r="LJ155"/>
      <c r="LK155"/>
      <c r="LL155" s="4"/>
      <c r="LM155" s="4"/>
      <c r="LN155" s="6"/>
      <c r="LO155" s="4"/>
      <c r="LP155" s="5">
        <v>0</v>
      </c>
      <c r="LQ155" s="5"/>
      <c r="LR155" s="6"/>
      <c r="LS155" s="4"/>
      <c r="LT155" s="4"/>
      <c r="LU155" s="5">
        <v>0</v>
      </c>
      <c r="LV155" s="5">
        <v>0</v>
      </c>
      <c r="LW155" s="5"/>
      <c r="LX155" s="4"/>
      <c r="LY155" s="5">
        <v>0</v>
      </c>
      <c r="LZ155" s="4"/>
      <c r="MA155" s="4"/>
      <c r="MB155" s="4"/>
      <c r="MC155" s="4"/>
      <c r="MD155" s="6"/>
      <c r="ME155" s="6"/>
      <c r="MF155" s="6"/>
      <c r="MG155" s="9"/>
      <c r="MH155"/>
    </row>
    <row r="156">
      <c r="A156" s="8">
        <v>25434</v>
      </c>
      <c r="B156" s="8">
        <v>25435</v>
      </c>
      <c r="C156" s="9">
        <f>B156-A156</f>
        <v>1</v>
      </c>
      <c r="D156" s="8">
        <v>25434</v>
      </c>
      <c r="E156" t="inlineStr">
        <is>
          <t xml:space="preserve">positive</t>
        </is>
      </c>
      <c r="F156" s="4">
        <v>1.5554400305017952</v>
      </c>
      <c r="G156" s="6">
        <v>0.001657856619843543</v>
      </c>
      <c r="H156" s="7">
        <f>SUM(CP156,DR156,ET156,FV156,GX156,HZ156,JB156,KD156,LF156,MH156)</f>
        <v>0.0016578566198435425</v>
      </c>
      <c r="I156" s="7">
        <f>G156-H156</f>
        <v>4.336808689942018e-19</v>
      </c>
      <c r="J156" s="5">
        <f>F156*(1+H156)</f>
        <v>1.5580187270531323</v>
      </c>
      <c r="K156" s="4">
        <v>1.5580187270531323</v>
      </c>
      <c r="L156" s="5">
        <f>K156-J156</f>
        <v>0</v>
      </c>
      <c r="M156" s="4">
        <v>1.659</v>
      </c>
      <c r="N156" s="4">
        <v>1.686</v>
      </c>
      <c r="O156" s="5">
        <f>M156/$M$3</f>
        <v>0.8472931562819204</v>
      </c>
      <c r="P156" s="5">
        <f>N156/$M$3</f>
        <v>0.8610827374872319</v>
      </c>
      <c r="Q156" s="7">
        <f>IFERROR(N156/M156-1,0)</f>
        <v>0.016274864376130127</v>
      </c>
      <c r="R156" s="5">
        <f>SUM(IF(BQ156="lease",CB156,0),IF(CS156="lease",DD156,0),IF(DU156="lease",EF156,0),IF(EW156="lease",FH156,0),IF(FY156="lease",GJ156,0),IF(HA156="lease",HL156,0),IF(IC156="lease",IN156,0),IF(JE156="lease",JP156,0),IF(KG156="lease",KR156,0),IF(LI156="lease",LT156,0))</f>
        <v>1.555440030501796</v>
      </c>
      <c r="S156" s="5">
        <f>SUM(IF(BQ156="lease",CI156,0),IF(CS156="lease",DK156,0),IF(DU156="lease",EM156,0),IF(EW156="lease",FO156,0),IF(FY156="lease",GQ156,0),IF(HA156="lease",HS156,0),IF(IC156="lease",IU156,0),IF(JE156="lease",JW156,0),IF(KG156="lease",KY156,0),IF(LI156="lease",MA156,0))</f>
        <v>1.558018727053133</v>
      </c>
      <c r="T156" s="5">
        <f>SUM(IF(BQ156="keep",CB156,0),IF(CS156="keep",DD156,0),IF(DU156="keep",EF156,0),IF(EW156="keep",FH156,0),IF(FY156="keep",GJ156,0),IF(HA156="keep",HL156,0),IF(IC156="keep",IN156,0),IF(JE156="keep",JP156,0),IF(KG156="keep",KR156,0),IF(LI156="keep",LT156,0))</f>
        <v>0</v>
      </c>
      <c r="U156" s="5">
        <f>SUM(IF(BQ156="keep",CI156,0),IF(CS156="keep",DK156,0),IF(DU156="keep",EM156,0),IF(EW156="keep",FO156,0),IF(FY156="keep",GQ156,0),IF(HA156="keep",HS156,0),IF(IC156="keep",IU156,0),IF(JE156="keep",JW156,0),IF(KG156="keep",KY156,0),IF(LI156="keep",MA156,0))</f>
        <v>0</v>
      </c>
      <c r="V156" s="5">
        <f>R156/O156</f>
        <v>1.8357755152034456</v>
      </c>
      <c r="W156" s="5">
        <f>S156/P156</f>
        <v>1.8093716889501983</v>
      </c>
      <c r="X156" s="5">
        <f>T156/O156</f>
        <v>0</v>
      </c>
      <c r="Y156" s="5">
        <f>U156/P156</f>
        <v>0</v>
      </c>
      <c r="Z156" s="5">
        <f>V156+X156</f>
        <v>1.8357755152034456</v>
      </c>
      <c r="AA156" s="7">
        <f>IFERROR(W156/V156-1,0)</f>
        <v>-0.014382927560901204</v>
      </c>
      <c r="AB156" s="7">
        <f>IFERROR((W156-V156)/Z156,0)</f>
        <v>-0.014382927560901251</v>
      </c>
      <c r="AC156" s="7">
        <f>IFERROR(Y156/X156-1,0)</f>
        <v>0</v>
      </c>
      <c r="AD156" s="7">
        <f>IFERROR((Y156-X156)/Z156,0)</f>
        <v>0</v>
      </c>
      <c r="AE156" s="7">
        <f>AB156+AD156</f>
        <v>-0.014382927560901251</v>
      </c>
      <c r="AF156" s="7">
        <f>(1+Q156)*(1+AE156)-1</f>
        <v>0.001657856619843523</v>
      </c>
      <c r="AG156" s="7">
        <f>G156-AF156</f>
        <v>1.9949319973733282e-17</v>
      </c>
      <c r="AH156" s="5">
        <f>SUM(IF(BQ156="lease",CE156,0),IF(CS156="lease",DG156,0),IF(DU156="lease",EI156,0),IF(EW156="lease",FK156,0),IF(FY156="lease",GM156,0),IF(HA156="lease",HO156,0),IF(IC156="lease",IQ156,0),IF(JE156="lease",JS156,0),IF(KG156="lease",KU156,0),IF(LI156="lease",LW156,0))</f>
        <v>0.002578696551337043</v>
      </c>
      <c r="AI156" s="5">
        <f>SUM(IF(BQ156="keep",CE156,0),IF(CS156="keep",DG156,0),IF(DU156="keep",EI156,0),IF(EW156="keep",FK156,0),IF(FY156="keep",GM156,0),IF(HA156="keep",HO156,0),IF(IC156="keep",IQ156,0),IF(JE156="keep",JS156,0),IF(KG156="keep",KU156,0),IF(LI156="keep",LW156,0))</f>
        <v>0</v>
      </c>
      <c r="AJ156" s="5">
        <f>SUM(IF(BQ156="lease",CH156,0),IF(CS156="lease",DJ156,0),IF(DU156="lease",EL156,0),IF(EW156="lease",FN156,0),IF(FY156="lease",GP156,0),IF(HA156="lease",HR156,0),IF(IC156="lease",IT156,0),IF(JE156="lease",JV156,0),IF(KG156="lease",KX156,0),IF(LI156="lease",LZ156,0))</f>
        <v>0</v>
      </c>
      <c r="AK156" s="5">
        <f>SUM(IF(BQ156="keep",CH156,0),IF(CS156="keep",DJ156,0),IF(DU156="keep",EL156,0),IF(EW156="keep",FN156,0),IF(FY156="keep",GP156,0),IF(HA156="keep",HR156,0),IF(IC156="keep",IT156,0),IF(JE156="keep",JV156,0),IF(KG156="keep",KX156,0),IF(LI156="keep",LZ156,0))</f>
        <v>0</v>
      </c>
      <c r="AL156" s="5">
        <f>R156-S155</f>
        <v>0</v>
      </c>
      <c r="AM156" s="5">
        <f>T156-U155</f>
        <v>0</v>
      </c>
      <c r="AN156" s="5">
        <f>AN155</f>
        <v>1</v>
      </c>
      <c r="AO156" s="5">
        <f>AO155+AH156</f>
        <v>0.5580187270531332</v>
      </c>
      <c r="AP156" s="5">
        <f>AP155+AL156</f>
        <v>-4.440892098500626e-16</v>
      </c>
      <c r="AQ156" s="5">
        <f>AN156+AO156+AP156</f>
        <v>1.5580187270531327</v>
      </c>
      <c r="AR156" s="5">
        <f>S156-AQ156</f>
        <v>2.220446049250313e-16</v>
      </c>
      <c r="AS156" s="5">
        <f>AS155</f>
        <v>0</v>
      </c>
      <c r="AT156" s="5">
        <f>AT155+AI156</f>
        <v>0</v>
      </c>
      <c r="AU156" s="5">
        <f>AU155+AM156</f>
        <v>0</v>
      </c>
      <c r="AV156" s="5">
        <f>AS156+AT156+AU156</f>
        <v>0</v>
      </c>
      <c r="AW156" s="5">
        <f>U156-AV156</f>
        <v>0</v>
      </c>
      <c r="AX156" s="4">
        <v>1.555440030501796</v>
      </c>
      <c r="AY156" s="4">
        <v>1.558018727053133</v>
      </c>
      <c r="AZ156" s="5">
        <f>S156-AY156</f>
        <v>0</v>
      </c>
      <c r="BA156" s="4">
        <v>0</v>
      </c>
      <c r="BB156" s="4">
        <v>0</v>
      </c>
      <c r="BC156" s="5">
        <f>U156-BB156</f>
        <v>0</v>
      </c>
      <c r="BD156" s="7">
        <f>SUM(IF(BP156="direct",CC156/F156,0),IF(CR156="direct",DE156/F156,0),IF(DT156="direct",EG156/F156,0),IF(EV156="direct",FI156/F156,0),IF(FX156="direct",GK156/F156,0),IF(GZ156="direct",HM156/F156,0),IF(IB156="direct",IO156/F156,0),IF(JD156="direct",JQ156/F156,0),IF(KF156="direct",KS156/F156,0),IF(LH156="direct",LU156/F156,0))</f>
        <v>0.006340777895249679</v>
      </c>
      <c r="BE156" s="7">
        <f>-SUM(IF(BP156="direct",CD156/F156,0),IF(CR156="direct",DF156/F156,0),IF(DT156="direct",EH156/F156,0),IF(EV156="direct",FJ156/F156,0),IF(FX156="direct",GL156/F156,0),IF(GZ156="direct",HN156/F156,0),IF(IB156="direct",IP156/F156,0),IF(JD156="direct",JR156/F156,0),IF(KF156="direct",KT156/F156,0),IF(LH156="direct",LV156/F156,0))</f>
        <v>-0.0000026685313364330927</v>
      </c>
      <c r="BF156" s="7">
        <f>BD156+BE156</f>
        <v>0.006338109363913246</v>
      </c>
      <c r="BG156" s="7">
        <f>BF156-SUM(IF(BP156="direct",CP156,0),IF(CR156="direct",DR156,0),IF(DT156="direct",ET156,0),IF(EV156="direct",FV156,0),IF(FX156="direct",GX156,0),IF(GZ156="direct",HZ156,0),IF(IB156="direct",JB156,0),IF(JD156="direct",KD156,0),IF(KF156="direct",LF156,0),IF(LH156="direct",MH156,0))</f>
        <v>6.071532165918825e-18</v>
      </c>
      <c r="BH156" s="7">
        <f>SUM(IF(BP156="treasury",CP156,0),IF(CR156="treasury",DR156,0),IF(DT156="treasury",ET156,0),IF(EV156="treasury",FV156,0),IF(FX156="treasury",GX156,0),IF(GZ156="treasury",HZ156,0),IF(IB156="treasury",JB156,0),IF(JD156="treasury",KD156,0),IF(KF156="treasury",LF156,0),IF(LH156="treasury",MH156,0))</f>
        <v>0.00011438624290916319</v>
      </c>
      <c r="BI156" s="7">
        <f>SUM(IF(BP156="future",CP156,0),IF(CR156="future",DR156,0),IF(DT156="future",ET156,0),IF(EV156="future",FV156,0),IF(FX156="future",GX156,0),IF(GZ156="future",HZ156,0),IF(IB156="future",JB156,0),IF(JD156="future",KD156,0),IF(KF156="future",LF156,0),IF(LH156="future",MH156,0))</f>
        <v>-0.00479463898697886</v>
      </c>
      <c r="BJ156" s="7">
        <f>SUM(IF(BP156="cash",CP156,0),IF(CR156="cash",DR156,0),IF(DT156="cash",ET156,0),IF(EV156="cash",FV156,0),IF(FX156="cash",GX156,0),IF(GZ156="cash",HZ156,0),IF(IB156="cash",JB156,0),IF(JD156="cash",KD156,0),IF(KF156="cash",LF156,0),IF(LH156="cash",MH156,0))</f>
        <v>0</v>
      </c>
      <c r="BK156" s="7">
        <f>SUM(BF156,BH156,BI156,BJ156)</f>
        <v>0.001657856619843543</v>
      </c>
      <c r="BL156" s="7">
        <f>G156-BK156</f>
        <v>0</v>
      </c>
      <c r="BM156" s="5">
        <f>MAX(ABS(CG156),ABS(DI156),ABS(EK156),ABS(FM156),ABS(GO156),ABS(HQ156),ABS(IS156),ABS(JU156),ABS(KW156),ABS(LY156))</f>
        <v>4.8599362381662736e-17</v>
      </c>
      <c r="BN156" s="9">
        <f>COUNTA(BO156,CQ156,DS156,EU156,FW156,GY156,IA156,JC156,KE156,LG156)</f>
        <v>5</v>
      </c>
      <c r="BO156" t="inlineStr">
        <is>
          <t xml:space="preserve">Direct commodity holding</t>
        </is>
      </c>
      <c r="BP156" t="inlineStr">
        <is>
          <t xml:space="preserve">direct</t>
        </is>
      </c>
      <c r="BQ156" t="inlineStr">
        <is>
          <t xml:space="preserve">lease</t>
        </is>
      </c>
      <c r="BR156" t="inlineStr">
        <is>
          <t xml:space="preserve">long</t>
        </is>
      </c>
      <c r="BS156"/>
      <c r="BT156" s="4">
        <v>1.659</v>
      </c>
      <c r="BU156" s="4">
        <v>1.686</v>
      </c>
      <c r="BV156" s="6">
        <v>0.0025</v>
      </c>
      <c r="BW156" s="4">
        <v>0.36528517639971486</v>
      </c>
      <c r="BX156" s="5">
        <f>IF(BP156="direct",IFERROR(CD156/BU156,0),0)</f>
        <v>0.0000024618863958104902</v>
      </c>
      <c r="BY156" s="5">
        <f>IF(BP156="direct",BW156-BX156,IF(BP156="cash",CI156,BW156))</f>
        <v>0.36528271451331906</v>
      </c>
      <c r="BZ156" s="6">
        <v>0.38960557511923155</v>
      </c>
      <c r="CA156" s="4">
        <v>0.606008107647127</v>
      </c>
      <c r="CB156" s="4">
        <v>0.606008107647127</v>
      </c>
      <c r="CC156" s="5">
        <f>IF(BP156="direct",BW156*(BU156-BT156),CF156)</f>
        <v>0.00986269976279227</v>
      </c>
      <c r="CD156" s="5">
        <f>IF(BP156="direct",CB156*BV156*C156/365,0)</f>
        <v>0.000004150740463336486</v>
      </c>
      <c r="CE156" s="5">
        <f>CC156-CD156</f>
        <v>0.009858549022328923</v>
      </c>
      <c r="CF156" s="4">
        <v>0.009858549022328923</v>
      </c>
      <c r="CG156" s="5">
        <f>CF156-CE156</f>
        <v>-1.004157558969973e-17</v>
      </c>
      <c r="CH156" s="4">
        <v>0</v>
      </c>
      <c r="CI156" s="4">
        <v>0.615866656669456</v>
      </c>
      <c r="CJ156" s="4">
        <v>1.659</v>
      </c>
      <c r="CK156" s="4">
        <v>1.686</v>
      </c>
      <c r="CL156" s="6"/>
      <c r="CM156" s="6"/>
      <c r="CN156" s="6"/>
      <c r="CO156" s="9"/>
      <c r="CP156" s="7">
        <f>IFERROR(CE156/F156,0)</f>
        <v>0.00633810936391324</v>
      </c>
      <c r="CQ156" t="inlineStr">
        <is>
          <t xml:space="preserve">Treasury collateral</t>
        </is>
      </c>
      <c r="CR156" t="inlineStr">
        <is>
          <t xml:space="preserve">treasury</t>
        </is>
      </c>
      <c r="CS156" t="inlineStr">
        <is>
          <t xml:space="preserve">lease</t>
        </is>
      </c>
      <c r="CT156" t="inlineStr">
        <is>
          <t xml:space="preserve">long</t>
        </is>
      </c>
      <c r="CU156"/>
      <c r="CV156" s="4">
        <v>104.04491110812732</v>
      </c>
      <c r="CW156" s="4">
        <v>104.06440883941444</v>
      </c>
      <c r="CX156" s="6"/>
      <c r="CY156" s="4">
        <v>0.009125212494708016</v>
      </c>
      <c r="CZ156" s="5">
        <f>IF(CR156="direct",IFERROR(DF156/CW156,0),0)</f>
        <v>0</v>
      </c>
      <c r="DA156" s="5">
        <f>IF(CR156="direct",CY156-CZ156,IF(CR156="cash",DK156,CY156))</f>
        <v>0.009125212494708016</v>
      </c>
      <c r="DB156" s="6">
        <v>0.6103944248807684</v>
      </c>
      <c r="DC156" s="4">
        <v>0.9494319228546683</v>
      </c>
      <c r="DD156" s="4">
        <v>0.9494319228546683</v>
      </c>
      <c r="DE156" s="5">
        <f>IF(CR156="direct",CY156*(CW156-CV156),DH156)</f>
        <v>0.00017792094115966315</v>
      </c>
      <c r="DF156" s="5">
        <f>IF(CR156="direct",DD156*CX156*C156/365,0)</f>
        <v>0</v>
      </c>
      <c r="DG156" s="5">
        <f>DE156-DF156</f>
        <v>0.00017792094115961455</v>
      </c>
      <c r="DH156" s="4">
        <v>0.00017792094115961455</v>
      </c>
      <c r="DI156" s="5">
        <f>DH156-DG156</f>
        <v>-4.8599362381662736e-17</v>
      </c>
      <c r="DJ156" s="4">
        <v>1.4476809508112698e-16</v>
      </c>
      <c r="DK156" s="4">
        <v>0.949609843795828</v>
      </c>
      <c r="DL156" s="4">
        <v>1.659</v>
      </c>
      <c r="DM156" s="4">
        <v>1.686</v>
      </c>
      <c r="DN156" s="6"/>
      <c r="DO156" s="6"/>
      <c r="DP156" s="6"/>
      <c r="DQ156" s="9">
        <v>38</v>
      </c>
      <c r="DR156" s="7">
        <f>IFERROR(DG156/F156,0)</f>
        <v>0.00011438624290916319</v>
      </c>
      <c r="DS156" t="inlineStr">
        <is>
          <t xml:space="preserve">SI69U</t>
        </is>
      </c>
      <c r="DT156" t="inlineStr">
        <is>
          <t xml:space="preserve">future</t>
        </is>
      </c>
      <c r="DU156" t="inlineStr">
        <is>
          <t xml:space="preserve">lease</t>
        </is>
      </c>
      <c r="DV156" t="inlineStr">
        <is>
          <t xml:space="preserve">long</t>
        </is>
      </c>
      <c r="DW156" t="inlineStr">
        <is>
          <t xml:space="preserve">regular</t>
        </is>
      </c>
      <c r="DX156" s="4">
        <v>1.655</v>
      </c>
      <c r="DY156" s="4">
        <v>1.642</v>
      </c>
      <c r="DZ156" s="6"/>
      <c r="EA156" s="4">
        <v>0.5736748778578056</v>
      </c>
      <c r="EB156" s="5">
        <f>IF(DT156="direct",IFERROR(EH156/DY156,0),0)</f>
        <v>0</v>
      </c>
      <c r="EC156" s="5">
        <f>IF(DT156="direct",EA156-EB156,IF(DT156="cash",EM156,EA156))</f>
        <v>0.5736748778578056</v>
      </c>
      <c r="ED156" s="6">
        <v>0.6103944248807684</v>
      </c>
      <c r="EE156" s="4">
        <v>0.9494319228546683</v>
      </c>
      <c r="EF156" s="4">
        <v>0</v>
      </c>
      <c r="EG156" s="5">
        <f>IF(DT156="direct",EA156*(DY156-DX156),EJ156)</f>
        <v>-0.007457773412151495</v>
      </c>
      <c r="EH156" s="5">
        <f>IF(DT156="direct",EF156*DZ156*C156/365,0)</f>
        <v>0</v>
      </c>
      <c r="EI156" s="5">
        <f>EG156-EH156</f>
        <v>-0.007457773412151495</v>
      </c>
      <c r="EJ156" s="4">
        <v>-0.007457773412151495</v>
      </c>
      <c r="EK156" s="5">
        <f>EJ156-EI156</f>
        <v>0</v>
      </c>
      <c r="EL156" s="4">
        <v>0.007457773412151495</v>
      </c>
      <c r="EM156" s="4">
        <v>0</v>
      </c>
      <c r="EN156" s="4">
        <v>1.659</v>
      </c>
      <c r="EO156" s="4">
        <v>1.686</v>
      </c>
      <c r="EP156" s="6">
        <v>-0.0024110910186859735</v>
      </c>
      <c r="EQ156" s="6">
        <v>0.0684</v>
      </c>
      <c r="ER156" s="6">
        <v>0.09155916373211527</v>
      </c>
      <c r="ES156" s="9">
        <v>38</v>
      </c>
      <c r="ET156" s="7">
        <f>IFERROR(EI156/F156,0)</f>
        <v>-0.00479463898697886</v>
      </c>
      <c r="EU156" t="inlineStr">
        <is>
          <t xml:space="preserve">Lease cash / margin / financing</t>
        </is>
      </c>
      <c r="EV156" t="inlineStr">
        <is>
          <t xml:space="preserve">cash</t>
        </is>
      </c>
      <c r="EW156" t="inlineStr">
        <is>
          <t xml:space="preserve">lease</t>
        </is>
      </c>
      <c r="EX156" t="inlineStr">
        <is>
          <t xml:space="preserve">cash</t>
        </is>
      </c>
      <c r="EY156"/>
      <c r="EZ156" s="4">
        <v>1</v>
      </c>
      <c r="FA156" s="4">
        <v>1</v>
      </c>
      <c r="FB156" s="6"/>
      <c r="FC156" s="4">
        <v>6.661338147750939e-16</v>
      </c>
      <c r="FD156" s="5">
        <f>IF(EV156="direct",IFERROR(FJ156/FA156,0),0)</f>
        <v>0</v>
      </c>
      <c r="FE156" s="5">
        <f>IF(EV156="direct",FC156-FD156,IF(EV156="cash",FO156,FC156))</f>
        <v>-0.007457773412150974</v>
      </c>
      <c r="FF156" s="6"/>
      <c r="FG156" s="4">
        <v>6.661338147750939e-16</v>
      </c>
      <c r="FH156" s="4">
        <v>6.661338147750939e-16</v>
      </c>
      <c r="FI156" s="5">
        <f>IF(EV156="direct",FC156*(FA156-EZ156),FL156)</f>
        <v>0</v>
      </c>
      <c r="FJ156" s="5">
        <f>IF(EV156="direct",FH156*FB156*C156/365,0)</f>
        <v>0</v>
      </c>
      <c r="FK156" s="5">
        <f>FI156-FJ156</f>
        <v>0</v>
      </c>
      <c r="FL156" s="4">
        <v>0</v>
      </c>
      <c r="FM156" s="5">
        <f>FL156-FK156</f>
        <v>0</v>
      </c>
      <c r="FN156" s="4">
        <v>-0.00745777341215164</v>
      </c>
      <c r="FO156" s="4">
        <v>-0.007457773412150974</v>
      </c>
      <c r="FP156" s="4">
        <v>1.659</v>
      </c>
      <c r="FQ156" s="4">
        <v>1.686</v>
      </c>
      <c r="FR156" s="6"/>
      <c r="FS156" s="6"/>
      <c r="FT156" s="6"/>
      <c r="FU156" s="9"/>
      <c r="FV156" s="7">
        <f>IFERROR(FK156/F156,0)</f>
        <v>0</v>
      </c>
      <c r="FW156" t="inlineStr">
        <is>
          <t xml:space="preserve">Keep cash / margin / financing</t>
        </is>
      </c>
      <c r="FX156" t="inlineStr">
        <is>
          <t xml:space="preserve">cash</t>
        </is>
      </c>
      <c r="FY156" t="inlineStr">
        <is>
          <t xml:space="preserve">keep</t>
        </is>
      </c>
      <c r="FZ156" t="inlineStr">
        <is>
          <t xml:space="preserve">cash</t>
        </is>
      </c>
      <c r="GA156"/>
      <c r="GB156" s="4">
        <v>1</v>
      </c>
      <c r="GC156" s="4">
        <v>1</v>
      </c>
      <c r="GD156" s="6"/>
      <c r="GE156" s="4">
        <v>0</v>
      </c>
      <c r="GF156" s="5">
        <f>IF(FX156="direct",IFERROR(GL156/GC156,0),0)</f>
        <v>0</v>
      </c>
      <c r="GG156" s="5">
        <f>IF(FX156="direct",GE156-GF156,IF(FX156="cash",GQ156,GE156))</f>
        <v>0</v>
      </c>
      <c r="GH156" s="6"/>
      <c r="GI156" s="4">
        <v>0</v>
      </c>
      <c r="GJ156" s="4">
        <v>0</v>
      </c>
      <c r="GK156" s="5">
        <f>IF(FX156="direct",GE156*(GC156-GB156),GN156)</f>
        <v>0</v>
      </c>
      <c r="GL156" s="5">
        <f>IF(FX156="direct",GJ156*GD156*C156/365,0)</f>
        <v>0</v>
      </c>
      <c r="GM156" s="5">
        <f>GK156-GL156</f>
        <v>0</v>
      </c>
      <c r="GN156" s="4">
        <v>0</v>
      </c>
      <c r="GO156" s="5">
        <f>GN156-GM156</f>
        <v>0</v>
      </c>
      <c r="GP156" s="4">
        <v>0</v>
      </c>
      <c r="GQ156" s="4">
        <v>0</v>
      </c>
      <c r="GR156" s="4">
        <v>1.659</v>
      </c>
      <c r="GS156" s="4">
        <v>1.686</v>
      </c>
      <c r="GT156" s="6"/>
      <c r="GU156" s="6"/>
      <c r="GV156" s="6"/>
      <c r="GW156" s="9"/>
      <c r="GX156" s="7">
        <f>IFERROR(GM156/F156,0)</f>
        <v>0</v>
      </c>
      <c r="GY156"/>
      <c r="GZ156"/>
      <c r="HA156"/>
      <c r="HB156"/>
      <c r="HC156"/>
      <c r="HD156" s="4"/>
      <c r="HE156" s="4"/>
      <c r="HF156" s="6"/>
      <c r="HG156" s="4"/>
      <c r="HH156" s="5">
        <v>0</v>
      </c>
      <c r="HI156" s="5"/>
      <c r="HJ156" s="6"/>
      <c r="HK156" s="4"/>
      <c r="HL156" s="4"/>
      <c r="HM156" s="5">
        <v>0</v>
      </c>
      <c r="HN156" s="5">
        <v>0</v>
      </c>
      <c r="HO156" s="5"/>
      <c r="HP156" s="4"/>
      <c r="HQ156" s="5">
        <v>0</v>
      </c>
      <c r="HR156" s="4"/>
      <c r="HS156" s="4"/>
      <c r="HT156" s="4"/>
      <c r="HU156" s="4"/>
      <c r="HV156" s="6"/>
      <c r="HW156" s="6"/>
      <c r="HX156" s="6"/>
      <c r="HY156" s="9"/>
      <c r="HZ156"/>
      <c r="IA156"/>
      <c r="IB156"/>
      <c r="IC156"/>
      <c r="ID156"/>
      <c r="IE156"/>
      <c r="IF156" s="4"/>
      <c r="IG156" s="4"/>
      <c r="IH156" s="6"/>
      <c r="II156" s="4"/>
      <c r="IJ156" s="5">
        <v>0</v>
      </c>
      <c r="IK156" s="5"/>
      <c r="IL156" s="6"/>
      <c r="IM156" s="4"/>
      <c r="IN156" s="4"/>
      <c r="IO156" s="5">
        <v>0</v>
      </c>
      <c r="IP156" s="5">
        <v>0</v>
      </c>
      <c r="IQ156" s="5"/>
      <c r="IR156" s="4"/>
      <c r="IS156" s="5">
        <v>0</v>
      </c>
      <c r="IT156" s="4"/>
      <c r="IU156" s="4"/>
      <c r="IV156" s="4"/>
      <c r="IW156" s="4"/>
      <c r="IX156" s="6"/>
      <c r="IY156" s="6"/>
      <c r="IZ156" s="6"/>
      <c r="JA156" s="9"/>
      <c r="JB156"/>
      <c r="JC156"/>
      <c r="JD156"/>
      <c r="JE156"/>
      <c r="JF156"/>
      <c r="JG156"/>
      <c r="JH156" s="4"/>
      <c r="JI156" s="4"/>
      <c r="JJ156" s="6"/>
      <c r="JK156" s="4"/>
      <c r="JL156" s="5">
        <v>0</v>
      </c>
      <c r="JM156" s="5"/>
      <c r="JN156" s="6"/>
      <c r="JO156" s="4"/>
      <c r="JP156" s="4"/>
      <c r="JQ156" s="5">
        <v>0</v>
      </c>
      <c r="JR156" s="5">
        <v>0</v>
      </c>
      <c r="JS156" s="5"/>
      <c r="JT156" s="4"/>
      <c r="JU156" s="5">
        <v>0</v>
      </c>
      <c r="JV156" s="4"/>
      <c r="JW156" s="4"/>
      <c r="JX156" s="4"/>
      <c r="JY156" s="4"/>
      <c r="JZ156" s="6"/>
      <c r="KA156" s="6"/>
      <c r="KB156" s="6"/>
      <c r="KC156" s="9"/>
      <c r="KD156"/>
      <c r="KE156"/>
      <c r="KF156"/>
      <c r="KG156"/>
      <c r="KH156"/>
      <c r="KI156"/>
      <c r="KJ156" s="4"/>
      <c r="KK156" s="4"/>
      <c r="KL156" s="6"/>
      <c r="KM156" s="4"/>
      <c r="KN156" s="5">
        <v>0</v>
      </c>
      <c r="KO156" s="5"/>
      <c r="KP156" s="6"/>
      <c r="KQ156" s="4"/>
      <c r="KR156" s="4"/>
      <c r="KS156" s="5">
        <v>0</v>
      </c>
      <c r="KT156" s="5">
        <v>0</v>
      </c>
      <c r="KU156" s="5"/>
      <c r="KV156" s="4"/>
      <c r="KW156" s="5">
        <v>0</v>
      </c>
      <c r="KX156" s="4"/>
      <c r="KY156" s="4"/>
      <c r="KZ156" s="4"/>
      <c r="LA156" s="4"/>
      <c r="LB156" s="6"/>
      <c r="LC156" s="6"/>
      <c r="LD156" s="6"/>
      <c r="LE156" s="9"/>
      <c r="LF156"/>
      <c r="LG156"/>
      <c r="LH156"/>
      <c r="LI156"/>
      <c r="LJ156"/>
      <c r="LK156"/>
      <c r="LL156" s="4"/>
      <c r="LM156" s="4"/>
      <c r="LN156" s="6"/>
      <c r="LO156" s="4"/>
      <c r="LP156" s="5">
        <v>0</v>
      </c>
      <c r="LQ156" s="5"/>
      <c r="LR156" s="6"/>
      <c r="LS156" s="4"/>
      <c r="LT156" s="4"/>
      <c r="LU156" s="5">
        <v>0</v>
      </c>
      <c r="LV156" s="5">
        <v>0</v>
      </c>
      <c r="LW156" s="5"/>
      <c r="LX156" s="4"/>
      <c r="LY156" s="5">
        <v>0</v>
      </c>
      <c r="LZ156" s="4"/>
      <c r="MA156" s="4"/>
      <c r="MB156" s="4"/>
      <c r="MC156" s="4"/>
      <c r="MD156" s="6"/>
      <c r="ME156" s="6"/>
      <c r="MF156" s="6"/>
      <c r="MG156" s="9"/>
      <c r="MH156"/>
    </row>
    <row r="157">
      <c r="A157" s="8">
        <v>25435</v>
      </c>
      <c r="B157" s="8">
        <v>25436</v>
      </c>
      <c r="C157" s="9">
        <f>B157-A157</f>
        <v>1</v>
      </c>
      <c r="D157" s="8">
        <v>25435</v>
      </c>
      <c r="E157" t="inlineStr">
        <is>
          <t xml:space="preserve">positive</t>
        </is>
      </c>
      <c r="F157" s="4">
        <v>1.5580187270531323</v>
      </c>
      <c r="G157" s="6">
        <v>0.006887092586722005</v>
      </c>
      <c r="H157" s="7">
        <f>SUM(CP157,DR157,ET157,FV157,GX157,HZ157,JB157,KD157,LF157,MH157)</f>
        <v>0.006887092586722006</v>
      </c>
      <c r="I157" s="7">
        <f>G157-H157</f>
        <v>-8.673617379884035e-19</v>
      </c>
      <c r="J157" s="5">
        <f>F157*(1+H157)</f>
        <v>1.5687489462781938</v>
      </c>
      <c r="K157" s="4">
        <v>1.5687489462781938</v>
      </c>
      <c r="L157" s="5">
        <f>K157-J157</f>
        <v>0</v>
      </c>
      <c r="M157" s="4">
        <v>1.686</v>
      </c>
      <c r="N157" s="4">
        <v>1.674</v>
      </c>
      <c r="O157" s="5">
        <f>M157/$M$3</f>
        <v>0.8610827374872319</v>
      </c>
      <c r="P157" s="5">
        <f>N157/$M$3</f>
        <v>0.8549540347293156</v>
      </c>
      <c r="Q157" s="7">
        <f>IFERROR(N157/M157-1,0)</f>
        <v>-0.007117437722419906</v>
      </c>
      <c r="R157" s="5">
        <f>SUM(IF(BQ157="lease",CB157,0),IF(CS157="lease",DD157,0),IF(DU157="lease",EF157,0),IF(EW157="lease",FH157,0),IF(FY157="lease",GJ157,0),IF(HA157="lease",HL157,0),IF(IC157="lease",IN157,0),IF(JE157="lease",JP157,0),IF(KG157="lease",KR157,0),IF(LI157="lease",LT157,0))</f>
        <v>1.558018727053133</v>
      </c>
      <c r="S157" s="5">
        <f>SUM(IF(BQ157="lease",CI157,0),IF(CS157="lease",DK157,0),IF(DU157="lease",EM157,0),IF(EW157="lease",FO157,0),IF(FY157="lease",GQ157,0),IF(HA157="lease",HS157,0),IF(IC157="lease",IU157,0),IF(JE157="lease",JW157,0),IF(KG157="lease",KY157,0),IF(LI157="lease",MA157,0))</f>
        <v>1.5687489462781947</v>
      </c>
      <c r="T157" s="5">
        <f>SUM(IF(BQ157="keep",CB157,0),IF(CS157="keep",DD157,0),IF(DU157="keep",EF157,0),IF(EW157="keep",FH157,0),IF(FY157="keep",GJ157,0),IF(HA157="keep",HL157,0),IF(IC157="keep",IN157,0),IF(JE157="keep",JP157,0),IF(KG157="keep",KR157,0),IF(LI157="keep",LT157,0))</f>
        <v>0</v>
      </c>
      <c r="U157" s="5">
        <f>SUM(IF(BQ157="keep",CI157,0),IF(CS157="keep",DK157,0),IF(DU157="keep",EM157,0),IF(EW157="keep",FO157,0),IF(FY157="keep",GQ157,0),IF(HA157="keep",HS157,0),IF(IC157="keep",IU157,0),IF(JE157="keep",JW157,0),IF(KG157="keep",KY157,0),IF(LI157="keep",MA157,0))</f>
        <v>0</v>
      </c>
      <c r="V157" s="5">
        <f>R157/O157</f>
        <v>1.8093716889501983</v>
      </c>
      <c r="W157" s="5">
        <f>S157/P157</f>
        <v>1.834892734057769</v>
      </c>
      <c r="X157" s="5">
        <f>T157/O157</f>
        <v>0</v>
      </c>
      <c r="Y157" s="5">
        <f>U157/P157</f>
        <v>0</v>
      </c>
      <c r="Z157" s="5">
        <f>V157+X157</f>
        <v>1.8093716889501983</v>
      </c>
      <c r="AA157" s="7">
        <f>IFERROR(W157/V157-1,0)</f>
        <v>0.014104921207415355</v>
      </c>
      <c r="AB157" s="7">
        <f>IFERROR((W157-V157)/Z157,0)</f>
        <v>0.014104921207415412</v>
      </c>
      <c r="AC157" s="7">
        <f>IFERROR(Y157/X157-1,0)</f>
        <v>0</v>
      </c>
      <c r="AD157" s="7">
        <f>IFERROR((Y157-X157)/Z157,0)</f>
        <v>0</v>
      </c>
      <c r="AE157" s="7">
        <f>AB157+AD157</f>
        <v>0.014104921207415412</v>
      </c>
      <c r="AF157" s="7">
        <f>(1+Q157)*(1+AE157)-1</f>
        <v>0.006887092586721932</v>
      </c>
      <c r="AG157" s="7">
        <f>G157-AF157</f>
        <v>7.28583859910259e-17</v>
      </c>
      <c r="AH157" s="5">
        <f>SUM(IF(BQ157="lease",CE157,0),IF(CS157="lease",DG157,0),IF(DU157="lease",EI157,0),IF(EW157="lease",FK157,0),IF(FY157="lease",GM157,0),IF(HA157="lease",HO157,0),IF(IC157="lease",IQ157,0),IF(JE157="lease",JS157,0),IF(KG157="lease",KU157,0),IF(LI157="lease",LW157,0))</f>
        <v>0.010730219225061684</v>
      </c>
      <c r="AI157" s="5">
        <f>SUM(IF(BQ157="keep",CE157,0),IF(CS157="keep",DG157,0),IF(DU157="keep",EI157,0),IF(EW157="keep",FK157,0),IF(FY157="keep",GM157,0),IF(HA157="keep",HO157,0),IF(IC157="keep",IQ157,0),IF(JE157="keep",JS157,0),IF(KG157="keep",KU157,0),IF(LI157="keep",LW157,0))</f>
        <v>0</v>
      </c>
      <c r="AJ157" s="5">
        <f>SUM(IF(BQ157="lease",CH157,0),IF(CS157="lease",DJ157,0),IF(DU157="lease",EL157,0),IF(EW157="lease",FN157,0),IF(FY157="lease",GP157,0),IF(HA157="lease",HR157,0),IF(IC157="lease",IT157,0),IF(JE157="lease",JV157,0),IF(KG157="lease",KX157,0),IF(LI157="lease",LZ157,0))</f>
        <v>0</v>
      </c>
      <c r="AK157" s="5">
        <f>SUM(IF(BQ157="keep",CH157,0),IF(CS157="keep",DJ157,0),IF(DU157="keep",EL157,0),IF(EW157="keep",FN157,0),IF(FY157="keep",GP157,0),IF(HA157="keep",HR157,0),IF(IC157="keep",IT157,0),IF(JE157="keep",JV157,0),IF(KG157="keep",KX157,0),IF(LI157="keep",LZ157,0))</f>
        <v>0</v>
      </c>
      <c r="AL157" s="5">
        <f>R157-S156</f>
        <v>0</v>
      </c>
      <c r="AM157" s="5">
        <f>T157-U156</f>
        <v>0</v>
      </c>
      <c r="AN157" s="5">
        <f>AN156</f>
        <v>1</v>
      </c>
      <c r="AO157" s="5">
        <f>AO156+AH157</f>
        <v>0.5687489462781948</v>
      </c>
      <c r="AP157" s="5">
        <f>AP156+AL157</f>
        <v>-4.440892098500626e-16</v>
      </c>
      <c r="AQ157" s="5">
        <f>AN157+AO157+AP157</f>
        <v>1.5687489462781943</v>
      </c>
      <c r="AR157" s="5">
        <f>S157-AQ157</f>
        <v>4.440892098500626e-16</v>
      </c>
      <c r="AS157" s="5">
        <f>AS156</f>
        <v>0</v>
      </c>
      <c r="AT157" s="5">
        <f>AT156+AI157</f>
        <v>0</v>
      </c>
      <c r="AU157" s="5">
        <f>AU156+AM157</f>
        <v>0</v>
      </c>
      <c r="AV157" s="5">
        <f>AS157+AT157+AU157</f>
        <v>0</v>
      </c>
      <c r="AW157" s="5">
        <f>U157-AV157</f>
        <v>0</v>
      </c>
      <c r="AX157" s="4">
        <v>1.558018727053133</v>
      </c>
      <c r="AY157" s="4">
        <v>1.5687489462781947</v>
      </c>
      <c r="AZ157" s="5">
        <f>S157-AY157</f>
        <v>0</v>
      </c>
      <c r="BA157" s="4">
        <v>0</v>
      </c>
      <c r="BB157" s="4">
        <v>0</v>
      </c>
      <c r="BC157" s="5">
        <f>U157-BB157</f>
        <v>0</v>
      </c>
      <c r="BD157" s="7">
        <f>SUM(IF(BP157="direct",CC157/F157,0),IF(CR157="direct",DE157/F157,0),IF(DT157="direct",EG157/F157,0),IF(EV157="direct",FI157/F157,0),IF(FX157="direct",GK157/F157,0),IF(GZ157="direct",HM157/F157,0),IF(IB157="direct",IO157/F157,0),IF(JD157="direct",JQ157/F157,0),IF(KF157="direct",KS157/F157,0),IF(LH157="direct",LU157/F157,0))</f>
        <v>0</v>
      </c>
      <c r="BE157" s="7">
        <f>-SUM(IF(BP157="direct",CD157/F157,0),IF(CR157="direct",DF157/F157,0),IF(DT157="direct",EH157/F157,0),IF(EV157="direct",FJ157/F157,0),IF(FX157="direct",GL157/F157,0),IF(GZ157="direct",HN157/F157,0),IF(IB157="direct",IP157/F157,0),IF(JD157="direct",JR157/F157,0),IF(KF157="direct",KT157/F157,0),IF(LH157="direct",LV157/F157,0))</f>
        <v>0</v>
      </c>
      <c r="BF157" s="7">
        <f>BD157+BE157</f>
        <v>0</v>
      </c>
      <c r="BG157" s="7">
        <f>BF157-SUM(IF(BP157="direct",CP157,0),IF(CR157="direct",DR157,0),IF(DT157="direct",ET157,0),IF(EV157="direct",FV157,0),IF(FX157="direct",GX157,0),IF(GZ157="direct",HZ157,0),IF(IB157="direct",JB157,0),IF(JD157="direct",KD157,0),IF(KF157="direct",LF157,0),IF(LH157="direct",MH157,0))</f>
        <v>0</v>
      </c>
      <c r="BH157" s="7">
        <f>SUM(IF(BP157="treasury",CP157,0),IF(CR157="treasury",DR157,0),IF(DT157="treasury",ET157,0),IF(EV157="treasury",FV157,0),IF(FX157="treasury",GX157,0),IF(GZ157="treasury",HZ157,0),IF(IB157="treasury",JB157,0),IF(JD157="treasury",KD157,0),IF(KF157="treasury",LF157,0),IF(LH157="treasury",MH157,0))</f>
        <v>0.00018794520547945207</v>
      </c>
      <c r="BI157" s="7">
        <f>SUM(IF(BP157="future",CP157,0),IF(CR157="future",DR157,0),IF(DT157="future",ET157,0),IF(EV157="future",FV157,0),IF(FX157="future",GX157,0),IF(GZ157="future",HZ157,0),IF(IB157="future",JB157,0),IF(JD157="future",KD157,0),IF(KF157="future",LF157,0),IF(LH157="future",MH157,0))</f>
        <v>0.006699147381242555</v>
      </c>
      <c r="BJ157" s="7">
        <f>SUM(IF(BP157="cash",CP157,0),IF(CR157="cash",DR157,0),IF(DT157="cash",ET157,0),IF(EV157="cash",FV157,0),IF(FX157="cash",GX157,0),IF(GZ157="cash",HZ157,0),IF(IB157="cash",JB157,0),IF(JD157="cash",KD157,0),IF(KF157="cash",LF157,0),IF(LH157="cash",MH157,0))</f>
        <v>0</v>
      </c>
      <c r="BK157" s="7">
        <f>SUM(BF157,BH157,BI157,BJ157)</f>
        <v>0.006887092586722007</v>
      </c>
      <c r="BL157" s="7">
        <f>G157-BK157</f>
        <v>-1.734723475976807e-18</v>
      </c>
      <c r="BM157" s="5">
        <f>MAX(ABS(CG157),ABS(DI157),ABS(EK157),ABS(FM157),ABS(GO157),ABS(HQ157),ABS(IS157),ABS(JU157),ABS(KW157),ABS(LY157))</f>
        <v>8.603144238672478e-17</v>
      </c>
      <c r="BN157" s="9">
        <f>COUNTA(BO157,CQ157,DS157,EU157,FW157,GY157,IA157,JC157,KE157,LG157)</f>
        <v>4</v>
      </c>
      <c r="BO157" t="inlineStr">
        <is>
          <t xml:space="preserve">Treasury collateral</t>
        </is>
      </c>
      <c r="BP157" t="inlineStr">
        <is>
          <t xml:space="preserve">treasury</t>
        </is>
      </c>
      <c r="BQ157" t="inlineStr">
        <is>
          <t xml:space="preserve">lease</t>
        </is>
      </c>
      <c r="BR157" t="inlineStr">
        <is>
          <t xml:space="preserve">long</t>
        </is>
      </c>
      <c r="BS157"/>
      <c r="BT157" s="4">
        <v>104.06440883941444</v>
      </c>
      <c r="BU157" s="4">
        <v>104.08396724611686</v>
      </c>
      <c r="BV157" s="6"/>
      <c r="BW157" s="4">
        <v>0.014971677102950418</v>
      </c>
      <c r="BX157" s="5">
        <f>IF(BP157="direct",IFERROR(CD157/BU157,0),0)</f>
        <v>0</v>
      </c>
      <c r="BY157" s="5">
        <f>IF(BP157="direct",BW157-BX157,IF(BP157="cash",CI157,BW157))</f>
        <v>0.014971677102950418</v>
      </c>
      <c r="BZ157" s="6">
        <v>1</v>
      </c>
      <c r="CA157" s="4">
        <v>1.5580187270531323</v>
      </c>
      <c r="CB157" s="4">
        <v>1.5580187270531323</v>
      </c>
      <c r="CC157" s="5">
        <f>IF(BP157="direct",BW157*(BU157-BT157),CF157)</f>
        <v>0.00029282214979674926</v>
      </c>
      <c r="CD157" s="5">
        <f>IF(BP157="direct",CB157*BV157*C157/365,0)</f>
        <v>0</v>
      </c>
      <c r="CE157" s="5">
        <f>CC157-CD157</f>
        <v>0.0002928221497968353</v>
      </c>
      <c r="CF157" s="4">
        <v>0.0002928221497968353</v>
      </c>
      <c r="CG157" s="5">
        <f>CF157-CE157</f>
        <v>8.603144238672478e-17</v>
      </c>
      <c r="CH157" s="4">
        <v>3.220080452281948e-17</v>
      </c>
      <c r="CI157" s="4">
        <v>1.5583115492029291</v>
      </c>
      <c r="CJ157" s="4">
        <v>1.686</v>
      </c>
      <c r="CK157" s="4">
        <v>1.674</v>
      </c>
      <c r="CL157" s="6"/>
      <c r="CM157" s="6"/>
      <c r="CN157" s="6"/>
      <c r="CO157" s="9">
        <v>37</v>
      </c>
      <c r="CP157" s="7">
        <f>IFERROR(CE157/F157,0)</f>
        <v>0.00018794520547945207</v>
      </c>
      <c r="CQ157" t="inlineStr">
        <is>
          <t xml:space="preserve">SI69U</t>
        </is>
      </c>
      <c r="CR157" t="inlineStr">
        <is>
          <t xml:space="preserve">future</t>
        </is>
      </c>
      <c r="CS157" t="inlineStr">
        <is>
          <t xml:space="preserve">lease</t>
        </is>
      </c>
      <c r="CT157" t="inlineStr">
        <is>
          <t xml:space="preserve">long</t>
        </is>
      </c>
      <c r="CU157" t="inlineStr">
        <is>
          <t xml:space="preserve">regular</t>
        </is>
      </c>
      <c r="CV157" s="4">
        <v>1.642</v>
      </c>
      <c r="CW157" s="4">
        <v>1.653</v>
      </c>
      <c r="CX157" s="6"/>
      <c r="CY157" s="4">
        <v>0.9488542795695082</v>
      </c>
      <c r="CZ157" s="5">
        <f>IF(CR157="direct",IFERROR(DF157/CW157,0),0)</f>
        <v>0</v>
      </c>
      <c r="DA157" s="5">
        <f>IF(CR157="direct",CY157-CZ157,IF(CR157="cash",DK157,CY157))</f>
        <v>0.9488542795695082</v>
      </c>
      <c r="DB157" s="6">
        <v>1</v>
      </c>
      <c r="DC157" s="4">
        <v>1.5580187270531323</v>
      </c>
      <c r="DD157" s="4">
        <v>0</v>
      </c>
      <c r="DE157" s="5">
        <f>IF(CR157="direct",CY157*(CW157-CV157),DH157)</f>
        <v>0.01043739707526485</v>
      </c>
      <c r="DF157" s="5">
        <f>IF(CR157="direct",DD157*CX157*C157/365,0)</f>
        <v>0</v>
      </c>
      <c r="DG157" s="5">
        <f>DE157-DF157</f>
        <v>0.01043739707526485</v>
      </c>
      <c r="DH157" s="4">
        <v>0.01043739707526485</v>
      </c>
      <c r="DI157" s="5">
        <f>DH157-DG157</f>
        <v>0</v>
      </c>
      <c r="DJ157" s="4">
        <v>-0.01043739707526485</v>
      </c>
      <c r="DK157" s="4">
        <v>0</v>
      </c>
      <c r="DL157" s="4">
        <v>1.686</v>
      </c>
      <c r="DM157" s="4">
        <v>1.674</v>
      </c>
      <c r="DN157" s="6">
        <v>-0.0260972716488731</v>
      </c>
      <c r="DO157" s="6">
        <v>0.06860000000000001</v>
      </c>
      <c r="DP157" s="6">
        <v>0.3260460581578022</v>
      </c>
      <c r="DQ157" s="9">
        <v>37</v>
      </c>
      <c r="DR157" s="7">
        <f>IFERROR(DG157/F157,0)</f>
        <v>0.006699147381242555</v>
      </c>
      <c r="DS157" t="inlineStr">
        <is>
          <t xml:space="preserve">Lease cash / margin / financing</t>
        </is>
      </c>
      <c r="DT157" t="inlineStr">
        <is>
          <t xml:space="preserve">cash</t>
        </is>
      </c>
      <c r="DU157" t="inlineStr">
        <is>
          <t xml:space="preserve">lease</t>
        </is>
      </c>
      <c r="DV157" t="inlineStr">
        <is>
          <t xml:space="preserve">cash</t>
        </is>
      </c>
      <c r="DW157"/>
      <c r="DX157" s="4">
        <v>1</v>
      </c>
      <c r="DY157" s="4">
        <v>1</v>
      </c>
      <c r="DZ157" s="6"/>
      <c r="EA157" s="4">
        <v>6.661338147750939e-16</v>
      </c>
      <c r="EB157" s="5">
        <f>IF(DT157="direct",IFERROR(EH157/DY157,0),0)</f>
        <v>0</v>
      </c>
      <c r="EC157" s="5">
        <f>IF(DT157="direct",EA157-EB157,IF(DT157="cash",EM157,EA157))</f>
        <v>0.010437397075265482</v>
      </c>
      <c r="ED157" s="6"/>
      <c r="EE157" s="4">
        <v>6.661338147750939e-16</v>
      </c>
      <c r="EF157" s="4">
        <v>6.661338147750939e-16</v>
      </c>
      <c r="EG157" s="5">
        <f>IF(DT157="direct",EA157*(DY157-DX157),EJ157)</f>
        <v>0</v>
      </c>
      <c r="EH157" s="5">
        <f>IF(DT157="direct",EF157*DZ157*C157/365,0)</f>
        <v>0</v>
      </c>
      <c r="EI157" s="5">
        <f>EG157-EH157</f>
        <v>0</v>
      </c>
      <c r="EJ157" s="4">
        <v>0</v>
      </c>
      <c r="EK157" s="5">
        <f>EJ157-EI157</f>
        <v>0</v>
      </c>
      <c r="EL157" s="4">
        <v>0.010437397075264816</v>
      </c>
      <c r="EM157" s="4">
        <v>0.010437397075265482</v>
      </c>
      <c r="EN157" s="4">
        <v>1.686</v>
      </c>
      <c r="EO157" s="4">
        <v>1.674</v>
      </c>
      <c r="EP157" s="6"/>
      <c r="EQ157" s="6"/>
      <c r="ER157" s="6"/>
      <c r="ES157" s="9"/>
      <c r="ET157" s="7">
        <f>IFERROR(EI157/F157,0)</f>
        <v>0</v>
      </c>
      <c r="EU157" t="inlineStr">
        <is>
          <t xml:space="preserve">Keep cash / margin / financing</t>
        </is>
      </c>
      <c r="EV157" t="inlineStr">
        <is>
          <t xml:space="preserve">cash</t>
        </is>
      </c>
      <c r="EW157" t="inlineStr">
        <is>
          <t xml:space="preserve">keep</t>
        </is>
      </c>
      <c r="EX157" t="inlineStr">
        <is>
          <t xml:space="preserve">cash</t>
        </is>
      </c>
      <c r="EY157"/>
      <c r="EZ157" s="4">
        <v>1</v>
      </c>
      <c r="FA157" s="4">
        <v>1</v>
      </c>
      <c r="FB157" s="6"/>
      <c r="FC157" s="4">
        <v>0</v>
      </c>
      <c r="FD157" s="5">
        <f>IF(EV157="direct",IFERROR(FJ157/FA157,0),0)</f>
        <v>0</v>
      </c>
      <c r="FE157" s="5">
        <f>IF(EV157="direct",FC157-FD157,IF(EV157="cash",FO157,FC157))</f>
        <v>0</v>
      </c>
      <c r="FF157" s="6"/>
      <c r="FG157" s="4">
        <v>0</v>
      </c>
      <c r="FH157" s="4">
        <v>0</v>
      </c>
      <c r="FI157" s="5">
        <f>IF(EV157="direct",FC157*(FA157-EZ157),FL157)</f>
        <v>0</v>
      </c>
      <c r="FJ157" s="5">
        <f>IF(EV157="direct",FH157*FB157*C157/365,0)</f>
        <v>0</v>
      </c>
      <c r="FK157" s="5">
        <f>FI157-FJ157</f>
        <v>0</v>
      </c>
      <c r="FL157" s="4">
        <v>0</v>
      </c>
      <c r="FM157" s="5">
        <f>FL157-FK157</f>
        <v>0</v>
      </c>
      <c r="FN157" s="4">
        <v>0</v>
      </c>
      <c r="FO157" s="4">
        <v>0</v>
      </c>
      <c r="FP157" s="4">
        <v>1.686</v>
      </c>
      <c r="FQ157" s="4">
        <v>1.674</v>
      </c>
      <c r="FR157" s="6"/>
      <c r="FS157" s="6"/>
      <c r="FT157" s="6"/>
      <c r="FU157" s="9"/>
      <c r="FV157" s="7">
        <f>IFERROR(FK157/F157,0)</f>
        <v>0</v>
      </c>
      <c r="FW157"/>
      <c r="FX157"/>
      <c r="FY157"/>
      <c r="FZ157"/>
      <c r="GA157"/>
      <c r="GB157" s="4"/>
      <c r="GC157" s="4"/>
      <c r="GD157" s="6"/>
      <c r="GE157" s="4"/>
      <c r="GF157" s="5">
        <v>0</v>
      </c>
      <c r="GG157" s="5"/>
      <c r="GH157" s="6"/>
      <c r="GI157" s="4"/>
      <c r="GJ157" s="4"/>
      <c r="GK157" s="5">
        <v>0</v>
      </c>
      <c r="GL157" s="5">
        <v>0</v>
      </c>
      <c r="GM157" s="5"/>
      <c r="GN157" s="4"/>
      <c r="GO157" s="5">
        <v>0</v>
      </c>
      <c r="GP157" s="4"/>
      <c r="GQ157" s="4"/>
      <c r="GR157" s="4"/>
      <c r="GS157" s="4"/>
      <c r="GT157" s="6"/>
      <c r="GU157" s="6"/>
      <c r="GV157" s="6"/>
      <c r="GW157" s="9"/>
      <c r="GX157"/>
      <c r="GY157"/>
      <c r="GZ157"/>
      <c r="HA157"/>
      <c r="HB157"/>
      <c r="HC157"/>
      <c r="HD157" s="4"/>
      <c r="HE157" s="4"/>
      <c r="HF157" s="6"/>
      <c r="HG157" s="4"/>
      <c r="HH157" s="5">
        <v>0</v>
      </c>
      <c r="HI157" s="5"/>
      <c r="HJ157" s="6"/>
      <c r="HK157" s="4"/>
      <c r="HL157" s="4"/>
      <c r="HM157" s="5">
        <v>0</v>
      </c>
      <c r="HN157" s="5">
        <v>0</v>
      </c>
      <c r="HO157" s="5"/>
      <c r="HP157" s="4"/>
      <c r="HQ157" s="5">
        <v>0</v>
      </c>
      <c r="HR157" s="4"/>
      <c r="HS157" s="4"/>
      <c r="HT157" s="4"/>
      <c r="HU157" s="4"/>
      <c r="HV157" s="6"/>
      <c r="HW157" s="6"/>
      <c r="HX157" s="6"/>
      <c r="HY157" s="9"/>
      <c r="HZ157"/>
      <c r="IA157"/>
      <c r="IB157"/>
      <c r="IC157"/>
      <c r="ID157"/>
      <c r="IE157"/>
      <c r="IF157" s="4"/>
      <c r="IG157" s="4"/>
      <c r="IH157" s="6"/>
      <c r="II157" s="4"/>
      <c r="IJ157" s="5">
        <v>0</v>
      </c>
      <c r="IK157" s="5"/>
      <c r="IL157" s="6"/>
      <c r="IM157" s="4"/>
      <c r="IN157" s="4"/>
      <c r="IO157" s="5">
        <v>0</v>
      </c>
      <c r="IP157" s="5">
        <v>0</v>
      </c>
      <c r="IQ157" s="5"/>
      <c r="IR157" s="4"/>
      <c r="IS157" s="5">
        <v>0</v>
      </c>
      <c r="IT157" s="4"/>
      <c r="IU157" s="4"/>
      <c r="IV157" s="4"/>
      <c r="IW157" s="4"/>
      <c r="IX157" s="6"/>
      <c r="IY157" s="6"/>
      <c r="IZ157" s="6"/>
      <c r="JA157" s="9"/>
      <c r="JB157"/>
      <c r="JC157"/>
      <c r="JD157"/>
      <c r="JE157"/>
      <c r="JF157"/>
      <c r="JG157"/>
      <c r="JH157" s="4"/>
      <c r="JI157" s="4"/>
      <c r="JJ157" s="6"/>
      <c r="JK157" s="4"/>
      <c r="JL157" s="5">
        <v>0</v>
      </c>
      <c r="JM157" s="5"/>
      <c r="JN157" s="6"/>
      <c r="JO157" s="4"/>
      <c r="JP157" s="4"/>
      <c r="JQ157" s="5">
        <v>0</v>
      </c>
      <c r="JR157" s="5">
        <v>0</v>
      </c>
      <c r="JS157" s="5"/>
      <c r="JT157" s="4"/>
      <c r="JU157" s="5">
        <v>0</v>
      </c>
      <c r="JV157" s="4"/>
      <c r="JW157" s="4"/>
      <c r="JX157" s="4"/>
      <c r="JY157" s="4"/>
      <c r="JZ157" s="6"/>
      <c r="KA157" s="6"/>
      <c r="KB157" s="6"/>
      <c r="KC157" s="9"/>
      <c r="KD157"/>
      <c r="KE157"/>
      <c r="KF157"/>
      <c r="KG157"/>
      <c r="KH157"/>
      <c r="KI157"/>
      <c r="KJ157" s="4"/>
      <c r="KK157" s="4"/>
      <c r="KL157" s="6"/>
      <c r="KM157" s="4"/>
      <c r="KN157" s="5">
        <v>0</v>
      </c>
      <c r="KO157" s="5"/>
      <c r="KP157" s="6"/>
      <c r="KQ157" s="4"/>
      <c r="KR157" s="4"/>
      <c r="KS157" s="5">
        <v>0</v>
      </c>
      <c r="KT157" s="5">
        <v>0</v>
      </c>
      <c r="KU157" s="5"/>
      <c r="KV157" s="4"/>
      <c r="KW157" s="5">
        <v>0</v>
      </c>
      <c r="KX157" s="4"/>
      <c r="KY157" s="4"/>
      <c r="KZ157" s="4"/>
      <c r="LA157" s="4"/>
      <c r="LB157" s="6"/>
      <c r="LC157" s="6"/>
      <c r="LD157" s="6"/>
      <c r="LE157" s="9"/>
      <c r="LF157"/>
      <c r="LG157"/>
      <c r="LH157"/>
      <c r="LI157"/>
      <c r="LJ157"/>
      <c r="LK157"/>
      <c r="LL157" s="4"/>
      <c r="LM157" s="4"/>
      <c r="LN157" s="6"/>
      <c r="LO157" s="4"/>
      <c r="LP157" s="5">
        <v>0</v>
      </c>
      <c r="LQ157" s="5"/>
      <c r="LR157" s="6"/>
      <c r="LS157" s="4"/>
      <c r="LT157" s="4"/>
      <c r="LU157" s="5">
        <v>0</v>
      </c>
      <c r="LV157" s="5">
        <v>0</v>
      </c>
      <c r="LW157" s="5"/>
      <c r="LX157" s="4"/>
      <c r="LY157" s="5">
        <v>0</v>
      </c>
      <c r="LZ157" s="4"/>
      <c r="MA157" s="4"/>
      <c r="MB157" s="4"/>
      <c r="MC157" s="4"/>
      <c r="MD157" s="6"/>
      <c r="ME157" s="6"/>
      <c r="MF157" s="6"/>
      <c r="MG157" s="9"/>
      <c r="MH157"/>
    </row>
    <row r="158">
      <c r="A158" s="8">
        <v>25436</v>
      </c>
      <c r="B158" s="8">
        <v>25437</v>
      </c>
      <c r="C158" s="9">
        <f>B158-A158</f>
        <v>1</v>
      </c>
      <c r="D158" s="8">
        <v>25436</v>
      </c>
      <c r="E158" t="inlineStr">
        <is>
          <t xml:space="preserve">positive</t>
        </is>
      </c>
      <c r="F158" s="4">
        <v>1.5687489462781938</v>
      </c>
      <c r="G158" s="6">
        <v>-0.001020058341413257</v>
      </c>
      <c r="H158" s="7">
        <f>SUM(CP158,DR158,ET158,FV158,GX158,HZ158,JB158,KD158,LF158,MH158)</f>
        <v>-0.001020058341413257</v>
      </c>
      <c r="I158" s="7">
        <f>G158-H158</f>
        <v>0</v>
      </c>
      <c r="J158" s="5">
        <f>F158*(1+H158)</f>
        <v>1.5671487308299594</v>
      </c>
      <c r="K158" s="4">
        <v>1.5671487308299594</v>
      </c>
      <c r="L158" s="5">
        <f>K158-J158</f>
        <v>0</v>
      </c>
      <c r="M158" s="4">
        <v>1.674</v>
      </c>
      <c r="N158" s="4">
        <v>1.683</v>
      </c>
      <c r="O158" s="5">
        <f>M158/$M$3</f>
        <v>0.8549540347293156</v>
      </c>
      <c r="P158" s="5">
        <f>N158/$M$3</f>
        <v>0.8595505617977528</v>
      </c>
      <c r="Q158" s="7">
        <f>IFERROR(N158/M158-1,0)</f>
        <v>0.005376344086021501</v>
      </c>
      <c r="R158" s="5">
        <f>SUM(IF(BQ158="lease",CB158,0),IF(CS158="lease",DD158,0),IF(DU158="lease",EF158,0),IF(EW158="lease",FH158,0),IF(FY158="lease",GJ158,0),IF(HA158="lease",HL158,0),IF(IC158="lease",IN158,0),IF(JE158="lease",JP158,0),IF(KG158="lease",KR158,0),IF(LI158="lease",LT158,0))</f>
        <v>1.5687489462781947</v>
      </c>
      <c r="S158" s="5">
        <f>SUM(IF(BQ158="lease",CI158,0),IF(CS158="lease",DK158,0),IF(DU158="lease",EM158,0),IF(EW158="lease",FO158,0),IF(FY158="lease",GQ158,0),IF(HA158="lease",HS158,0),IF(IC158="lease",IU158,0),IF(JE158="lease",JW158,0),IF(KG158="lease",KY158,0),IF(LI158="lease",MA158,0))</f>
        <v>1.5671487308299603</v>
      </c>
      <c r="T158" s="5">
        <f>SUM(IF(BQ158="keep",CB158,0),IF(CS158="keep",DD158,0),IF(DU158="keep",EF158,0),IF(EW158="keep",FH158,0),IF(FY158="keep",GJ158,0),IF(HA158="keep",HL158,0),IF(IC158="keep",IN158,0),IF(JE158="keep",JP158,0),IF(KG158="keep",KR158,0),IF(LI158="keep",LT158,0))</f>
        <v>0</v>
      </c>
      <c r="U158" s="5">
        <f>SUM(IF(BQ158="keep",CI158,0),IF(CS158="keep",DK158,0),IF(DU158="keep",EM158,0),IF(EW158="keep",FO158,0),IF(FY158="keep",GQ158,0),IF(HA158="keep",HS158,0),IF(IC158="keep",IU158,0),IF(JE158="keep",JW158,0),IF(KG158="keep",KY158,0),IF(LI158="keep",MA158,0))</f>
        <v>0</v>
      </c>
      <c r="V158" s="5">
        <f>R158/O158</f>
        <v>1.834892734057769</v>
      </c>
      <c r="W158" s="5">
        <f>S158/P158</f>
        <v>1.8232187848871433</v>
      </c>
      <c r="X158" s="5">
        <f>T158/O158</f>
        <v>0</v>
      </c>
      <c r="Y158" s="5">
        <f>U158/P158</f>
        <v>0</v>
      </c>
      <c r="Z158" s="5">
        <f>V158+X158</f>
        <v>1.834892734057769</v>
      </c>
      <c r="AA158" s="7">
        <f>IFERROR(W158/V158-1,0)</f>
        <v>-0.0063621970668603645</v>
      </c>
      <c r="AB158" s="7">
        <f>IFERROR((W158-V158)/Z158,0)</f>
        <v>-0.006362197066860345</v>
      </c>
      <c r="AC158" s="7">
        <f>IFERROR(Y158/X158-1,0)</f>
        <v>0</v>
      </c>
      <c r="AD158" s="7">
        <f>IFERROR((Y158-X158)/Z158,0)</f>
        <v>0</v>
      </c>
      <c r="AE158" s="7">
        <f>AB158+AD158</f>
        <v>-0.006362197066860345</v>
      </c>
      <c r="AF158" s="7">
        <f>(1+Q158)*(1+AE158)-1</f>
        <v>-0.001020058341413388</v>
      </c>
      <c r="AG158" s="7">
        <f>G158-AF158</f>
        <v>1.3097162243624894e-16</v>
      </c>
      <c r="AH158" s="5">
        <f>SUM(IF(BQ158="lease",CE158,0),IF(CS158="lease",DG158,0),IF(DU158="lease",EI158,0),IF(EW158="lease",FK158,0),IF(FY158="lease",GM158,0),IF(HA158="lease",HO158,0),IF(IC158="lease",IQ158,0),IF(JE158="lease",JS158,0),IF(KG158="lease",KU158,0),IF(LI158="lease",LW158,0))</f>
        <v>-0.0016002154482343289</v>
      </c>
      <c r="AI158" s="5">
        <f>SUM(IF(BQ158="keep",CE158,0),IF(CS158="keep",DG158,0),IF(DU158="keep",EI158,0),IF(EW158="keep",FK158,0),IF(FY158="keep",GM158,0),IF(HA158="keep",HO158,0),IF(IC158="keep",IQ158,0),IF(JE158="keep",JS158,0),IF(KG158="keep",KU158,0),IF(LI158="keep",LW158,0))</f>
        <v>0</v>
      </c>
      <c r="AJ158" s="5">
        <f>SUM(IF(BQ158="lease",CH158,0),IF(CS158="lease",DJ158,0),IF(DU158="lease",EL158,0),IF(EW158="lease",FN158,0),IF(FY158="lease",GP158,0),IF(HA158="lease",HR158,0),IF(IC158="lease",IT158,0),IF(JE158="lease",JV158,0),IF(KG158="lease",KX158,0),IF(LI158="lease",LZ158,0))</f>
        <v>0</v>
      </c>
      <c r="AK158" s="5">
        <f>SUM(IF(BQ158="keep",CH158,0),IF(CS158="keep",DJ158,0),IF(DU158="keep",EL158,0),IF(EW158="keep",FN158,0),IF(FY158="keep",GP158,0),IF(HA158="keep",HR158,0),IF(IC158="keep",IT158,0),IF(JE158="keep",JV158,0),IF(KG158="keep",KX158,0),IF(LI158="keep",LZ158,0))</f>
        <v>0</v>
      </c>
      <c r="AL158" s="5">
        <f>R158-S157</f>
        <v>0</v>
      </c>
      <c r="AM158" s="5">
        <f>T158-U157</f>
        <v>0</v>
      </c>
      <c r="AN158" s="5">
        <f>AN157</f>
        <v>1</v>
      </c>
      <c r="AO158" s="5">
        <f>AO157+AH158</f>
        <v>0.5671487308299605</v>
      </c>
      <c r="AP158" s="5">
        <f>AP157+AL158</f>
        <v>-4.440892098500626e-16</v>
      </c>
      <c r="AQ158" s="5">
        <f>AN158+AO158+AP158</f>
        <v>1.56714873082996</v>
      </c>
      <c r="AR158" s="5">
        <f>S158-AQ158</f>
        <v>2.220446049250313e-16</v>
      </c>
      <c r="AS158" s="5">
        <f>AS157</f>
        <v>0</v>
      </c>
      <c r="AT158" s="5">
        <f>AT157+AI158</f>
        <v>0</v>
      </c>
      <c r="AU158" s="5">
        <f>AU157+AM158</f>
        <v>0</v>
      </c>
      <c r="AV158" s="5">
        <f>AS158+AT158+AU158</f>
        <v>0</v>
      </c>
      <c r="AW158" s="5">
        <f>U158-AV158</f>
        <v>0</v>
      </c>
      <c r="AX158" s="4">
        <v>1.5687489462781947</v>
      </c>
      <c r="AY158" s="4">
        <v>1.5671487308299603</v>
      </c>
      <c r="AZ158" s="5">
        <f>S158-AY158</f>
        <v>0</v>
      </c>
      <c r="BA158" s="4">
        <v>0</v>
      </c>
      <c r="BB158" s="4">
        <v>0</v>
      </c>
      <c r="BC158" s="5">
        <f>U158-BB158</f>
        <v>0</v>
      </c>
      <c r="BD158" s="7">
        <f>SUM(IF(BP158="direct",CC158/F158,0),IF(CR158="direct",DE158/F158,0),IF(DT158="direct",EG158/F158,0),IF(EV158="direct",FI158/F158,0),IF(FX158="direct",GK158/F158,0),IF(GZ158="direct",HM158/F158,0),IF(IB158="direct",IO158/F158,0),IF(JD158="direct",JQ158/F158,0),IF(KF158="direct",KS158/F158,0),IF(LH158="direct",LU158/F158,0))</f>
        <v>0</v>
      </c>
      <c r="BE158" s="7">
        <f>-SUM(IF(BP158="direct",CD158/F158,0),IF(CR158="direct",DF158/F158,0),IF(DT158="direct",EH158/F158,0),IF(EV158="direct",FJ158/F158,0),IF(FX158="direct",GL158/F158,0),IF(GZ158="direct",HN158/F158,0),IF(IB158="direct",IP158/F158,0),IF(JD158="direct",JR158/F158,0),IF(KF158="direct",KT158/F158,0),IF(LH158="direct",LV158/F158,0))</f>
        <v>0</v>
      </c>
      <c r="BF158" s="7">
        <f>BD158+BE158</f>
        <v>0</v>
      </c>
      <c r="BG158" s="7">
        <f>BF158-SUM(IF(BP158="direct",CP158,0),IF(CR158="direct",DR158,0),IF(DT158="direct",ET158,0),IF(EV158="direct",FV158,0),IF(FX158="direct",GX158,0),IF(GZ158="direct",HZ158,0),IF(IB158="direct",JB158,0),IF(JD158="direct",KD158,0),IF(KF158="direct",LF158,0),IF(LH158="direct",MH158,0))</f>
        <v>0</v>
      </c>
      <c r="BH158" s="7">
        <f>SUM(IF(BP158="treasury",CP158,0),IF(CR158="treasury",DR158,0),IF(DT158="treasury",ET158,0),IF(EV158="treasury",FV158,0),IF(FX158="treasury",GX158,0),IF(GZ158="treasury",HZ158,0),IF(IB158="treasury",JB158,0),IF(JD158="treasury",KD158,0),IF(KF158="treasury",LF158,0),IF(LH158="treasury",MH158,0))</f>
        <v>0.00018986301369863014</v>
      </c>
      <c r="BI158" s="7">
        <f>SUM(IF(BP158="future",CP158,0),IF(CR158="future",DR158,0),IF(DT158="future",ET158,0),IF(EV158="future",FV158,0),IF(FX158="future",GX158,0),IF(GZ158="future",HZ158,0),IF(IB158="future",JB158,0),IF(JD158="future",KD158,0),IF(KF158="future",LF158,0),IF(LH158="future",MH158,0))</f>
        <v>-0.001209921355111887</v>
      </c>
      <c r="BJ158" s="7">
        <f>SUM(IF(BP158="cash",CP158,0),IF(CR158="cash",DR158,0),IF(DT158="cash",ET158,0),IF(EV158="cash",FV158,0),IF(FX158="cash",GX158,0),IF(GZ158="cash",HZ158,0),IF(IB158="cash",JB158,0),IF(JD158="cash",KD158,0),IF(KF158="cash",LF158,0),IF(LH158="cash",MH158,0))</f>
        <v>0</v>
      </c>
      <c r="BK158" s="7">
        <f>SUM(BF158,BH158,BI158,BJ158)</f>
        <v>-0.001020058341413257</v>
      </c>
      <c r="BL158" s="7">
        <f>G158-BK158</f>
        <v>0</v>
      </c>
      <c r="BM158" s="5">
        <f>MAX(ABS(CG158),ABS(DI158),ABS(EK158),ABS(FM158),ABS(GO158),ABS(HQ158),ABS(IS158),ABS(JU158),ABS(KW158),ABS(LY158))</f>
        <v>4.217546450968612e-17</v>
      </c>
      <c r="BN158" s="9">
        <f>COUNTA(BO158,CQ158,DS158,EU158,FW158,GY158,IA158,JC158,KE158,LG158)</f>
        <v>4</v>
      </c>
      <c r="BO158" t="inlineStr">
        <is>
          <t xml:space="preserve">Treasury collateral</t>
        </is>
      </c>
      <c r="BP158" t="inlineStr">
        <is>
          <t xml:space="preserve">treasury</t>
        </is>
      </c>
      <c r="BQ158" t="inlineStr">
        <is>
          <t xml:space="preserve">lease</t>
        </is>
      </c>
      <c r="BR158" t="inlineStr">
        <is>
          <t xml:space="preserve">long</t>
        </is>
      </c>
      <c r="BS158"/>
      <c r="BT158" s="4">
        <v>104.08396724611686</v>
      </c>
      <c r="BU158" s="4">
        <v>104.10372894181592</v>
      </c>
      <c r="BV158" s="6"/>
      <c r="BW158" s="4">
        <v>0.015071955727520757</v>
      </c>
      <c r="BX158" s="5">
        <f>IF(BP158="direct",IFERROR(CD158/BU158,0),0)</f>
        <v>0</v>
      </c>
      <c r="BY158" s="5">
        <f>IF(BP158="direct",BW158-BX158,IF(BP158="cash",CI158,BW158))</f>
        <v>0.015071955727520757</v>
      </c>
      <c r="BZ158" s="6">
        <v>1</v>
      </c>
      <c r="CA158" s="4">
        <v>1.5687489462781938</v>
      </c>
      <c r="CB158" s="4">
        <v>1.5687489462781938</v>
      </c>
      <c r="CC158" s="5">
        <f>IF(BP158="direct",BW158*(BU158-BT158),CF158)</f>
        <v>0.0002978474026769705</v>
      </c>
      <c r="CD158" s="5">
        <f>IF(BP158="direct",CB158*BV158*C158/365,0)</f>
        <v>0</v>
      </c>
      <c r="CE158" s="5">
        <f>CC158-CD158</f>
        <v>0.0002978474026769283</v>
      </c>
      <c r="CF158" s="4">
        <v>0.0002978474026769283</v>
      </c>
      <c r="CG158" s="5">
        <f>CF158-CE158</f>
        <v>-4.217546450968612e-17</v>
      </c>
      <c r="CH158" s="4">
        <v>-1.8756697583999227e-17</v>
      </c>
      <c r="CI158" s="4">
        <v>1.5690467936808707</v>
      </c>
      <c r="CJ158" s="4">
        <v>1.674</v>
      </c>
      <c r="CK158" s="4">
        <v>1.683</v>
      </c>
      <c r="CL158" s="6"/>
      <c r="CM158" s="6"/>
      <c r="CN158" s="6"/>
      <c r="CO158" s="9">
        <v>36</v>
      </c>
      <c r="CP158" s="7">
        <f>IFERROR(CE158/F158,0)</f>
        <v>0.00018986301369863014</v>
      </c>
      <c r="CQ158" t="inlineStr">
        <is>
          <t xml:space="preserve">SI69U</t>
        </is>
      </c>
      <c r="CR158" t="inlineStr">
        <is>
          <t xml:space="preserve">future</t>
        </is>
      </c>
      <c r="CS158" t="inlineStr">
        <is>
          <t xml:space="preserve">lease</t>
        </is>
      </c>
      <c r="CT158" t="inlineStr">
        <is>
          <t xml:space="preserve">long</t>
        </is>
      </c>
      <c r="CU158" t="inlineStr">
        <is>
          <t xml:space="preserve">regular</t>
        </is>
      </c>
      <c r="CV158" s="4">
        <v>1.653</v>
      </c>
      <c r="CW158" s="4">
        <v>1.651</v>
      </c>
      <c r="CX158" s="6"/>
      <c r="CY158" s="4">
        <v>0.9490314254556527</v>
      </c>
      <c r="CZ158" s="5">
        <f>IF(CR158="direct",IFERROR(DF158/CW158,0),0)</f>
        <v>0</v>
      </c>
      <c r="DA158" s="5">
        <f>IF(CR158="direct",CY158-CZ158,IF(CR158="cash",DK158,CY158))</f>
        <v>0.9490314254556527</v>
      </c>
      <c r="DB158" s="6">
        <v>1</v>
      </c>
      <c r="DC158" s="4">
        <v>1.5687489462781938</v>
      </c>
      <c r="DD158" s="4">
        <v>0</v>
      </c>
      <c r="DE158" s="5">
        <f>IF(CR158="direct",CY158*(CW158-CV158),DH158)</f>
        <v>-0.001898062850911257</v>
      </c>
      <c r="DF158" s="5">
        <f>IF(CR158="direct",DD158*CX158*C158/365,0)</f>
        <v>0</v>
      </c>
      <c r="DG158" s="5">
        <f>DE158-DF158</f>
        <v>-0.001898062850911257</v>
      </c>
      <c r="DH158" s="4">
        <v>-0.001898062850911257</v>
      </c>
      <c r="DI158" s="5">
        <f>DH158-DG158</f>
        <v>0</v>
      </c>
      <c r="DJ158" s="4">
        <v>0.001898062850911257</v>
      </c>
      <c r="DK158" s="4">
        <v>0</v>
      </c>
      <c r="DL158" s="4">
        <v>1.674</v>
      </c>
      <c r="DM158" s="4">
        <v>1.683</v>
      </c>
      <c r="DN158" s="6">
        <v>-0.012544802867383464</v>
      </c>
      <c r="DO158" s="6">
        <v>0.0693</v>
      </c>
      <c r="DP158" s="6">
        <v>0.1964903624054157</v>
      </c>
      <c r="DQ158" s="9">
        <v>36</v>
      </c>
      <c r="DR158" s="7">
        <f>IFERROR(DG158/F158,0)</f>
        <v>-0.001209921355111887</v>
      </c>
      <c r="DS158" t="inlineStr">
        <is>
          <t xml:space="preserve">Lease cash / margin / financing</t>
        </is>
      </c>
      <c r="DT158" t="inlineStr">
        <is>
          <t xml:space="preserve">cash</t>
        </is>
      </c>
      <c r="DU158" t="inlineStr">
        <is>
          <t xml:space="preserve">lease</t>
        </is>
      </c>
      <c r="DV158" t="inlineStr">
        <is>
          <t xml:space="preserve">cash</t>
        </is>
      </c>
      <c r="DW158"/>
      <c r="DX158" s="4">
        <v>1</v>
      </c>
      <c r="DY158" s="4">
        <v>1</v>
      </c>
      <c r="DZ158" s="6"/>
      <c r="EA158" s="4">
        <v>8.881784197001252e-16</v>
      </c>
      <c r="EB158" s="5">
        <f>IF(DT158="direct",IFERROR(EH158/DY158,0),0)</f>
        <v>0</v>
      </c>
      <c r="EC158" s="5">
        <f>IF(DT158="direct",EA158-EB158,IF(DT158="cash",EM158,EA158))</f>
        <v>-0.0018980628509103503</v>
      </c>
      <c r="ED158" s="6"/>
      <c r="EE158" s="4">
        <v>8.881784197001252e-16</v>
      </c>
      <c r="EF158" s="4">
        <v>8.881784197001252e-16</v>
      </c>
      <c r="EG158" s="5">
        <f>IF(DT158="direct",EA158*(DY158-DX158),EJ158)</f>
        <v>0</v>
      </c>
      <c r="EH158" s="5">
        <f>IF(DT158="direct",EF158*DZ158*C158/365,0)</f>
        <v>0</v>
      </c>
      <c r="EI158" s="5">
        <f>EG158-EH158</f>
        <v>0</v>
      </c>
      <c r="EJ158" s="4">
        <v>0</v>
      </c>
      <c r="EK158" s="5">
        <f>EJ158-EI158</f>
        <v>0</v>
      </c>
      <c r="EL158" s="4">
        <v>-0.0018980628509112384</v>
      </c>
      <c r="EM158" s="4">
        <v>-0.0018980628509103503</v>
      </c>
      <c r="EN158" s="4">
        <v>1.674</v>
      </c>
      <c r="EO158" s="4">
        <v>1.683</v>
      </c>
      <c r="EP158" s="6"/>
      <c r="EQ158" s="6"/>
      <c r="ER158" s="6"/>
      <c r="ES158" s="9"/>
      <c r="ET158" s="7">
        <f>IFERROR(EI158/F158,0)</f>
        <v>0</v>
      </c>
      <c r="EU158" t="inlineStr">
        <is>
          <t xml:space="preserve">Keep cash / margin / financing</t>
        </is>
      </c>
      <c r="EV158" t="inlineStr">
        <is>
          <t xml:space="preserve">cash</t>
        </is>
      </c>
      <c r="EW158" t="inlineStr">
        <is>
          <t xml:space="preserve">keep</t>
        </is>
      </c>
      <c r="EX158" t="inlineStr">
        <is>
          <t xml:space="preserve">cash</t>
        </is>
      </c>
      <c r="EY158"/>
      <c r="EZ158" s="4">
        <v>1</v>
      </c>
      <c r="FA158" s="4">
        <v>1</v>
      </c>
      <c r="FB158" s="6"/>
      <c r="FC158" s="4">
        <v>0</v>
      </c>
      <c r="FD158" s="5">
        <f>IF(EV158="direct",IFERROR(FJ158/FA158,0),0)</f>
        <v>0</v>
      </c>
      <c r="FE158" s="5">
        <f>IF(EV158="direct",FC158-FD158,IF(EV158="cash",FO158,FC158))</f>
        <v>0</v>
      </c>
      <c r="FF158" s="6"/>
      <c r="FG158" s="4">
        <v>0</v>
      </c>
      <c r="FH158" s="4">
        <v>0</v>
      </c>
      <c r="FI158" s="5">
        <f>IF(EV158="direct",FC158*(FA158-EZ158),FL158)</f>
        <v>0</v>
      </c>
      <c r="FJ158" s="5">
        <f>IF(EV158="direct",FH158*FB158*C158/365,0)</f>
        <v>0</v>
      </c>
      <c r="FK158" s="5">
        <f>FI158-FJ158</f>
        <v>0</v>
      </c>
      <c r="FL158" s="4">
        <v>0</v>
      </c>
      <c r="FM158" s="5">
        <f>FL158-FK158</f>
        <v>0</v>
      </c>
      <c r="FN158" s="4">
        <v>0</v>
      </c>
      <c r="FO158" s="4">
        <v>0</v>
      </c>
      <c r="FP158" s="4">
        <v>1.674</v>
      </c>
      <c r="FQ158" s="4">
        <v>1.683</v>
      </c>
      <c r="FR158" s="6"/>
      <c r="FS158" s="6"/>
      <c r="FT158" s="6"/>
      <c r="FU158" s="9"/>
      <c r="FV158" s="7">
        <f>IFERROR(FK158/F158,0)</f>
        <v>0</v>
      </c>
      <c r="FW158"/>
      <c r="FX158"/>
      <c r="FY158"/>
      <c r="FZ158"/>
      <c r="GA158"/>
      <c r="GB158" s="4"/>
      <c r="GC158" s="4"/>
      <c r="GD158" s="6"/>
      <c r="GE158" s="4"/>
      <c r="GF158" s="5">
        <v>0</v>
      </c>
      <c r="GG158" s="5"/>
      <c r="GH158" s="6"/>
      <c r="GI158" s="4"/>
      <c r="GJ158" s="4"/>
      <c r="GK158" s="5">
        <v>0</v>
      </c>
      <c r="GL158" s="5">
        <v>0</v>
      </c>
      <c r="GM158" s="5"/>
      <c r="GN158" s="4"/>
      <c r="GO158" s="5">
        <v>0</v>
      </c>
      <c r="GP158" s="4"/>
      <c r="GQ158" s="4"/>
      <c r="GR158" s="4"/>
      <c r="GS158" s="4"/>
      <c r="GT158" s="6"/>
      <c r="GU158" s="6"/>
      <c r="GV158" s="6"/>
      <c r="GW158" s="9"/>
      <c r="GX158"/>
      <c r="GY158"/>
      <c r="GZ158"/>
      <c r="HA158"/>
      <c r="HB158"/>
      <c r="HC158"/>
      <c r="HD158" s="4"/>
      <c r="HE158" s="4"/>
      <c r="HF158" s="6"/>
      <c r="HG158" s="4"/>
      <c r="HH158" s="5">
        <v>0</v>
      </c>
      <c r="HI158" s="5"/>
      <c r="HJ158" s="6"/>
      <c r="HK158" s="4"/>
      <c r="HL158" s="4"/>
      <c r="HM158" s="5">
        <v>0</v>
      </c>
      <c r="HN158" s="5">
        <v>0</v>
      </c>
      <c r="HO158" s="5"/>
      <c r="HP158" s="4"/>
      <c r="HQ158" s="5">
        <v>0</v>
      </c>
      <c r="HR158" s="4"/>
      <c r="HS158" s="4"/>
      <c r="HT158" s="4"/>
      <c r="HU158" s="4"/>
      <c r="HV158" s="6"/>
      <c r="HW158" s="6"/>
      <c r="HX158" s="6"/>
      <c r="HY158" s="9"/>
      <c r="HZ158"/>
      <c r="IA158"/>
      <c r="IB158"/>
      <c r="IC158"/>
      <c r="ID158"/>
      <c r="IE158"/>
      <c r="IF158" s="4"/>
      <c r="IG158" s="4"/>
      <c r="IH158" s="6"/>
      <c r="II158" s="4"/>
      <c r="IJ158" s="5">
        <v>0</v>
      </c>
      <c r="IK158" s="5"/>
      <c r="IL158" s="6"/>
      <c r="IM158" s="4"/>
      <c r="IN158" s="4"/>
      <c r="IO158" s="5">
        <v>0</v>
      </c>
      <c r="IP158" s="5">
        <v>0</v>
      </c>
      <c r="IQ158" s="5"/>
      <c r="IR158" s="4"/>
      <c r="IS158" s="5">
        <v>0</v>
      </c>
      <c r="IT158" s="4"/>
      <c r="IU158" s="4"/>
      <c r="IV158" s="4"/>
      <c r="IW158" s="4"/>
      <c r="IX158" s="6"/>
      <c r="IY158" s="6"/>
      <c r="IZ158" s="6"/>
      <c r="JA158" s="9"/>
      <c r="JB158"/>
      <c r="JC158"/>
      <c r="JD158"/>
      <c r="JE158"/>
      <c r="JF158"/>
      <c r="JG158"/>
      <c r="JH158" s="4"/>
      <c r="JI158" s="4"/>
      <c r="JJ158" s="6"/>
      <c r="JK158" s="4"/>
      <c r="JL158" s="5">
        <v>0</v>
      </c>
      <c r="JM158" s="5"/>
      <c r="JN158" s="6"/>
      <c r="JO158" s="4"/>
      <c r="JP158" s="4"/>
      <c r="JQ158" s="5">
        <v>0</v>
      </c>
      <c r="JR158" s="5">
        <v>0</v>
      </c>
      <c r="JS158" s="5"/>
      <c r="JT158" s="4"/>
      <c r="JU158" s="5">
        <v>0</v>
      </c>
      <c r="JV158" s="4"/>
      <c r="JW158" s="4"/>
      <c r="JX158" s="4"/>
      <c r="JY158" s="4"/>
      <c r="JZ158" s="6"/>
      <c r="KA158" s="6"/>
      <c r="KB158" s="6"/>
      <c r="KC158" s="9"/>
      <c r="KD158"/>
      <c r="KE158"/>
      <c r="KF158"/>
      <c r="KG158"/>
      <c r="KH158"/>
      <c r="KI158"/>
      <c r="KJ158" s="4"/>
      <c r="KK158" s="4"/>
      <c r="KL158" s="6"/>
      <c r="KM158" s="4"/>
      <c r="KN158" s="5">
        <v>0</v>
      </c>
      <c r="KO158" s="5"/>
      <c r="KP158" s="6"/>
      <c r="KQ158" s="4"/>
      <c r="KR158" s="4"/>
      <c r="KS158" s="5">
        <v>0</v>
      </c>
      <c r="KT158" s="5">
        <v>0</v>
      </c>
      <c r="KU158" s="5"/>
      <c r="KV158" s="4"/>
      <c r="KW158" s="5">
        <v>0</v>
      </c>
      <c r="KX158" s="4"/>
      <c r="KY158" s="4"/>
      <c r="KZ158" s="4"/>
      <c r="LA158" s="4"/>
      <c r="LB158" s="6"/>
      <c r="LC158" s="6"/>
      <c r="LD158" s="6"/>
      <c r="LE158" s="9"/>
      <c r="LF158"/>
      <c r="LG158"/>
      <c r="LH158"/>
      <c r="LI158"/>
      <c r="LJ158"/>
      <c r="LK158"/>
      <c r="LL158" s="4"/>
      <c r="LM158" s="4"/>
      <c r="LN158" s="6"/>
      <c r="LO158" s="4"/>
      <c r="LP158" s="5">
        <v>0</v>
      </c>
      <c r="LQ158" s="5"/>
      <c r="LR158" s="6"/>
      <c r="LS158" s="4"/>
      <c r="LT158" s="4"/>
      <c r="LU158" s="5">
        <v>0</v>
      </c>
      <c r="LV158" s="5">
        <v>0</v>
      </c>
      <c r="LW158" s="5"/>
      <c r="LX158" s="4"/>
      <c r="LY158" s="5">
        <v>0</v>
      </c>
      <c r="LZ158" s="4"/>
      <c r="MA158" s="4"/>
      <c r="MB158" s="4"/>
      <c r="MC158" s="4"/>
      <c r="MD158" s="6"/>
      <c r="ME158" s="6"/>
      <c r="MF158" s="6"/>
      <c r="MG158" s="9"/>
      <c r="MH158"/>
    </row>
    <row r="159">
      <c r="A159" s="8">
        <v>25437</v>
      </c>
      <c r="B159" s="8">
        <v>25440</v>
      </c>
      <c r="C159" s="9">
        <f>B159-A159</f>
        <v>3</v>
      </c>
      <c r="D159" s="8">
        <v>25437</v>
      </c>
      <c r="E159" t="inlineStr">
        <is>
          <t xml:space="preserve">positive</t>
        </is>
      </c>
      <c r="F159" s="4">
        <v>1.5671487308299594</v>
      </c>
      <c r="G159" s="6">
        <v>-0.001245025762717401</v>
      </c>
      <c r="H159" s="7">
        <f>SUM(CP159,DR159,ET159,FV159,GX159,HZ159,JB159,KD159,LF159,MH159)</f>
        <v>-0.001245025762717401</v>
      </c>
      <c r="I159" s="7">
        <f>G159-H159</f>
        <v>0</v>
      </c>
      <c r="J159" s="5">
        <f>F159*(1+H159)</f>
        <v>1.5651975902860662</v>
      </c>
      <c r="K159" s="4">
        <v>1.5651975902860662</v>
      </c>
      <c r="L159" s="5">
        <f>K159-J159</f>
        <v>0</v>
      </c>
      <c r="M159" s="4">
        <v>1.683</v>
      </c>
      <c r="N159" s="4">
        <v>1.674</v>
      </c>
      <c r="O159" s="5">
        <f>M159/$M$3</f>
        <v>0.8595505617977528</v>
      </c>
      <c r="P159" s="5">
        <f>N159/$M$3</f>
        <v>0.8549540347293156</v>
      </c>
      <c r="Q159" s="7">
        <f>IFERROR(N159/M159-1,0)</f>
        <v>-0.005347593582887722</v>
      </c>
      <c r="R159" s="5">
        <f>SUM(IF(BQ159="lease",CB159,0),IF(CS159="lease",DD159,0),IF(DU159="lease",EF159,0),IF(EW159="lease",FH159,0),IF(FY159="lease",GJ159,0),IF(HA159="lease",HL159,0),IF(IC159="lease",IN159,0),IF(JE159="lease",JP159,0),IF(KG159="lease",KR159,0),IF(LI159="lease",LT159,0))</f>
        <v>1.5671487308299603</v>
      </c>
      <c r="S159" s="5">
        <f>SUM(IF(BQ159="lease",CI159,0),IF(CS159="lease",DK159,0),IF(DU159="lease",EM159,0),IF(EW159="lease",FO159,0),IF(FY159="lease",GQ159,0),IF(HA159="lease",HS159,0),IF(IC159="lease",IU159,0),IF(JE159="lease",JW159,0),IF(KG159="lease",KY159,0),IF(LI159="lease",MA159,0))</f>
        <v>1.565197590286067</v>
      </c>
      <c r="T159" s="5">
        <f>SUM(IF(BQ159="keep",CB159,0),IF(CS159="keep",DD159,0),IF(DU159="keep",EF159,0),IF(EW159="keep",FH159,0),IF(FY159="keep",GJ159,0),IF(HA159="keep",HL159,0),IF(IC159="keep",IN159,0),IF(JE159="keep",JP159,0),IF(KG159="keep",KR159,0),IF(LI159="keep",LT159,0))</f>
        <v>0</v>
      </c>
      <c r="U159" s="5">
        <f>SUM(IF(BQ159="keep",CI159,0),IF(CS159="keep",DK159,0),IF(DU159="keep",EM159,0),IF(EW159="keep",FO159,0),IF(FY159="keep",GQ159,0),IF(HA159="keep",HS159,0),IF(IC159="keep",IU159,0),IF(JE159="keep",JW159,0),IF(KG159="keep",KY159,0),IF(LI159="keep",MA159,0))</f>
        <v>0</v>
      </c>
      <c r="V159" s="5">
        <f>R159/O159</f>
        <v>1.8232187848871433</v>
      </c>
      <c r="W159" s="5">
        <f>S159/P159</f>
        <v>1.8307388780048504</v>
      </c>
      <c r="X159" s="5">
        <f>T159/O159</f>
        <v>0</v>
      </c>
      <c r="Y159" s="5">
        <f>U159/P159</f>
        <v>0</v>
      </c>
      <c r="Z159" s="5">
        <f>V159+X159</f>
        <v>1.8232187848871433</v>
      </c>
      <c r="AA159" s="7">
        <f>IFERROR(W159/V159-1,0)</f>
        <v>0.0041246246364079475</v>
      </c>
      <c r="AB159" s="7">
        <f>IFERROR((W159-V159)/Z159,0)</f>
        <v>0.004124624636407837</v>
      </c>
      <c r="AC159" s="7">
        <f>IFERROR(Y159/X159-1,0)</f>
        <v>0</v>
      </c>
      <c r="AD159" s="7">
        <f>IFERROR((Y159-X159)/Z159,0)</f>
        <v>0</v>
      </c>
      <c r="AE159" s="7">
        <f>AB159+AD159</f>
        <v>0.004124624636407837</v>
      </c>
      <c r="AF159" s="7">
        <f>(1+Q159)*(1+AE159)-1</f>
        <v>-0.0012450257627172334</v>
      </c>
      <c r="AG159" s="7">
        <f>G159-AF159</f>
        <v>-1.6761765586625899e-16</v>
      </c>
      <c r="AH159" s="5">
        <f>SUM(IF(BQ159="lease",CE159,0),IF(CS159="lease",DG159,0),IF(DU159="lease",EI159,0),IF(EW159="lease",FK159,0),IF(FY159="lease",GM159,0),IF(HA159="lease",HO159,0),IF(IC159="lease",IQ159,0),IF(JE159="lease",JS159,0),IF(KG159="lease",KU159,0),IF(LI159="lease",LW159,0))</f>
        <v>-0.001951140543893177</v>
      </c>
      <c r="AI159" s="5">
        <f>SUM(IF(BQ159="keep",CE159,0),IF(CS159="keep",DG159,0),IF(DU159="keep",EI159,0),IF(EW159="keep",FK159,0),IF(FY159="keep",GM159,0),IF(HA159="keep",HO159,0),IF(IC159="keep",IQ159,0),IF(JE159="keep",JS159,0),IF(KG159="keep",KU159,0),IF(LI159="keep",LW159,0))</f>
        <v>0</v>
      </c>
      <c r="AJ159" s="5">
        <f>SUM(IF(BQ159="lease",CH159,0),IF(CS159="lease",DJ159,0),IF(DU159="lease",EL159,0),IF(EW159="lease",FN159,0),IF(FY159="lease",GP159,0),IF(HA159="lease",HR159,0),IF(IC159="lease",IT159,0),IF(JE159="lease",JV159,0),IF(KG159="lease",KX159,0),IF(LI159="lease",LZ159,0))</f>
        <v>0</v>
      </c>
      <c r="AK159" s="5">
        <f>SUM(IF(BQ159="keep",CH159,0),IF(CS159="keep",DJ159,0),IF(DU159="keep",EL159,0),IF(EW159="keep",FN159,0),IF(FY159="keep",GP159,0),IF(HA159="keep",HR159,0),IF(IC159="keep",IT159,0),IF(JE159="keep",JV159,0),IF(KG159="keep",KX159,0),IF(LI159="keep",LZ159,0))</f>
        <v>0</v>
      </c>
      <c r="AL159" s="5">
        <f>R159-S158</f>
        <v>0</v>
      </c>
      <c r="AM159" s="5">
        <f>T159-U158</f>
        <v>0</v>
      </c>
      <c r="AN159" s="5">
        <f>AN158</f>
        <v>1</v>
      </c>
      <c r="AO159" s="5">
        <f>AO158+AH159</f>
        <v>0.5651975902860673</v>
      </c>
      <c r="AP159" s="5">
        <f>AP158+AL159</f>
        <v>-4.440892098500626e-16</v>
      </c>
      <c r="AQ159" s="5">
        <f>AN159+AO159+AP159</f>
        <v>1.5651975902860669</v>
      </c>
      <c r="AR159" s="5">
        <f>S159-AQ159</f>
        <v>2.220446049250313e-16</v>
      </c>
      <c r="AS159" s="5">
        <f>AS158</f>
        <v>0</v>
      </c>
      <c r="AT159" s="5">
        <f>AT158+AI159</f>
        <v>0</v>
      </c>
      <c r="AU159" s="5">
        <f>AU158+AM159</f>
        <v>0</v>
      </c>
      <c r="AV159" s="5">
        <f>AS159+AT159+AU159</f>
        <v>0</v>
      </c>
      <c r="AW159" s="5">
        <f>U159-AV159</f>
        <v>0</v>
      </c>
      <c r="AX159" s="4">
        <v>1.5671487308299603</v>
      </c>
      <c r="AY159" s="4">
        <v>1.565197590286067</v>
      </c>
      <c r="AZ159" s="5">
        <f>S159-AY159</f>
        <v>0</v>
      </c>
      <c r="BA159" s="4">
        <v>0</v>
      </c>
      <c r="BB159" s="4">
        <v>0</v>
      </c>
      <c r="BC159" s="5">
        <f>U159-BB159</f>
        <v>0</v>
      </c>
      <c r="BD159" s="7">
        <f>SUM(IF(BP159="direct",CC159/F159,0),IF(CR159="direct",DE159/F159,0),IF(DT159="direct",EG159/F159,0),IF(EV159="direct",FI159/F159,0),IF(FX159="direct",GK159/F159,0),IF(GZ159="direct",HM159/F159,0),IF(IB159="direct",IO159/F159,0),IF(JD159="direct",JQ159/F159,0),IF(KF159="direct",KS159/F159,0),IF(LH159="direct",LU159/F159,0))</f>
        <v>0</v>
      </c>
      <c r="BE159" s="7">
        <f>-SUM(IF(BP159="direct",CD159/F159,0),IF(CR159="direct",DF159/F159,0),IF(DT159="direct",EH159/F159,0),IF(EV159="direct",FJ159/F159,0),IF(FX159="direct",GL159/F159,0),IF(GZ159="direct",HN159/F159,0),IF(IB159="direct",IP159/F159,0),IF(JD159="direct",JR159/F159,0),IF(KF159="direct",KT159/F159,0),IF(LH159="direct",LV159/F159,0))</f>
        <v>0</v>
      </c>
      <c r="BF159" s="7">
        <f>BD159+BE159</f>
        <v>0</v>
      </c>
      <c r="BG159" s="7">
        <f>BF159-SUM(IF(BP159="direct",CP159,0),IF(CR159="direct",DR159,0),IF(DT159="direct",ET159,0),IF(EV159="direct",FV159,0),IF(FX159="direct",GX159,0),IF(GZ159="direct",HZ159,0),IF(IB159="direct",JB159,0),IF(JD159="direct",KD159,0),IF(KF159="direct",LF159,0),IF(LH159="direct",MH159,0))</f>
        <v>0</v>
      </c>
      <c r="BH159" s="7">
        <f>SUM(IF(BP159="treasury",CP159,0),IF(CR159="treasury",DR159,0),IF(DT159="treasury",ET159,0),IF(EV159="treasury",FV159,0),IF(FX159="treasury",GX159,0),IF(GZ159="treasury",HZ159,0),IF(IB159="treasury",JB159,0),IF(JD159="treasury",KD159,0),IF(KF159="treasury",LF159,0),IF(LH159="treasury",MH159,0))</f>
        <v>0.0005720547945205479</v>
      </c>
      <c r="BI159" s="7">
        <f>SUM(IF(BP159="future",CP159,0),IF(CR159="future",DR159,0),IF(DT159="future",ET159,0),IF(EV159="future",FV159,0),IF(FX159="future",GX159,0),IF(GZ159="future",HZ159,0),IF(IB159="future",JB159,0),IF(JD159="future",KD159,0),IF(KF159="future",LF159,0),IF(LH159="future",MH159,0))</f>
        <v>-0.001817080557237949</v>
      </c>
      <c r="BJ159" s="7">
        <f>SUM(IF(BP159="cash",CP159,0),IF(CR159="cash",DR159,0),IF(DT159="cash",ET159,0),IF(EV159="cash",FV159,0),IF(FX159="cash",GX159,0),IF(GZ159="cash",HZ159,0),IF(IB159="cash",JB159,0),IF(JD159="cash",KD159,0),IF(KF159="cash",LF159,0),IF(LH159="cash",MH159,0))</f>
        <v>0</v>
      </c>
      <c r="BK159" s="7">
        <f>SUM(BF159,BH159,BI159,BJ159)</f>
        <v>-0.001245025762717401</v>
      </c>
      <c r="BL159" s="7">
        <f>G159-BK159</f>
        <v>0</v>
      </c>
      <c r="BM159" s="5">
        <f>MAX(ABS(CG159),ABS(DI159),ABS(EK159),ABS(FM159),ABS(GO159),ABS(HQ159),ABS(IS159),ABS(JU159),ABS(KW159),ABS(LY159))</f>
        <v>1.3942839938163587e-16</v>
      </c>
      <c r="BN159" s="9">
        <f>COUNTA(BO159,CQ159,DS159,EU159,FW159,GY159,IA159,JC159,KE159,LG159)</f>
        <v>4</v>
      </c>
      <c r="BO159" t="inlineStr">
        <is>
          <t xml:space="preserve">Treasury collateral</t>
        </is>
      </c>
      <c r="BP159" t="inlineStr">
        <is>
          <t xml:space="preserve">treasury</t>
        </is>
      </c>
      <c r="BQ159" t="inlineStr">
        <is>
          <t xml:space="preserve">lease</t>
        </is>
      </c>
      <c r="BR159" t="inlineStr">
        <is>
          <t xml:space="preserve">long</t>
        </is>
      </c>
      <c r="BS159"/>
      <c r="BT159" s="4">
        <v>104.10372894181592</v>
      </c>
      <c r="BU159" s="4">
        <v>104.16328197908456</v>
      </c>
      <c r="BV159" s="6"/>
      <c r="BW159" s="4">
        <v>0.015053723308084828</v>
      </c>
      <c r="BX159" s="5">
        <f>IF(BP159="direct",IFERROR(CD159/BU159,0),0)</f>
        <v>0</v>
      </c>
      <c r="BY159" s="5">
        <f>IF(BP159="direct",BW159-BX159,IF(BP159="cash",CI159,BW159))</f>
        <v>0.015053723308084828</v>
      </c>
      <c r="BZ159" s="6">
        <v>1</v>
      </c>
      <c r="CA159" s="4">
        <v>1.5671487308299594</v>
      </c>
      <c r="CB159" s="4">
        <v>1.5671487308299594</v>
      </c>
      <c r="CC159" s="5">
        <f>IF(BP159="direct",BW159*(BU159-BT159),CF159)</f>
        <v>0.0008964949451982093</v>
      </c>
      <c r="CD159" s="5">
        <f>IF(BP159="direct",CB159*BV159*C159/365,0)</f>
        <v>0</v>
      </c>
      <c r="CE159" s="5">
        <f>CC159-CD159</f>
        <v>0.0008964949451980698</v>
      </c>
      <c r="CF159" s="4">
        <v>0.0008964949451980698</v>
      </c>
      <c r="CG159" s="5">
        <f>CF159-CE159</f>
        <v>-1.3942839938163587e-16</v>
      </c>
      <c r="CH159" s="4">
        <v>9.75781955236954e-17</v>
      </c>
      <c r="CI159" s="4">
        <v>1.5680452257751576</v>
      </c>
      <c r="CJ159" s="4">
        <v>1.683</v>
      </c>
      <c r="CK159" s="4">
        <v>1.674</v>
      </c>
      <c r="CL159" s="6"/>
      <c r="CM159" s="6"/>
      <c r="CN159" s="6"/>
      <c r="CO159" s="9">
        <v>35</v>
      </c>
      <c r="CP159" s="7">
        <f>IFERROR(CE159/F159,0)</f>
        <v>0.0005720547945205479</v>
      </c>
      <c r="CQ159" t="inlineStr">
        <is>
          <t xml:space="preserve">SI69U</t>
        </is>
      </c>
      <c r="CR159" t="inlineStr">
        <is>
          <t xml:space="preserve">future</t>
        </is>
      </c>
      <c r="CS159" t="inlineStr">
        <is>
          <t xml:space="preserve">lease</t>
        </is>
      </c>
      <c r="CT159" t="inlineStr">
        <is>
          <t xml:space="preserve">long</t>
        </is>
      </c>
      <c r="CU159" t="inlineStr">
        <is>
          <t xml:space="preserve">regular</t>
        </is>
      </c>
      <c r="CV159" s="4">
        <v>1.651</v>
      </c>
      <c r="CW159" s="4">
        <v>1.6480000000000001</v>
      </c>
      <c r="CX159" s="6"/>
      <c r="CY159" s="4">
        <v>0.9492118296971287</v>
      </c>
      <c r="CZ159" s="5">
        <f>IF(CR159="direct",IFERROR(DF159/CW159,0),0)</f>
        <v>0</v>
      </c>
      <c r="DA159" s="5">
        <f>IF(CR159="direct",CY159-CZ159,IF(CR159="cash",DK159,CY159))</f>
        <v>0.9492118296971287</v>
      </c>
      <c r="DB159" s="6">
        <v>1</v>
      </c>
      <c r="DC159" s="4">
        <v>1.5671487308299594</v>
      </c>
      <c r="DD159" s="4">
        <v>0</v>
      </c>
      <c r="DE159" s="5">
        <f>IF(CR159="direct",CY159*(CW159-CV159),DH159)</f>
        <v>-0.002847635489091247</v>
      </c>
      <c r="DF159" s="5">
        <f>IF(CR159="direct",DD159*CX159*C159/365,0)</f>
        <v>0</v>
      </c>
      <c r="DG159" s="5">
        <f>DE159-DF159</f>
        <v>-0.002847635489091247</v>
      </c>
      <c r="DH159" s="4">
        <v>-0.002847635489091247</v>
      </c>
      <c r="DI159" s="5">
        <f>DH159-DG159</f>
        <v>0</v>
      </c>
      <c r="DJ159" s="4">
        <v>0.002847635489091247</v>
      </c>
      <c r="DK159" s="4">
        <v>0</v>
      </c>
      <c r="DL159" s="4">
        <v>1.683</v>
      </c>
      <c r="DM159" s="4">
        <v>1.674</v>
      </c>
      <c r="DN159" s="6">
        <v>-0.019013666072489666</v>
      </c>
      <c r="DO159" s="6">
        <v>0.0696</v>
      </c>
      <c r="DP159" s="6">
        <v>0.26788537475596363</v>
      </c>
      <c r="DQ159" s="9">
        <v>35</v>
      </c>
      <c r="DR159" s="7">
        <f>IFERROR(DG159/F159,0)</f>
        <v>-0.001817080557237949</v>
      </c>
      <c r="DS159" t="inlineStr">
        <is>
          <t xml:space="preserve">Lease cash / margin / financing</t>
        </is>
      </c>
      <c r="DT159" t="inlineStr">
        <is>
          <t xml:space="preserve">cash</t>
        </is>
      </c>
      <c r="DU159" t="inlineStr">
        <is>
          <t xml:space="preserve">lease</t>
        </is>
      </c>
      <c r="DV159" t="inlineStr">
        <is>
          <t xml:space="preserve">cash</t>
        </is>
      </c>
      <c r="DW159"/>
      <c r="DX159" s="4">
        <v>1</v>
      </c>
      <c r="DY159" s="4">
        <v>1</v>
      </c>
      <c r="DZ159" s="6"/>
      <c r="EA159" s="4">
        <v>8.881784197001252e-16</v>
      </c>
      <c r="EB159" s="5">
        <f>IF(DT159="direct",IFERROR(EH159/DY159,0),0)</f>
        <v>0</v>
      </c>
      <c r="EC159" s="5">
        <f>IF(DT159="direct",EA159-EB159,IF(DT159="cash",EM159,EA159))</f>
        <v>-0.0028476354890904563</v>
      </c>
      <c r="ED159" s="6"/>
      <c r="EE159" s="4">
        <v>8.881784197001252e-16</v>
      </c>
      <c r="EF159" s="4">
        <v>8.881784197001252e-16</v>
      </c>
      <c r="EG159" s="5">
        <f>IF(DT159="direct",EA159*(DY159-DX159),EJ159)</f>
        <v>0</v>
      </c>
      <c r="EH159" s="5">
        <f>IF(DT159="direct",EF159*DZ159*C159/365,0)</f>
        <v>0</v>
      </c>
      <c r="EI159" s="5">
        <f>EG159-EH159</f>
        <v>0</v>
      </c>
      <c r="EJ159" s="4">
        <v>0</v>
      </c>
      <c r="EK159" s="5">
        <f>EJ159-EI159</f>
        <v>0</v>
      </c>
      <c r="EL159" s="4">
        <v>-0.0028476354890913445</v>
      </c>
      <c r="EM159" s="4">
        <v>-0.0028476354890904563</v>
      </c>
      <c r="EN159" s="4">
        <v>1.683</v>
      </c>
      <c r="EO159" s="4">
        <v>1.674</v>
      </c>
      <c r="EP159" s="6"/>
      <c r="EQ159" s="6"/>
      <c r="ER159" s="6"/>
      <c r="ES159" s="9"/>
      <c r="ET159" s="7">
        <f>IFERROR(EI159/F159,0)</f>
        <v>0</v>
      </c>
      <c r="EU159" t="inlineStr">
        <is>
          <t xml:space="preserve">Keep cash / margin / financing</t>
        </is>
      </c>
      <c r="EV159" t="inlineStr">
        <is>
          <t xml:space="preserve">cash</t>
        </is>
      </c>
      <c r="EW159" t="inlineStr">
        <is>
          <t xml:space="preserve">keep</t>
        </is>
      </c>
      <c r="EX159" t="inlineStr">
        <is>
          <t xml:space="preserve">cash</t>
        </is>
      </c>
      <c r="EY159"/>
      <c r="EZ159" s="4">
        <v>1</v>
      </c>
      <c r="FA159" s="4">
        <v>1</v>
      </c>
      <c r="FB159" s="6"/>
      <c r="FC159" s="4">
        <v>0</v>
      </c>
      <c r="FD159" s="5">
        <f>IF(EV159="direct",IFERROR(FJ159/FA159,0),0)</f>
        <v>0</v>
      </c>
      <c r="FE159" s="5">
        <f>IF(EV159="direct",FC159-FD159,IF(EV159="cash",FO159,FC159))</f>
        <v>0</v>
      </c>
      <c r="FF159" s="6"/>
      <c r="FG159" s="4">
        <v>0</v>
      </c>
      <c r="FH159" s="4">
        <v>0</v>
      </c>
      <c r="FI159" s="5">
        <f>IF(EV159="direct",FC159*(FA159-EZ159),FL159)</f>
        <v>0</v>
      </c>
      <c r="FJ159" s="5">
        <f>IF(EV159="direct",FH159*FB159*C159/365,0)</f>
        <v>0</v>
      </c>
      <c r="FK159" s="5">
        <f>FI159-FJ159</f>
        <v>0</v>
      </c>
      <c r="FL159" s="4">
        <v>0</v>
      </c>
      <c r="FM159" s="5">
        <f>FL159-FK159</f>
        <v>0</v>
      </c>
      <c r="FN159" s="4">
        <v>0</v>
      </c>
      <c r="FO159" s="4">
        <v>0</v>
      </c>
      <c r="FP159" s="4">
        <v>1.683</v>
      </c>
      <c r="FQ159" s="4">
        <v>1.674</v>
      </c>
      <c r="FR159" s="6"/>
      <c r="FS159" s="6"/>
      <c r="FT159" s="6"/>
      <c r="FU159" s="9"/>
      <c r="FV159" s="7">
        <f>IFERROR(FK159/F159,0)</f>
        <v>0</v>
      </c>
      <c r="FW159"/>
      <c r="FX159"/>
      <c r="FY159"/>
      <c r="FZ159"/>
      <c r="GA159"/>
      <c r="GB159" s="4"/>
      <c r="GC159" s="4"/>
      <c r="GD159" s="6"/>
      <c r="GE159" s="4"/>
      <c r="GF159" s="5">
        <v>0</v>
      </c>
      <c r="GG159" s="5"/>
      <c r="GH159" s="6"/>
      <c r="GI159" s="4"/>
      <c r="GJ159" s="4"/>
      <c r="GK159" s="5">
        <v>0</v>
      </c>
      <c r="GL159" s="5">
        <v>0</v>
      </c>
      <c r="GM159" s="5"/>
      <c r="GN159" s="4"/>
      <c r="GO159" s="5">
        <v>0</v>
      </c>
      <c r="GP159" s="4"/>
      <c r="GQ159" s="4"/>
      <c r="GR159" s="4"/>
      <c r="GS159" s="4"/>
      <c r="GT159" s="6"/>
      <c r="GU159" s="6"/>
      <c r="GV159" s="6"/>
      <c r="GW159" s="9"/>
      <c r="GX159"/>
      <c r="GY159"/>
      <c r="GZ159"/>
      <c r="HA159"/>
      <c r="HB159"/>
      <c r="HC159"/>
      <c r="HD159" s="4"/>
      <c r="HE159" s="4"/>
      <c r="HF159" s="6"/>
      <c r="HG159" s="4"/>
      <c r="HH159" s="5">
        <v>0</v>
      </c>
      <c r="HI159" s="5"/>
      <c r="HJ159" s="6"/>
      <c r="HK159" s="4"/>
      <c r="HL159" s="4"/>
      <c r="HM159" s="5">
        <v>0</v>
      </c>
      <c r="HN159" s="5">
        <v>0</v>
      </c>
      <c r="HO159" s="5"/>
      <c r="HP159" s="4"/>
      <c r="HQ159" s="5">
        <v>0</v>
      </c>
      <c r="HR159" s="4"/>
      <c r="HS159" s="4"/>
      <c r="HT159" s="4"/>
      <c r="HU159" s="4"/>
      <c r="HV159" s="6"/>
      <c r="HW159" s="6"/>
      <c r="HX159" s="6"/>
      <c r="HY159" s="9"/>
      <c r="HZ159"/>
      <c r="IA159"/>
      <c r="IB159"/>
      <c r="IC159"/>
      <c r="ID159"/>
      <c r="IE159"/>
      <c r="IF159" s="4"/>
      <c r="IG159" s="4"/>
      <c r="IH159" s="6"/>
      <c r="II159" s="4"/>
      <c r="IJ159" s="5">
        <v>0</v>
      </c>
      <c r="IK159" s="5"/>
      <c r="IL159" s="6"/>
      <c r="IM159" s="4"/>
      <c r="IN159" s="4"/>
      <c r="IO159" s="5">
        <v>0</v>
      </c>
      <c r="IP159" s="5">
        <v>0</v>
      </c>
      <c r="IQ159" s="5"/>
      <c r="IR159" s="4"/>
      <c r="IS159" s="5">
        <v>0</v>
      </c>
      <c r="IT159" s="4"/>
      <c r="IU159" s="4"/>
      <c r="IV159" s="4"/>
      <c r="IW159" s="4"/>
      <c r="IX159" s="6"/>
      <c r="IY159" s="6"/>
      <c r="IZ159" s="6"/>
      <c r="JA159" s="9"/>
      <c r="JB159"/>
      <c r="JC159"/>
      <c r="JD159"/>
      <c r="JE159"/>
      <c r="JF159"/>
      <c r="JG159"/>
      <c r="JH159" s="4"/>
      <c r="JI159" s="4"/>
      <c r="JJ159" s="6"/>
      <c r="JK159" s="4"/>
      <c r="JL159" s="5">
        <v>0</v>
      </c>
      <c r="JM159" s="5"/>
      <c r="JN159" s="6"/>
      <c r="JO159" s="4"/>
      <c r="JP159" s="4"/>
      <c r="JQ159" s="5">
        <v>0</v>
      </c>
      <c r="JR159" s="5">
        <v>0</v>
      </c>
      <c r="JS159" s="5"/>
      <c r="JT159" s="4"/>
      <c r="JU159" s="5">
        <v>0</v>
      </c>
      <c r="JV159" s="4"/>
      <c r="JW159" s="4"/>
      <c r="JX159" s="4"/>
      <c r="JY159" s="4"/>
      <c r="JZ159" s="6"/>
      <c r="KA159" s="6"/>
      <c r="KB159" s="6"/>
      <c r="KC159" s="9"/>
      <c r="KD159"/>
      <c r="KE159"/>
      <c r="KF159"/>
      <c r="KG159"/>
      <c r="KH159"/>
      <c r="KI159"/>
      <c r="KJ159" s="4"/>
      <c r="KK159" s="4"/>
      <c r="KL159" s="6"/>
      <c r="KM159" s="4"/>
      <c r="KN159" s="5">
        <v>0</v>
      </c>
      <c r="KO159" s="5"/>
      <c r="KP159" s="6"/>
      <c r="KQ159" s="4"/>
      <c r="KR159" s="4"/>
      <c r="KS159" s="5">
        <v>0</v>
      </c>
      <c r="KT159" s="5">
        <v>0</v>
      </c>
      <c r="KU159" s="5"/>
      <c r="KV159" s="4"/>
      <c r="KW159" s="5">
        <v>0</v>
      </c>
      <c r="KX159" s="4"/>
      <c r="KY159" s="4"/>
      <c r="KZ159" s="4"/>
      <c r="LA159" s="4"/>
      <c r="LB159" s="6"/>
      <c r="LC159" s="6"/>
      <c r="LD159" s="6"/>
      <c r="LE159" s="9"/>
      <c r="LF159"/>
      <c r="LG159"/>
      <c r="LH159"/>
      <c r="LI159"/>
      <c r="LJ159"/>
      <c r="LK159"/>
      <c r="LL159" s="4"/>
      <c r="LM159" s="4"/>
      <c r="LN159" s="6"/>
      <c r="LO159" s="4"/>
      <c r="LP159" s="5">
        <v>0</v>
      </c>
      <c r="LQ159" s="5"/>
      <c r="LR159" s="6"/>
      <c r="LS159" s="4"/>
      <c r="LT159" s="4"/>
      <c r="LU159" s="5">
        <v>0</v>
      </c>
      <c r="LV159" s="5">
        <v>0</v>
      </c>
      <c r="LW159" s="5"/>
      <c r="LX159" s="4"/>
      <c r="LY159" s="5">
        <v>0</v>
      </c>
      <c r="LZ159" s="4"/>
      <c r="MA159" s="4"/>
      <c r="MB159" s="4"/>
      <c r="MC159" s="4"/>
      <c r="MD159" s="6"/>
      <c r="ME159" s="6"/>
      <c r="MF159" s="6"/>
      <c r="MG159" s="9"/>
      <c r="MH159"/>
    </row>
    <row r="160">
      <c r="A160" s="8">
        <v>25440</v>
      </c>
      <c r="B160" s="8">
        <v>25441</v>
      </c>
      <c r="C160" s="9">
        <f>B160-A160</f>
        <v>1</v>
      </c>
      <c r="D160" s="8">
        <v>25440</v>
      </c>
      <c r="E160" t="inlineStr">
        <is>
          <t xml:space="preserve">positive</t>
        </is>
      </c>
      <c r="F160" s="4">
        <v>1.5651975902860662</v>
      </c>
      <c r="G160" s="6">
        <v>0.00019178082191780824</v>
      </c>
      <c r="H160" s="7">
        <f>SUM(CP160,DR160,ET160,FV160,GX160,HZ160,JB160,KD160,LF160,MH160)</f>
        <v>0.00019178082191780824</v>
      </c>
      <c r="I160" s="7">
        <f>G160-H160</f>
        <v>0</v>
      </c>
      <c r="J160" s="5">
        <f>F160*(1+H160)</f>
        <v>1.565497765166395</v>
      </c>
      <c r="K160" s="4">
        <v>1.565497765166395</v>
      </c>
      <c r="L160" s="5">
        <f>K160-J160</f>
        <v>0</v>
      </c>
      <c r="M160" s="4">
        <v>1.674</v>
      </c>
      <c r="N160" s="4">
        <v>1.663</v>
      </c>
      <c r="O160" s="5">
        <f>M160/$M$3</f>
        <v>0.8549540347293156</v>
      </c>
      <c r="P160" s="5">
        <f>N160/$M$3</f>
        <v>0.8493360572012257</v>
      </c>
      <c r="Q160" s="7">
        <f>IFERROR(N160/M160-1,0)</f>
        <v>-0.006571087216248439</v>
      </c>
      <c r="R160" s="5">
        <f>SUM(IF(BQ160="lease",CB160,0),IF(CS160="lease",DD160,0),IF(DU160="lease",EF160,0),IF(EW160="lease",FH160,0),IF(FY160="lease",GJ160,0),IF(HA160="lease",HL160,0),IF(IC160="lease",IN160,0),IF(JE160="lease",JP160,0),IF(KG160="lease",KR160,0),IF(LI160="lease",LT160,0))</f>
        <v>1.565197590286067</v>
      </c>
      <c r="S160" s="5">
        <f>SUM(IF(BQ160="lease",CI160,0),IF(CS160="lease",DK160,0),IF(DU160="lease",EM160,0),IF(EW160="lease",FO160,0),IF(FY160="lease",GQ160,0),IF(HA160="lease",HS160,0),IF(IC160="lease",IU160,0),IF(JE160="lease",JW160,0),IF(KG160="lease",KY160,0),IF(LI160="lease",MA160,0))</f>
        <v>1.565497765166396</v>
      </c>
      <c r="T160" s="5">
        <f>SUM(IF(BQ160="keep",CB160,0),IF(CS160="keep",DD160,0),IF(DU160="keep",EF160,0),IF(EW160="keep",FH160,0),IF(FY160="keep",GJ160,0),IF(HA160="keep",HL160,0),IF(IC160="keep",IN160,0),IF(JE160="keep",JP160,0),IF(KG160="keep",KR160,0),IF(LI160="keep",LT160,0))</f>
        <v>0</v>
      </c>
      <c r="U160" s="5">
        <f>SUM(IF(BQ160="keep",CI160,0),IF(CS160="keep",DK160,0),IF(DU160="keep",EM160,0),IF(EW160="keep",FO160,0),IF(FY160="keep",GQ160,0),IF(HA160="keep",HS160,0),IF(IC160="keep",IU160,0),IF(JE160="keep",JW160,0),IF(KG160="keep",KY160,0),IF(LI160="keep",MA160,0))</f>
        <v>0</v>
      </c>
      <c r="V160" s="5">
        <f>R160/O160</f>
        <v>1.8307388780048504</v>
      </c>
      <c r="W160" s="5">
        <f>S160/P160</f>
        <v>1.843201818518222</v>
      </c>
      <c r="X160" s="5">
        <f>T160/O160</f>
        <v>0</v>
      </c>
      <c r="Y160" s="5">
        <f>U160/P160</f>
        <v>0</v>
      </c>
      <c r="Z160" s="5">
        <f>V160+X160</f>
        <v>1.8307388780048504</v>
      </c>
      <c r="AA160" s="7">
        <f>IFERROR(W160/V160-1,0)</f>
        <v>0.006807601380571349</v>
      </c>
      <c r="AB160" s="7">
        <f>IFERROR((W160-V160)/Z160,0)</f>
        <v>0.006807601380571425</v>
      </c>
      <c r="AC160" s="7">
        <f>IFERROR(Y160/X160-1,0)</f>
        <v>0</v>
      </c>
      <c r="AD160" s="7">
        <f>IFERROR((Y160-X160)/Z160,0)</f>
        <v>0</v>
      </c>
      <c r="AE160" s="7">
        <f>AB160+AD160</f>
        <v>0.006807601380571425</v>
      </c>
      <c r="AF160" s="7">
        <f>(1+Q160)*(1+AE160)-1</f>
        <v>0.0001917808219176198</v>
      </c>
      <c r="AG160" s="7">
        <f>G160-AF160</f>
        <v>1.8843433757798067e-16</v>
      </c>
      <c r="AH160" s="5">
        <f>SUM(IF(BQ160="lease",CE160,0),IF(CS160="lease",DG160,0),IF(DU160="lease",EI160,0),IF(EW160="lease",FK160,0),IF(FY160="lease",GM160,0),IF(HA160="lease",HO160,0),IF(IC160="lease",IQ160,0),IF(JE160="lease",JS160,0),IF(KG160="lease",KU160,0),IF(LI160="lease",LW160,0))</f>
        <v>0.0003001748803288346</v>
      </c>
      <c r="AI160" s="5">
        <f>SUM(IF(BQ160="keep",CE160,0),IF(CS160="keep",DG160,0),IF(DU160="keep",EI160,0),IF(EW160="keep",FK160,0),IF(FY160="keep",GM160,0),IF(HA160="keep",HO160,0),IF(IC160="keep",IQ160,0),IF(JE160="keep",JS160,0),IF(KG160="keep",KU160,0),IF(LI160="keep",LW160,0))</f>
        <v>0</v>
      </c>
      <c r="AJ160" s="5">
        <f>SUM(IF(BQ160="lease",CH160,0),IF(CS160="lease",DJ160,0),IF(DU160="lease",EL160,0),IF(EW160="lease",FN160,0),IF(FY160="lease",GP160,0),IF(HA160="lease",HR160,0),IF(IC160="lease",IT160,0),IF(JE160="lease",JV160,0),IF(KG160="lease",KX160,0),IF(LI160="lease",LZ160,0))</f>
        <v>0</v>
      </c>
      <c r="AK160" s="5">
        <f>SUM(IF(BQ160="keep",CH160,0),IF(CS160="keep",DJ160,0),IF(DU160="keep",EL160,0),IF(EW160="keep",FN160,0),IF(FY160="keep",GP160,0),IF(HA160="keep",HR160,0),IF(IC160="keep",IT160,0),IF(JE160="keep",JV160,0),IF(KG160="keep",KX160,0),IF(LI160="keep",LZ160,0))</f>
        <v>0</v>
      </c>
      <c r="AL160" s="5">
        <f>R160-S159</f>
        <v>0</v>
      </c>
      <c r="AM160" s="5">
        <f>T160-U159</f>
        <v>0</v>
      </c>
      <c r="AN160" s="5">
        <f>AN159</f>
        <v>1</v>
      </c>
      <c r="AO160" s="5">
        <f>AO159+AH160</f>
        <v>0.5654977651663962</v>
      </c>
      <c r="AP160" s="5">
        <f>AP159+AL160</f>
        <v>-4.440892098500626e-16</v>
      </c>
      <c r="AQ160" s="5">
        <f>AN160+AO160+AP160</f>
        <v>1.5654977651663957</v>
      </c>
      <c r="AR160" s="5">
        <f>S160-AQ160</f>
        <v>2.220446049250313e-16</v>
      </c>
      <c r="AS160" s="5">
        <f>AS159</f>
        <v>0</v>
      </c>
      <c r="AT160" s="5">
        <f>AT159+AI160</f>
        <v>0</v>
      </c>
      <c r="AU160" s="5">
        <f>AU159+AM160</f>
        <v>0</v>
      </c>
      <c r="AV160" s="5">
        <f>AS160+AT160+AU160</f>
        <v>0</v>
      </c>
      <c r="AW160" s="5">
        <f>U160-AV160</f>
        <v>0</v>
      </c>
      <c r="AX160" s="4">
        <v>1.565197590286067</v>
      </c>
      <c r="AY160" s="4">
        <v>1.565497765166396</v>
      </c>
      <c r="AZ160" s="5">
        <f>S160-AY160</f>
        <v>0</v>
      </c>
      <c r="BA160" s="4">
        <v>0</v>
      </c>
      <c r="BB160" s="4">
        <v>0</v>
      </c>
      <c r="BC160" s="5">
        <f>U160-BB160</f>
        <v>0</v>
      </c>
      <c r="BD160" s="7">
        <f>SUM(IF(BP160="direct",CC160/F160,0),IF(CR160="direct",DE160/F160,0),IF(DT160="direct",EG160/F160,0),IF(EV160="direct",FI160/F160,0),IF(FX160="direct",GK160/F160,0),IF(GZ160="direct",HM160/F160,0),IF(IB160="direct",IO160/F160,0),IF(JD160="direct",JQ160/F160,0),IF(KF160="direct",KS160/F160,0),IF(LH160="direct",LU160/F160,0))</f>
        <v>0</v>
      </c>
      <c r="BE160" s="7">
        <f>-SUM(IF(BP160="direct",CD160/F160,0),IF(CR160="direct",DF160/F160,0),IF(DT160="direct",EH160/F160,0),IF(EV160="direct",FJ160/F160,0),IF(FX160="direct",GL160/F160,0),IF(GZ160="direct",HN160/F160,0),IF(IB160="direct",IP160/F160,0),IF(JD160="direct",JR160/F160,0),IF(KF160="direct",KT160/F160,0),IF(LH160="direct",LV160/F160,0))</f>
        <v>0</v>
      </c>
      <c r="BF160" s="7">
        <f>BD160+BE160</f>
        <v>0</v>
      </c>
      <c r="BG160" s="7">
        <f>BF160-SUM(IF(BP160="direct",CP160,0),IF(CR160="direct",DR160,0),IF(DT160="direct",ET160,0),IF(EV160="direct",FV160,0),IF(FX160="direct",GX160,0),IF(GZ160="direct",HZ160,0),IF(IB160="direct",JB160,0),IF(JD160="direct",KD160,0),IF(KF160="direct",LF160,0),IF(LH160="direct",MH160,0))</f>
        <v>0</v>
      </c>
      <c r="BH160" s="7">
        <f>SUM(IF(BP160="treasury",CP160,0),IF(CR160="treasury",DR160,0),IF(DT160="treasury",ET160,0),IF(EV160="treasury",FV160,0),IF(FX160="treasury",GX160,0),IF(GZ160="treasury",HZ160,0),IF(IB160="treasury",JB160,0),IF(JD160="treasury",KD160,0),IF(KF160="treasury",LF160,0),IF(LH160="treasury",MH160,0))</f>
        <v>0.00019178082191780824</v>
      </c>
      <c r="BI160" s="7">
        <f>SUM(IF(BP160="future",CP160,0),IF(CR160="future",DR160,0),IF(DT160="future",ET160,0),IF(EV160="future",FV160,0),IF(FX160="future",GX160,0),IF(GZ160="future",HZ160,0),IF(IB160="future",JB160,0),IF(JD160="future",KD160,0),IF(KF160="future",LF160,0),IF(LH160="future",MH160,0))</f>
        <v>0</v>
      </c>
      <c r="BJ160" s="7">
        <f>SUM(IF(BP160="cash",CP160,0),IF(CR160="cash",DR160,0),IF(DT160="cash",ET160,0),IF(EV160="cash",FV160,0),IF(FX160="cash",GX160,0),IF(GZ160="cash",HZ160,0),IF(IB160="cash",JB160,0),IF(JD160="cash",KD160,0),IF(KF160="cash",LF160,0),IF(LH160="cash",MH160,0))</f>
        <v>0</v>
      </c>
      <c r="BK160" s="7">
        <f>SUM(BF160,BH160,BI160,BJ160)</f>
        <v>0.00019178082191780824</v>
      </c>
      <c r="BL160" s="7">
        <f>G160-BK160</f>
        <v>0</v>
      </c>
      <c r="BM160" s="5">
        <f>MAX(ABS(CG160),ABS(DI160),ABS(EK160),ABS(FM160),ABS(GO160),ABS(HQ160),ABS(IS160),ABS(JU160),ABS(KW160),ABS(LY160))</f>
        <v>5.594483210025203e-17</v>
      </c>
      <c r="BN160" s="9">
        <f>COUNTA(BO160,CQ160,DS160,EU160,FW160,GY160,IA160,JC160,KE160,LG160)</f>
        <v>4</v>
      </c>
      <c r="BO160" t="inlineStr">
        <is>
          <t xml:space="preserve">Treasury collateral</t>
        </is>
      </c>
      <c r="BP160" t="inlineStr">
        <is>
          <t xml:space="preserve">treasury</t>
        </is>
      </c>
      <c r="BQ160" t="inlineStr">
        <is>
          <t xml:space="preserve">lease</t>
        </is>
      </c>
      <c r="BR160" t="inlineStr">
        <is>
          <t xml:space="preserve">long</t>
        </is>
      </c>
      <c r="BS160"/>
      <c r="BT160" s="4">
        <v>104.16328197908456</v>
      </c>
      <c r="BU160" s="4">
        <v>104.18325849891616</v>
      </c>
      <c r="BV160" s="6"/>
      <c r="BW160" s="4">
        <v>0.015026385119089755</v>
      </c>
      <c r="BX160" s="5">
        <f>IF(BP160="direct",IFERROR(CD160/BU160,0),0)</f>
        <v>0</v>
      </c>
      <c r="BY160" s="5">
        <f>IF(BP160="direct",BW160-BX160,IF(BP160="cash",CI160,BW160))</f>
        <v>0.015026385119089755</v>
      </c>
      <c r="BZ160" s="6">
        <v>1</v>
      </c>
      <c r="CA160" s="4">
        <v>1.5651975902860662</v>
      </c>
      <c r="CB160" s="4">
        <v>1.5651975902860662</v>
      </c>
      <c r="CC160" s="5">
        <f>IF(BP160="direct",BW160*(BU160-BT160),CF160)</f>
        <v>0.0003001748803287787</v>
      </c>
      <c r="CD160" s="5">
        <f>IF(BP160="direct",CB160*BV160*C160/365,0)</f>
        <v>0</v>
      </c>
      <c r="CE160" s="5">
        <f>CC160-CD160</f>
        <v>0.0003001748803288346</v>
      </c>
      <c r="CF160" s="4">
        <v>0.0003001748803288346</v>
      </c>
      <c r="CG160" s="5">
        <f>CF160-CE160</f>
        <v>5.594483210025203e-17</v>
      </c>
      <c r="CH160" s="4">
        <v>1.713039432527097e-17</v>
      </c>
      <c r="CI160" s="4">
        <v>1.565497765166395</v>
      </c>
      <c r="CJ160" s="4">
        <v>1.674</v>
      </c>
      <c r="CK160" s="4">
        <v>1.663</v>
      </c>
      <c r="CL160" s="6"/>
      <c r="CM160" s="6"/>
      <c r="CN160" s="6"/>
      <c r="CO160" s="9">
        <v>32</v>
      </c>
      <c r="CP160" s="7">
        <f>IFERROR(CE160/F160,0)</f>
        <v>0.00019178082191780824</v>
      </c>
      <c r="CQ160" t="inlineStr">
        <is>
          <t xml:space="preserve">SI69U</t>
        </is>
      </c>
      <c r="CR160" t="inlineStr">
        <is>
          <t xml:space="preserve">future</t>
        </is>
      </c>
      <c r="CS160" t="inlineStr">
        <is>
          <t xml:space="preserve">lease</t>
        </is>
      </c>
      <c r="CT160" t="inlineStr">
        <is>
          <t xml:space="preserve">long</t>
        </is>
      </c>
      <c r="CU160" t="inlineStr">
        <is>
          <t xml:space="preserve">regular</t>
        </is>
      </c>
      <c r="CV160" s="4">
        <v>1.6480000000000001</v>
      </c>
      <c r="CW160" s="4">
        <v>1.6480000000000001</v>
      </c>
      <c r="CX160" s="6"/>
      <c r="CY160" s="4">
        <v>0.9497558193483411</v>
      </c>
      <c r="CZ160" s="5">
        <f>IF(CR160="direct",IFERROR(DF160/CW160,0),0)</f>
        <v>0</v>
      </c>
      <c r="DA160" s="5">
        <f>IF(CR160="direct",CY160-CZ160,IF(CR160="cash",DK160,CY160))</f>
        <v>0.9497558193483411</v>
      </c>
      <c r="DB160" s="6">
        <v>1</v>
      </c>
      <c r="DC160" s="4">
        <v>1.5651975902860662</v>
      </c>
      <c r="DD160" s="4">
        <v>0</v>
      </c>
      <c r="DE160" s="5">
        <f>IF(CR160="direct",CY160*(CW160-CV160),DH160)</f>
        <v>0</v>
      </c>
      <c r="DF160" s="5">
        <f>IF(CR160="direct",DD160*CX160*C160/365,0)</f>
        <v>0</v>
      </c>
      <c r="DG160" s="5">
        <f>DE160-DF160</f>
        <v>0</v>
      </c>
      <c r="DH160" s="4">
        <v>0</v>
      </c>
      <c r="DI160" s="5">
        <f>DH160-DG160</f>
        <v>0</v>
      </c>
      <c r="DJ160" s="4">
        <v>0</v>
      </c>
      <c r="DK160" s="4">
        <v>0</v>
      </c>
      <c r="DL160" s="4">
        <v>1.674</v>
      </c>
      <c r="DM160" s="4">
        <v>1.663</v>
      </c>
      <c r="DN160" s="6">
        <v>-0.015531660692950866</v>
      </c>
      <c r="DO160" s="6">
        <v>0.07</v>
      </c>
      <c r="DP160" s="6">
        <v>0.24715800477897085</v>
      </c>
      <c r="DQ160" s="9">
        <v>32</v>
      </c>
      <c r="DR160" s="7">
        <f>IFERROR(DG160/F160,0)</f>
        <v>0</v>
      </c>
      <c r="DS160" t="inlineStr">
        <is>
          <t xml:space="preserve">Lease cash / margin / financing</t>
        </is>
      </c>
      <c r="DT160" t="inlineStr">
        <is>
          <t xml:space="preserve">cash</t>
        </is>
      </c>
      <c r="DU160" t="inlineStr">
        <is>
          <t xml:space="preserve">lease</t>
        </is>
      </c>
      <c r="DV160" t="inlineStr">
        <is>
          <t xml:space="preserve">cash</t>
        </is>
      </c>
      <c r="DW160"/>
      <c r="DX160" s="4">
        <v>1</v>
      </c>
      <c r="DY160" s="4">
        <v>1</v>
      </c>
      <c r="DZ160" s="6"/>
      <c r="EA160" s="4">
        <v>8.881784197001252e-16</v>
      </c>
      <c r="EB160" s="5">
        <f>IF(DT160="direct",IFERROR(EH160/DY160,0),0)</f>
        <v>0</v>
      </c>
      <c r="EC160" s="5">
        <f>IF(DT160="direct",EA160-EB160,IF(DT160="cash",EM160,EA160))</f>
        <v>8.710480253748543e-16</v>
      </c>
      <c r="ED160" s="6"/>
      <c r="EE160" s="4">
        <v>8.881784197001252e-16</v>
      </c>
      <c r="EF160" s="4">
        <v>8.881784197001252e-16</v>
      </c>
      <c r="EG160" s="5">
        <f>IF(DT160="direct",EA160*(DY160-DX160),EJ160)</f>
        <v>0</v>
      </c>
      <c r="EH160" s="5">
        <f>IF(DT160="direct",EF160*DZ160*C160/365,0)</f>
        <v>0</v>
      </c>
      <c r="EI160" s="5">
        <f>EG160-EH160</f>
        <v>0</v>
      </c>
      <c r="EJ160" s="4">
        <v>0</v>
      </c>
      <c r="EK160" s="5">
        <f>EJ160-EI160</f>
        <v>0</v>
      </c>
      <c r="EL160" s="4">
        <v>-1.713039432527097e-17</v>
      </c>
      <c r="EM160" s="4">
        <v>8.710480253748543e-16</v>
      </c>
      <c r="EN160" s="4">
        <v>1.674</v>
      </c>
      <c r="EO160" s="4">
        <v>1.663</v>
      </c>
      <c r="EP160" s="6"/>
      <c r="EQ160" s="6"/>
      <c r="ER160" s="6"/>
      <c r="ES160" s="9"/>
      <c r="ET160" s="7">
        <f>IFERROR(EI160/F160,0)</f>
        <v>0</v>
      </c>
      <c r="EU160" t="inlineStr">
        <is>
          <t xml:space="preserve">Keep cash / margin / financing</t>
        </is>
      </c>
      <c r="EV160" t="inlineStr">
        <is>
          <t xml:space="preserve">cash</t>
        </is>
      </c>
      <c r="EW160" t="inlineStr">
        <is>
          <t xml:space="preserve">keep</t>
        </is>
      </c>
      <c r="EX160" t="inlineStr">
        <is>
          <t xml:space="preserve">cash</t>
        </is>
      </c>
      <c r="EY160"/>
      <c r="EZ160" s="4">
        <v>1</v>
      </c>
      <c r="FA160" s="4">
        <v>1</v>
      </c>
      <c r="FB160" s="6"/>
      <c r="FC160" s="4">
        <v>0</v>
      </c>
      <c r="FD160" s="5">
        <f>IF(EV160="direct",IFERROR(FJ160/FA160,0),0)</f>
        <v>0</v>
      </c>
      <c r="FE160" s="5">
        <f>IF(EV160="direct",FC160-FD160,IF(EV160="cash",FO160,FC160))</f>
        <v>0</v>
      </c>
      <c r="FF160" s="6"/>
      <c r="FG160" s="4">
        <v>0</v>
      </c>
      <c r="FH160" s="4">
        <v>0</v>
      </c>
      <c r="FI160" s="5">
        <f>IF(EV160="direct",FC160*(FA160-EZ160),FL160)</f>
        <v>0</v>
      </c>
      <c r="FJ160" s="5">
        <f>IF(EV160="direct",FH160*FB160*C160/365,0)</f>
        <v>0</v>
      </c>
      <c r="FK160" s="5">
        <f>FI160-FJ160</f>
        <v>0</v>
      </c>
      <c r="FL160" s="4">
        <v>0</v>
      </c>
      <c r="FM160" s="5">
        <f>FL160-FK160</f>
        <v>0</v>
      </c>
      <c r="FN160" s="4">
        <v>0</v>
      </c>
      <c r="FO160" s="4">
        <v>0</v>
      </c>
      <c r="FP160" s="4">
        <v>1.674</v>
      </c>
      <c r="FQ160" s="4">
        <v>1.663</v>
      </c>
      <c r="FR160" s="6"/>
      <c r="FS160" s="6"/>
      <c r="FT160" s="6"/>
      <c r="FU160" s="9"/>
      <c r="FV160" s="7">
        <f>IFERROR(FK160/F160,0)</f>
        <v>0</v>
      </c>
      <c r="FW160"/>
      <c r="FX160"/>
      <c r="FY160"/>
      <c r="FZ160"/>
      <c r="GA160"/>
      <c r="GB160" s="4"/>
      <c r="GC160" s="4"/>
      <c r="GD160" s="6"/>
      <c r="GE160" s="4"/>
      <c r="GF160" s="5">
        <v>0</v>
      </c>
      <c r="GG160" s="5"/>
      <c r="GH160" s="6"/>
      <c r="GI160" s="4"/>
      <c r="GJ160" s="4"/>
      <c r="GK160" s="5">
        <v>0</v>
      </c>
      <c r="GL160" s="5">
        <v>0</v>
      </c>
      <c r="GM160" s="5"/>
      <c r="GN160" s="4"/>
      <c r="GO160" s="5">
        <v>0</v>
      </c>
      <c r="GP160" s="4"/>
      <c r="GQ160" s="4"/>
      <c r="GR160" s="4"/>
      <c r="GS160" s="4"/>
      <c r="GT160" s="6"/>
      <c r="GU160" s="6"/>
      <c r="GV160" s="6"/>
      <c r="GW160" s="9"/>
      <c r="GX160"/>
      <c r="GY160"/>
      <c r="GZ160"/>
      <c r="HA160"/>
      <c r="HB160"/>
      <c r="HC160"/>
      <c r="HD160" s="4"/>
      <c r="HE160" s="4"/>
      <c r="HF160" s="6"/>
      <c r="HG160" s="4"/>
      <c r="HH160" s="5">
        <v>0</v>
      </c>
      <c r="HI160" s="5"/>
      <c r="HJ160" s="6"/>
      <c r="HK160" s="4"/>
      <c r="HL160" s="4"/>
      <c r="HM160" s="5">
        <v>0</v>
      </c>
      <c r="HN160" s="5">
        <v>0</v>
      </c>
      <c r="HO160" s="5"/>
      <c r="HP160" s="4"/>
      <c r="HQ160" s="5">
        <v>0</v>
      </c>
      <c r="HR160" s="4"/>
      <c r="HS160" s="4"/>
      <c r="HT160" s="4"/>
      <c r="HU160" s="4"/>
      <c r="HV160" s="6"/>
      <c r="HW160" s="6"/>
      <c r="HX160" s="6"/>
      <c r="HY160" s="9"/>
      <c r="HZ160"/>
      <c r="IA160"/>
      <c r="IB160"/>
      <c r="IC160"/>
      <c r="ID160"/>
      <c r="IE160"/>
      <c r="IF160" s="4"/>
      <c r="IG160" s="4"/>
      <c r="IH160" s="6"/>
      <c r="II160" s="4"/>
      <c r="IJ160" s="5">
        <v>0</v>
      </c>
      <c r="IK160" s="5"/>
      <c r="IL160" s="6"/>
      <c r="IM160" s="4"/>
      <c r="IN160" s="4"/>
      <c r="IO160" s="5">
        <v>0</v>
      </c>
      <c r="IP160" s="5">
        <v>0</v>
      </c>
      <c r="IQ160" s="5"/>
      <c r="IR160" s="4"/>
      <c r="IS160" s="5">
        <v>0</v>
      </c>
      <c r="IT160" s="4"/>
      <c r="IU160" s="4"/>
      <c r="IV160" s="4"/>
      <c r="IW160" s="4"/>
      <c r="IX160" s="6"/>
      <c r="IY160" s="6"/>
      <c r="IZ160" s="6"/>
      <c r="JA160" s="9"/>
      <c r="JB160"/>
      <c r="JC160"/>
      <c r="JD160"/>
      <c r="JE160"/>
      <c r="JF160"/>
      <c r="JG160"/>
      <c r="JH160" s="4"/>
      <c r="JI160" s="4"/>
      <c r="JJ160" s="6"/>
      <c r="JK160" s="4"/>
      <c r="JL160" s="5">
        <v>0</v>
      </c>
      <c r="JM160" s="5"/>
      <c r="JN160" s="6"/>
      <c r="JO160" s="4"/>
      <c r="JP160" s="4"/>
      <c r="JQ160" s="5">
        <v>0</v>
      </c>
      <c r="JR160" s="5">
        <v>0</v>
      </c>
      <c r="JS160" s="5"/>
      <c r="JT160" s="4"/>
      <c r="JU160" s="5">
        <v>0</v>
      </c>
      <c r="JV160" s="4"/>
      <c r="JW160" s="4"/>
      <c r="JX160" s="4"/>
      <c r="JY160" s="4"/>
      <c r="JZ160" s="6"/>
      <c r="KA160" s="6"/>
      <c r="KB160" s="6"/>
      <c r="KC160" s="9"/>
      <c r="KD160"/>
      <c r="KE160"/>
      <c r="KF160"/>
      <c r="KG160"/>
      <c r="KH160"/>
      <c r="KI160"/>
      <c r="KJ160" s="4"/>
      <c r="KK160" s="4"/>
      <c r="KL160" s="6"/>
      <c r="KM160" s="4"/>
      <c r="KN160" s="5">
        <v>0</v>
      </c>
      <c r="KO160" s="5"/>
      <c r="KP160" s="6"/>
      <c r="KQ160" s="4"/>
      <c r="KR160" s="4"/>
      <c r="KS160" s="5">
        <v>0</v>
      </c>
      <c r="KT160" s="5">
        <v>0</v>
      </c>
      <c r="KU160" s="5"/>
      <c r="KV160" s="4"/>
      <c r="KW160" s="5">
        <v>0</v>
      </c>
      <c r="KX160" s="4"/>
      <c r="KY160" s="4"/>
      <c r="KZ160" s="4"/>
      <c r="LA160" s="4"/>
      <c r="LB160" s="6"/>
      <c r="LC160" s="6"/>
      <c r="LD160" s="6"/>
      <c r="LE160" s="9"/>
      <c r="LF160"/>
      <c r="LG160"/>
      <c r="LH160"/>
      <c r="LI160"/>
      <c r="LJ160"/>
      <c r="LK160"/>
      <c r="LL160" s="4"/>
      <c r="LM160" s="4"/>
      <c r="LN160" s="6"/>
      <c r="LO160" s="4"/>
      <c r="LP160" s="5">
        <v>0</v>
      </c>
      <c r="LQ160" s="5"/>
      <c r="LR160" s="6"/>
      <c r="LS160" s="4"/>
      <c r="LT160" s="4"/>
      <c r="LU160" s="5">
        <v>0</v>
      </c>
      <c r="LV160" s="5">
        <v>0</v>
      </c>
      <c r="LW160" s="5"/>
      <c r="LX160" s="4"/>
      <c r="LY160" s="5">
        <v>0</v>
      </c>
      <c r="LZ160" s="4"/>
      <c r="MA160" s="4"/>
      <c r="MB160" s="4"/>
      <c r="MC160" s="4"/>
      <c r="MD160" s="6"/>
      <c r="ME160" s="6"/>
      <c r="MF160" s="6"/>
      <c r="MG160" s="9"/>
      <c r="MH160"/>
    </row>
    <row r="161">
      <c r="A161" s="8">
        <v>25441</v>
      </c>
      <c r="B161" s="8">
        <v>25442</v>
      </c>
      <c r="C161" s="9">
        <f>B161-A161</f>
        <v>1</v>
      </c>
      <c r="D161" s="8">
        <v>25441</v>
      </c>
      <c r="E161" t="inlineStr">
        <is>
          <t xml:space="preserve">positive</t>
        </is>
      </c>
      <c r="F161" s="4">
        <v>1.565497765166395</v>
      </c>
      <c r="G161" s="6">
        <v>-0.008905777364011195</v>
      </c>
      <c r="H161" s="7">
        <f>SUM(CP161,DR161,ET161,FV161,GX161,HZ161,JB161,KD161,LF161,MH161)</f>
        <v>-0.008905777364011195</v>
      </c>
      <c r="I161" s="7">
        <f>G161-H161</f>
        <v>0</v>
      </c>
      <c r="J161" s="5">
        <f>F161*(1+H161)</f>
        <v>1.551555790605966</v>
      </c>
      <c r="K161" s="4">
        <v>1.551555790605966</v>
      </c>
      <c r="L161" s="5">
        <f>K161-J161</f>
        <v>0</v>
      </c>
      <c r="M161" s="4">
        <v>1.663</v>
      </c>
      <c r="N161" s="4">
        <v>1.673</v>
      </c>
      <c r="O161" s="5">
        <f>M161/$M$3</f>
        <v>0.8493360572012257</v>
      </c>
      <c r="P161" s="5">
        <f>N161/$M$3</f>
        <v>0.8544433094994893</v>
      </c>
      <c r="Q161" s="7">
        <f>IFERROR(N161/M161-1,0)</f>
        <v>0.006013229104028905</v>
      </c>
      <c r="R161" s="5">
        <f>SUM(IF(BQ161="lease",CB161,0),IF(CS161="lease",DD161,0),IF(DU161="lease",EF161,0),IF(EW161="lease",FH161,0),IF(FY161="lease",GJ161,0),IF(HA161="lease",HL161,0),IF(IC161="lease",IN161,0),IF(JE161="lease",JP161,0),IF(KG161="lease",KR161,0),IF(LI161="lease",LT161,0))</f>
        <v>1.565497765166396</v>
      </c>
      <c r="S161" s="5">
        <f>SUM(IF(BQ161="lease",CI161,0),IF(CS161="lease",DK161,0),IF(DU161="lease",EM161,0),IF(EW161="lease",FO161,0),IF(FY161="lease",GQ161,0),IF(HA161="lease",HS161,0),IF(IC161="lease",IU161,0),IF(JE161="lease",JW161,0),IF(KG161="lease",KY161,0),IF(LI161="lease",MA161,0))</f>
        <v>1.551555790605967</v>
      </c>
      <c r="T161" s="5">
        <f>SUM(IF(BQ161="keep",CB161,0),IF(CS161="keep",DD161,0),IF(DU161="keep",EF161,0),IF(EW161="keep",FH161,0),IF(FY161="keep",GJ161,0),IF(HA161="keep",HL161,0),IF(IC161="keep",IN161,0),IF(JE161="keep",JP161,0),IF(KG161="keep",KR161,0),IF(LI161="keep",LT161,0))</f>
        <v>0</v>
      </c>
      <c r="U161" s="5">
        <f>SUM(IF(BQ161="keep",CI161,0),IF(CS161="keep",DK161,0),IF(DU161="keep",EM161,0),IF(EW161="keep",FO161,0),IF(FY161="keep",GQ161,0),IF(HA161="keep",HS161,0),IF(IC161="keep",IU161,0),IF(JE161="keep",JW161,0),IF(KG161="keep",KY161,0),IF(LI161="keep",MA161,0))</f>
        <v>0</v>
      </c>
      <c r="V161" s="5">
        <f>R161/O161</f>
        <v>1.843201818518222</v>
      </c>
      <c r="W161" s="5">
        <f>S161/P161</f>
        <v>1.8158674465071627</v>
      </c>
      <c r="X161" s="5">
        <f>T161/O161</f>
        <v>0</v>
      </c>
      <c r="Y161" s="5">
        <f>U161/P161</f>
        <v>0</v>
      </c>
      <c r="Z161" s="5">
        <f>V161+X161</f>
        <v>1.843201818518222</v>
      </c>
      <c r="AA161" s="7">
        <f>IFERROR(W161/V161-1,0)</f>
        <v>-0.014829831294889795</v>
      </c>
      <c r="AB161" s="7">
        <f>IFERROR((W161-V161)/Z161,0)</f>
        <v>-0.014829831294889769</v>
      </c>
      <c r="AC161" s="7">
        <f>IFERROR(Y161/X161-1,0)</f>
        <v>0</v>
      </c>
      <c r="AD161" s="7">
        <f>IFERROR((Y161-X161)/Z161,0)</f>
        <v>0</v>
      </c>
      <c r="AE161" s="7">
        <f>AB161+AD161</f>
        <v>-0.014829831294889769</v>
      </c>
      <c r="AF161" s="7">
        <f>(1+Q161)*(1+AE161)-1</f>
        <v>-0.008905777364011214</v>
      </c>
      <c r="AG161" s="7">
        <f>G161-AF161</f>
        <v>1.9081958235744878e-17</v>
      </c>
      <c r="AH161" s="5">
        <f>SUM(IF(BQ161="lease",CE161,0),IF(CS161="lease",DG161,0),IF(DU161="lease",EI161,0),IF(EW161="lease",FK161,0),IF(FY161="lease",GM161,0),IF(HA161="lease",HO161,0),IF(IC161="lease",IQ161,0),IF(JE161="lease",JS161,0),IF(KG161="lease",KU161,0),IF(LI161="lease",LW161,0))</f>
        <v>-0.013941974560428994</v>
      </c>
      <c r="AI161" s="5">
        <f>SUM(IF(BQ161="keep",CE161,0),IF(CS161="keep",DG161,0),IF(DU161="keep",EI161,0),IF(EW161="keep",FK161,0),IF(FY161="keep",GM161,0),IF(HA161="keep",HO161,0),IF(IC161="keep",IQ161,0),IF(JE161="keep",JS161,0),IF(KG161="keep",KU161,0),IF(LI161="keep",LW161,0))</f>
        <v>0</v>
      </c>
      <c r="AJ161" s="5">
        <f>SUM(IF(BQ161="lease",CH161,0),IF(CS161="lease",DJ161,0),IF(DU161="lease",EL161,0),IF(EW161="lease",FN161,0),IF(FY161="lease",GP161,0),IF(HA161="lease",HR161,0),IF(IC161="lease",IT161,0),IF(JE161="lease",JV161,0),IF(KG161="lease",KX161,0),IF(LI161="lease",LZ161,0))</f>
        <v>0</v>
      </c>
      <c r="AK161" s="5">
        <f>SUM(IF(BQ161="keep",CH161,0),IF(CS161="keep",DJ161,0),IF(DU161="keep",EL161,0),IF(EW161="keep",FN161,0),IF(FY161="keep",GP161,0),IF(HA161="keep",HR161,0),IF(IC161="keep",IT161,0),IF(JE161="keep",JV161,0),IF(KG161="keep",KX161,0),IF(LI161="keep",LZ161,0))</f>
        <v>0</v>
      </c>
      <c r="AL161" s="5">
        <f>R161-S160</f>
        <v>0</v>
      </c>
      <c r="AM161" s="5">
        <f>T161-U160</f>
        <v>0</v>
      </c>
      <c r="AN161" s="5">
        <f>AN160</f>
        <v>1</v>
      </c>
      <c r="AO161" s="5">
        <f>AO160+AH161</f>
        <v>0.5515557906059672</v>
      </c>
      <c r="AP161" s="5">
        <f>AP160+AL161</f>
        <v>-4.440892098500626e-16</v>
      </c>
      <c r="AQ161" s="5">
        <f>AN161+AO161+AP161</f>
        <v>1.5515557906059667</v>
      </c>
      <c r="AR161" s="5">
        <f>S161-AQ161</f>
        <v>2.220446049250313e-16</v>
      </c>
      <c r="AS161" s="5">
        <f>AS160</f>
        <v>0</v>
      </c>
      <c r="AT161" s="5">
        <f>AT160+AI161</f>
        <v>0</v>
      </c>
      <c r="AU161" s="5">
        <f>AU160+AM161</f>
        <v>0</v>
      </c>
      <c r="AV161" s="5">
        <f>AS161+AT161+AU161</f>
        <v>0</v>
      </c>
      <c r="AW161" s="5">
        <f>U161-AV161</f>
        <v>0</v>
      </c>
      <c r="AX161" s="4">
        <v>1.565497765166396</v>
      </c>
      <c r="AY161" s="4">
        <v>1.551555790605967</v>
      </c>
      <c r="AZ161" s="5">
        <f>S161-AY161</f>
        <v>0</v>
      </c>
      <c r="BA161" s="4">
        <v>0</v>
      </c>
      <c r="BB161" s="4">
        <v>0</v>
      </c>
      <c r="BC161" s="5">
        <f>U161-BB161</f>
        <v>0</v>
      </c>
      <c r="BD161" s="7">
        <f>SUM(IF(BP161="direct",CC161/F161,0),IF(CR161="direct",DE161/F161,0),IF(DT161="direct",EG161/F161,0),IF(EV161="direct",FI161/F161,0),IF(FX161="direct",GK161/F161,0),IF(GZ161="direct",HM161/F161,0),IF(IB161="direct",IO161/F161,0),IF(JD161="direct",JQ161/F161,0),IF(KF161="direct",KS161/F161,0),IF(LH161="direct",LU161/F161,0))</f>
        <v>0</v>
      </c>
      <c r="BE161" s="7">
        <f>-SUM(IF(BP161="direct",CD161/F161,0),IF(CR161="direct",DF161/F161,0),IF(DT161="direct",EH161/F161,0),IF(EV161="direct",FJ161/F161,0),IF(FX161="direct",GL161/F161,0),IF(GZ161="direct",HN161/F161,0),IF(IB161="direct",IP161/F161,0),IF(JD161="direct",JR161/F161,0),IF(KF161="direct",KT161/F161,0),IF(LH161="direct",LV161/F161,0))</f>
        <v>0</v>
      </c>
      <c r="BF161" s="7">
        <f>BD161+BE161</f>
        <v>0</v>
      </c>
      <c r="BG161" s="7">
        <f>BF161-SUM(IF(BP161="direct",CP161,0),IF(CR161="direct",DR161,0),IF(DT161="direct",ET161,0),IF(EV161="direct",FV161,0),IF(FX161="direct",GX161,0),IF(GZ161="direct",HZ161,0),IF(IB161="direct",JB161,0),IF(JD161="direct",KD161,0),IF(KF161="direct",LF161,0),IF(LH161="direct",MH161,0))</f>
        <v>0</v>
      </c>
      <c r="BH161" s="7">
        <f>SUM(IF(BP161="treasury",CP161,0),IF(CR161="treasury",DR161,0),IF(DT161="treasury",ET161,0),IF(EV161="treasury",FV161,0),IF(FX161="treasury",GX161,0),IF(GZ161="treasury",HZ161,0),IF(IB161="treasury",JB161,0),IF(JD161="treasury",KD161,0),IF(KF161="treasury",LF161,0),IF(LH161="treasury",MH161,0))</f>
        <v>0.00019616438356164382</v>
      </c>
      <c r="BI161" s="7">
        <f>SUM(IF(BP161="future",CP161,0),IF(CR161="future",DR161,0),IF(DT161="future",ET161,0),IF(EV161="future",FV161,0),IF(FX161="future",GX161,0),IF(GZ161="future",HZ161,0),IF(IB161="future",JB161,0),IF(JD161="future",KD161,0),IF(KF161="future",LF161,0),IF(LH161="future",MH161,0))</f>
        <v>-0.00910194174757284</v>
      </c>
      <c r="BJ161" s="7">
        <f>SUM(IF(BP161="cash",CP161,0),IF(CR161="cash",DR161,0),IF(DT161="cash",ET161,0),IF(EV161="cash",FV161,0),IF(FX161="cash",GX161,0),IF(GZ161="cash",HZ161,0),IF(IB161="cash",JB161,0),IF(JD161="cash",KD161,0),IF(KF161="cash",LF161,0),IF(LH161="cash",MH161,0))</f>
        <v>0</v>
      </c>
      <c r="BK161" s="7">
        <f>SUM(BF161,BH161,BI161,BJ161)</f>
        <v>-0.008905777364011195</v>
      </c>
      <c r="BL161" s="7">
        <f>G161-BK161</f>
        <v>0</v>
      </c>
      <c r="BM161" s="5">
        <f>MAX(ABS(CG161),ABS(DI161),ABS(EK161),ABS(FM161),ABS(GO161),ABS(HQ161),ABS(IS161),ABS(JU161),ABS(KW161),ABS(LY161))</f>
        <v>9.302454639925628e-17</v>
      </c>
      <c r="BN161" s="9">
        <f>COUNTA(BO161,CQ161,DS161,EU161,FW161,GY161,IA161,JC161,KE161,LG161)</f>
        <v>4</v>
      </c>
      <c r="BO161" t="inlineStr">
        <is>
          <t xml:space="preserve">Treasury collateral</t>
        </is>
      </c>
      <c r="BP161" t="inlineStr">
        <is>
          <t xml:space="preserve">treasury</t>
        </is>
      </c>
      <c r="BQ161" t="inlineStr">
        <is>
          <t xml:space="preserve">lease</t>
        </is>
      </c>
      <c r="BR161" t="inlineStr">
        <is>
          <t xml:space="preserve">long</t>
        </is>
      </c>
      <c r="BS161"/>
      <c r="BT161" s="4">
        <v>104.18325849891616</v>
      </c>
      <c r="BU161" s="4">
        <v>104.20369554359705</v>
      </c>
      <c r="BV161" s="6"/>
      <c r="BW161" s="4">
        <v>0.015026385119089755</v>
      </c>
      <c r="BX161" s="5">
        <f>IF(BP161="direct",IFERROR(CD161/BU161,0),0)</f>
        <v>0</v>
      </c>
      <c r="BY161" s="5">
        <f>IF(BP161="direct",BW161-BX161,IF(BP161="cash",CI161,BW161))</f>
        <v>0.015026385119089755</v>
      </c>
      <c r="BZ161" s="6">
        <v>1</v>
      </c>
      <c r="CA161" s="4">
        <v>1.565497765166395</v>
      </c>
      <c r="CB161" s="4">
        <v>1.565497765166395</v>
      </c>
      <c r="CC161" s="5">
        <f>IF(BP161="direct",BW161*(BU161-BT161),CF161)</f>
        <v>0.00030709490407108996</v>
      </c>
      <c r="CD161" s="5">
        <f>IF(BP161="direct",CB161*BV161*C161/365,0)</f>
        <v>0</v>
      </c>
      <c r="CE161" s="5">
        <f>CC161-CD161</f>
        <v>0.00030709490407099694</v>
      </c>
      <c r="CF161" s="4">
        <v>0.00030709490407099694</v>
      </c>
      <c r="CG161" s="5">
        <f>CF161-CE161</f>
        <v>-9.302454639925628e-17</v>
      </c>
      <c r="CH161" s="4">
        <v>1.0657707355532509e-16</v>
      </c>
      <c r="CI161" s="4">
        <v>1.5658048600704662</v>
      </c>
      <c r="CJ161" s="4">
        <v>1.663</v>
      </c>
      <c r="CK161" s="4">
        <v>1.673</v>
      </c>
      <c r="CL161" s="6"/>
      <c r="CM161" s="6"/>
      <c r="CN161" s="6"/>
      <c r="CO161" s="9">
        <v>31</v>
      </c>
      <c r="CP161" s="7">
        <f>IFERROR(CE161/F161,0)</f>
        <v>0.00019616438356164382</v>
      </c>
      <c r="CQ161" t="inlineStr">
        <is>
          <t xml:space="preserve">SI69U</t>
        </is>
      </c>
      <c r="CR161" t="inlineStr">
        <is>
          <t xml:space="preserve">future</t>
        </is>
      </c>
      <c r="CS161" t="inlineStr">
        <is>
          <t xml:space="preserve">lease</t>
        </is>
      </c>
      <c r="CT161" t="inlineStr">
        <is>
          <t xml:space="preserve">long</t>
        </is>
      </c>
      <c r="CU161" t="inlineStr">
        <is>
          <t xml:space="preserve">regular</t>
        </is>
      </c>
      <c r="CV161" s="4">
        <v>1.6480000000000001</v>
      </c>
      <c r="CW161" s="4">
        <v>1.633</v>
      </c>
      <c r="CX161" s="6"/>
      <c r="CY161" s="4">
        <v>0.9499379642999969</v>
      </c>
      <c r="CZ161" s="5">
        <f>IF(CR161="direct",IFERROR(DF161/CW161,0),0)</f>
        <v>0</v>
      </c>
      <c r="DA161" s="5">
        <f>IF(CR161="direct",CY161-CZ161,IF(CR161="cash",DK161,CY161))</f>
        <v>0.9499379642999969</v>
      </c>
      <c r="DB161" s="6">
        <v>1</v>
      </c>
      <c r="DC161" s="4">
        <v>1.565497765166395</v>
      </c>
      <c r="DD161" s="4">
        <v>0</v>
      </c>
      <c r="DE161" s="5">
        <f>IF(CR161="direct",CY161*(CW161-CV161),DH161)</f>
        <v>-0.014249069464499992</v>
      </c>
      <c r="DF161" s="5">
        <f>IF(CR161="direct",DD161*CX161*C161/365,0)</f>
        <v>0</v>
      </c>
      <c r="DG161" s="5">
        <f>DE161-DF161</f>
        <v>-0.014249069464499992</v>
      </c>
      <c r="DH161" s="4">
        <v>-0.014249069464499992</v>
      </c>
      <c r="DI161" s="5">
        <f>DH161-DG161</f>
        <v>0</v>
      </c>
      <c r="DJ161" s="4">
        <v>0.014249069464499992</v>
      </c>
      <c r="DK161" s="4">
        <v>0</v>
      </c>
      <c r="DL161" s="4">
        <v>1.663</v>
      </c>
      <c r="DM161" s="4">
        <v>1.673</v>
      </c>
      <c r="DN161" s="6">
        <v>-0.009019843656043247</v>
      </c>
      <c r="DO161" s="6">
        <v>0.0716</v>
      </c>
      <c r="DP161" s="6">
        <v>0.1778013849824447</v>
      </c>
      <c r="DQ161" s="9">
        <v>31</v>
      </c>
      <c r="DR161" s="7">
        <f>IFERROR(DG161/F161,0)</f>
        <v>-0.00910194174757284</v>
      </c>
      <c r="DS161" t="inlineStr">
        <is>
          <t xml:space="preserve">Lease cash / margin / financing</t>
        </is>
      </c>
      <c r="DT161" t="inlineStr">
        <is>
          <t xml:space="preserve">cash</t>
        </is>
      </c>
      <c r="DU161" t="inlineStr">
        <is>
          <t xml:space="preserve">lease</t>
        </is>
      </c>
      <c r="DV161" t="inlineStr">
        <is>
          <t xml:space="preserve">cash</t>
        </is>
      </c>
      <c r="DW161"/>
      <c r="DX161" s="4">
        <v>1</v>
      </c>
      <c r="DY161" s="4">
        <v>1</v>
      </c>
      <c r="DZ161" s="6"/>
      <c r="EA161" s="4">
        <v>8.881784197001252e-16</v>
      </c>
      <c r="EB161" s="5">
        <f>IF(DT161="direct",IFERROR(EH161/DY161,0),0)</f>
        <v>0</v>
      </c>
      <c r="EC161" s="5">
        <f>IF(DT161="direct",EA161-EB161,IF(DT161="cash",EM161,EA161))</f>
        <v>-0.01424906946449921</v>
      </c>
      <c r="ED161" s="6"/>
      <c r="EE161" s="4">
        <v>8.881784197001252e-16</v>
      </c>
      <c r="EF161" s="4">
        <v>8.881784197001252e-16</v>
      </c>
      <c r="EG161" s="5">
        <f>IF(DT161="direct",EA161*(DY161-DX161),EJ161)</f>
        <v>0</v>
      </c>
      <c r="EH161" s="5">
        <f>IF(DT161="direct",EF161*DZ161*C161/365,0)</f>
        <v>0</v>
      </c>
      <c r="EI161" s="5">
        <f>EG161-EH161</f>
        <v>0</v>
      </c>
      <c r="EJ161" s="4">
        <v>0</v>
      </c>
      <c r="EK161" s="5">
        <f>EJ161-EI161</f>
        <v>0</v>
      </c>
      <c r="EL161" s="4">
        <v>-0.014249069464500098</v>
      </c>
      <c r="EM161" s="4">
        <v>-0.01424906946449921</v>
      </c>
      <c r="EN161" s="4">
        <v>1.663</v>
      </c>
      <c r="EO161" s="4">
        <v>1.673</v>
      </c>
      <c r="EP161" s="6"/>
      <c r="EQ161" s="6"/>
      <c r="ER161" s="6"/>
      <c r="ES161" s="9"/>
      <c r="ET161" s="7">
        <f>IFERROR(EI161/F161,0)</f>
        <v>0</v>
      </c>
      <c r="EU161" t="inlineStr">
        <is>
          <t xml:space="preserve">Keep cash / margin / financing</t>
        </is>
      </c>
      <c r="EV161" t="inlineStr">
        <is>
          <t xml:space="preserve">cash</t>
        </is>
      </c>
      <c r="EW161" t="inlineStr">
        <is>
          <t xml:space="preserve">keep</t>
        </is>
      </c>
      <c r="EX161" t="inlineStr">
        <is>
          <t xml:space="preserve">cash</t>
        </is>
      </c>
      <c r="EY161"/>
      <c r="EZ161" s="4">
        <v>1</v>
      </c>
      <c r="FA161" s="4">
        <v>1</v>
      </c>
      <c r="FB161" s="6"/>
      <c r="FC161" s="4">
        <v>0</v>
      </c>
      <c r="FD161" s="5">
        <f>IF(EV161="direct",IFERROR(FJ161/FA161,0),0)</f>
        <v>0</v>
      </c>
      <c r="FE161" s="5">
        <f>IF(EV161="direct",FC161-FD161,IF(EV161="cash",FO161,FC161))</f>
        <v>0</v>
      </c>
      <c r="FF161" s="6"/>
      <c r="FG161" s="4">
        <v>0</v>
      </c>
      <c r="FH161" s="4">
        <v>0</v>
      </c>
      <c r="FI161" s="5">
        <f>IF(EV161="direct",FC161*(FA161-EZ161),FL161)</f>
        <v>0</v>
      </c>
      <c r="FJ161" s="5">
        <f>IF(EV161="direct",FH161*FB161*C161/365,0)</f>
        <v>0</v>
      </c>
      <c r="FK161" s="5">
        <f>FI161-FJ161</f>
        <v>0</v>
      </c>
      <c r="FL161" s="4">
        <v>0</v>
      </c>
      <c r="FM161" s="5">
        <f>FL161-FK161</f>
        <v>0</v>
      </c>
      <c r="FN161" s="4">
        <v>0</v>
      </c>
      <c r="FO161" s="4">
        <v>0</v>
      </c>
      <c r="FP161" s="4">
        <v>1.663</v>
      </c>
      <c r="FQ161" s="4">
        <v>1.673</v>
      </c>
      <c r="FR161" s="6"/>
      <c r="FS161" s="6"/>
      <c r="FT161" s="6"/>
      <c r="FU161" s="9"/>
      <c r="FV161" s="7">
        <f>IFERROR(FK161/F161,0)</f>
        <v>0</v>
      </c>
      <c r="FW161"/>
      <c r="FX161"/>
      <c r="FY161"/>
      <c r="FZ161"/>
      <c r="GA161"/>
      <c r="GB161" s="4"/>
      <c r="GC161" s="4"/>
      <c r="GD161" s="6"/>
      <c r="GE161" s="4"/>
      <c r="GF161" s="5">
        <v>0</v>
      </c>
      <c r="GG161" s="5"/>
      <c r="GH161" s="6"/>
      <c r="GI161" s="4"/>
      <c r="GJ161" s="4"/>
      <c r="GK161" s="5">
        <v>0</v>
      </c>
      <c r="GL161" s="5">
        <v>0</v>
      </c>
      <c r="GM161" s="5"/>
      <c r="GN161" s="4"/>
      <c r="GO161" s="5">
        <v>0</v>
      </c>
      <c r="GP161" s="4"/>
      <c r="GQ161" s="4"/>
      <c r="GR161" s="4"/>
      <c r="GS161" s="4"/>
      <c r="GT161" s="6"/>
      <c r="GU161" s="6"/>
      <c r="GV161" s="6"/>
      <c r="GW161" s="9"/>
      <c r="GX161"/>
      <c r="GY161"/>
      <c r="GZ161"/>
      <c r="HA161"/>
      <c r="HB161"/>
      <c r="HC161"/>
      <c r="HD161" s="4"/>
      <c r="HE161" s="4"/>
      <c r="HF161" s="6"/>
      <c r="HG161" s="4"/>
      <c r="HH161" s="5">
        <v>0</v>
      </c>
      <c r="HI161" s="5"/>
      <c r="HJ161" s="6"/>
      <c r="HK161" s="4"/>
      <c r="HL161" s="4"/>
      <c r="HM161" s="5">
        <v>0</v>
      </c>
      <c r="HN161" s="5">
        <v>0</v>
      </c>
      <c r="HO161" s="5"/>
      <c r="HP161" s="4"/>
      <c r="HQ161" s="5">
        <v>0</v>
      </c>
      <c r="HR161" s="4"/>
      <c r="HS161" s="4"/>
      <c r="HT161" s="4"/>
      <c r="HU161" s="4"/>
      <c r="HV161" s="6"/>
      <c r="HW161" s="6"/>
      <c r="HX161" s="6"/>
      <c r="HY161" s="9"/>
      <c r="HZ161"/>
      <c r="IA161"/>
      <c r="IB161"/>
      <c r="IC161"/>
      <c r="ID161"/>
      <c r="IE161"/>
      <c r="IF161" s="4"/>
      <c r="IG161" s="4"/>
      <c r="IH161" s="6"/>
      <c r="II161" s="4"/>
      <c r="IJ161" s="5">
        <v>0</v>
      </c>
      <c r="IK161" s="5"/>
      <c r="IL161" s="6"/>
      <c r="IM161" s="4"/>
      <c r="IN161" s="4"/>
      <c r="IO161" s="5">
        <v>0</v>
      </c>
      <c r="IP161" s="5">
        <v>0</v>
      </c>
      <c r="IQ161" s="5"/>
      <c r="IR161" s="4"/>
      <c r="IS161" s="5">
        <v>0</v>
      </c>
      <c r="IT161" s="4"/>
      <c r="IU161" s="4"/>
      <c r="IV161" s="4"/>
      <c r="IW161" s="4"/>
      <c r="IX161" s="6"/>
      <c r="IY161" s="6"/>
      <c r="IZ161" s="6"/>
      <c r="JA161" s="9"/>
      <c r="JB161"/>
      <c r="JC161"/>
      <c r="JD161"/>
      <c r="JE161"/>
      <c r="JF161"/>
      <c r="JG161"/>
      <c r="JH161" s="4"/>
      <c r="JI161" s="4"/>
      <c r="JJ161" s="6"/>
      <c r="JK161" s="4"/>
      <c r="JL161" s="5">
        <v>0</v>
      </c>
      <c r="JM161" s="5"/>
      <c r="JN161" s="6"/>
      <c r="JO161" s="4"/>
      <c r="JP161" s="4"/>
      <c r="JQ161" s="5">
        <v>0</v>
      </c>
      <c r="JR161" s="5">
        <v>0</v>
      </c>
      <c r="JS161" s="5"/>
      <c r="JT161" s="4"/>
      <c r="JU161" s="5">
        <v>0</v>
      </c>
      <c r="JV161" s="4"/>
      <c r="JW161" s="4"/>
      <c r="JX161" s="4"/>
      <c r="JY161" s="4"/>
      <c r="JZ161" s="6"/>
      <c r="KA161" s="6"/>
      <c r="KB161" s="6"/>
      <c r="KC161" s="9"/>
      <c r="KD161"/>
      <c r="KE161"/>
      <c r="KF161"/>
      <c r="KG161"/>
      <c r="KH161"/>
      <c r="KI161"/>
      <c r="KJ161" s="4"/>
      <c r="KK161" s="4"/>
      <c r="KL161" s="6"/>
      <c r="KM161" s="4"/>
      <c r="KN161" s="5">
        <v>0</v>
      </c>
      <c r="KO161" s="5"/>
      <c r="KP161" s="6"/>
      <c r="KQ161" s="4"/>
      <c r="KR161" s="4"/>
      <c r="KS161" s="5">
        <v>0</v>
      </c>
      <c r="KT161" s="5">
        <v>0</v>
      </c>
      <c r="KU161" s="5"/>
      <c r="KV161" s="4"/>
      <c r="KW161" s="5">
        <v>0</v>
      </c>
      <c r="KX161" s="4"/>
      <c r="KY161" s="4"/>
      <c r="KZ161" s="4"/>
      <c r="LA161" s="4"/>
      <c r="LB161" s="6"/>
      <c r="LC161" s="6"/>
      <c r="LD161" s="6"/>
      <c r="LE161" s="9"/>
      <c r="LF161"/>
      <c r="LG161"/>
      <c r="LH161"/>
      <c r="LI161"/>
      <c r="LJ161"/>
      <c r="LK161"/>
      <c r="LL161" s="4"/>
      <c r="LM161" s="4"/>
      <c r="LN161" s="6"/>
      <c r="LO161" s="4"/>
      <c r="LP161" s="5">
        <v>0</v>
      </c>
      <c r="LQ161" s="5"/>
      <c r="LR161" s="6"/>
      <c r="LS161" s="4"/>
      <c r="LT161" s="4"/>
      <c r="LU161" s="5">
        <v>0</v>
      </c>
      <c r="LV161" s="5">
        <v>0</v>
      </c>
      <c r="LW161" s="5"/>
      <c r="LX161" s="4"/>
      <c r="LY161" s="5">
        <v>0</v>
      </c>
      <c r="LZ161" s="4"/>
      <c r="MA161" s="4"/>
      <c r="MB161" s="4"/>
      <c r="MC161" s="4"/>
      <c r="MD161" s="6"/>
      <c r="ME161" s="6"/>
      <c r="MF161" s="6"/>
      <c r="MG161" s="9"/>
      <c r="MH161"/>
    </row>
    <row r="162">
      <c r="A162" s="8">
        <v>25442</v>
      </c>
      <c r="B162" s="8">
        <v>25443</v>
      </c>
      <c r="C162" s="9">
        <f>B162-A162</f>
        <v>1</v>
      </c>
      <c r="D162" s="8">
        <v>25442</v>
      </c>
      <c r="E162" t="inlineStr">
        <is>
          <t xml:space="preserve">positive</t>
        </is>
      </c>
      <c r="F162" s="4">
        <v>1.551555790605966</v>
      </c>
      <c r="G162" s="6">
        <v>0.008156698739189</v>
      </c>
      <c r="H162" s="7">
        <f>SUM(CP162,DR162,ET162,FV162,GX162,HZ162,JB162,KD162,LF162,MH162)</f>
        <v>0.008156698739188999</v>
      </c>
      <c r="I162" s="7">
        <f>G162-H162</f>
        <v>1.734723475976807e-18</v>
      </c>
      <c r="J162" s="5">
        <f>F162*(1+H162)</f>
        <v>1.5642113637669832</v>
      </c>
      <c r="K162" s="4">
        <v>1.5642113637669832</v>
      </c>
      <c r="L162" s="5">
        <f>K162-J162</f>
        <v>0</v>
      </c>
      <c r="M162" s="4">
        <v>1.673</v>
      </c>
      <c r="N162" s="4">
        <v>1.664</v>
      </c>
      <c r="O162" s="5">
        <f>M162/$M$3</f>
        <v>0.8544433094994893</v>
      </c>
      <c r="P162" s="5">
        <f>N162/$M$3</f>
        <v>0.849846782431052</v>
      </c>
      <c r="Q162" s="7">
        <f>IFERROR(N162/M162-1,0)</f>
        <v>-0.005379557680812996</v>
      </c>
      <c r="R162" s="5">
        <f>SUM(IF(BQ162="lease",CB162,0),IF(CS162="lease",DD162,0),IF(DU162="lease",EF162,0),IF(EW162="lease",FH162,0),IF(FY162="lease",GJ162,0),IF(HA162="lease",HL162,0),IF(IC162="lease",IN162,0),IF(JE162="lease",JP162,0),IF(KG162="lease",KR162,0),IF(LI162="lease",LT162,0))</f>
        <v>1.551555790605967</v>
      </c>
      <c r="S162" s="5">
        <f>SUM(IF(BQ162="lease",CI162,0),IF(CS162="lease",DK162,0),IF(DU162="lease",EM162,0),IF(EW162="lease",FO162,0),IF(FY162="lease",GQ162,0),IF(HA162="lease",HS162,0),IF(IC162="lease",IU162,0),IF(JE162="lease",JW162,0),IF(KG162="lease",KY162,0),IF(LI162="lease",MA162,0))</f>
        <v>1.564211363766984</v>
      </c>
      <c r="T162" s="5">
        <f>SUM(IF(BQ162="keep",CB162,0),IF(CS162="keep",DD162,0),IF(DU162="keep",EF162,0),IF(EW162="keep",FH162,0),IF(FY162="keep",GJ162,0),IF(HA162="keep",HL162,0),IF(IC162="keep",IN162,0),IF(JE162="keep",JP162,0),IF(KG162="keep",KR162,0),IF(LI162="keep",LT162,0))</f>
        <v>0</v>
      </c>
      <c r="U162" s="5">
        <f>SUM(IF(BQ162="keep",CI162,0),IF(CS162="keep",DK162,0),IF(DU162="keep",EM162,0),IF(EW162="keep",FO162,0),IF(FY162="keep",GQ162,0),IF(HA162="keep",HS162,0),IF(IC162="keep",IU162,0),IF(JE162="keep",JW162,0),IF(KG162="keep",KY162,0),IF(LI162="keep",MA162,0))</f>
        <v>0</v>
      </c>
      <c r="V162" s="5">
        <f>R162/O162</f>
        <v>1.8158674465071627</v>
      </c>
      <c r="W162" s="5">
        <f>S162/P162</f>
        <v>1.840580438855622</v>
      </c>
      <c r="X162" s="5">
        <f>T162/O162</f>
        <v>0</v>
      </c>
      <c r="Y162" s="5">
        <f>U162/P162</f>
        <v>0</v>
      </c>
      <c r="Z162" s="5">
        <f>V162+X162</f>
        <v>1.8158674465071627</v>
      </c>
      <c r="AA162" s="7">
        <f>IFERROR(W162/V162-1,0)</f>
        <v>0.013609469345350567</v>
      </c>
      <c r="AB162" s="7">
        <f>IFERROR((W162-V162)/Z162,0)</f>
        <v>0.013609469345350572</v>
      </c>
      <c r="AC162" s="7">
        <f>IFERROR(Y162/X162-1,0)</f>
        <v>0</v>
      </c>
      <c r="AD162" s="7">
        <f>IFERROR((Y162-X162)/Z162,0)</f>
        <v>0</v>
      </c>
      <c r="AE162" s="7">
        <f>AB162+AD162</f>
        <v>0.013609469345350572</v>
      </c>
      <c r="AF162" s="7">
        <f>(1+Q162)*(1+AE162)-1</f>
        <v>0.008156698739189006</v>
      </c>
      <c r="AG162" s="7">
        <f>G162-AF162</f>
        <v>-5.204170427930421e-18</v>
      </c>
      <c r="AH162" s="5">
        <f>SUM(IF(BQ162="lease",CE162,0),IF(CS162="lease",DG162,0),IF(DU162="lease",EI162,0),IF(EW162="lease",FK162,0),IF(FY162="lease",GM162,0),IF(HA162="lease",HO162,0),IF(IC162="lease",IQ162,0),IF(JE162="lease",JS162,0),IF(KG162="lease",KU162,0),IF(LI162="lease",LW162,0))</f>
        <v>0.012655573161017074</v>
      </c>
      <c r="AI162" s="5">
        <f>SUM(IF(BQ162="keep",CE162,0),IF(CS162="keep",DG162,0),IF(DU162="keep",EI162,0),IF(EW162="keep",FK162,0),IF(FY162="keep",GM162,0),IF(HA162="keep",HO162,0),IF(IC162="keep",IQ162,0),IF(JE162="keep",JS162,0),IF(KG162="keep",KU162,0),IF(LI162="keep",LW162,0))</f>
        <v>0</v>
      </c>
      <c r="AJ162" s="5">
        <f>SUM(IF(BQ162="lease",CH162,0),IF(CS162="lease",DJ162,0),IF(DU162="lease",EL162,0),IF(EW162="lease",FN162,0),IF(FY162="lease",GP162,0),IF(HA162="lease",HR162,0),IF(IC162="lease",IT162,0),IF(JE162="lease",JV162,0),IF(KG162="lease",KX162,0),IF(LI162="lease",LZ162,0))</f>
        <v>0</v>
      </c>
      <c r="AK162" s="5">
        <f>SUM(IF(BQ162="keep",CH162,0),IF(CS162="keep",DJ162,0),IF(DU162="keep",EL162,0),IF(EW162="keep",FN162,0),IF(FY162="keep",GP162,0),IF(HA162="keep",HR162,0),IF(IC162="keep",IT162,0),IF(JE162="keep",JV162,0),IF(KG162="keep",KX162,0),IF(LI162="keep",LZ162,0))</f>
        <v>0</v>
      </c>
      <c r="AL162" s="5">
        <f>R162-S161</f>
        <v>0</v>
      </c>
      <c r="AM162" s="5">
        <f>T162-U161</f>
        <v>0</v>
      </c>
      <c r="AN162" s="5">
        <f>AN161</f>
        <v>1</v>
      </c>
      <c r="AO162" s="5">
        <f>AO161+AH162</f>
        <v>0.5642113637669842</v>
      </c>
      <c r="AP162" s="5">
        <f>AP161+AL162</f>
        <v>-4.440892098500626e-16</v>
      </c>
      <c r="AQ162" s="5">
        <f>AN162+AO162+AP162</f>
        <v>1.5642113637669839</v>
      </c>
      <c r="AR162" s="5">
        <f>S162-AQ162</f>
        <v>2.220446049250313e-16</v>
      </c>
      <c r="AS162" s="5">
        <f>AS161</f>
        <v>0</v>
      </c>
      <c r="AT162" s="5">
        <f>AT161+AI162</f>
        <v>0</v>
      </c>
      <c r="AU162" s="5">
        <f>AU161+AM162</f>
        <v>0</v>
      </c>
      <c r="AV162" s="5">
        <f>AS162+AT162+AU162</f>
        <v>0</v>
      </c>
      <c r="AW162" s="5">
        <f>U162-AV162</f>
        <v>0</v>
      </c>
      <c r="AX162" s="4">
        <v>1.551555790605967</v>
      </c>
      <c r="AY162" s="4">
        <v>1.564211363766984</v>
      </c>
      <c r="AZ162" s="5">
        <f>S162-AY162</f>
        <v>0</v>
      </c>
      <c r="BA162" s="4">
        <v>0</v>
      </c>
      <c r="BB162" s="4">
        <v>0</v>
      </c>
      <c r="BC162" s="5">
        <f>U162-BB162</f>
        <v>0</v>
      </c>
      <c r="BD162" s="7">
        <f>SUM(IF(BP162="direct",CC162/F162,0),IF(CR162="direct",DE162/F162,0),IF(DT162="direct",EG162/F162,0),IF(EV162="direct",FI162/F162,0),IF(FX162="direct",GK162/F162,0),IF(GZ162="direct",HM162/F162,0),IF(IB162="direct",IO162/F162,0),IF(JD162="direct",JQ162/F162,0),IF(KF162="direct",KS162/F162,0),IF(LH162="direct",LU162/F162,0))</f>
        <v>0</v>
      </c>
      <c r="BE162" s="7">
        <f>-SUM(IF(BP162="direct",CD162/F162,0),IF(CR162="direct",DF162/F162,0),IF(DT162="direct",EH162/F162,0),IF(EV162="direct",FJ162/F162,0),IF(FX162="direct",GL162/F162,0),IF(GZ162="direct",HN162/F162,0),IF(IB162="direct",IP162/F162,0),IF(JD162="direct",JR162/F162,0),IF(KF162="direct",KT162/F162,0),IF(LH162="direct",LV162/F162,0))</f>
        <v>0</v>
      </c>
      <c r="BF162" s="7">
        <f>BD162+BE162</f>
        <v>0</v>
      </c>
      <c r="BG162" s="7">
        <f>BF162-SUM(IF(BP162="direct",CP162,0),IF(CR162="direct",DR162,0),IF(DT162="direct",ET162,0),IF(EV162="direct",FV162,0),IF(FX162="direct",GX162,0),IF(GZ162="direct",HZ162,0),IF(IB162="direct",JB162,0),IF(JD162="direct",KD162,0),IF(KF162="direct",LF162,0),IF(LH162="direct",MH162,0))</f>
        <v>0</v>
      </c>
      <c r="BH162" s="7">
        <f>SUM(IF(BP162="treasury",CP162,0),IF(CR162="treasury",DR162,0),IF(DT162="treasury",ET162,0),IF(EV162="treasury",FV162,0),IF(FX162="treasury",GX162,0),IF(GZ162="treasury",HZ162,0),IF(IB162="treasury",JB162,0),IF(JD162="treasury",KD162,0),IF(KF162="treasury",LF162,0),IF(LH162="treasury",MH162,0))</f>
        <v>0.00019589041095890414</v>
      </c>
      <c r="BI162" s="7">
        <f>SUM(IF(BP162="future",CP162,0),IF(CR162="future",DR162,0),IF(DT162="future",ET162,0),IF(EV162="future",FV162,0),IF(FX162="future",GX162,0),IF(GZ162="future",HZ162,0),IF(IB162="future",JB162,0),IF(JD162="future",KD162,0),IF(KF162="future",LF162,0),IF(LH162="future",MH162,0))</f>
        <v>0.007960808328230096</v>
      </c>
      <c r="BJ162" s="7">
        <f>SUM(IF(BP162="cash",CP162,0),IF(CR162="cash",DR162,0),IF(DT162="cash",ET162,0),IF(EV162="cash",FV162,0),IF(FX162="cash",GX162,0),IF(GZ162="cash",HZ162,0),IF(IB162="cash",JB162,0),IF(JD162="cash",KD162,0),IF(KF162="cash",LF162,0),IF(LH162="cash",MH162,0))</f>
        <v>0</v>
      </c>
      <c r="BK162" s="7">
        <f>SUM(BF162,BH162,BI162,BJ162)</f>
        <v>0.008156698739189</v>
      </c>
      <c r="BL162" s="7">
        <f>G162-BK162</f>
        <v>0</v>
      </c>
      <c r="BM162" s="5">
        <f>MAX(ABS(CG162),ABS(DI162),ABS(EK162),ABS(FM162),ABS(GO162),ABS(HQ162),ABS(IS162),ABS(JU162),ABS(KW162),ABS(LY162))</f>
        <v>5.990217002982412e-17</v>
      </c>
      <c r="BN162" s="9">
        <f>COUNTA(BO162,CQ162,DS162,EU162,FW162,GY162,IA162,JC162,KE162,LG162)</f>
        <v>4</v>
      </c>
      <c r="BO162" t="inlineStr">
        <is>
          <t xml:space="preserve">Treasury collateral</t>
        </is>
      </c>
      <c r="BP162" t="inlineStr">
        <is>
          <t xml:space="preserve">treasury</t>
        </is>
      </c>
      <c r="BQ162" t="inlineStr">
        <is>
          <t xml:space="preserve">lease</t>
        </is>
      </c>
      <c r="BR162" t="inlineStr">
        <is>
          <t xml:space="preserve">long</t>
        </is>
      </c>
      <c r="BS162"/>
      <c r="BT162" s="4">
        <v>104.20369554359705</v>
      </c>
      <c r="BU162" s="4">
        <v>104.22410804834053</v>
      </c>
      <c r="BV162" s="6"/>
      <c r="BW162" s="4">
        <v>0.01488964266105919</v>
      </c>
      <c r="BX162" s="5">
        <f>IF(BP162="direct",IFERROR(CD162/BU162,0),0)</f>
        <v>0</v>
      </c>
      <c r="BY162" s="5">
        <f>IF(BP162="direct",BW162-BX162,IF(BP162="cash",CI162,BW162))</f>
        <v>0.01488964266105919</v>
      </c>
      <c r="BZ162" s="6">
        <v>1</v>
      </c>
      <c r="CA162" s="4">
        <v>1.551555790605966</v>
      </c>
      <c r="CB162" s="4">
        <v>1.551555790605966</v>
      </c>
      <c r="CC162" s="5">
        <f>IF(BP162="direct",BW162*(BU162-BT162),CF162)</f>
        <v>0.00030393490144753</v>
      </c>
      <c r="CD162" s="5">
        <f>IF(BP162="direct",CB162*BV162*C162/365,0)</f>
        <v>0</v>
      </c>
      <c r="CE162" s="5">
        <f>CC162-CD162</f>
        <v>0.0003039349014474701</v>
      </c>
      <c r="CF162" s="4">
        <v>0.0003039349014474701</v>
      </c>
      <c r="CG162" s="5">
        <f>CF162-CE162</f>
        <v>-5.990217002982412e-17</v>
      </c>
      <c r="CH162" s="4">
        <v>6.331740687315346e-17</v>
      </c>
      <c r="CI162" s="4">
        <v>1.5518597255074136</v>
      </c>
      <c r="CJ162" s="4">
        <v>1.673</v>
      </c>
      <c r="CK162" s="4">
        <v>1.664</v>
      </c>
      <c r="CL162" s="6"/>
      <c r="CM162" s="6"/>
      <c r="CN162" s="6"/>
      <c r="CO162" s="9">
        <v>30</v>
      </c>
      <c r="CP162" s="7">
        <f>IFERROR(CE162/F162,0)</f>
        <v>0.00019589041095890414</v>
      </c>
      <c r="CQ162" t="inlineStr">
        <is>
          <t xml:space="preserve">SI69U</t>
        </is>
      </c>
      <c r="CR162" t="inlineStr">
        <is>
          <t xml:space="preserve">future</t>
        </is>
      </c>
      <c r="CS162" t="inlineStr">
        <is>
          <t xml:space="preserve">lease</t>
        </is>
      </c>
      <c r="CT162" t="inlineStr">
        <is>
          <t xml:space="preserve">long</t>
        </is>
      </c>
      <c r="CU162" t="inlineStr">
        <is>
          <t xml:space="preserve">regular</t>
        </is>
      </c>
      <c r="CV162" s="4">
        <v>1.633</v>
      </c>
      <c r="CW162" s="4">
        <v>1.646</v>
      </c>
      <c r="CX162" s="6"/>
      <c r="CY162" s="4">
        <v>0.9501260199669113</v>
      </c>
      <c r="CZ162" s="5">
        <f>IF(CR162="direct",IFERROR(DF162/CW162,0),0)</f>
        <v>0</v>
      </c>
      <c r="DA162" s="5">
        <f>IF(CR162="direct",CY162-CZ162,IF(CR162="cash",DK162,CY162))</f>
        <v>0.9501260199669113</v>
      </c>
      <c r="DB162" s="6">
        <v>1</v>
      </c>
      <c r="DC162" s="4">
        <v>1.551555790605966</v>
      </c>
      <c r="DD162" s="4">
        <v>0</v>
      </c>
      <c r="DE162" s="5">
        <f>IF(CR162="direct",CY162*(CW162-CV162),DH162)</f>
        <v>0.012351638259569605</v>
      </c>
      <c r="DF162" s="5">
        <f>IF(CR162="direct",DD162*CX162*C162/365,0)</f>
        <v>0</v>
      </c>
      <c r="DG162" s="5">
        <f>DE162-DF162</f>
        <v>0.012351638259569605</v>
      </c>
      <c r="DH162" s="4">
        <v>0.012351638259569605</v>
      </c>
      <c r="DI162" s="5">
        <f>DH162-DG162</f>
        <v>0</v>
      </c>
      <c r="DJ162" s="4">
        <v>-0.012351638259569605</v>
      </c>
      <c r="DK162" s="4">
        <v>0</v>
      </c>
      <c r="DL162" s="4">
        <v>1.673</v>
      </c>
      <c r="DM162" s="4">
        <v>1.664</v>
      </c>
      <c r="DN162" s="6">
        <v>-0.02390914524805743</v>
      </c>
      <c r="DO162" s="6">
        <v>0.0715</v>
      </c>
      <c r="DP162" s="6">
        <v>0.3623946005180321</v>
      </c>
      <c r="DQ162" s="9">
        <v>30</v>
      </c>
      <c r="DR162" s="7">
        <f>IFERROR(DG162/F162,0)</f>
        <v>0.007960808328230096</v>
      </c>
      <c r="DS162" t="inlineStr">
        <is>
          <t xml:space="preserve">Lease cash / margin / financing</t>
        </is>
      </c>
      <c r="DT162" t="inlineStr">
        <is>
          <t xml:space="preserve">cash</t>
        </is>
      </c>
      <c r="DU162" t="inlineStr">
        <is>
          <t xml:space="preserve">lease</t>
        </is>
      </c>
      <c r="DV162" t="inlineStr">
        <is>
          <t xml:space="preserve">cash</t>
        </is>
      </c>
      <c r="DW162"/>
      <c r="DX162" s="4">
        <v>1</v>
      </c>
      <c r="DY162" s="4">
        <v>1</v>
      </c>
      <c r="DZ162" s="6"/>
      <c r="EA162" s="4">
        <v>8.881784197001252e-16</v>
      </c>
      <c r="EB162" s="5">
        <f>IF(DT162="direct",IFERROR(EH162/DY162,0),0)</f>
        <v>0</v>
      </c>
      <c r="EC162" s="5">
        <f>IF(DT162="direct",EA162-EB162,IF(DT162="cash",EM162,EA162))</f>
        <v>0.01235163825957043</v>
      </c>
      <c r="ED162" s="6"/>
      <c r="EE162" s="4">
        <v>8.881784197001252e-16</v>
      </c>
      <c r="EF162" s="4">
        <v>8.881784197001252e-16</v>
      </c>
      <c r="EG162" s="5">
        <f>IF(DT162="direct",EA162*(DY162-DX162),EJ162)</f>
        <v>0</v>
      </c>
      <c r="EH162" s="5">
        <f>IF(DT162="direct",EF162*DZ162*C162/365,0)</f>
        <v>0</v>
      </c>
      <c r="EI162" s="5">
        <f>EG162-EH162</f>
        <v>0</v>
      </c>
      <c r="EJ162" s="4">
        <v>0</v>
      </c>
      <c r="EK162" s="5">
        <f>EJ162-EI162</f>
        <v>0</v>
      </c>
      <c r="EL162" s="4">
        <v>0.012351638259569541</v>
      </c>
      <c r="EM162" s="4">
        <v>0.01235163825957043</v>
      </c>
      <c r="EN162" s="4">
        <v>1.673</v>
      </c>
      <c r="EO162" s="4">
        <v>1.664</v>
      </c>
      <c r="EP162" s="6"/>
      <c r="EQ162" s="6"/>
      <c r="ER162" s="6"/>
      <c r="ES162" s="9"/>
      <c r="ET162" s="7">
        <f>IFERROR(EI162/F162,0)</f>
        <v>0</v>
      </c>
      <c r="EU162" t="inlineStr">
        <is>
          <t xml:space="preserve">Keep cash / margin / financing</t>
        </is>
      </c>
      <c r="EV162" t="inlineStr">
        <is>
          <t xml:space="preserve">cash</t>
        </is>
      </c>
      <c r="EW162" t="inlineStr">
        <is>
          <t xml:space="preserve">keep</t>
        </is>
      </c>
      <c r="EX162" t="inlineStr">
        <is>
          <t xml:space="preserve">cash</t>
        </is>
      </c>
      <c r="EY162"/>
      <c r="EZ162" s="4">
        <v>1</v>
      </c>
      <c r="FA162" s="4">
        <v>1</v>
      </c>
      <c r="FB162" s="6"/>
      <c r="FC162" s="4">
        <v>0</v>
      </c>
      <c r="FD162" s="5">
        <f>IF(EV162="direct",IFERROR(FJ162/FA162,0),0)</f>
        <v>0</v>
      </c>
      <c r="FE162" s="5">
        <f>IF(EV162="direct",FC162-FD162,IF(EV162="cash",FO162,FC162))</f>
        <v>0</v>
      </c>
      <c r="FF162" s="6"/>
      <c r="FG162" s="4">
        <v>0</v>
      </c>
      <c r="FH162" s="4">
        <v>0</v>
      </c>
      <c r="FI162" s="5">
        <f>IF(EV162="direct",FC162*(FA162-EZ162),FL162)</f>
        <v>0</v>
      </c>
      <c r="FJ162" s="5">
        <f>IF(EV162="direct",FH162*FB162*C162/365,0)</f>
        <v>0</v>
      </c>
      <c r="FK162" s="5">
        <f>FI162-FJ162</f>
        <v>0</v>
      </c>
      <c r="FL162" s="4">
        <v>0</v>
      </c>
      <c r="FM162" s="5">
        <f>FL162-FK162</f>
        <v>0</v>
      </c>
      <c r="FN162" s="4">
        <v>0</v>
      </c>
      <c r="FO162" s="4">
        <v>0</v>
      </c>
      <c r="FP162" s="4">
        <v>1.673</v>
      </c>
      <c r="FQ162" s="4">
        <v>1.664</v>
      </c>
      <c r="FR162" s="6"/>
      <c r="FS162" s="6"/>
      <c r="FT162" s="6"/>
      <c r="FU162" s="9"/>
      <c r="FV162" s="7">
        <f>IFERROR(FK162/F162,0)</f>
        <v>0</v>
      </c>
      <c r="FW162"/>
      <c r="FX162"/>
      <c r="FY162"/>
      <c r="FZ162"/>
      <c r="GA162"/>
      <c r="GB162" s="4"/>
      <c r="GC162" s="4"/>
      <c r="GD162" s="6"/>
      <c r="GE162" s="4"/>
      <c r="GF162" s="5">
        <v>0</v>
      </c>
      <c r="GG162" s="5"/>
      <c r="GH162" s="6"/>
      <c r="GI162" s="4"/>
      <c r="GJ162" s="4"/>
      <c r="GK162" s="5">
        <v>0</v>
      </c>
      <c r="GL162" s="5">
        <v>0</v>
      </c>
      <c r="GM162" s="5"/>
      <c r="GN162" s="4"/>
      <c r="GO162" s="5">
        <v>0</v>
      </c>
      <c r="GP162" s="4"/>
      <c r="GQ162" s="4"/>
      <c r="GR162" s="4"/>
      <c r="GS162" s="4"/>
      <c r="GT162" s="6"/>
      <c r="GU162" s="6"/>
      <c r="GV162" s="6"/>
      <c r="GW162" s="9"/>
      <c r="GX162"/>
      <c r="GY162"/>
      <c r="GZ162"/>
      <c r="HA162"/>
      <c r="HB162"/>
      <c r="HC162"/>
      <c r="HD162" s="4"/>
      <c r="HE162" s="4"/>
      <c r="HF162" s="6"/>
      <c r="HG162" s="4"/>
      <c r="HH162" s="5">
        <v>0</v>
      </c>
      <c r="HI162" s="5"/>
      <c r="HJ162" s="6"/>
      <c r="HK162" s="4"/>
      <c r="HL162" s="4"/>
      <c r="HM162" s="5">
        <v>0</v>
      </c>
      <c r="HN162" s="5">
        <v>0</v>
      </c>
      <c r="HO162" s="5"/>
      <c r="HP162" s="4"/>
      <c r="HQ162" s="5">
        <v>0</v>
      </c>
      <c r="HR162" s="4"/>
      <c r="HS162" s="4"/>
      <c r="HT162" s="4"/>
      <c r="HU162" s="4"/>
      <c r="HV162" s="6"/>
      <c r="HW162" s="6"/>
      <c r="HX162" s="6"/>
      <c r="HY162" s="9"/>
      <c r="HZ162"/>
      <c r="IA162"/>
      <c r="IB162"/>
      <c r="IC162"/>
      <c r="ID162"/>
      <c r="IE162"/>
      <c r="IF162" s="4"/>
      <c r="IG162" s="4"/>
      <c r="IH162" s="6"/>
      <c r="II162" s="4"/>
      <c r="IJ162" s="5">
        <v>0</v>
      </c>
      <c r="IK162" s="5"/>
      <c r="IL162" s="6"/>
      <c r="IM162" s="4"/>
      <c r="IN162" s="4"/>
      <c r="IO162" s="5">
        <v>0</v>
      </c>
      <c r="IP162" s="5">
        <v>0</v>
      </c>
      <c r="IQ162" s="5"/>
      <c r="IR162" s="4"/>
      <c r="IS162" s="5">
        <v>0</v>
      </c>
      <c r="IT162" s="4"/>
      <c r="IU162" s="4"/>
      <c r="IV162" s="4"/>
      <c r="IW162" s="4"/>
      <c r="IX162" s="6"/>
      <c r="IY162" s="6"/>
      <c r="IZ162" s="6"/>
      <c r="JA162" s="9"/>
      <c r="JB162"/>
      <c r="JC162"/>
      <c r="JD162"/>
      <c r="JE162"/>
      <c r="JF162"/>
      <c r="JG162"/>
      <c r="JH162" s="4"/>
      <c r="JI162" s="4"/>
      <c r="JJ162" s="6"/>
      <c r="JK162" s="4"/>
      <c r="JL162" s="5">
        <v>0</v>
      </c>
      <c r="JM162" s="5"/>
      <c r="JN162" s="6"/>
      <c r="JO162" s="4"/>
      <c r="JP162" s="4"/>
      <c r="JQ162" s="5">
        <v>0</v>
      </c>
      <c r="JR162" s="5">
        <v>0</v>
      </c>
      <c r="JS162" s="5"/>
      <c r="JT162" s="4"/>
      <c r="JU162" s="5">
        <v>0</v>
      </c>
      <c r="JV162" s="4"/>
      <c r="JW162" s="4"/>
      <c r="JX162" s="4"/>
      <c r="JY162" s="4"/>
      <c r="JZ162" s="6"/>
      <c r="KA162" s="6"/>
      <c r="KB162" s="6"/>
      <c r="KC162" s="9"/>
      <c r="KD162"/>
      <c r="KE162"/>
      <c r="KF162"/>
      <c r="KG162"/>
      <c r="KH162"/>
      <c r="KI162"/>
      <c r="KJ162" s="4"/>
      <c r="KK162" s="4"/>
      <c r="KL162" s="6"/>
      <c r="KM162" s="4"/>
      <c r="KN162" s="5">
        <v>0</v>
      </c>
      <c r="KO162" s="5"/>
      <c r="KP162" s="6"/>
      <c r="KQ162" s="4"/>
      <c r="KR162" s="4"/>
      <c r="KS162" s="5">
        <v>0</v>
      </c>
      <c r="KT162" s="5">
        <v>0</v>
      </c>
      <c r="KU162" s="5"/>
      <c r="KV162" s="4"/>
      <c r="KW162" s="5">
        <v>0</v>
      </c>
      <c r="KX162" s="4"/>
      <c r="KY162" s="4"/>
      <c r="KZ162" s="4"/>
      <c r="LA162" s="4"/>
      <c r="LB162" s="6"/>
      <c r="LC162" s="6"/>
      <c r="LD162" s="6"/>
      <c r="LE162" s="9"/>
      <c r="LF162"/>
      <c r="LG162"/>
      <c r="LH162"/>
      <c r="LI162"/>
      <c r="LJ162"/>
      <c r="LK162"/>
      <c r="LL162" s="4"/>
      <c r="LM162" s="4"/>
      <c r="LN162" s="6"/>
      <c r="LO162" s="4"/>
      <c r="LP162" s="5">
        <v>0</v>
      </c>
      <c r="LQ162" s="5"/>
      <c r="LR162" s="6"/>
      <c r="LS162" s="4"/>
      <c r="LT162" s="4"/>
      <c r="LU162" s="5">
        <v>0</v>
      </c>
      <c r="LV162" s="5">
        <v>0</v>
      </c>
      <c r="LW162" s="5"/>
      <c r="LX162" s="4"/>
      <c r="LY162" s="5">
        <v>0</v>
      </c>
      <c r="LZ162" s="4"/>
      <c r="MA162" s="4"/>
      <c r="MB162" s="4"/>
      <c r="MC162" s="4"/>
      <c r="MD162" s="6"/>
      <c r="ME162" s="6"/>
      <c r="MF162" s="6"/>
      <c r="MG162" s="9"/>
      <c r="MH162"/>
    </row>
    <row r="163">
      <c r="A163" s="8">
        <v>25443</v>
      </c>
      <c r="B163" s="8">
        <v>25444</v>
      </c>
      <c r="C163" s="9">
        <f>B163-A163</f>
        <v>1</v>
      </c>
      <c r="D163" s="8">
        <v>25443</v>
      </c>
      <c r="E163" t="inlineStr">
        <is>
          <t xml:space="preserve">positive</t>
        </is>
      </c>
      <c r="F163" s="4">
        <v>1.5642113637669832</v>
      </c>
      <c r="G163" s="6">
        <v>0.008699714376071492</v>
      </c>
      <c r="H163" s="7">
        <f>SUM(CP163,DR163,ET163,FV163,GX163,HZ163,JB163,KD163,LF163,MH163)</f>
        <v>0.008699714376071492</v>
      </c>
      <c r="I163" s="7">
        <f>G163-H163</f>
        <v>0</v>
      </c>
      <c r="J163" s="5">
        <f>F163*(1+H163)</f>
        <v>1.5778195558555612</v>
      </c>
      <c r="K163" s="4">
        <v>1.5778195558555612</v>
      </c>
      <c r="L163" s="5">
        <f>K163-J163</f>
        <v>0</v>
      </c>
      <c r="M163" s="4">
        <v>1.664</v>
      </c>
      <c r="N163" s="4">
        <v>1.674</v>
      </c>
      <c r="O163" s="5">
        <f>M163/$M$3</f>
        <v>0.849846782431052</v>
      </c>
      <c r="P163" s="5">
        <f>N163/$M$3</f>
        <v>0.8549540347293156</v>
      </c>
      <c r="Q163" s="7">
        <f>IFERROR(N163/M163-1,0)</f>
        <v>0.006009615384615419</v>
      </c>
      <c r="R163" s="5">
        <f>SUM(IF(BQ163="lease",CB163,0),IF(CS163="lease",DD163,0),IF(DU163="lease",EF163,0),IF(EW163="lease",FH163,0),IF(FY163="lease",GJ163,0),IF(HA163="lease",HL163,0),IF(IC163="lease",IN163,0),IF(JE163="lease",JP163,0),IF(KG163="lease",KR163,0),IF(LI163="lease",LT163,0))</f>
        <v>1.564211363766984</v>
      </c>
      <c r="S163" s="5">
        <f>SUM(IF(BQ163="lease",CI163,0),IF(CS163="lease",DK163,0),IF(DU163="lease",EM163,0),IF(EW163="lease",FO163,0),IF(FY163="lease",GQ163,0),IF(HA163="lease",HS163,0),IF(IC163="lease",IU163,0),IF(JE163="lease",JW163,0),IF(KG163="lease",KY163,0),IF(LI163="lease",MA163,0))</f>
        <v>1.577819555855562</v>
      </c>
      <c r="T163" s="5">
        <f>SUM(IF(BQ163="keep",CB163,0),IF(CS163="keep",DD163,0),IF(DU163="keep",EF163,0),IF(EW163="keep",FH163,0),IF(FY163="keep",GJ163,0),IF(HA163="keep",HL163,0),IF(IC163="keep",IN163,0),IF(JE163="keep",JP163,0),IF(KG163="keep",KR163,0),IF(LI163="keep",LT163,0))</f>
        <v>0</v>
      </c>
      <c r="U163" s="5">
        <f>SUM(IF(BQ163="keep",CI163,0),IF(CS163="keep",DK163,0),IF(DU163="keep",EM163,0),IF(EW163="keep",FO163,0),IF(FY163="keep",GQ163,0),IF(HA163="keep",HS163,0),IF(IC163="keep",IU163,0),IF(JE163="keep",JW163,0),IF(KG163="keep",KY163,0),IF(LI163="keep",MA163,0))</f>
        <v>0</v>
      </c>
      <c r="V163" s="5">
        <f>R163/O163</f>
        <v>1.840580438855622</v>
      </c>
      <c r="W163" s="5">
        <f>S163/P163</f>
        <v>1.8455022045192297</v>
      </c>
      <c r="X163" s="5">
        <f>T163/O163</f>
        <v>0</v>
      </c>
      <c r="Y163" s="5">
        <f>U163/P163</f>
        <v>0</v>
      </c>
      <c r="Z163" s="5">
        <f>V163+X163</f>
        <v>1.840580438855622</v>
      </c>
      <c r="AA163" s="7">
        <f>IFERROR(W163/V163-1,0)</f>
        <v>0.0026740291050078024</v>
      </c>
      <c r="AB163" s="7">
        <f>IFERROR((W163-V163)/Z163,0)</f>
        <v>0.002674029105007713</v>
      </c>
      <c r="AC163" s="7">
        <f>IFERROR(Y163/X163-1,0)</f>
        <v>0</v>
      </c>
      <c r="AD163" s="7">
        <f>IFERROR((Y163-X163)/Z163,0)</f>
        <v>0</v>
      </c>
      <c r="AE163" s="7">
        <f>AB163+AD163</f>
        <v>0.002674029105007713</v>
      </c>
      <c r="AF163" s="7">
        <f>(1+Q163)*(1+AE163)-1</f>
        <v>0.008699714376071643</v>
      </c>
      <c r="AG163" s="7">
        <f>G163-AF163</f>
        <v>-1.5092094240998222e-16</v>
      </c>
      <c r="AH163" s="5">
        <f>SUM(IF(BQ163="lease",CE163,0),IF(CS163="lease",DG163,0),IF(DU163="lease",EI163,0),IF(EW163="lease",FK163,0),IF(FY163="lease",GM163,0),IF(HA163="lease",HO163,0),IF(IC163="lease",IQ163,0),IF(JE163="lease",JS163,0),IF(KG163="lease",KU163,0),IF(LI163="lease",LW163,0))</f>
        <v>0.01360819208857802</v>
      </c>
      <c r="AI163" s="5">
        <f>SUM(IF(BQ163="keep",CE163,0),IF(CS163="keep",DG163,0),IF(DU163="keep",EI163,0),IF(EW163="keep",FK163,0),IF(FY163="keep",GM163,0),IF(HA163="keep",HO163,0),IF(IC163="keep",IQ163,0),IF(JE163="keep",JS163,0),IF(KG163="keep",KU163,0),IF(LI163="keep",LW163,0))</f>
        <v>0</v>
      </c>
      <c r="AJ163" s="5">
        <f>SUM(IF(BQ163="lease",CH163,0),IF(CS163="lease",DJ163,0),IF(DU163="lease",EL163,0),IF(EW163="lease",FN163,0),IF(FY163="lease",GP163,0),IF(HA163="lease",HR163,0),IF(IC163="lease",IT163,0),IF(JE163="lease",JV163,0),IF(KG163="lease",KX163,0),IF(LI163="lease",LZ163,0))</f>
        <v>0</v>
      </c>
      <c r="AK163" s="5">
        <f>SUM(IF(BQ163="keep",CH163,0),IF(CS163="keep",DJ163,0),IF(DU163="keep",EL163,0),IF(EW163="keep",FN163,0),IF(FY163="keep",GP163,0),IF(HA163="keep",HR163,0),IF(IC163="keep",IT163,0),IF(JE163="keep",JV163,0),IF(KG163="keep",KX163,0),IF(LI163="keep",LZ163,0))</f>
        <v>0</v>
      </c>
      <c r="AL163" s="5">
        <f>R163-S162</f>
        <v>0</v>
      </c>
      <c r="AM163" s="5">
        <f>T163-U162</f>
        <v>0</v>
      </c>
      <c r="AN163" s="5">
        <f>AN162</f>
        <v>1</v>
      </c>
      <c r="AO163" s="5">
        <f>AO162+AH163</f>
        <v>0.5778195558555622</v>
      </c>
      <c r="AP163" s="5">
        <f>AP162+AL163</f>
        <v>-4.440892098500626e-16</v>
      </c>
      <c r="AQ163" s="5">
        <f>AN163+AO163+AP163</f>
        <v>1.5778195558555619</v>
      </c>
      <c r="AR163" s="5">
        <f>S163-AQ163</f>
        <v>2.220446049250313e-16</v>
      </c>
      <c r="AS163" s="5">
        <f>AS162</f>
        <v>0</v>
      </c>
      <c r="AT163" s="5">
        <f>AT162+AI163</f>
        <v>0</v>
      </c>
      <c r="AU163" s="5">
        <f>AU162+AM163</f>
        <v>0</v>
      </c>
      <c r="AV163" s="5">
        <f>AS163+AT163+AU163</f>
        <v>0</v>
      </c>
      <c r="AW163" s="5">
        <f>U163-AV163</f>
        <v>0</v>
      </c>
      <c r="AX163" s="4">
        <v>1.564211363766984</v>
      </c>
      <c r="AY163" s="4">
        <v>1.577819555855562</v>
      </c>
      <c r="AZ163" s="5">
        <f>S163-AY163</f>
        <v>0</v>
      </c>
      <c r="BA163" s="4">
        <v>0</v>
      </c>
      <c r="BB163" s="4">
        <v>0</v>
      </c>
      <c r="BC163" s="5">
        <f>U163-BB163</f>
        <v>0</v>
      </c>
      <c r="BD163" s="7">
        <f>SUM(IF(BP163="direct",CC163/F163,0),IF(CR163="direct",DE163/F163,0),IF(DT163="direct",EG163/F163,0),IF(EV163="direct",FI163/F163,0),IF(FX163="direct",GK163/F163,0),IF(GZ163="direct",HM163/F163,0),IF(IB163="direct",IO163/F163,0),IF(JD163="direct",JQ163/F163,0),IF(KF163="direct",KS163/F163,0),IF(LH163="direct",LU163/F163,0))</f>
        <v>0</v>
      </c>
      <c r="BE163" s="7">
        <f>-SUM(IF(BP163="direct",CD163/F163,0),IF(CR163="direct",DF163/F163,0),IF(DT163="direct",EH163/F163,0),IF(EV163="direct",FJ163/F163,0),IF(FX163="direct",GL163/F163,0),IF(GZ163="direct",HN163/F163,0),IF(IB163="direct",IP163/F163,0),IF(JD163="direct",JR163/F163,0),IF(KF163="direct",KT163/F163,0),IF(LH163="direct",LV163/F163,0))</f>
        <v>0</v>
      </c>
      <c r="BF163" s="7">
        <f>BD163+BE163</f>
        <v>0</v>
      </c>
      <c r="BG163" s="7">
        <f>BF163-SUM(IF(BP163="direct",CP163,0),IF(CR163="direct",DR163,0),IF(DT163="direct",ET163,0),IF(EV163="direct",FV163,0),IF(FX163="direct",GX163,0),IF(GZ163="direct",HZ163,0),IF(IB163="direct",JB163,0),IF(JD163="direct",KD163,0),IF(KF163="direct",LF163,0),IF(LH163="direct",MH163,0))</f>
        <v>0</v>
      </c>
      <c r="BH163" s="7">
        <f>SUM(IF(BP163="treasury",CP163,0),IF(CR163="treasury",DR163,0),IF(DT163="treasury",ET163,0),IF(EV163="treasury",FV163,0),IF(FX163="treasury",GX163,0),IF(GZ163="treasury",HZ163,0),IF(IB163="treasury",JB163,0),IF(JD163="treasury",KD163,0),IF(KF163="treasury",LF163,0),IF(LH163="treasury",MH163,0))</f>
        <v>0.00019424657534246578</v>
      </c>
      <c r="BI163" s="7">
        <f>SUM(IF(BP163="future",CP163,0),IF(CR163="future",DR163,0),IF(DT163="future",ET163,0),IF(EV163="future",FV163,0),IF(FX163="future",GX163,0),IF(GZ163="future",HZ163,0),IF(IB163="future",JB163,0),IF(JD163="future",KD163,0),IF(KF163="future",LF163,0),IF(LH163="future",MH163,0))</f>
        <v>0.008505467800729027</v>
      </c>
      <c r="BJ163" s="7">
        <f>SUM(IF(BP163="cash",CP163,0),IF(CR163="cash",DR163,0),IF(DT163="cash",ET163,0),IF(EV163="cash",FV163,0),IF(FX163="cash",GX163,0),IF(GZ163="cash",HZ163,0),IF(IB163="cash",JB163,0),IF(JD163="cash",KD163,0),IF(KF163="cash",LF163,0),IF(LH163="cash",MH163,0))</f>
        <v>0</v>
      </c>
      <c r="BK163" s="7">
        <f>SUM(BF163,BH163,BI163,BJ163)</f>
        <v>0.008699714376071492</v>
      </c>
      <c r="BL163" s="7">
        <f>G163-BK163</f>
        <v>0</v>
      </c>
      <c r="BM163" s="5">
        <f>MAX(ABS(CG163),ABS(DI163),ABS(EK163),ABS(FM163),ABS(GO163),ABS(HQ163),ABS(IS163),ABS(JU163),ABS(KW163),ABS(LY163))</f>
        <v>1.1752751549742868e-16</v>
      </c>
      <c r="BN163" s="9">
        <f>COUNTA(BO163,CQ163,DS163,EU163,FW163,GY163,IA163,JC163,KE163,LG163)</f>
        <v>4</v>
      </c>
      <c r="BO163" t="inlineStr">
        <is>
          <t xml:space="preserve">Treasury collateral</t>
        </is>
      </c>
      <c r="BP163" t="inlineStr">
        <is>
          <t xml:space="preserve">treasury</t>
        </is>
      </c>
      <c r="BQ163" t="inlineStr">
        <is>
          <t xml:space="preserve">lease</t>
        </is>
      </c>
      <c r="BR163" t="inlineStr">
        <is>
          <t xml:space="preserve">long</t>
        </is>
      </c>
      <c r="BS163"/>
      <c r="BT163" s="4">
        <v>104.22410804834053</v>
      </c>
      <c r="BU163" s="4">
        <v>104.24435322439703</v>
      </c>
      <c r="BV163" s="6"/>
      <c r="BW163" s="4">
        <v>0.015008153037313413</v>
      </c>
      <c r="BX163" s="5">
        <f>IF(BP163="direct",IFERROR(CD163/BU163,0),0)</f>
        <v>0</v>
      </c>
      <c r="BY163" s="5">
        <f>IF(BP163="direct",BW163-BX163,IF(BP163="cash",CI163,BW163))</f>
        <v>0.015008153037313413</v>
      </c>
      <c r="BZ163" s="6">
        <v>1</v>
      </c>
      <c r="CA163" s="4">
        <v>1.5642113637669832</v>
      </c>
      <c r="CB163" s="4">
        <v>1.5642113637669832</v>
      </c>
      <c r="CC163" s="5">
        <f>IF(BP163="direct",BW163*(BU163-BT163),CF163)</f>
        <v>0.00030384270052338693</v>
      </c>
      <c r="CD163" s="5">
        <f>IF(BP163="direct",CB163*BV163*C163/365,0)</f>
        <v>0</v>
      </c>
      <c r="CE163" s="5">
        <f>CC163-CD163</f>
        <v>0.00030384270052350446</v>
      </c>
      <c r="CF163" s="4">
        <v>0.00030384270052350446</v>
      </c>
      <c r="CG163" s="5">
        <f>CF163-CE163</f>
        <v>1.1752751549742868e-16</v>
      </c>
      <c r="CH163" s="4">
        <v>-1.9981846038907847e-16</v>
      </c>
      <c r="CI163" s="4">
        <v>1.5645152064675065</v>
      </c>
      <c r="CJ163" s="4">
        <v>1.664</v>
      </c>
      <c r="CK163" s="4">
        <v>1.674</v>
      </c>
      <c r="CL163" s="6"/>
      <c r="CM163" s="6"/>
      <c r="CN163" s="6"/>
      <c r="CO163" s="9">
        <v>29</v>
      </c>
      <c r="CP163" s="7">
        <f>IFERROR(CE163/F163,0)</f>
        <v>0.00019424657534246578</v>
      </c>
      <c r="CQ163" t="inlineStr">
        <is>
          <t xml:space="preserve">SI69U</t>
        </is>
      </c>
      <c r="CR163" t="inlineStr">
        <is>
          <t xml:space="preserve">future</t>
        </is>
      </c>
      <c r="CS163" t="inlineStr">
        <is>
          <t xml:space="preserve">lease</t>
        </is>
      </c>
      <c r="CT163" t="inlineStr">
        <is>
          <t xml:space="preserve">long</t>
        </is>
      </c>
      <c r="CU163" t="inlineStr">
        <is>
          <t xml:space="preserve">regular</t>
        </is>
      </c>
      <c r="CV163" s="4">
        <v>1.646</v>
      </c>
      <c r="CW163" s="4">
        <v>1.66</v>
      </c>
      <c r="CX163" s="6"/>
      <c r="CY163" s="4">
        <v>0.950310670575324</v>
      </c>
      <c r="CZ163" s="5">
        <f>IF(CR163="direct",IFERROR(DF163/CW163,0),0)</f>
        <v>0</v>
      </c>
      <c r="DA163" s="5">
        <f>IF(CR163="direct",CY163-CZ163,IF(CR163="cash",DK163,CY163))</f>
        <v>0.950310670575324</v>
      </c>
      <c r="DB163" s="6">
        <v>1</v>
      </c>
      <c r="DC163" s="4">
        <v>1.5642113637669832</v>
      </c>
      <c r="DD163" s="4">
        <v>0</v>
      </c>
      <c r="DE163" s="5">
        <f>IF(CR163="direct",CY163*(CW163-CV163),DH163)</f>
        <v>0.013304349388054516</v>
      </c>
      <c r="DF163" s="5">
        <f>IF(CR163="direct",DD163*CX163*C163/365,0)</f>
        <v>0</v>
      </c>
      <c r="DG163" s="5">
        <f>DE163-DF163</f>
        <v>0.013304349388054516</v>
      </c>
      <c r="DH163" s="4">
        <v>0.013304349388054516</v>
      </c>
      <c r="DI163" s="5">
        <f>DH163-DG163</f>
        <v>0</v>
      </c>
      <c r="DJ163" s="4">
        <v>-0.013304349388054516</v>
      </c>
      <c r="DK163" s="4">
        <v>0</v>
      </c>
      <c r="DL163" s="4">
        <v>1.664</v>
      </c>
      <c r="DM163" s="4">
        <v>1.674</v>
      </c>
      <c r="DN163" s="6">
        <v>-0.01081730769230771</v>
      </c>
      <c r="DO163" s="6">
        <v>0.0709</v>
      </c>
      <c r="DP163" s="6">
        <v>0.20704887267904531</v>
      </c>
      <c r="DQ163" s="9">
        <v>29</v>
      </c>
      <c r="DR163" s="7">
        <f>IFERROR(DG163/F163,0)</f>
        <v>0.008505467800729027</v>
      </c>
      <c r="DS163" t="inlineStr">
        <is>
          <t xml:space="preserve">Lease cash / margin / financing</t>
        </is>
      </c>
      <c r="DT163" t="inlineStr">
        <is>
          <t xml:space="preserve">cash</t>
        </is>
      </c>
      <c r="DU163" t="inlineStr">
        <is>
          <t xml:space="preserve">lease</t>
        </is>
      </c>
      <c r="DV163" t="inlineStr">
        <is>
          <t xml:space="preserve">cash</t>
        </is>
      </c>
      <c r="DW163"/>
      <c r="DX163" s="4">
        <v>1</v>
      </c>
      <c r="DY163" s="4">
        <v>1</v>
      </c>
      <c r="DZ163" s="6"/>
      <c r="EA163" s="4">
        <v>8.881784197001252e-16</v>
      </c>
      <c r="EB163" s="5">
        <f>IF(DT163="direct",IFERROR(EH163/DY163,0),0)</f>
        <v>0</v>
      </c>
      <c r="EC163" s="5">
        <f>IF(DT163="direct",EA163-EB163,IF(DT163="cash",EM163,EA163))</f>
        <v>0.013304349388055603</v>
      </c>
      <c r="ED163" s="6"/>
      <c r="EE163" s="4">
        <v>8.881784197001252e-16</v>
      </c>
      <c r="EF163" s="4">
        <v>8.881784197001252e-16</v>
      </c>
      <c r="EG163" s="5">
        <f>IF(DT163="direct",EA163*(DY163-DX163),EJ163)</f>
        <v>0</v>
      </c>
      <c r="EH163" s="5">
        <f>IF(DT163="direct",EF163*DZ163*C163/365,0)</f>
        <v>0</v>
      </c>
      <c r="EI163" s="5">
        <f>EG163-EH163</f>
        <v>0</v>
      </c>
      <c r="EJ163" s="4">
        <v>0</v>
      </c>
      <c r="EK163" s="5">
        <f>EJ163-EI163</f>
        <v>0</v>
      </c>
      <c r="EL163" s="4">
        <v>0.013304349388054715</v>
      </c>
      <c r="EM163" s="4">
        <v>0.013304349388055603</v>
      </c>
      <c r="EN163" s="4">
        <v>1.664</v>
      </c>
      <c r="EO163" s="4">
        <v>1.674</v>
      </c>
      <c r="EP163" s="6"/>
      <c r="EQ163" s="6"/>
      <c r="ER163" s="6"/>
      <c r="ES163" s="9"/>
      <c r="ET163" s="7">
        <f>IFERROR(EI163/F163,0)</f>
        <v>0</v>
      </c>
      <c r="EU163" t="inlineStr">
        <is>
          <t xml:space="preserve">Keep cash / margin / financing</t>
        </is>
      </c>
      <c r="EV163" t="inlineStr">
        <is>
          <t xml:space="preserve">cash</t>
        </is>
      </c>
      <c r="EW163" t="inlineStr">
        <is>
          <t xml:space="preserve">keep</t>
        </is>
      </c>
      <c r="EX163" t="inlineStr">
        <is>
          <t xml:space="preserve">cash</t>
        </is>
      </c>
      <c r="EY163"/>
      <c r="EZ163" s="4">
        <v>1</v>
      </c>
      <c r="FA163" s="4">
        <v>1</v>
      </c>
      <c r="FB163" s="6"/>
      <c r="FC163" s="4">
        <v>0</v>
      </c>
      <c r="FD163" s="5">
        <f>IF(EV163="direct",IFERROR(FJ163/FA163,0),0)</f>
        <v>0</v>
      </c>
      <c r="FE163" s="5">
        <f>IF(EV163="direct",FC163-FD163,IF(EV163="cash",FO163,FC163))</f>
        <v>0</v>
      </c>
      <c r="FF163" s="6"/>
      <c r="FG163" s="4">
        <v>0</v>
      </c>
      <c r="FH163" s="4">
        <v>0</v>
      </c>
      <c r="FI163" s="5">
        <f>IF(EV163="direct",FC163*(FA163-EZ163),FL163)</f>
        <v>0</v>
      </c>
      <c r="FJ163" s="5">
        <f>IF(EV163="direct",FH163*FB163*C163/365,0)</f>
        <v>0</v>
      </c>
      <c r="FK163" s="5">
        <f>FI163-FJ163</f>
        <v>0</v>
      </c>
      <c r="FL163" s="4">
        <v>0</v>
      </c>
      <c r="FM163" s="5">
        <f>FL163-FK163</f>
        <v>0</v>
      </c>
      <c r="FN163" s="4">
        <v>0</v>
      </c>
      <c r="FO163" s="4">
        <v>0</v>
      </c>
      <c r="FP163" s="4">
        <v>1.664</v>
      </c>
      <c r="FQ163" s="4">
        <v>1.674</v>
      </c>
      <c r="FR163" s="6"/>
      <c r="FS163" s="6"/>
      <c r="FT163" s="6"/>
      <c r="FU163" s="9"/>
      <c r="FV163" s="7">
        <f>IFERROR(FK163/F163,0)</f>
        <v>0</v>
      </c>
      <c r="FW163"/>
      <c r="FX163"/>
      <c r="FY163"/>
      <c r="FZ163"/>
      <c r="GA163"/>
      <c r="GB163" s="4"/>
      <c r="GC163" s="4"/>
      <c r="GD163" s="6"/>
      <c r="GE163" s="4"/>
      <c r="GF163" s="5">
        <v>0</v>
      </c>
      <c r="GG163" s="5"/>
      <c r="GH163" s="6"/>
      <c r="GI163" s="4"/>
      <c r="GJ163" s="4"/>
      <c r="GK163" s="5">
        <v>0</v>
      </c>
      <c r="GL163" s="5">
        <v>0</v>
      </c>
      <c r="GM163" s="5"/>
      <c r="GN163" s="4"/>
      <c r="GO163" s="5">
        <v>0</v>
      </c>
      <c r="GP163" s="4"/>
      <c r="GQ163" s="4"/>
      <c r="GR163" s="4"/>
      <c r="GS163" s="4"/>
      <c r="GT163" s="6"/>
      <c r="GU163" s="6"/>
      <c r="GV163" s="6"/>
      <c r="GW163" s="9"/>
      <c r="GX163"/>
      <c r="GY163"/>
      <c r="GZ163"/>
      <c r="HA163"/>
      <c r="HB163"/>
      <c r="HC163"/>
      <c r="HD163" s="4"/>
      <c r="HE163" s="4"/>
      <c r="HF163" s="6"/>
      <c r="HG163" s="4"/>
      <c r="HH163" s="5">
        <v>0</v>
      </c>
      <c r="HI163" s="5"/>
      <c r="HJ163" s="6"/>
      <c r="HK163" s="4"/>
      <c r="HL163" s="4"/>
      <c r="HM163" s="5">
        <v>0</v>
      </c>
      <c r="HN163" s="5">
        <v>0</v>
      </c>
      <c r="HO163" s="5"/>
      <c r="HP163" s="4"/>
      <c r="HQ163" s="5">
        <v>0</v>
      </c>
      <c r="HR163" s="4"/>
      <c r="HS163" s="4"/>
      <c r="HT163" s="4"/>
      <c r="HU163" s="4"/>
      <c r="HV163" s="6"/>
      <c r="HW163" s="6"/>
      <c r="HX163" s="6"/>
      <c r="HY163" s="9"/>
      <c r="HZ163"/>
      <c r="IA163"/>
      <c r="IB163"/>
      <c r="IC163"/>
      <c r="ID163"/>
      <c r="IE163"/>
      <c r="IF163" s="4"/>
      <c r="IG163" s="4"/>
      <c r="IH163" s="6"/>
      <c r="II163" s="4"/>
      <c r="IJ163" s="5">
        <v>0</v>
      </c>
      <c r="IK163" s="5"/>
      <c r="IL163" s="6"/>
      <c r="IM163" s="4"/>
      <c r="IN163" s="4"/>
      <c r="IO163" s="5">
        <v>0</v>
      </c>
      <c r="IP163" s="5">
        <v>0</v>
      </c>
      <c r="IQ163" s="5"/>
      <c r="IR163" s="4"/>
      <c r="IS163" s="5">
        <v>0</v>
      </c>
      <c r="IT163" s="4"/>
      <c r="IU163" s="4"/>
      <c r="IV163" s="4"/>
      <c r="IW163" s="4"/>
      <c r="IX163" s="6"/>
      <c r="IY163" s="6"/>
      <c r="IZ163" s="6"/>
      <c r="JA163" s="9"/>
      <c r="JB163"/>
      <c r="JC163"/>
      <c r="JD163"/>
      <c r="JE163"/>
      <c r="JF163"/>
      <c r="JG163"/>
      <c r="JH163" s="4"/>
      <c r="JI163" s="4"/>
      <c r="JJ163" s="6"/>
      <c r="JK163" s="4"/>
      <c r="JL163" s="5">
        <v>0</v>
      </c>
      <c r="JM163" s="5"/>
      <c r="JN163" s="6"/>
      <c r="JO163" s="4"/>
      <c r="JP163" s="4"/>
      <c r="JQ163" s="5">
        <v>0</v>
      </c>
      <c r="JR163" s="5">
        <v>0</v>
      </c>
      <c r="JS163" s="5"/>
      <c r="JT163" s="4"/>
      <c r="JU163" s="5">
        <v>0</v>
      </c>
      <c r="JV163" s="4"/>
      <c r="JW163" s="4"/>
      <c r="JX163" s="4"/>
      <c r="JY163" s="4"/>
      <c r="JZ163" s="6"/>
      <c r="KA163" s="6"/>
      <c r="KB163" s="6"/>
      <c r="KC163" s="9"/>
      <c r="KD163"/>
      <c r="KE163"/>
      <c r="KF163"/>
      <c r="KG163"/>
      <c r="KH163"/>
      <c r="KI163"/>
      <c r="KJ163" s="4"/>
      <c r="KK163" s="4"/>
      <c r="KL163" s="6"/>
      <c r="KM163" s="4"/>
      <c r="KN163" s="5">
        <v>0</v>
      </c>
      <c r="KO163" s="5"/>
      <c r="KP163" s="6"/>
      <c r="KQ163" s="4"/>
      <c r="KR163" s="4"/>
      <c r="KS163" s="5">
        <v>0</v>
      </c>
      <c r="KT163" s="5">
        <v>0</v>
      </c>
      <c r="KU163" s="5"/>
      <c r="KV163" s="4"/>
      <c r="KW163" s="5">
        <v>0</v>
      </c>
      <c r="KX163" s="4"/>
      <c r="KY163" s="4"/>
      <c r="KZ163" s="4"/>
      <c r="LA163" s="4"/>
      <c r="LB163" s="6"/>
      <c r="LC163" s="6"/>
      <c r="LD163" s="6"/>
      <c r="LE163" s="9"/>
      <c r="LF163"/>
      <c r="LG163"/>
      <c r="LH163"/>
      <c r="LI163"/>
      <c r="LJ163"/>
      <c r="LK163"/>
      <c r="LL163" s="4"/>
      <c r="LM163" s="4"/>
      <c r="LN163" s="6"/>
      <c r="LO163" s="4"/>
      <c r="LP163" s="5">
        <v>0</v>
      </c>
      <c r="LQ163" s="5"/>
      <c r="LR163" s="6"/>
      <c r="LS163" s="4"/>
      <c r="LT163" s="4"/>
      <c r="LU163" s="5">
        <v>0</v>
      </c>
      <c r="LV163" s="5">
        <v>0</v>
      </c>
      <c r="LW163" s="5"/>
      <c r="LX163" s="4"/>
      <c r="LY163" s="5">
        <v>0</v>
      </c>
      <c r="LZ163" s="4"/>
      <c r="MA163" s="4"/>
      <c r="MB163" s="4"/>
      <c r="MC163" s="4"/>
      <c r="MD163" s="6"/>
      <c r="ME163" s="6"/>
      <c r="MF163" s="6"/>
      <c r="MG163" s="9"/>
      <c r="MH163"/>
    </row>
    <row r="164">
      <c r="A164" s="8">
        <v>25444</v>
      </c>
      <c r="B164" s="8">
        <v>25448</v>
      </c>
      <c r="C164" s="9">
        <f>B164-A164</f>
        <v>4</v>
      </c>
      <c r="D164" s="8">
        <v>25444</v>
      </c>
      <c r="E164" t="inlineStr">
        <is>
          <t xml:space="preserve">positive</t>
        </is>
      </c>
      <c r="F164" s="4">
        <v>1.5778195558555612</v>
      </c>
      <c r="G164" s="6">
        <v>0.011002607691038164</v>
      </c>
      <c r="H164" s="7">
        <f>SUM(CP164,DR164,ET164,FV164,GX164,HZ164,JB164,KD164,LF164,MH164)</f>
        <v>0.011002607691038164</v>
      </c>
      <c r="I164" s="7">
        <f>G164-H164</f>
        <v>0</v>
      </c>
      <c r="J164" s="5">
        <f>F164*(1+H164)</f>
        <v>1.595179685435888</v>
      </c>
      <c r="K164" s="4">
        <v>1.595179685435888</v>
      </c>
      <c r="L164" s="5">
        <f>K164-J164</f>
        <v>0</v>
      </c>
      <c r="M164" s="4">
        <v>1.674</v>
      </c>
      <c r="N164" s="4">
        <v>1.688</v>
      </c>
      <c r="O164" s="5">
        <f>M164/$M$3</f>
        <v>0.8549540347293156</v>
      </c>
      <c r="P164" s="5">
        <f>N164/$M$3</f>
        <v>0.8621041879468846</v>
      </c>
      <c r="Q164" s="7">
        <f>IFERROR(N164/M164-1,0)</f>
        <v>0.008363201911589124</v>
      </c>
      <c r="R164" s="5">
        <f>SUM(IF(BQ164="lease",CB164,0),IF(CS164="lease",DD164,0),IF(DU164="lease",EF164,0),IF(EW164="lease",FH164,0),IF(FY164="lease",GJ164,0),IF(HA164="lease",HL164,0),IF(IC164="lease",IN164,0),IF(JE164="lease",JP164,0),IF(KG164="lease",KR164,0),IF(LI164="lease",LT164,0))</f>
        <v>1.577819555855562</v>
      </c>
      <c r="S164" s="5">
        <f>SUM(IF(BQ164="lease",CI164,0),IF(CS164="lease",DK164,0),IF(DU164="lease",EM164,0),IF(EW164="lease",FO164,0),IF(FY164="lease",GQ164,0),IF(HA164="lease",HS164,0),IF(IC164="lease",IU164,0),IF(JE164="lease",JW164,0),IF(KG164="lease",KY164,0),IF(LI164="lease",MA164,0))</f>
        <v>1.5951796854358888</v>
      </c>
      <c r="T164" s="5">
        <f>SUM(IF(BQ164="keep",CB164,0),IF(CS164="keep",DD164,0),IF(DU164="keep",EF164,0),IF(EW164="keep",FH164,0),IF(FY164="keep",GJ164,0),IF(HA164="keep",HL164,0),IF(IC164="keep",IN164,0),IF(JE164="keep",JP164,0),IF(KG164="keep",KR164,0),IF(LI164="keep",LT164,0))</f>
        <v>0</v>
      </c>
      <c r="U164" s="5">
        <f>SUM(IF(BQ164="keep",CI164,0),IF(CS164="keep",DK164,0),IF(DU164="keep",EM164,0),IF(EW164="keep",FO164,0),IF(FY164="keep",GQ164,0),IF(HA164="keep",HS164,0),IF(IC164="keep",IU164,0),IF(JE164="keep",JW164,0),IF(KG164="keep",KY164,0),IF(LI164="keep",MA164,0))</f>
        <v>0</v>
      </c>
      <c r="V164" s="5">
        <f>R164/O164</f>
        <v>1.8455022045192297</v>
      </c>
      <c r="W164" s="5">
        <f>S164/P164</f>
        <v>1.850332834172672</v>
      </c>
      <c r="X164" s="5">
        <f>T164/O164</f>
        <v>0</v>
      </c>
      <c r="Y164" s="5">
        <f>U164/P164</f>
        <v>0</v>
      </c>
      <c r="Z164" s="5">
        <f>V164+X164</f>
        <v>1.8455022045192297</v>
      </c>
      <c r="AA164" s="7">
        <f>IFERROR(W164/V164-1,0)</f>
        <v>0.002617514973221491</v>
      </c>
      <c r="AB164" s="7">
        <f>IFERROR((W164-V164)/Z164,0)</f>
        <v>0.002617514973221388</v>
      </c>
      <c r="AC164" s="7">
        <f>IFERROR(Y164/X164-1,0)</f>
        <v>0</v>
      </c>
      <c r="AD164" s="7">
        <f>IFERROR((Y164-X164)/Z164,0)</f>
        <v>0</v>
      </c>
      <c r="AE164" s="7">
        <f>AB164+AD164</f>
        <v>0.002617514973221388</v>
      </c>
      <c r="AF164" s="7">
        <f>(1+Q164)*(1+AE164)-1</f>
        <v>0.011002607691038335</v>
      </c>
      <c r="AG164" s="7">
        <f>G164-AF164</f>
        <v>-1.717376241217039e-16</v>
      </c>
      <c r="AH164" s="5">
        <f>SUM(IF(BQ164="lease",CE164,0),IF(CS164="lease",DG164,0),IF(DU164="lease",EI164,0),IF(EW164="lease",FK164,0),IF(FY164="lease",GM164,0),IF(HA164="lease",HO164,0),IF(IC164="lease",IQ164,0),IF(JE164="lease",JS164,0),IF(KG164="lease",KU164,0),IF(LI164="lease",LW164,0))</f>
        <v>0.017360129580326816</v>
      </c>
      <c r="AI164" s="5">
        <f>SUM(IF(BQ164="keep",CE164,0),IF(CS164="keep",DG164,0),IF(DU164="keep",EI164,0),IF(EW164="keep",FK164,0),IF(FY164="keep",GM164,0),IF(HA164="keep",HO164,0),IF(IC164="keep",IQ164,0),IF(JE164="keep",JS164,0),IF(KG164="keep",KU164,0),IF(LI164="keep",LW164,0))</f>
        <v>0</v>
      </c>
      <c r="AJ164" s="5">
        <f>SUM(IF(BQ164="lease",CH164,0),IF(CS164="lease",DJ164,0),IF(DU164="lease",EL164,0),IF(EW164="lease",FN164,0),IF(FY164="lease",GP164,0),IF(HA164="lease",HR164,0),IF(IC164="lease",IT164,0),IF(JE164="lease",JV164,0),IF(KG164="lease",KX164,0),IF(LI164="lease",LZ164,0))</f>
        <v>0</v>
      </c>
      <c r="AK164" s="5">
        <f>SUM(IF(BQ164="keep",CH164,0),IF(CS164="keep",DJ164,0),IF(DU164="keep",EL164,0),IF(EW164="keep",FN164,0),IF(FY164="keep",GP164,0),IF(HA164="keep",HR164,0),IF(IC164="keep",IT164,0),IF(JE164="keep",JV164,0),IF(KG164="keep",KX164,0),IF(LI164="keep",LZ164,0))</f>
        <v>0</v>
      </c>
      <c r="AL164" s="5">
        <f>R164-S163</f>
        <v>0</v>
      </c>
      <c r="AM164" s="5">
        <f>T164-U163</f>
        <v>0</v>
      </c>
      <c r="AN164" s="5">
        <f>AN163</f>
        <v>1</v>
      </c>
      <c r="AO164" s="5">
        <f>AO163+AH164</f>
        <v>0.5951796854358891</v>
      </c>
      <c r="AP164" s="5">
        <f>AP163+AL164</f>
        <v>-4.440892098500626e-16</v>
      </c>
      <c r="AQ164" s="5">
        <f>AN164+AO164+AP164</f>
        <v>1.5951796854358886</v>
      </c>
      <c r="AR164" s="5">
        <f>S164-AQ164</f>
        <v>2.220446049250313e-16</v>
      </c>
      <c r="AS164" s="5">
        <f>AS163</f>
        <v>0</v>
      </c>
      <c r="AT164" s="5">
        <f>AT163+AI164</f>
        <v>0</v>
      </c>
      <c r="AU164" s="5">
        <f>AU163+AM164</f>
        <v>0</v>
      </c>
      <c r="AV164" s="5">
        <f>AS164+AT164+AU164</f>
        <v>0</v>
      </c>
      <c r="AW164" s="5">
        <f>U164-AV164</f>
        <v>0</v>
      </c>
      <c r="AX164" s="4">
        <v>1.577819555855562</v>
      </c>
      <c r="AY164" s="4">
        <v>1.5951796854358888</v>
      </c>
      <c r="AZ164" s="5">
        <f>S164-AY164</f>
        <v>0</v>
      </c>
      <c r="BA164" s="4">
        <v>0</v>
      </c>
      <c r="BB164" s="4">
        <v>0</v>
      </c>
      <c r="BC164" s="5">
        <f>U164-BB164</f>
        <v>0</v>
      </c>
      <c r="BD164" s="7">
        <f>SUM(IF(BP164="direct",CC164/F164,0),IF(CR164="direct",DE164/F164,0),IF(DT164="direct",EG164/F164,0),IF(EV164="direct",FI164/F164,0),IF(FX164="direct",GK164/F164,0),IF(GZ164="direct",HM164/F164,0),IF(IB164="direct",IO164/F164,0),IF(JD164="direct",JQ164/F164,0),IF(KF164="direct",KS164/F164,0),IF(LH164="direct",LU164/F164,0))</f>
        <v>0</v>
      </c>
      <c r="BE164" s="7">
        <f>-SUM(IF(BP164="direct",CD164/F164,0),IF(CR164="direct",DF164/F164,0),IF(DT164="direct",EH164/F164,0),IF(EV164="direct",FJ164/F164,0),IF(FX164="direct",GL164/F164,0),IF(GZ164="direct",HN164/F164,0),IF(IB164="direct",IP164/F164,0),IF(JD164="direct",JR164/F164,0),IF(KF164="direct",KT164/F164,0),IF(LH164="direct",LV164/F164,0))</f>
        <v>0</v>
      </c>
      <c r="BF164" s="7">
        <f>BD164+BE164</f>
        <v>0</v>
      </c>
      <c r="BG164" s="7">
        <f>BF164-SUM(IF(BP164="direct",CP164,0),IF(CR164="direct",DR164,0),IF(DT164="direct",ET164,0),IF(EV164="direct",FV164,0),IF(FX164="direct",GX164,0),IF(GZ164="direct",HZ164,0),IF(IB164="direct",JB164,0),IF(JD164="direct",KD164,0),IF(KF164="direct",LF164,0),IF(LH164="direct",MH164,0))</f>
        <v>0</v>
      </c>
      <c r="BH164" s="7">
        <f>SUM(IF(BP164="treasury",CP164,0),IF(CR164="treasury",DR164,0),IF(DT164="treasury",ET164,0),IF(EV164="treasury",FV164,0),IF(FX164="treasury",GX164,0),IF(GZ164="treasury",HZ164,0),IF(IB164="treasury",JB164,0),IF(JD164="treasury",KD164,0),IF(KF164="treasury",LF164,0),IF(LH164="treasury",MH164,0))</f>
        <v>0.0007616438356164385</v>
      </c>
      <c r="BI164" s="7">
        <f>SUM(IF(BP164="future",CP164,0),IF(CR164="future",DR164,0),IF(DT164="future",ET164,0),IF(EV164="future",FV164,0),IF(FX164="future",GX164,0),IF(GZ164="future",HZ164,0),IF(IB164="future",JB164,0),IF(JD164="future",KD164,0),IF(KF164="future",LF164,0),IF(LH164="future",MH164,0))</f>
        <v>0.010240963855421725</v>
      </c>
      <c r="BJ164" s="7">
        <f>SUM(IF(BP164="cash",CP164,0),IF(CR164="cash",DR164,0),IF(DT164="cash",ET164,0),IF(EV164="cash",FV164,0),IF(FX164="cash",GX164,0),IF(GZ164="cash",HZ164,0),IF(IB164="cash",JB164,0),IF(JD164="cash",KD164,0),IF(KF164="cash",LF164,0),IF(LH164="cash",MH164,0))</f>
        <v>0</v>
      </c>
      <c r="BK164" s="7">
        <f>SUM(BF164,BH164,BI164,BJ164)</f>
        <v>0.011002607691038164</v>
      </c>
      <c r="BL164" s="7">
        <f>G164-BK164</f>
        <v>0</v>
      </c>
      <c r="BM164" s="5">
        <f>MAX(ABS(CG164),ABS(DI164),ABS(EK164),ABS(FM164),ABS(GO164),ABS(HQ164),ABS(IS164),ABS(JU164),ABS(KW164),ABS(LY164))</f>
        <v>3.7816971776294395e-16</v>
      </c>
      <c r="BN164" s="9">
        <f>COUNTA(BO164,CQ164,DS164,EU164,FW164,GY164,IA164,JC164,KE164,LG164)</f>
        <v>4</v>
      </c>
      <c r="BO164" t="inlineStr">
        <is>
          <t xml:space="preserve">Treasury collateral</t>
        </is>
      </c>
      <c r="BP164" t="inlineStr">
        <is>
          <t xml:space="preserve">treasury</t>
        </is>
      </c>
      <c r="BQ164" t="inlineStr">
        <is>
          <t xml:space="preserve">lease</t>
        </is>
      </c>
      <c r="BR164" t="inlineStr">
        <is>
          <t xml:space="preserve">long</t>
        </is>
      </c>
      <c r="BS164"/>
      <c r="BT164" s="4">
        <v>104.24435322439703</v>
      </c>
      <c r="BU164" s="4">
        <v>104.32375029342819</v>
      </c>
      <c r="BV164" s="6"/>
      <c r="BW164" s="4">
        <v>0.015135779608696283</v>
      </c>
      <c r="BX164" s="5">
        <f>IF(BP164="direct",IFERROR(CD164/BU164,0),0)</f>
        <v>0</v>
      </c>
      <c r="BY164" s="5">
        <f>IF(BP164="direct",BW164-BX164,IF(BP164="cash",CI164,BW164))</f>
        <v>0.015135779608696283</v>
      </c>
      <c r="BZ164" s="6">
        <v>1</v>
      </c>
      <c r="CA164" s="4">
        <v>1.5778195558555612</v>
      </c>
      <c r="CB164" s="4">
        <v>1.5778195558555612</v>
      </c>
      <c r="CC164" s="5">
        <f>IF(BP164="direct",BW164*(BU164-BT164),CF164)</f>
        <v>0.0012017365384320768</v>
      </c>
      <c r="CD164" s="5">
        <f>IF(BP164="direct",CB164*BV164*C164/365,0)</f>
        <v>0</v>
      </c>
      <c r="CE164" s="5">
        <f>CC164-CD164</f>
        <v>0.001201736538432455</v>
      </c>
      <c r="CF164" s="4">
        <v>0.001201736538432455</v>
      </c>
      <c r="CG164" s="5">
        <f>CF164-CE164</f>
        <v>3.7816971776294395e-16</v>
      </c>
      <c r="CH164" s="4">
        <v>-4.2500725161431774e-16</v>
      </c>
      <c r="CI164" s="4">
        <v>1.5790212923939932</v>
      </c>
      <c r="CJ164" s="4">
        <v>1.674</v>
      </c>
      <c r="CK164" s="4">
        <v>1.688</v>
      </c>
      <c r="CL164" s="6"/>
      <c r="CM164" s="6"/>
      <c r="CN164" s="6"/>
      <c r="CO164" s="9">
        <v>28</v>
      </c>
      <c r="CP164" s="7">
        <f>IFERROR(CE164/F164,0)</f>
        <v>0.0007616438356164385</v>
      </c>
      <c r="CQ164" t="inlineStr">
        <is>
          <t xml:space="preserve">SI69U</t>
        </is>
      </c>
      <c r="CR164" t="inlineStr">
        <is>
          <t xml:space="preserve">future</t>
        </is>
      </c>
      <c r="CS164" t="inlineStr">
        <is>
          <t xml:space="preserve">lease</t>
        </is>
      </c>
      <c r="CT164" t="inlineStr">
        <is>
          <t xml:space="preserve">long</t>
        </is>
      </c>
      <c r="CU164" t="inlineStr">
        <is>
          <t xml:space="preserve">regular</t>
        </is>
      </c>
      <c r="CV164" s="4">
        <v>1.66</v>
      </c>
      <c r="CW164" s="4">
        <v>1.6769999999999998</v>
      </c>
      <c r="CX164" s="6"/>
      <c r="CY164" s="4">
        <v>0.9504937083467236</v>
      </c>
      <c r="CZ164" s="5">
        <f>IF(CR164="direct",IFERROR(DF164/CW164,0),0)</f>
        <v>0</v>
      </c>
      <c r="DA164" s="5">
        <f>IF(CR164="direct",CY164-CZ164,IF(CR164="cash",DK164,CY164))</f>
        <v>0.9504937083467236</v>
      </c>
      <c r="DB164" s="6">
        <v>1</v>
      </c>
      <c r="DC164" s="4">
        <v>1.5778195558555612</v>
      </c>
      <c r="DD164" s="4">
        <v>0</v>
      </c>
      <c r="DE164" s="5">
        <f>IF(CR164="direct",CY164*(CW164-CV164),DH164)</f>
        <v>0.016158393041894363</v>
      </c>
      <c r="DF164" s="5">
        <f>IF(CR164="direct",DD164*CX164*C164/365,0)</f>
        <v>0</v>
      </c>
      <c r="DG164" s="5">
        <f>DE164-DF164</f>
        <v>0.016158393041894363</v>
      </c>
      <c r="DH164" s="4">
        <v>0.016158393041894363</v>
      </c>
      <c r="DI164" s="5">
        <f>DH164-DG164</f>
        <v>0</v>
      </c>
      <c r="DJ164" s="4">
        <v>-0.016158393041894363</v>
      </c>
      <c r="DK164" s="4">
        <v>0</v>
      </c>
      <c r="DL164" s="4">
        <v>1.674</v>
      </c>
      <c r="DM164" s="4">
        <v>1.688</v>
      </c>
      <c r="DN164" s="6">
        <v>-0.008363201911589013</v>
      </c>
      <c r="DO164" s="6">
        <v>0.0695</v>
      </c>
      <c r="DP164" s="6">
        <v>0.17852031063321394</v>
      </c>
      <c r="DQ164" s="9">
        <v>28</v>
      </c>
      <c r="DR164" s="7">
        <f>IFERROR(DG164/F164,0)</f>
        <v>0.010240963855421725</v>
      </c>
      <c r="DS164" t="inlineStr">
        <is>
          <t xml:space="preserve">Lease cash / margin / financing</t>
        </is>
      </c>
      <c r="DT164" t="inlineStr">
        <is>
          <t xml:space="preserve">cash</t>
        </is>
      </c>
      <c r="DU164" t="inlineStr">
        <is>
          <t xml:space="preserve">lease</t>
        </is>
      </c>
      <c r="DV164" t="inlineStr">
        <is>
          <t xml:space="preserve">cash</t>
        </is>
      </c>
      <c r="DW164"/>
      <c r="DX164" s="4">
        <v>1</v>
      </c>
      <c r="DY164" s="4">
        <v>1</v>
      </c>
      <c r="DZ164" s="6"/>
      <c r="EA164" s="4">
        <v>8.881784197001252e-16</v>
      </c>
      <c r="EB164" s="5">
        <f>IF(DT164="direct",IFERROR(EH164/DY164,0),0)</f>
        <v>0</v>
      </c>
      <c r="EC164" s="5">
        <f>IF(DT164="direct",EA164-EB164,IF(DT164="cash",EM164,EA164))</f>
        <v>0.016158393041895674</v>
      </c>
      <c r="ED164" s="6"/>
      <c r="EE164" s="4">
        <v>8.881784197001252e-16</v>
      </c>
      <c r="EF164" s="4">
        <v>8.881784197001252e-16</v>
      </c>
      <c r="EG164" s="5">
        <f>IF(DT164="direct",EA164*(DY164-DX164),EJ164)</f>
        <v>0</v>
      </c>
      <c r="EH164" s="5">
        <f>IF(DT164="direct",EF164*DZ164*C164/365,0)</f>
        <v>0</v>
      </c>
      <c r="EI164" s="5">
        <f>EG164-EH164</f>
        <v>0</v>
      </c>
      <c r="EJ164" s="4">
        <v>0</v>
      </c>
      <c r="EK164" s="5">
        <f>EJ164-EI164</f>
        <v>0</v>
      </c>
      <c r="EL164" s="4">
        <v>0.016158393041894786</v>
      </c>
      <c r="EM164" s="4">
        <v>0.016158393041895674</v>
      </c>
      <c r="EN164" s="4">
        <v>1.674</v>
      </c>
      <c r="EO164" s="4">
        <v>1.688</v>
      </c>
      <c r="EP164" s="6"/>
      <c r="EQ164" s="6"/>
      <c r="ER164" s="6"/>
      <c r="ES164" s="9"/>
      <c r="ET164" s="7">
        <f>IFERROR(EI164/F164,0)</f>
        <v>0</v>
      </c>
      <c r="EU164" t="inlineStr">
        <is>
          <t xml:space="preserve">Keep cash / margin / financing</t>
        </is>
      </c>
      <c r="EV164" t="inlineStr">
        <is>
          <t xml:space="preserve">cash</t>
        </is>
      </c>
      <c r="EW164" t="inlineStr">
        <is>
          <t xml:space="preserve">keep</t>
        </is>
      </c>
      <c r="EX164" t="inlineStr">
        <is>
          <t xml:space="preserve">cash</t>
        </is>
      </c>
      <c r="EY164"/>
      <c r="EZ164" s="4">
        <v>1</v>
      </c>
      <c r="FA164" s="4">
        <v>1</v>
      </c>
      <c r="FB164" s="6"/>
      <c r="FC164" s="4">
        <v>0</v>
      </c>
      <c r="FD164" s="5">
        <f>IF(EV164="direct",IFERROR(FJ164/FA164,0),0)</f>
        <v>0</v>
      </c>
      <c r="FE164" s="5">
        <f>IF(EV164="direct",FC164-FD164,IF(EV164="cash",FO164,FC164))</f>
        <v>0</v>
      </c>
      <c r="FF164" s="6"/>
      <c r="FG164" s="4">
        <v>0</v>
      </c>
      <c r="FH164" s="4">
        <v>0</v>
      </c>
      <c r="FI164" s="5">
        <f>IF(EV164="direct",FC164*(FA164-EZ164),FL164)</f>
        <v>0</v>
      </c>
      <c r="FJ164" s="5">
        <f>IF(EV164="direct",FH164*FB164*C164/365,0)</f>
        <v>0</v>
      </c>
      <c r="FK164" s="5">
        <f>FI164-FJ164</f>
        <v>0</v>
      </c>
      <c r="FL164" s="4">
        <v>0</v>
      </c>
      <c r="FM164" s="5">
        <f>FL164-FK164</f>
        <v>0</v>
      </c>
      <c r="FN164" s="4">
        <v>0</v>
      </c>
      <c r="FO164" s="4">
        <v>0</v>
      </c>
      <c r="FP164" s="4">
        <v>1.674</v>
      </c>
      <c r="FQ164" s="4">
        <v>1.688</v>
      </c>
      <c r="FR164" s="6"/>
      <c r="FS164" s="6"/>
      <c r="FT164" s="6"/>
      <c r="FU164" s="9"/>
      <c r="FV164" s="7">
        <f>IFERROR(FK164/F164,0)</f>
        <v>0</v>
      </c>
      <c r="FW164"/>
      <c r="FX164"/>
      <c r="FY164"/>
      <c r="FZ164"/>
      <c r="GA164"/>
      <c r="GB164" s="4"/>
      <c r="GC164" s="4"/>
      <c r="GD164" s="6"/>
      <c r="GE164" s="4"/>
      <c r="GF164" s="5">
        <v>0</v>
      </c>
      <c r="GG164" s="5"/>
      <c r="GH164" s="6"/>
      <c r="GI164" s="4"/>
      <c r="GJ164" s="4"/>
      <c r="GK164" s="5">
        <v>0</v>
      </c>
      <c r="GL164" s="5">
        <v>0</v>
      </c>
      <c r="GM164" s="5"/>
      <c r="GN164" s="4"/>
      <c r="GO164" s="5">
        <v>0</v>
      </c>
      <c r="GP164" s="4"/>
      <c r="GQ164" s="4"/>
      <c r="GR164" s="4"/>
      <c r="GS164" s="4"/>
      <c r="GT164" s="6"/>
      <c r="GU164" s="6"/>
      <c r="GV164" s="6"/>
      <c r="GW164" s="9"/>
      <c r="GX164"/>
      <c r="GY164"/>
      <c r="GZ164"/>
      <c r="HA164"/>
      <c r="HB164"/>
      <c r="HC164"/>
      <c r="HD164" s="4"/>
      <c r="HE164" s="4"/>
      <c r="HF164" s="6"/>
      <c r="HG164" s="4"/>
      <c r="HH164" s="5">
        <v>0</v>
      </c>
      <c r="HI164" s="5"/>
      <c r="HJ164" s="6"/>
      <c r="HK164" s="4"/>
      <c r="HL164" s="4"/>
      <c r="HM164" s="5">
        <v>0</v>
      </c>
      <c r="HN164" s="5">
        <v>0</v>
      </c>
      <c r="HO164" s="5"/>
      <c r="HP164" s="4"/>
      <c r="HQ164" s="5">
        <v>0</v>
      </c>
      <c r="HR164" s="4"/>
      <c r="HS164" s="4"/>
      <c r="HT164" s="4"/>
      <c r="HU164" s="4"/>
      <c r="HV164" s="6"/>
      <c r="HW164" s="6"/>
      <c r="HX164" s="6"/>
      <c r="HY164" s="9"/>
      <c r="HZ164"/>
      <c r="IA164"/>
      <c r="IB164"/>
      <c r="IC164"/>
      <c r="ID164"/>
      <c r="IE164"/>
      <c r="IF164" s="4"/>
      <c r="IG164" s="4"/>
      <c r="IH164" s="6"/>
      <c r="II164" s="4"/>
      <c r="IJ164" s="5">
        <v>0</v>
      </c>
      <c r="IK164" s="5"/>
      <c r="IL164" s="6"/>
      <c r="IM164" s="4"/>
      <c r="IN164" s="4"/>
      <c r="IO164" s="5">
        <v>0</v>
      </c>
      <c r="IP164" s="5">
        <v>0</v>
      </c>
      <c r="IQ164" s="5"/>
      <c r="IR164" s="4"/>
      <c r="IS164" s="5">
        <v>0</v>
      </c>
      <c r="IT164" s="4"/>
      <c r="IU164" s="4"/>
      <c r="IV164" s="4"/>
      <c r="IW164" s="4"/>
      <c r="IX164" s="6"/>
      <c r="IY164" s="6"/>
      <c r="IZ164" s="6"/>
      <c r="JA164" s="9"/>
      <c r="JB164"/>
      <c r="JC164"/>
      <c r="JD164"/>
      <c r="JE164"/>
      <c r="JF164"/>
      <c r="JG164"/>
      <c r="JH164" s="4"/>
      <c r="JI164" s="4"/>
      <c r="JJ164" s="6"/>
      <c r="JK164" s="4"/>
      <c r="JL164" s="5">
        <v>0</v>
      </c>
      <c r="JM164" s="5"/>
      <c r="JN164" s="6"/>
      <c r="JO164" s="4"/>
      <c r="JP164" s="4"/>
      <c r="JQ164" s="5">
        <v>0</v>
      </c>
      <c r="JR164" s="5">
        <v>0</v>
      </c>
      <c r="JS164" s="5"/>
      <c r="JT164" s="4"/>
      <c r="JU164" s="5">
        <v>0</v>
      </c>
      <c r="JV164" s="4"/>
      <c r="JW164" s="4"/>
      <c r="JX164" s="4"/>
      <c r="JY164" s="4"/>
      <c r="JZ164" s="6"/>
      <c r="KA164" s="6"/>
      <c r="KB164" s="6"/>
      <c r="KC164" s="9"/>
      <c r="KD164"/>
      <c r="KE164"/>
      <c r="KF164"/>
      <c r="KG164"/>
      <c r="KH164"/>
      <c r="KI164"/>
      <c r="KJ164" s="4"/>
      <c r="KK164" s="4"/>
      <c r="KL164" s="6"/>
      <c r="KM164" s="4"/>
      <c r="KN164" s="5">
        <v>0</v>
      </c>
      <c r="KO164" s="5"/>
      <c r="KP164" s="6"/>
      <c r="KQ164" s="4"/>
      <c r="KR164" s="4"/>
      <c r="KS164" s="5">
        <v>0</v>
      </c>
      <c r="KT164" s="5">
        <v>0</v>
      </c>
      <c r="KU164" s="5"/>
      <c r="KV164" s="4"/>
      <c r="KW164" s="5">
        <v>0</v>
      </c>
      <c r="KX164" s="4"/>
      <c r="KY164" s="4"/>
      <c r="KZ164" s="4"/>
      <c r="LA164" s="4"/>
      <c r="LB164" s="6"/>
      <c r="LC164" s="6"/>
      <c r="LD164" s="6"/>
      <c r="LE164" s="9"/>
      <c r="LF164"/>
      <c r="LG164"/>
      <c r="LH164"/>
      <c r="LI164"/>
      <c r="LJ164"/>
      <c r="LK164"/>
      <c r="LL164" s="4"/>
      <c r="LM164" s="4"/>
      <c r="LN164" s="6"/>
      <c r="LO164" s="4"/>
      <c r="LP164" s="5">
        <v>0</v>
      </c>
      <c r="LQ164" s="5"/>
      <c r="LR164" s="6"/>
      <c r="LS164" s="4"/>
      <c r="LT164" s="4"/>
      <c r="LU164" s="5">
        <v>0</v>
      </c>
      <c r="LV164" s="5">
        <v>0</v>
      </c>
      <c r="LW164" s="5"/>
      <c r="LX164" s="4"/>
      <c r="LY164" s="5">
        <v>0</v>
      </c>
      <c r="LZ164" s="4"/>
      <c r="MA164" s="4"/>
      <c r="MB164" s="4"/>
      <c r="MC164" s="4"/>
      <c r="MD164" s="6"/>
      <c r="ME164" s="6"/>
      <c r="MF164" s="6"/>
      <c r="MG164" s="9"/>
      <c r="MH164"/>
    </row>
    <row r="165">
      <c r="A165" s="8">
        <v>25448</v>
      </c>
      <c r="B165" s="8">
        <v>25449</v>
      </c>
      <c r="C165" s="9">
        <f>B165-A165</f>
        <v>1</v>
      </c>
      <c r="D165" s="8">
        <v>25448</v>
      </c>
      <c r="E165" t="inlineStr">
        <is>
          <t xml:space="preserve">positive</t>
        </is>
      </c>
      <c r="F165" s="4">
        <v>1.595179685435888</v>
      </c>
      <c r="G165" s="6">
        <v>0.001981511505379102</v>
      </c>
      <c r="H165" s="7">
        <f>SUM(CP165,DR165,ET165,FV165,GX165,HZ165,JB165,KD165,LF165,MH165)</f>
        <v>0.001981511505379102</v>
      </c>
      <c r="I165" s="7">
        <f>G165-H165</f>
        <v>0</v>
      </c>
      <c r="J165" s="5">
        <f>F165*(1+H165)</f>
        <v>1.5983405523357264</v>
      </c>
      <c r="K165" s="4">
        <v>1.5983405523357264</v>
      </c>
      <c r="L165" s="5">
        <f>K165-J165</f>
        <v>0</v>
      </c>
      <c r="M165" s="4">
        <v>1.688</v>
      </c>
      <c r="N165" s="4">
        <v>1.705</v>
      </c>
      <c r="O165" s="5">
        <f>M165/$M$3</f>
        <v>0.8621041879468846</v>
      </c>
      <c r="P165" s="5">
        <f>N165/$M$3</f>
        <v>0.8707865168539326</v>
      </c>
      <c r="Q165" s="7">
        <f>IFERROR(N165/M165-1,0)</f>
        <v>0.010071090047393483</v>
      </c>
      <c r="R165" s="5">
        <f>SUM(IF(BQ165="lease",CB165,0),IF(CS165="lease",DD165,0),IF(DU165="lease",EF165,0),IF(EW165="lease",FH165,0),IF(FY165="lease",GJ165,0),IF(HA165="lease",HL165,0),IF(IC165="lease",IN165,0),IF(JE165="lease",JP165,0),IF(KG165="lease",KR165,0),IF(LI165="lease",LT165,0))</f>
        <v>1.5951796854358888</v>
      </c>
      <c r="S165" s="5">
        <f>SUM(IF(BQ165="lease",CI165,0),IF(CS165="lease",DK165,0),IF(DU165="lease",EM165,0),IF(EW165="lease",FO165,0),IF(FY165="lease",GQ165,0),IF(HA165="lease",HS165,0),IF(IC165="lease",IU165,0),IF(JE165="lease",JW165,0),IF(KG165="lease",KY165,0),IF(LI165="lease",MA165,0))</f>
        <v>1.598340552335727</v>
      </c>
      <c r="T165" s="5">
        <f>SUM(IF(BQ165="keep",CB165,0),IF(CS165="keep",DD165,0),IF(DU165="keep",EF165,0),IF(EW165="keep",FH165,0),IF(FY165="keep",GJ165,0),IF(HA165="keep",HL165,0),IF(IC165="keep",IN165,0),IF(JE165="keep",JP165,0),IF(KG165="keep",KR165,0),IF(LI165="keep",LT165,0))</f>
        <v>0</v>
      </c>
      <c r="U165" s="5">
        <f>SUM(IF(BQ165="keep",CI165,0),IF(CS165="keep",DK165,0),IF(DU165="keep",EM165,0),IF(EW165="keep",FO165,0),IF(FY165="keep",GQ165,0),IF(HA165="keep",HS165,0),IF(IC165="keep",IU165,0),IF(JE165="keep",JW165,0),IF(KG165="keep",KY165,0),IF(LI165="keep",MA165,0))</f>
        <v>0</v>
      </c>
      <c r="V165" s="5">
        <f>R165/O165</f>
        <v>1.850332834172672</v>
      </c>
      <c r="W165" s="5">
        <f>S165/P165</f>
        <v>1.8355136665532865</v>
      </c>
      <c r="X165" s="5">
        <f>T165/O165</f>
        <v>0</v>
      </c>
      <c r="Y165" s="5">
        <f>U165/P165</f>
        <v>0</v>
      </c>
      <c r="Z165" s="5">
        <f>V165+X165</f>
        <v>1.850332834172672</v>
      </c>
      <c r="AA165" s="7">
        <f>IFERROR(W165/V165-1,0)</f>
        <v>-0.00800891998763642</v>
      </c>
      <c r="AB165" s="7">
        <f>IFERROR((W165-V165)/Z165,0)</f>
        <v>-0.008008919987636387</v>
      </c>
      <c r="AC165" s="7">
        <f>IFERROR(Y165/X165-1,0)</f>
        <v>0</v>
      </c>
      <c r="AD165" s="7">
        <f>IFERROR((Y165-X165)/Z165,0)</f>
        <v>0</v>
      </c>
      <c r="AE165" s="7">
        <f>AB165+AD165</f>
        <v>-0.008008919987636387</v>
      </c>
      <c r="AF165" s="7">
        <f>(1+Q165)*(1+AE165)-1</f>
        <v>0.0019815115053791743</v>
      </c>
      <c r="AG165" s="7">
        <f>G165-AF165</f>
        <v>-7.24247051220317e-17</v>
      </c>
      <c r="AH165" s="5">
        <f>SUM(IF(BQ165="lease",CE165,0),IF(CS165="lease",DG165,0),IF(DU165="lease",EI165,0),IF(EW165="lease",FK165,0),IF(FY165="lease",GM165,0),IF(HA165="lease",HO165,0),IF(IC165="lease",IQ165,0),IF(JE165="lease",JS165,0),IF(KG165="lease",KU165,0),IF(LI165="lease",LW165,0))</f>
        <v>0.0031608668998382283</v>
      </c>
      <c r="AI165" s="5">
        <f>SUM(IF(BQ165="keep",CE165,0),IF(CS165="keep",DG165,0),IF(DU165="keep",EI165,0),IF(EW165="keep",FK165,0),IF(FY165="keep",GM165,0),IF(HA165="keep",HO165,0),IF(IC165="keep",IQ165,0),IF(JE165="keep",JS165,0),IF(KG165="keep",KU165,0),IF(LI165="keep",LW165,0))</f>
        <v>0</v>
      </c>
      <c r="AJ165" s="5">
        <f>SUM(IF(BQ165="lease",CH165,0),IF(CS165="lease",DJ165,0),IF(DU165="lease",EL165,0),IF(EW165="lease",FN165,0),IF(FY165="lease",GP165,0),IF(HA165="lease",HR165,0),IF(IC165="lease",IT165,0),IF(JE165="lease",JV165,0),IF(KG165="lease",KX165,0),IF(LI165="lease",LZ165,0))</f>
        <v>0</v>
      </c>
      <c r="AK165" s="5">
        <f>SUM(IF(BQ165="keep",CH165,0),IF(CS165="keep",DJ165,0),IF(DU165="keep",EL165,0),IF(EW165="keep",FN165,0),IF(FY165="keep",GP165,0),IF(HA165="keep",HR165,0),IF(IC165="keep",IT165,0),IF(JE165="keep",JV165,0),IF(KG165="keep",KX165,0),IF(LI165="keep",LZ165,0))</f>
        <v>0</v>
      </c>
      <c r="AL165" s="5">
        <f>R165-S164</f>
        <v>0</v>
      </c>
      <c r="AM165" s="5">
        <f>T165-U164</f>
        <v>0</v>
      </c>
      <c r="AN165" s="5">
        <f>AN164</f>
        <v>1</v>
      </c>
      <c r="AO165" s="5">
        <f>AO164+AH165</f>
        <v>0.5983405523357272</v>
      </c>
      <c r="AP165" s="5">
        <f>AP164+AL165</f>
        <v>-4.440892098500626e-16</v>
      </c>
      <c r="AQ165" s="5">
        <f>AN165+AO165+AP165</f>
        <v>1.5983405523357268</v>
      </c>
      <c r="AR165" s="5">
        <f>S165-AQ165</f>
        <v>2.220446049250313e-16</v>
      </c>
      <c r="AS165" s="5">
        <f>AS164</f>
        <v>0</v>
      </c>
      <c r="AT165" s="5">
        <f>AT164+AI165</f>
        <v>0</v>
      </c>
      <c r="AU165" s="5">
        <f>AU164+AM165</f>
        <v>0</v>
      </c>
      <c r="AV165" s="5">
        <f>AS165+AT165+AU165</f>
        <v>0</v>
      </c>
      <c r="AW165" s="5">
        <f>U165-AV165</f>
        <v>0</v>
      </c>
      <c r="AX165" s="4">
        <v>1.5951796854358888</v>
      </c>
      <c r="AY165" s="4">
        <v>1.598340552335727</v>
      </c>
      <c r="AZ165" s="5">
        <f>S165-AY165</f>
        <v>0</v>
      </c>
      <c r="BA165" s="4">
        <v>0</v>
      </c>
      <c r="BB165" s="4">
        <v>0</v>
      </c>
      <c r="BC165" s="5">
        <f>U165-BB165</f>
        <v>0</v>
      </c>
      <c r="BD165" s="7">
        <f>SUM(IF(BP165="direct",CC165/F165,0),IF(CR165="direct",DE165/F165,0),IF(DT165="direct",EG165/F165,0),IF(EV165="direct",FI165/F165,0),IF(FX165="direct",GK165/F165,0),IF(GZ165="direct",HM165/F165,0),IF(IB165="direct",IO165/F165,0),IF(JD165="direct",JQ165/F165,0),IF(KF165="direct",KS165/F165,0),IF(LH165="direct",LU165/F165,0))</f>
        <v>0</v>
      </c>
      <c r="BE165" s="7">
        <f>-SUM(IF(BP165="direct",CD165/F165,0),IF(CR165="direct",DF165/F165,0),IF(DT165="direct",EH165/F165,0),IF(EV165="direct",FJ165/F165,0),IF(FX165="direct",GL165/F165,0),IF(GZ165="direct",HN165/F165,0),IF(IB165="direct",IP165/F165,0),IF(JD165="direct",JR165/F165,0),IF(KF165="direct",KT165/F165,0),IF(LH165="direct",LV165/F165,0))</f>
        <v>0</v>
      </c>
      <c r="BF165" s="7">
        <f>BD165+BE165</f>
        <v>0</v>
      </c>
      <c r="BG165" s="7">
        <f>BF165-SUM(IF(BP165="direct",CP165,0),IF(CR165="direct",DR165,0),IF(DT165="direct",ET165,0),IF(EV165="direct",FV165,0),IF(FX165="direct",GX165,0),IF(GZ165="direct",HZ165,0),IF(IB165="direct",JB165,0),IF(JD165="direct",KD165,0),IF(KF165="direct",LF165,0),IF(LH165="direct",MH165,0))</f>
        <v>0</v>
      </c>
      <c r="BH165" s="7">
        <f>SUM(IF(BP165="treasury",CP165,0),IF(CR165="treasury",DR165,0),IF(DT165="treasury",ET165,0),IF(EV165="treasury",FV165,0),IF(FX165="treasury",GX165,0),IF(GZ165="treasury",HZ165,0),IF(IB165="treasury",JB165,0),IF(JD165="treasury",KD165,0),IF(KF165="treasury",LF165,0),IF(LH165="treasury",MH165,0))</f>
        <v>0.0001926027397260274</v>
      </c>
      <c r="BI165" s="7">
        <f>SUM(IF(BP165="future",CP165,0),IF(CR165="future",DR165,0),IF(DT165="future",ET165,0),IF(EV165="future",FV165,0),IF(FX165="future",GX165,0),IF(GZ165="future",HZ165,0),IF(IB165="future",JB165,0),IF(JD165="future",KD165,0),IF(KF165="future",LF165,0),IF(LH165="future",MH165,0))</f>
        <v>0.0017889087656530744</v>
      </c>
      <c r="BJ165" s="7">
        <f>SUM(IF(BP165="cash",CP165,0),IF(CR165="cash",DR165,0),IF(DT165="cash",ET165,0),IF(EV165="cash",FV165,0),IF(FX165="cash",GX165,0),IF(GZ165="cash",HZ165,0),IF(IB165="cash",JB165,0),IF(JD165="cash",KD165,0),IF(KF165="cash",LF165,0),IF(LH165="cash",MH165,0))</f>
        <v>0</v>
      </c>
      <c r="BK165" s="7">
        <f>SUM(BF165,BH165,BI165,BJ165)</f>
        <v>0.001981511505379102</v>
      </c>
      <c r="BL165" s="7">
        <f>G165-BK165</f>
        <v>0</v>
      </c>
      <c r="BM165" s="5">
        <f>MAX(ABS(CG165),ABS(DI165),ABS(EK165),ABS(FM165),ABS(GO165),ABS(HQ165),ABS(IS165),ABS(JU165),ABS(KW165),ABS(LY165))</f>
        <v>3.8212705569251604e-16</v>
      </c>
      <c r="BN165" s="9">
        <f>COUNTA(BO165,CQ165,DS165,EU165,FW165,GY165,IA165,JC165,KE165,LG165)</f>
        <v>4</v>
      </c>
      <c r="BO165" t="inlineStr">
        <is>
          <t xml:space="preserve">Treasury collateral</t>
        </is>
      </c>
      <c r="BP165" t="inlineStr">
        <is>
          <t xml:space="preserve">treasury</t>
        </is>
      </c>
      <c r="BQ165" t="inlineStr">
        <is>
          <t xml:space="preserve">lease</t>
        </is>
      </c>
      <c r="BR165" t="inlineStr">
        <is>
          <t xml:space="preserve">long</t>
        </is>
      </c>
      <c r="BS165"/>
      <c r="BT165" s="4">
        <v>104.32375029342819</v>
      </c>
      <c r="BU165" s="4">
        <v>104.34384333355322</v>
      </c>
      <c r="BV165" s="6"/>
      <c r="BW165" s="4">
        <v>0.015290666611861396</v>
      </c>
      <c r="BX165" s="5">
        <f>IF(BP165="direct",IFERROR(CD165/BU165,0),0)</f>
        <v>0</v>
      </c>
      <c r="BY165" s="5">
        <f>IF(BP165="direct",BW165-BX165,IF(BP165="cash",CI165,BW165))</f>
        <v>0.015290666611861396</v>
      </c>
      <c r="BZ165" s="6">
        <v>1</v>
      </c>
      <c r="CA165" s="4">
        <v>1.595179685435888</v>
      </c>
      <c r="CB165" s="4">
        <v>1.595179685435888</v>
      </c>
      <c r="CC165" s="5">
        <f>IF(BP165="direct",BW165*(BU165-BT165),CF165)</f>
        <v>0.0003072359777706367</v>
      </c>
      <c r="CD165" s="5">
        <f>IF(BP165="direct",CB165*BV165*C165/365,0)</f>
        <v>0</v>
      </c>
      <c r="CE165" s="5">
        <f>CC165-CD165</f>
        <v>0.00030723597777025457</v>
      </c>
      <c r="CF165" s="4">
        <v>0.00030723597777025457</v>
      </c>
      <c r="CG165" s="5">
        <f>CF165-CE165</f>
        <v>-3.8212705569251604e-16</v>
      </c>
      <c r="CH165" s="4">
        <v>4.599727716769753e-16</v>
      </c>
      <c r="CI165" s="4">
        <v>1.5954869214136587</v>
      </c>
      <c r="CJ165" s="4">
        <v>1.688</v>
      </c>
      <c r="CK165" s="4">
        <v>1.705</v>
      </c>
      <c r="CL165" s="6"/>
      <c r="CM165" s="6"/>
      <c r="CN165" s="6"/>
      <c r="CO165" s="9">
        <v>24</v>
      </c>
      <c r="CP165" s="7">
        <f>IFERROR(CE165/F165,0)</f>
        <v>0.0001926027397260274</v>
      </c>
      <c r="CQ165" t="inlineStr">
        <is>
          <t xml:space="preserve">SI69U</t>
        </is>
      </c>
      <c r="CR165" t="inlineStr">
        <is>
          <t xml:space="preserve">future</t>
        </is>
      </c>
      <c r="CS165" t="inlineStr">
        <is>
          <t xml:space="preserve">lease</t>
        </is>
      </c>
      <c r="CT165" t="inlineStr">
        <is>
          <t xml:space="preserve">long</t>
        </is>
      </c>
      <c r="CU165" t="inlineStr">
        <is>
          <t xml:space="preserve">regular</t>
        </is>
      </c>
      <c r="CV165" s="4">
        <v>1.6769999999999998</v>
      </c>
      <c r="CW165" s="4">
        <v>1.68</v>
      </c>
      <c r="CX165" s="6"/>
      <c r="CY165" s="4">
        <v>0.9512103073559262</v>
      </c>
      <c r="CZ165" s="5">
        <f>IF(CR165="direct",IFERROR(DF165/CW165,0),0)</f>
        <v>0</v>
      </c>
      <c r="DA165" s="5">
        <f>IF(CR165="direct",CY165-CZ165,IF(CR165="cash",DK165,CY165))</f>
        <v>0.9512103073559262</v>
      </c>
      <c r="DB165" s="6">
        <v>1</v>
      </c>
      <c r="DC165" s="4">
        <v>1.595179685435888</v>
      </c>
      <c r="DD165" s="4">
        <v>0</v>
      </c>
      <c r="DE165" s="5">
        <f>IF(CR165="direct",CY165*(CW165-CV165),DH165)</f>
        <v>0.002853630922067974</v>
      </c>
      <c r="DF165" s="5">
        <f>IF(CR165="direct",DD165*CX165*C165/365,0)</f>
        <v>0</v>
      </c>
      <c r="DG165" s="5">
        <f>DE165-DF165</f>
        <v>0.002853630922067974</v>
      </c>
      <c r="DH165" s="4">
        <v>0.002853630922067974</v>
      </c>
      <c r="DI165" s="5">
        <f>DH165-DG165</f>
        <v>0</v>
      </c>
      <c r="DJ165" s="4">
        <v>-0.002853630922067974</v>
      </c>
      <c r="DK165" s="4">
        <v>0</v>
      </c>
      <c r="DL165" s="4">
        <v>1.688</v>
      </c>
      <c r="DM165" s="4">
        <v>1.705</v>
      </c>
      <c r="DN165" s="6">
        <v>-0.006516587677725227</v>
      </c>
      <c r="DO165" s="6">
        <v>0.0703</v>
      </c>
      <c r="DP165" s="6">
        <v>0.16940643759873783</v>
      </c>
      <c r="DQ165" s="9">
        <v>24</v>
      </c>
      <c r="DR165" s="7">
        <f>IFERROR(DG165/F165,0)</f>
        <v>0.0017889087656530744</v>
      </c>
      <c r="DS165" t="inlineStr">
        <is>
          <t xml:space="preserve">Lease cash / margin / financing</t>
        </is>
      </c>
      <c r="DT165" t="inlineStr">
        <is>
          <t xml:space="preserve">cash</t>
        </is>
      </c>
      <c r="DU165" t="inlineStr">
        <is>
          <t xml:space="preserve">lease</t>
        </is>
      </c>
      <c r="DV165" t="inlineStr">
        <is>
          <t xml:space="preserve">cash</t>
        </is>
      </c>
      <c r="DW165"/>
      <c r="DX165" s="4">
        <v>1</v>
      </c>
      <c r="DY165" s="4">
        <v>1</v>
      </c>
      <c r="DZ165" s="6"/>
      <c r="EA165" s="4">
        <v>8.881784197001252e-16</v>
      </c>
      <c r="EB165" s="5">
        <f>IF(DT165="direct",IFERROR(EH165/DY165,0),0)</f>
        <v>0</v>
      </c>
      <c r="EC165" s="5">
        <f>IF(DT165="direct",EA165-EB165,IF(DT165="cash",EM165,EA165))</f>
        <v>0.002853630922068402</v>
      </c>
      <c r="ED165" s="6"/>
      <c r="EE165" s="4">
        <v>8.881784197001252e-16</v>
      </c>
      <c r="EF165" s="4">
        <v>8.881784197001252e-16</v>
      </c>
      <c r="EG165" s="5">
        <f>IF(DT165="direct",EA165*(DY165-DX165),EJ165)</f>
        <v>0</v>
      </c>
      <c r="EH165" s="5">
        <f>IF(DT165="direct",EF165*DZ165*C165/365,0)</f>
        <v>0</v>
      </c>
      <c r="EI165" s="5">
        <f>EG165-EH165</f>
        <v>0</v>
      </c>
      <c r="EJ165" s="4">
        <v>0</v>
      </c>
      <c r="EK165" s="5">
        <f>EJ165-EI165</f>
        <v>0</v>
      </c>
      <c r="EL165" s="4">
        <v>0.0028536309220675137</v>
      </c>
      <c r="EM165" s="4">
        <v>0.002853630922068402</v>
      </c>
      <c r="EN165" s="4">
        <v>1.688</v>
      </c>
      <c r="EO165" s="4">
        <v>1.705</v>
      </c>
      <c r="EP165" s="6"/>
      <c r="EQ165" s="6"/>
      <c r="ER165" s="6"/>
      <c r="ES165" s="9"/>
      <c r="ET165" s="7">
        <f>IFERROR(EI165/F165,0)</f>
        <v>0</v>
      </c>
      <c r="EU165" t="inlineStr">
        <is>
          <t xml:space="preserve">Keep cash / margin / financing</t>
        </is>
      </c>
      <c r="EV165" t="inlineStr">
        <is>
          <t xml:space="preserve">cash</t>
        </is>
      </c>
      <c r="EW165" t="inlineStr">
        <is>
          <t xml:space="preserve">keep</t>
        </is>
      </c>
      <c r="EX165" t="inlineStr">
        <is>
          <t xml:space="preserve">cash</t>
        </is>
      </c>
      <c r="EY165"/>
      <c r="EZ165" s="4">
        <v>1</v>
      </c>
      <c r="FA165" s="4">
        <v>1</v>
      </c>
      <c r="FB165" s="6"/>
      <c r="FC165" s="4">
        <v>0</v>
      </c>
      <c r="FD165" s="5">
        <f>IF(EV165="direct",IFERROR(FJ165/FA165,0),0)</f>
        <v>0</v>
      </c>
      <c r="FE165" s="5">
        <f>IF(EV165="direct",FC165-FD165,IF(EV165="cash",FO165,FC165))</f>
        <v>0</v>
      </c>
      <c r="FF165" s="6"/>
      <c r="FG165" s="4">
        <v>0</v>
      </c>
      <c r="FH165" s="4">
        <v>0</v>
      </c>
      <c r="FI165" s="5">
        <f>IF(EV165="direct",FC165*(FA165-EZ165),FL165)</f>
        <v>0</v>
      </c>
      <c r="FJ165" s="5">
        <f>IF(EV165="direct",FH165*FB165*C165/365,0)</f>
        <v>0</v>
      </c>
      <c r="FK165" s="5">
        <f>FI165-FJ165</f>
        <v>0</v>
      </c>
      <c r="FL165" s="4">
        <v>0</v>
      </c>
      <c r="FM165" s="5">
        <f>FL165-FK165</f>
        <v>0</v>
      </c>
      <c r="FN165" s="4">
        <v>0</v>
      </c>
      <c r="FO165" s="4">
        <v>0</v>
      </c>
      <c r="FP165" s="4">
        <v>1.688</v>
      </c>
      <c r="FQ165" s="4">
        <v>1.705</v>
      </c>
      <c r="FR165" s="6"/>
      <c r="FS165" s="6"/>
      <c r="FT165" s="6"/>
      <c r="FU165" s="9"/>
      <c r="FV165" s="7">
        <f>IFERROR(FK165/F165,0)</f>
        <v>0</v>
      </c>
      <c r="FW165"/>
      <c r="FX165"/>
      <c r="FY165"/>
      <c r="FZ165"/>
      <c r="GA165"/>
      <c r="GB165" s="4"/>
      <c r="GC165" s="4"/>
      <c r="GD165" s="6"/>
      <c r="GE165" s="4"/>
      <c r="GF165" s="5">
        <v>0</v>
      </c>
      <c r="GG165" s="5"/>
      <c r="GH165" s="6"/>
      <c r="GI165" s="4"/>
      <c r="GJ165" s="4"/>
      <c r="GK165" s="5">
        <v>0</v>
      </c>
      <c r="GL165" s="5">
        <v>0</v>
      </c>
      <c r="GM165" s="5"/>
      <c r="GN165" s="4"/>
      <c r="GO165" s="5">
        <v>0</v>
      </c>
      <c r="GP165" s="4"/>
      <c r="GQ165" s="4"/>
      <c r="GR165" s="4"/>
      <c r="GS165" s="4"/>
      <c r="GT165" s="6"/>
      <c r="GU165" s="6"/>
      <c r="GV165" s="6"/>
      <c r="GW165" s="9"/>
      <c r="GX165"/>
      <c r="GY165"/>
      <c r="GZ165"/>
      <c r="HA165"/>
      <c r="HB165"/>
      <c r="HC165"/>
      <c r="HD165" s="4"/>
      <c r="HE165" s="4"/>
      <c r="HF165" s="6"/>
      <c r="HG165" s="4"/>
      <c r="HH165" s="5">
        <v>0</v>
      </c>
      <c r="HI165" s="5"/>
      <c r="HJ165" s="6"/>
      <c r="HK165" s="4"/>
      <c r="HL165" s="4"/>
      <c r="HM165" s="5">
        <v>0</v>
      </c>
      <c r="HN165" s="5">
        <v>0</v>
      </c>
      <c r="HO165" s="5"/>
      <c r="HP165" s="4"/>
      <c r="HQ165" s="5">
        <v>0</v>
      </c>
      <c r="HR165" s="4"/>
      <c r="HS165" s="4"/>
      <c r="HT165" s="4"/>
      <c r="HU165" s="4"/>
      <c r="HV165" s="6"/>
      <c r="HW165" s="6"/>
      <c r="HX165" s="6"/>
      <c r="HY165" s="9"/>
      <c r="HZ165"/>
      <c r="IA165"/>
      <c r="IB165"/>
      <c r="IC165"/>
      <c r="ID165"/>
      <c r="IE165"/>
      <c r="IF165" s="4"/>
      <c r="IG165" s="4"/>
      <c r="IH165" s="6"/>
      <c r="II165" s="4"/>
      <c r="IJ165" s="5">
        <v>0</v>
      </c>
      <c r="IK165" s="5"/>
      <c r="IL165" s="6"/>
      <c r="IM165" s="4"/>
      <c r="IN165" s="4"/>
      <c r="IO165" s="5">
        <v>0</v>
      </c>
      <c r="IP165" s="5">
        <v>0</v>
      </c>
      <c r="IQ165" s="5"/>
      <c r="IR165" s="4"/>
      <c r="IS165" s="5">
        <v>0</v>
      </c>
      <c r="IT165" s="4"/>
      <c r="IU165" s="4"/>
      <c r="IV165" s="4"/>
      <c r="IW165" s="4"/>
      <c r="IX165" s="6"/>
      <c r="IY165" s="6"/>
      <c r="IZ165" s="6"/>
      <c r="JA165" s="9"/>
      <c r="JB165"/>
      <c r="JC165"/>
      <c r="JD165"/>
      <c r="JE165"/>
      <c r="JF165"/>
      <c r="JG165"/>
      <c r="JH165" s="4"/>
      <c r="JI165" s="4"/>
      <c r="JJ165" s="6"/>
      <c r="JK165" s="4"/>
      <c r="JL165" s="5">
        <v>0</v>
      </c>
      <c r="JM165" s="5"/>
      <c r="JN165" s="6"/>
      <c r="JO165" s="4"/>
      <c r="JP165" s="4"/>
      <c r="JQ165" s="5">
        <v>0</v>
      </c>
      <c r="JR165" s="5">
        <v>0</v>
      </c>
      <c r="JS165" s="5"/>
      <c r="JT165" s="4"/>
      <c r="JU165" s="5">
        <v>0</v>
      </c>
      <c r="JV165" s="4"/>
      <c r="JW165" s="4"/>
      <c r="JX165" s="4"/>
      <c r="JY165" s="4"/>
      <c r="JZ165" s="6"/>
      <c r="KA165" s="6"/>
      <c r="KB165" s="6"/>
      <c r="KC165" s="9"/>
      <c r="KD165"/>
      <c r="KE165"/>
      <c r="KF165"/>
      <c r="KG165"/>
      <c r="KH165"/>
      <c r="KI165"/>
      <c r="KJ165" s="4"/>
      <c r="KK165" s="4"/>
      <c r="KL165" s="6"/>
      <c r="KM165" s="4"/>
      <c r="KN165" s="5">
        <v>0</v>
      </c>
      <c r="KO165" s="5"/>
      <c r="KP165" s="6"/>
      <c r="KQ165" s="4"/>
      <c r="KR165" s="4"/>
      <c r="KS165" s="5">
        <v>0</v>
      </c>
      <c r="KT165" s="5">
        <v>0</v>
      </c>
      <c r="KU165" s="5"/>
      <c r="KV165" s="4"/>
      <c r="KW165" s="5">
        <v>0</v>
      </c>
      <c r="KX165" s="4"/>
      <c r="KY165" s="4"/>
      <c r="KZ165" s="4"/>
      <c r="LA165" s="4"/>
      <c r="LB165" s="6"/>
      <c r="LC165" s="6"/>
      <c r="LD165" s="6"/>
      <c r="LE165" s="9"/>
      <c r="LF165"/>
      <c r="LG165"/>
      <c r="LH165"/>
      <c r="LI165"/>
      <c r="LJ165"/>
      <c r="LK165"/>
      <c r="LL165" s="4"/>
      <c r="LM165" s="4"/>
      <c r="LN165" s="6"/>
      <c r="LO165" s="4"/>
      <c r="LP165" s="5">
        <v>0</v>
      </c>
      <c r="LQ165" s="5"/>
      <c r="LR165" s="6"/>
      <c r="LS165" s="4"/>
      <c r="LT165" s="4"/>
      <c r="LU165" s="5">
        <v>0</v>
      </c>
      <c r="LV165" s="5">
        <v>0</v>
      </c>
      <c r="LW165" s="5"/>
      <c r="LX165" s="4"/>
      <c r="LY165" s="5">
        <v>0</v>
      </c>
      <c r="LZ165" s="4"/>
      <c r="MA165" s="4"/>
      <c r="MB165" s="4"/>
      <c r="MC165" s="4"/>
      <c r="MD165" s="6"/>
      <c r="ME165" s="6"/>
      <c r="MF165" s="6"/>
      <c r="MG165" s="9"/>
      <c r="MH165"/>
    </row>
    <row r="166">
      <c r="A166" s="8">
        <v>25449</v>
      </c>
      <c r="B166" s="8">
        <v>25450</v>
      </c>
      <c r="C166" s="9">
        <f>B166-A166</f>
        <v>1</v>
      </c>
      <c r="D166" s="8">
        <v>25449</v>
      </c>
      <c r="E166" t="inlineStr">
        <is>
          <t xml:space="preserve">positive</t>
        </is>
      </c>
      <c r="F166" s="4">
        <v>1.5983405523357264</v>
      </c>
      <c r="G166" s="6">
        <v>-0.008736790606653588</v>
      </c>
      <c r="H166" s="7">
        <f>SUM(CP166,DR166,ET166,FV166,GX166,HZ166,JB166,KD166,LF166,MH166)</f>
        <v>-0.008736790606653588</v>
      </c>
      <c r="I166" s="7">
        <f>G166-H166</f>
        <v>0</v>
      </c>
      <c r="J166" s="5">
        <f>F166*(1+H166)</f>
        <v>1.5843761856118461</v>
      </c>
      <c r="K166" s="4">
        <v>1.5843761856118461</v>
      </c>
      <c r="L166" s="5">
        <f>K166-J166</f>
        <v>0</v>
      </c>
      <c r="M166" s="4">
        <v>1.705</v>
      </c>
      <c r="N166" s="4">
        <v>1.705</v>
      </c>
      <c r="O166" s="5">
        <f>M166/$M$3</f>
        <v>0.8707865168539326</v>
      </c>
      <c r="P166" s="5">
        <f>N166/$M$3</f>
        <v>0.8707865168539326</v>
      </c>
      <c r="Q166" s="7">
        <f>IFERROR(N166/M166-1,0)</f>
        <v>0</v>
      </c>
      <c r="R166" s="5">
        <f>SUM(IF(BQ166="lease",CB166,0),IF(CS166="lease",DD166,0),IF(DU166="lease",EF166,0),IF(EW166="lease",FH166,0),IF(FY166="lease",GJ166,0),IF(HA166="lease",HL166,0),IF(IC166="lease",IN166,0),IF(JE166="lease",JP166,0),IF(KG166="lease",KR166,0),IF(LI166="lease",LT166,0))</f>
        <v>1.598340552335727</v>
      </c>
      <c r="S166" s="5">
        <f>SUM(IF(BQ166="lease",CI166,0),IF(CS166="lease",DK166,0),IF(DU166="lease",EM166,0),IF(EW166="lease",FO166,0),IF(FY166="lease",GQ166,0),IF(HA166="lease",HS166,0),IF(IC166="lease",IU166,0),IF(JE166="lease",JW166,0),IF(KG166="lease",KY166,0),IF(LI166="lease",MA166,0))</f>
        <v>1.5843761856118468</v>
      </c>
      <c r="T166" s="5">
        <f>SUM(IF(BQ166="keep",CB166,0),IF(CS166="keep",DD166,0),IF(DU166="keep",EF166,0),IF(EW166="keep",FH166,0),IF(FY166="keep",GJ166,0),IF(HA166="keep",HL166,0),IF(IC166="keep",IN166,0),IF(JE166="keep",JP166,0),IF(KG166="keep",KR166,0),IF(LI166="keep",LT166,0))</f>
        <v>0</v>
      </c>
      <c r="U166" s="5">
        <f>SUM(IF(BQ166="keep",CI166,0),IF(CS166="keep",DK166,0),IF(DU166="keep",EM166,0),IF(EW166="keep",FO166,0),IF(FY166="keep",GQ166,0),IF(HA166="keep",HS166,0),IF(IC166="keep",IU166,0),IF(JE166="keep",JW166,0),IF(KG166="keep",KY166,0),IF(LI166="keep",MA166,0))</f>
        <v>0</v>
      </c>
      <c r="V166" s="5">
        <f>R166/O166</f>
        <v>1.8355136665532865</v>
      </c>
      <c r="W166" s="5">
        <f>S166/P166</f>
        <v>1.8194771679929596</v>
      </c>
      <c r="X166" s="5">
        <f>T166/O166</f>
        <v>0</v>
      </c>
      <c r="Y166" s="5">
        <f>U166/P166</f>
        <v>0</v>
      </c>
      <c r="Z166" s="5">
        <f>V166+X166</f>
        <v>1.8355136665532865</v>
      </c>
      <c r="AA166" s="7">
        <f>IFERROR(W166/V166-1,0)</f>
        <v>-0.008736790606653555</v>
      </c>
      <c r="AB166" s="7">
        <f>IFERROR((W166-V166)/Z166,0)</f>
        <v>-0.008736790606653545</v>
      </c>
      <c r="AC166" s="7">
        <f>IFERROR(Y166/X166-1,0)</f>
        <v>0</v>
      </c>
      <c r="AD166" s="7">
        <f>IFERROR((Y166-X166)/Z166,0)</f>
        <v>0</v>
      </c>
      <c r="AE166" s="7">
        <f>AB166+AD166</f>
        <v>-0.008736790606653545</v>
      </c>
      <c r="AF166" s="7">
        <f>(1+Q166)*(1+AE166)-1</f>
        <v>-0.008736790606653555</v>
      </c>
      <c r="AG166" s="7">
        <f>G166-AF166</f>
        <v>-3.2959746043559335e-17</v>
      </c>
      <c r="AH166" s="5">
        <f>SUM(IF(BQ166="lease",CE166,0),IF(CS166="lease",DG166,0),IF(DU166="lease",EI166,0),IF(EW166="lease",FK166,0),IF(FY166="lease",GM166,0),IF(HA166="lease",HO166,0),IF(IC166="lease",IQ166,0),IF(JE166="lease",JS166,0),IF(KG166="lease",KU166,0),IF(LI166="lease",LW166,0))</f>
        <v>-0.013964366723880283</v>
      </c>
      <c r="AI166" s="5">
        <f>SUM(IF(BQ166="keep",CE166,0),IF(CS166="keep",DG166,0),IF(DU166="keep",EI166,0),IF(EW166="keep",FK166,0),IF(FY166="keep",GM166,0),IF(HA166="keep",HO166,0),IF(IC166="keep",IQ166,0),IF(JE166="keep",JS166,0),IF(KG166="keep",KU166,0),IF(LI166="keep",LW166,0))</f>
        <v>0</v>
      </c>
      <c r="AJ166" s="5">
        <f>SUM(IF(BQ166="lease",CH166,0),IF(CS166="lease",DJ166,0),IF(DU166="lease",EL166,0),IF(EW166="lease",FN166,0),IF(FY166="lease",GP166,0),IF(HA166="lease",HR166,0),IF(IC166="lease",IT166,0),IF(JE166="lease",JV166,0),IF(KG166="lease",KX166,0),IF(LI166="lease",LZ166,0))</f>
        <v>0</v>
      </c>
      <c r="AK166" s="5">
        <f>SUM(IF(BQ166="keep",CH166,0),IF(CS166="keep",DJ166,0),IF(DU166="keep",EL166,0),IF(EW166="keep",FN166,0),IF(FY166="keep",GP166,0),IF(HA166="keep",HR166,0),IF(IC166="keep",IT166,0),IF(JE166="keep",JV166,0),IF(KG166="keep",KX166,0),IF(LI166="keep",LZ166,0))</f>
        <v>0</v>
      </c>
      <c r="AL166" s="5">
        <f>R166-S165</f>
        <v>0</v>
      </c>
      <c r="AM166" s="5">
        <f>T166-U165</f>
        <v>0</v>
      </c>
      <c r="AN166" s="5">
        <f>AN165</f>
        <v>1</v>
      </c>
      <c r="AO166" s="5">
        <f>AO165+AH166</f>
        <v>0.584376185611847</v>
      </c>
      <c r="AP166" s="5">
        <f>AP165+AL166</f>
        <v>-4.440892098500626e-16</v>
      </c>
      <c r="AQ166" s="5">
        <f>AN166+AO166+AP166</f>
        <v>1.5843761856118466</v>
      </c>
      <c r="AR166" s="5">
        <f>S166-AQ166</f>
        <v>2.220446049250313e-16</v>
      </c>
      <c r="AS166" s="5">
        <f>AS165</f>
        <v>0</v>
      </c>
      <c r="AT166" s="5">
        <f>AT165+AI166</f>
        <v>0</v>
      </c>
      <c r="AU166" s="5">
        <f>AU165+AM166</f>
        <v>0</v>
      </c>
      <c r="AV166" s="5">
        <f>AS166+AT166+AU166</f>
        <v>0</v>
      </c>
      <c r="AW166" s="5">
        <f>U166-AV166</f>
        <v>0</v>
      </c>
      <c r="AX166" s="4">
        <v>1.598340552335727</v>
      </c>
      <c r="AY166" s="4">
        <v>1.5843761856118468</v>
      </c>
      <c r="AZ166" s="5">
        <f>S166-AY166</f>
        <v>0</v>
      </c>
      <c r="BA166" s="4">
        <v>0</v>
      </c>
      <c r="BB166" s="4">
        <v>0</v>
      </c>
      <c r="BC166" s="5">
        <f>U166-BB166</f>
        <v>0</v>
      </c>
      <c r="BD166" s="7">
        <f>SUM(IF(BP166="direct",CC166/F166,0),IF(CR166="direct",DE166/F166,0),IF(DT166="direct",EG166/F166,0),IF(EV166="direct",FI166/F166,0),IF(FX166="direct",GK166/F166,0),IF(GZ166="direct",HM166/F166,0),IF(IB166="direct",IO166/F166,0),IF(JD166="direct",JQ166/F166,0),IF(KF166="direct",KS166/F166,0),IF(LH166="direct",LU166/F166,0))</f>
        <v>0</v>
      </c>
      <c r="BE166" s="7">
        <f>-SUM(IF(BP166="direct",CD166/F166,0),IF(CR166="direct",DF166/F166,0),IF(DT166="direct",EH166/F166,0),IF(EV166="direct",FJ166/F166,0),IF(FX166="direct",GL166/F166,0),IF(GZ166="direct",HN166/F166,0),IF(IB166="direct",IP166/F166,0),IF(JD166="direct",JR166/F166,0),IF(KF166="direct",KT166/F166,0),IF(LH166="direct",LV166/F166,0))</f>
        <v>0</v>
      </c>
      <c r="BF166" s="7">
        <f>BD166+BE166</f>
        <v>0</v>
      </c>
      <c r="BG166" s="7">
        <f>BF166-SUM(IF(BP166="direct",CP166,0),IF(CR166="direct",DR166,0),IF(DT166="direct",ET166,0),IF(EV166="direct",FV166,0),IF(FX166="direct",GX166,0),IF(GZ166="direct",HZ166,0),IF(IB166="direct",JB166,0),IF(JD166="direct",KD166,0),IF(KF166="direct",LF166,0),IF(LH166="direct",MH166,0))</f>
        <v>0</v>
      </c>
      <c r="BH166" s="7">
        <f>SUM(IF(BP166="treasury",CP166,0),IF(CR166="treasury",DR166,0),IF(DT166="treasury",ET166,0),IF(EV166="treasury",FV166,0),IF(FX166="treasury",GX166,0),IF(GZ166="treasury",HZ166,0),IF(IB166="treasury",JB166,0),IF(JD166="treasury",KD166,0),IF(KF166="treasury",LF166,0),IF(LH166="treasury",MH166,0))</f>
        <v>0.00019178082191780824</v>
      </c>
      <c r="BI166" s="7">
        <f>SUM(IF(BP166="future",CP166,0),IF(CR166="future",DR166,0),IF(DT166="future",ET166,0),IF(EV166="future",FV166,0),IF(FX166="future",GX166,0),IF(GZ166="future",HZ166,0),IF(IB166="future",JB166,0),IF(JD166="future",KD166,0),IF(KF166="future",LF166,0),IF(LH166="future",MH166,0))</f>
        <v>-0.008928571428571397</v>
      </c>
      <c r="BJ166" s="7">
        <f>SUM(IF(BP166="cash",CP166,0),IF(CR166="cash",DR166,0),IF(DT166="cash",ET166,0),IF(EV166="cash",FV166,0),IF(FX166="cash",GX166,0),IF(GZ166="cash",HZ166,0),IF(IB166="cash",JB166,0),IF(JD166="cash",KD166,0),IF(KF166="cash",LF166,0),IF(LH166="cash",MH166,0))</f>
        <v>0</v>
      </c>
      <c r="BK166" s="7">
        <f>SUM(BF166,BH166,BI166,BJ166)</f>
        <v>-0.008736790606653588</v>
      </c>
      <c r="BL166" s="7">
        <f>G166-BK166</f>
        <v>0</v>
      </c>
      <c r="BM166" s="5">
        <f>MAX(ABS(CG166),ABS(DI166),ABS(EK166),ABS(FM166),ABS(GO166),ABS(HQ166),ABS(IS166),ABS(JU166),ABS(KW166),ABS(LY166))</f>
        <v>2.439454888092385e-17</v>
      </c>
      <c r="BN166" s="9">
        <f>COUNTA(BO166,CQ166,DS166,EU166,FW166,GY166,IA166,JC166,KE166,LG166)</f>
        <v>4</v>
      </c>
      <c r="BO166" t="inlineStr">
        <is>
          <t xml:space="preserve">Treasury collateral</t>
        </is>
      </c>
      <c r="BP166" t="inlineStr">
        <is>
          <t xml:space="preserve">treasury</t>
        </is>
      </c>
      <c r="BQ166" t="inlineStr">
        <is>
          <t xml:space="preserve">lease</t>
        </is>
      </c>
      <c r="BR166" t="inlineStr">
        <is>
          <t xml:space="preserve">long</t>
        </is>
      </c>
      <c r="BS166"/>
      <c r="BT166" s="4">
        <v>104.34384333355322</v>
      </c>
      <c r="BU166" s="4">
        <v>104.3638544815898</v>
      </c>
      <c r="BV166" s="6"/>
      <c r="BW166" s="4">
        <v>0.015318014952030789</v>
      </c>
      <c r="BX166" s="5">
        <f>IF(BP166="direct",IFERROR(CD166/BU166,0),0)</f>
        <v>0</v>
      </c>
      <c r="BY166" s="5">
        <f>IF(BP166="direct",BW166-BX166,IF(BP166="cash",CI166,BW166))</f>
        <v>0.015318014952030789</v>
      </c>
      <c r="BZ166" s="6">
        <v>1</v>
      </c>
      <c r="CA166" s="4">
        <v>1.5983405523357264</v>
      </c>
      <c r="CB166" s="4">
        <v>1.5983405523357264</v>
      </c>
      <c r="CC166" s="5">
        <f>IF(BP166="direct",BW166*(BU166-BT166),CF166)</f>
        <v>0.0003065310648315336</v>
      </c>
      <c r="CD166" s="5">
        <f>IF(BP166="direct",CB166*BV166*C166/365,0)</f>
        <v>0</v>
      </c>
      <c r="CE166" s="5">
        <f>CC166-CD166</f>
        <v>0.0003065310648315092</v>
      </c>
      <c r="CF166" s="4">
        <v>0.0003065310648315092</v>
      </c>
      <c r="CG166" s="5">
        <f>CF166-CE166</f>
        <v>-2.439454888092385e-17</v>
      </c>
      <c r="CH166" s="4">
        <v>7.410521848938423e-17</v>
      </c>
      <c r="CI166" s="4">
        <v>1.598647083400558</v>
      </c>
      <c r="CJ166" s="4">
        <v>1.705</v>
      </c>
      <c r="CK166" s="4">
        <v>1.705</v>
      </c>
      <c r="CL166" s="6"/>
      <c r="CM166" s="6"/>
      <c r="CN166" s="6"/>
      <c r="CO166" s="9">
        <v>23</v>
      </c>
      <c r="CP166" s="7">
        <f>IFERROR(CE166/F166,0)</f>
        <v>0.00019178082191780824</v>
      </c>
      <c r="CQ166" t="inlineStr">
        <is>
          <t xml:space="preserve">SI69U</t>
        </is>
      </c>
      <c r="CR166" t="inlineStr">
        <is>
          <t xml:space="preserve">future</t>
        </is>
      </c>
      <c r="CS166" t="inlineStr">
        <is>
          <t xml:space="preserve">lease</t>
        </is>
      </c>
      <c r="CT166" t="inlineStr">
        <is>
          <t xml:space="preserve">long</t>
        </is>
      </c>
      <c r="CU166" t="inlineStr">
        <is>
          <t xml:space="preserve">regular</t>
        </is>
      </c>
      <c r="CV166" s="4">
        <v>1.68</v>
      </c>
      <c r="CW166" s="4">
        <v>1.665</v>
      </c>
      <c r="CX166" s="6"/>
      <c r="CY166" s="4">
        <v>0.9513931859141229</v>
      </c>
      <c r="CZ166" s="5">
        <f>IF(CR166="direct",IFERROR(DF166/CW166,0),0)</f>
        <v>0</v>
      </c>
      <c r="DA166" s="5">
        <f>IF(CR166="direct",CY166-CZ166,IF(CR166="cash",DK166,CY166))</f>
        <v>0.9513931859141229</v>
      </c>
      <c r="DB166" s="6">
        <v>1</v>
      </c>
      <c r="DC166" s="4">
        <v>1.5983405523357264</v>
      </c>
      <c r="DD166" s="4">
        <v>0</v>
      </c>
      <c r="DE166" s="5">
        <f>IF(CR166="direct",CY166*(CW166-CV166),DH166)</f>
        <v>-0.014270897788711791</v>
      </c>
      <c r="DF166" s="5">
        <f>IF(CR166="direct",DD166*CX166*C166/365,0)</f>
        <v>0</v>
      </c>
      <c r="DG166" s="5">
        <f>DE166-DF166</f>
        <v>-0.014270897788711791</v>
      </c>
      <c r="DH166" s="4">
        <v>-0.014270897788711791</v>
      </c>
      <c r="DI166" s="5">
        <f>DH166-DG166</f>
        <v>0</v>
      </c>
      <c r="DJ166" s="4">
        <v>0.014270897788711791</v>
      </c>
      <c r="DK166" s="4">
        <v>0</v>
      </c>
      <c r="DL166" s="4">
        <v>1.705</v>
      </c>
      <c r="DM166" s="4">
        <v>1.705</v>
      </c>
      <c r="DN166" s="6">
        <v>-0.014662756598240567</v>
      </c>
      <c r="DO166" s="6">
        <v>0.07</v>
      </c>
      <c r="DP166" s="6">
        <v>0.3026915721025134</v>
      </c>
      <c r="DQ166" s="9">
        <v>23</v>
      </c>
      <c r="DR166" s="7">
        <f>IFERROR(DG166/F166,0)</f>
        <v>-0.008928571428571397</v>
      </c>
      <c r="DS166" t="inlineStr">
        <is>
          <t xml:space="preserve">Lease cash / margin / financing</t>
        </is>
      </c>
      <c r="DT166" t="inlineStr">
        <is>
          <t xml:space="preserve">cash</t>
        </is>
      </c>
      <c r="DU166" t="inlineStr">
        <is>
          <t xml:space="preserve">lease</t>
        </is>
      </c>
      <c r="DV166" t="inlineStr">
        <is>
          <t xml:space="preserve">cash</t>
        </is>
      </c>
      <c r="DW166"/>
      <c r="DX166" s="4">
        <v>1</v>
      </c>
      <c r="DY166" s="4">
        <v>1</v>
      </c>
      <c r="DZ166" s="6"/>
      <c r="EA166" s="4">
        <v>6.661338147750939e-16</v>
      </c>
      <c r="EB166" s="5">
        <f>IF(DT166="direct",IFERROR(EH166/DY166,0),0)</f>
        <v>0</v>
      </c>
      <c r="EC166" s="5">
        <f>IF(DT166="direct",EA166-EB166,IF(DT166="cash",EM166,EA166))</f>
        <v>-0.0142708977887112</v>
      </c>
      <c r="ED166" s="6"/>
      <c r="EE166" s="4">
        <v>6.661338147750939e-16</v>
      </c>
      <c r="EF166" s="4">
        <v>6.661338147750939e-16</v>
      </c>
      <c r="EG166" s="5">
        <f>IF(DT166="direct",EA166*(DY166-DX166),EJ166)</f>
        <v>0</v>
      </c>
      <c r="EH166" s="5">
        <f>IF(DT166="direct",EF166*DZ166*C166/365,0)</f>
        <v>0</v>
      </c>
      <c r="EI166" s="5">
        <f>EG166-EH166</f>
        <v>0</v>
      </c>
      <c r="EJ166" s="4">
        <v>0</v>
      </c>
      <c r="EK166" s="5">
        <f>EJ166-EI166</f>
        <v>0</v>
      </c>
      <c r="EL166" s="4">
        <v>-0.014270897788711866</v>
      </c>
      <c r="EM166" s="4">
        <v>-0.0142708977887112</v>
      </c>
      <c r="EN166" s="4">
        <v>1.705</v>
      </c>
      <c r="EO166" s="4">
        <v>1.705</v>
      </c>
      <c r="EP166" s="6"/>
      <c r="EQ166" s="6"/>
      <c r="ER166" s="6"/>
      <c r="ES166" s="9"/>
      <c r="ET166" s="7">
        <f>IFERROR(EI166/F166,0)</f>
        <v>0</v>
      </c>
      <c r="EU166" t="inlineStr">
        <is>
          <t xml:space="preserve">Keep cash / margin / financing</t>
        </is>
      </c>
      <c r="EV166" t="inlineStr">
        <is>
          <t xml:space="preserve">cash</t>
        </is>
      </c>
      <c r="EW166" t="inlineStr">
        <is>
          <t xml:space="preserve">keep</t>
        </is>
      </c>
      <c r="EX166" t="inlineStr">
        <is>
          <t xml:space="preserve">cash</t>
        </is>
      </c>
      <c r="EY166"/>
      <c r="EZ166" s="4">
        <v>1</v>
      </c>
      <c r="FA166" s="4">
        <v>1</v>
      </c>
      <c r="FB166" s="6"/>
      <c r="FC166" s="4">
        <v>0</v>
      </c>
      <c r="FD166" s="5">
        <f>IF(EV166="direct",IFERROR(FJ166/FA166,0),0)</f>
        <v>0</v>
      </c>
      <c r="FE166" s="5">
        <f>IF(EV166="direct",FC166-FD166,IF(EV166="cash",FO166,FC166))</f>
        <v>0</v>
      </c>
      <c r="FF166" s="6"/>
      <c r="FG166" s="4">
        <v>0</v>
      </c>
      <c r="FH166" s="4">
        <v>0</v>
      </c>
      <c r="FI166" s="5">
        <f>IF(EV166="direct",FC166*(FA166-EZ166),FL166)</f>
        <v>0</v>
      </c>
      <c r="FJ166" s="5">
        <f>IF(EV166="direct",FH166*FB166*C166/365,0)</f>
        <v>0</v>
      </c>
      <c r="FK166" s="5">
        <f>FI166-FJ166</f>
        <v>0</v>
      </c>
      <c r="FL166" s="4">
        <v>0</v>
      </c>
      <c r="FM166" s="5">
        <f>FL166-FK166</f>
        <v>0</v>
      </c>
      <c r="FN166" s="4">
        <v>0</v>
      </c>
      <c r="FO166" s="4">
        <v>0</v>
      </c>
      <c r="FP166" s="4">
        <v>1.705</v>
      </c>
      <c r="FQ166" s="4">
        <v>1.705</v>
      </c>
      <c r="FR166" s="6"/>
      <c r="FS166" s="6"/>
      <c r="FT166" s="6"/>
      <c r="FU166" s="9"/>
      <c r="FV166" s="7">
        <f>IFERROR(FK166/F166,0)</f>
        <v>0</v>
      </c>
      <c r="FW166"/>
      <c r="FX166"/>
      <c r="FY166"/>
      <c r="FZ166"/>
      <c r="GA166"/>
      <c r="GB166" s="4"/>
      <c r="GC166" s="4"/>
      <c r="GD166" s="6"/>
      <c r="GE166" s="4"/>
      <c r="GF166" s="5">
        <v>0</v>
      </c>
      <c r="GG166" s="5"/>
      <c r="GH166" s="6"/>
      <c r="GI166" s="4"/>
      <c r="GJ166" s="4"/>
      <c r="GK166" s="5">
        <v>0</v>
      </c>
      <c r="GL166" s="5">
        <v>0</v>
      </c>
      <c r="GM166" s="5"/>
      <c r="GN166" s="4"/>
      <c r="GO166" s="5">
        <v>0</v>
      </c>
      <c r="GP166" s="4"/>
      <c r="GQ166" s="4"/>
      <c r="GR166" s="4"/>
      <c r="GS166" s="4"/>
      <c r="GT166" s="6"/>
      <c r="GU166" s="6"/>
      <c r="GV166" s="6"/>
      <c r="GW166" s="9"/>
      <c r="GX166"/>
      <c r="GY166"/>
      <c r="GZ166"/>
      <c r="HA166"/>
      <c r="HB166"/>
      <c r="HC166"/>
      <c r="HD166" s="4"/>
      <c r="HE166" s="4"/>
      <c r="HF166" s="6"/>
      <c r="HG166" s="4"/>
      <c r="HH166" s="5">
        <v>0</v>
      </c>
      <c r="HI166" s="5"/>
      <c r="HJ166" s="6"/>
      <c r="HK166" s="4"/>
      <c r="HL166" s="4"/>
      <c r="HM166" s="5">
        <v>0</v>
      </c>
      <c r="HN166" s="5">
        <v>0</v>
      </c>
      <c r="HO166" s="5"/>
      <c r="HP166" s="4"/>
      <c r="HQ166" s="5">
        <v>0</v>
      </c>
      <c r="HR166" s="4"/>
      <c r="HS166" s="4"/>
      <c r="HT166" s="4"/>
      <c r="HU166" s="4"/>
      <c r="HV166" s="6"/>
      <c r="HW166" s="6"/>
      <c r="HX166" s="6"/>
      <c r="HY166" s="9"/>
      <c r="HZ166"/>
      <c r="IA166"/>
      <c r="IB166"/>
      <c r="IC166"/>
      <c r="ID166"/>
      <c r="IE166"/>
      <c r="IF166" s="4"/>
      <c r="IG166" s="4"/>
      <c r="IH166" s="6"/>
      <c r="II166" s="4"/>
      <c r="IJ166" s="5">
        <v>0</v>
      </c>
      <c r="IK166" s="5"/>
      <c r="IL166" s="6"/>
      <c r="IM166" s="4"/>
      <c r="IN166" s="4"/>
      <c r="IO166" s="5">
        <v>0</v>
      </c>
      <c r="IP166" s="5">
        <v>0</v>
      </c>
      <c r="IQ166" s="5"/>
      <c r="IR166" s="4"/>
      <c r="IS166" s="5">
        <v>0</v>
      </c>
      <c r="IT166" s="4"/>
      <c r="IU166" s="4"/>
      <c r="IV166" s="4"/>
      <c r="IW166" s="4"/>
      <c r="IX166" s="6"/>
      <c r="IY166" s="6"/>
      <c r="IZ166" s="6"/>
      <c r="JA166" s="9"/>
      <c r="JB166"/>
      <c r="JC166"/>
      <c r="JD166"/>
      <c r="JE166"/>
      <c r="JF166"/>
      <c r="JG166"/>
      <c r="JH166" s="4"/>
      <c r="JI166" s="4"/>
      <c r="JJ166" s="6"/>
      <c r="JK166" s="4"/>
      <c r="JL166" s="5">
        <v>0</v>
      </c>
      <c r="JM166" s="5"/>
      <c r="JN166" s="6"/>
      <c r="JO166" s="4"/>
      <c r="JP166" s="4"/>
      <c r="JQ166" s="5">
        <v>0</v>
      </c>
      <c r="JR166" s="5">
        <v>0</v>
      </c>
      <c r="JS166" s="5"/>
      <c r="JT166" s="4"/>
      <c r="JU166" s="5">
        <v>0</v>
      </c>
      <c r="JV166" s="4"/>
      <c r="JW166" s="4"/>
      <c r="JX166" s="4"/>
      <c r="JY166" s="4"/>
      <c r="JZ166" s="6"/>
      <c r="KA166" s="6"/>
      <c r="KB166" s="6"/>
      <c r="KC166" s="9"/>
      <c r="KD166"/>
      <c r="KE166"/>
      <c r="KF166"/>
      <c r="KG166"/>
      <c r="KH166"/>
      <c r="KI166"/>
      <c r="KJ166" s="4"/>
      <c r="KK166" s="4"/>
      <c r="KL166" s="6"/>
      <c r="KM166" s="4"/>
      <c r="KN166" s="5">
        <v>0</v>
      </c>
      <c r="KO166" s="5"/>
      <c r="KP166" s="6"/>
      <c r="KQ166" s="4"/>
      <c r="KR166" s="4"/>
      <c r="KS166" s="5">
        <v>0</v>
      </c>
      <c r="KT166" s="5">
        <v>0</v>
      </c>
      <c r="KU166" s="5"/>
      <c r="KV166" s="4"/>
      <c r="KW166" s="5">
        <v>0</v>
      </c>
      <c r="KX166" s="4"/>
      <c r="KY166" s="4"/>
      <c r="KZ166" s="4"/>
      <c r="LA166" s="4"/>
      <c r="LB166" s="6"/>
      <c r="LC166" s="6"/>
      <c r="LD166" s="6"/>
      <c r="LE166" s="9"/>
      <c r="LF166"/>
      <c r="LG166"/>
      <c r="LH166"/>
      <c r="LI166"/>
      <c r="LJ166"/>
      <c r="LK166"/>
      <c r="LL166" s="4"/>
      <c r="LM166" s="4"/>
      <c r="LN166" s="6"/>
      <c r="LO166" s="4"/>
      <c r="LP166" s="5">
        <v>0</v>
      </c>
      <c r="LQ166" s="5"/>
      <c r="LR166" s="6"/>
      <c r="LS166" s="4"/>
      <c r="LT166" s="4"/>
      <c r="LU166" s="5">
        <v>0</v>
      </c>
      <c r="LV166" s="5">
        <v>0</v>
      </c>
      <c r="LW166" s="5"/>
      <c r="LX166" s="4"/>
      <c r="LY166" s="5">
        <v>0</v>
      </c>
      <c r="LZ166" s="4"/>
      <c r="MA166" s="4"/>
      <c r="MB166" s="4"/>
      <c r="MC166" s="4"/>
      <c r="MD166" s="6"/>
      <c r="ME166" s="6"/>
      <c r="MF166" s="6"/>
      <c r="MG166" s="9"/>
      <c r="MH166"/>
    </row>
    <row r="167">
      <c r="A167" s="8">
        <v>25450</v>
      </c>
      <c r="B167" s="8">
        <v>25451</v>
      </c>
      <c r="C167" s="9">
        <f>B167-A167</f>
        <v>1</v>
      </c>
      <c r="D167" s="8">
        <v>25450</v>
      </c>
      <c r="E167" t="inlineStr">
        <is>
          <t xml:space="preserve">positive</t>
        </is>
      </c>
      <c r="F167" s="4">
        <v>1.5843761856118461</v>
      </c>
      <c r="G167" s="6">
        <v>0.02241509893455091</v>
      </c>
      <c r="H167" s="7">
        <f>SUM(CP167,DR167,ET167,FV167,GX167,HZ167,JB167,KD167,LF167,MH167)</f>
        <v>0.02241509893455091</v>
      </c>
      <c r="I167" s="7">
        <f>G167-H167</f>
        <v>0</v>
      </c>
      <c r="J167" s="5">
        <f>F167*(1+H167)</f>
        <v>1.619890134561882</v>
      </c>
      <c r="K167" s="4">
        <v>1.619890134561882</v>
      </c>
      <c r="L167" s="5">
        <f>K167-J167</f>
        <v>0</v>
      </c>
      <c r="M167" s="4">
        <v>1.705</v>
      </c>
      <c r="N167" s="4">
        <v>1.702</v>
      </c>
      <c r="O167" s="5">
        <f>M167/$M$3</f>
        <v>0.8707865168539326</v>
      </c>
      <c r="P167" s="5">
        <f>N167/$M$3</f>
        <v>0.8692543411644535</v>
      </c>
      <c r="Q167" s="7">
        <f>IFERROR(N167/M167-1,0)</f>
        <v>-0.0017595307917889214</v>
      </c>
      <c r="R167" s="5">
        <f>SUM(IF(BQ167="lease",CB167,0),IF(CS167="lease",DD167,0),IF(DU167="lease",EF167,0),IF(EW167="lease",FH167,0),IF(FY167="lease",GJ167,0),IF(HA167="lease",HL167,0),IF(IC167="lease",IN167,0),IF(JE167="lease",JP167,0),IF(KG167="lease",KR167,0),IF(LI167="lease",LT167,0))</f>
        <v>1.5843761856118468</v>
      </c>
      <c r="S167" s="5">
        <f>SUM(IF(BQ167="lease",CI167,0),IF(CS167="lease",DK167,0),IF(DU167="lease",EM167,0),IF(EW167="lease",FO167,0),IF(FY167="lease",GQ167,0),IF(HA167="lease",HS167,0),IF(IC167="lease",IU167,0),IF(JE167="lease",JW167,0),IF(KG167="lease",KY167,0),IF(LI167="lease",MA167,0))</f>
        <v>1.6198901345618828</v>
      </c>
      <c r="T167" s="5">
        <f>SUM(IF(BQ167="keep",CB167,0),IF(CS167="keep",DD167,0),IF(DU167="keep",EF167,0),IF(EW167="keep",FH167,0),IF(FY167="keep",GJ167,0),IF(HA167="keep",HL167,0),IF(IC167="keep",IN167,0),IF(JE167="keep",JP167,0),IF(KG167="keep",KR167,0),IF(LI167="keep",LT167,0))</f>
        <v>0</v>
      </c>
      <c r="U167" s="5">
        <f>SUM(IF(BQ167="keep",CI167,0),IF(CS167="keep",DK167,0),IF(DU167="keep",EM167,0),IF(EW167="keep",FO167,0),IF(FY167="keep",GQ167,0),IF(HA167="keep",HS167,0),IF(IC167="keep",IU167,0),IF(JE167="keep",JW167,0),IF(KG167="keep",KY167,0),IF(LI167="keep",MA167,0))</f>
        <v>0</v>
      </c>
      <c r="V167" s="5">
        <f>R167/O167</f>
        <v>1.8194771679929596</v>
      </c>
      <c r="W167" s="5">
        <f>S167/P167</f>
        <v>1.8635398845312376</v>
      </c>
      <c r="X167" s="5">
        <f>T167/O167</f>
        <v>0</v>
      </c>
      <c r="Y167" s="5">
        <f>U167/P167</f>
        <v>0</v>
      </c>
      <c r="Z167" s="5">
        <f>V167+X167</f>
        <v>1.8194771679929596</v>
      </c>
      <c r="AA167" s="7">
        <f>IFERROR(W167/V167-1,0)</f>
        <v>0.024217240707055998</v>
      </c>
      <c r="AB167" s="7">
        <f>IFERROR((W167-V167)/Z167,0)</f>
        <v>0.024217240707056012</v>
      </c>
      <c r="AC167" s="7">
        <f>IFERROR(Y167/X167-1,0)</f>
        <v>0</v>
      </c>
      <c r="AD167" s="7">
        <f>IFERROR((Y167-X167)/Z167,0)</f>
        <v>0</v>
      </c>
      <c r="AE167" s="7">
        <f>AB167+AD167</f>
        <v>0.024217240707056012</v>
      </c>
      <c r="AF167" s="7">
        <f>(1+Q167)*(1+AE167)-1</f>
        <v>0.022415098934550848</v>
      </c>
      <c r="AG167" s="7">
        <f>G167-AF167</f>
        <v>6.245004513516506e-17</v>
      </c>
      <c r="AH167" s="5">
        <f>SUM(IF(BQ167="lease",CE167,0),IF(CS167="lease",DG167,0),IF(DU167="lease",EI167,0),IF(EW167="lease",FK167,0),IF(FY167="lease",GM167,0),IF(HA167="lease",HO167,0),IF(IC167="lease",IQ167,0),IF(JE167="lease",JS167,0),IF(KG167="lease",KU167,0),IF(LI167="lease",LW167,0))</f>
        <v>0.03551394895003593</v>
      </c>
      <c r="AI167" s="5">
        <f>SUM(IF(BQ167="keep",CE167,0),IF(CS167="keep",DG167,0),IF(DU167="keep",EI167,0),IF(EW167="keep",FK167,0),IF(FY167="keep",GM167,0),IF(HA167="keep",HO167,0),IF(IC167="keep",IQ167,0),IF(JE167="keep",JS167,0),IF(KG167="keep",KU167,0),IF(LI167="keep",LW167,0))</f>
        <v>0</v>
      </c>
      <c r="AJ167" s="5">
        <f>SUM(IF(BQ167="lease",CH167,0),IF(CS167="lease",DJ167,0),IF(DU167="lease",EL167,0),IF(EW167="lease",FN167,0),IF(FY167="lease",GP167,0),IF(HA167="lease",HR167,0),IF(IC167="lease",IT167,0),IF(JE167="lease",JV167,0),IF(KG167="lease",KX167,0),IF(LI167="lease",LZ167,0))</f>
        <v>0</v>
      </c>
      <c r="AK167" s="5">
        <f>SUM(IF(BQ167="keep",CH167,0),IF(CS167="keep",DJ167,0),IF(DU167="keep",EL167,0),IF(EW167="keep",FN167,0),IF(FY167="keep",GP167,0),IF(HA167="keep",HR167,0),IF(IC167="keep",IT167,0),IF(JE167="keep",JV167,0),IF(KG167="keep",KX167,0),IF(LI167="keep",LZ167,0))</f>
        <v>0</v>
      </c>
      <c r="AL167" s="5">
        <f>R167-S166</f>
        <v>0</v>
      </c>
      <c r="AM167" s="5">
        <f>T167-U166</f>
        <v>0</v>
      </c>
      <c r="AN167" s="5">
        <f>AN166</f>
        <v>1</v>
      </c>
      <c r="AO167" s="5">
        <f>AO166+AH167</f>
        <v>0.6198901345618829</v>
      </c>
      <c r="AP167" s="5">
        <f>AP166+AL167</f>
        <v>-4.440892098500626e-16</v>
      </c>
      <c r="AQ167" s="5">
        <f>AN167+AO167+AP167</f>
        <v>1.6198901345618824</v>
      </c>
      <c r="AR167" s="5">
        <f>S167-AQ167</f>
        <v>4.440892098500626e-16</v>
      </c>
      <c r="AS167" s="5">
        <f>AS166</f>
        <v>0</v>
      </c>
      <c r="AT167" s="5">
        <f>AT166+AI167</f>
        <v>0</v>
      </c>
      <c r="AU167" s="5">
        <f>AU166+AM167</f>
        <v>0</v>
      </c>
      <c r="AV167" s="5">
        <f>AS167+AT167+AU167</f>
        <v>0</v>
      </c>
      <c r="AW167" s="5">
        <f>U167-AV167</f>
        <v>0</v>
      </c>
      <c r="AX167" s="4">
        <v>1.5843761856118468</v>
      </c>
      <c r="AY167" s="4">
        <v>1.6198901345618828</v>
      </c>
      <c r="AZ167" s="5">
        <f>S167-AY167</f>
        <v>0</v>
      </c>
      <c r="BA167" s="4">
        <v>0</v>
      </c>
      <c r="BB167" s="4">
        <v>0</v>
      </c>
      <c r="BC167" s="5">
        <f>U167-BB167</f>
        <v>0</v>
      </c>
      <c r="BD167" s="7">
        <f>SUM(IF(BP167="direct",CC167/F167,0),IF(CR167="direct",DE167/F167,0),IF(DT167="direct",EG167/F167,0),IF(EV167="direct",FI167/F167,0),IF(FX167="direct",GK167/F167,0),IF(GZ167="direct",HM167/F167,0),IF(IB167="direct",IO167/F167,0),IF(JD167="direct",JQ167/F167,0),IF(KF167="direct",KS167/F167,0),IF(LH167="direct",LU167/F167,0))</f>
        <v>0</v>
      </c>
      <c r="BE167" s="7">
        <f>-SUM(IF(BP167="direct",CD167/F167,0),IF(CR167="direct",DF167/F167,0),IF(DT167="direct",EH167/F167,0),IF(EV167="direct",FJ167/F167,0),IF(FX167="direct",GL167/F167,0),IF(GZ167="direct",HN167/F167,0),IF(IB167="direct",IP167/F167,0),IF(JD167="direct",JR167/F167,0),IF(KF167="direct",KT167/F167,0),IF(LH167="direct",LV167/F167,0))</f>
        <v>0</v>
      </c>
      <c r="BF167" s="7">
        <f>BD167+BE167</f>
        <v>0</v>
      </c>
      <c r="BG167" s="7">
        <f>BF167-SUM(IF(BP167="direct",CP167,0),IF(CR167="direct",DR167,0),IF(DT167="direct",ET167,0),IF(EV167="direct",FV167,0),IF(FX167="direct",GX167,0),IF(GZ167="direct",HZ167,0),IF(IB167="direct",JB167,0),IF(JD167="direct",KD167,0),IF(KF167="direct",LF167,0),IF(LH167="direct",MH167,0))</f>
        <v>0</v>
      </c>
      <c r="BH167" s="7">
        <f>SUM(IF(BP167="treasury",CP167,0),IF(CR167="treasury",DR167,0),IF(DT167="treasury",ET167,0),IF(EV167="treasury",FV167,0),IF(FX167="treasury",GX167,0),IF(GZ167="treasury",HZ167,0),IF(IB167="treasury",JB167,0),IF(JD167="treasury",KD167,0),IF(KF167="treasury",LF167,0),IF(LH167="treasury",MH167,0))</f>
        <v>0.00019287671232876713</v>
      </c>
      <c r="BI167" s="7">
        <f>SUM(IF(BP167="future",CP167,0),IF(CR167="future",DR167,0),IF(DT167="future",ET167,0),IF(EV167="future",FV167,0),IF(FX167="future",GX167,0),IF(GZ167="future",HZ167,0),IF(IB167="future",JB167,0),IF(JD167="future",KD167,0),IF(KF167="future",LF167,0),IF(LH167="future",MH167,0))</f>
        <v>0.022222222222222147</v>
      </c>
      <c r="BJ167" s="7">
        <f>SUM(IF(BP167="cash",CP167,0),IF(CR167="cash",DR167,0),IF(DT167="cash",ET167,0),IF(EV167="cash",FV167,0),IF(FX167="cash",GX167,0),IF(GZ167="cash",HZ167,0),IF(IB167="cash",JB167,0),IF(JD167="cash",KD167,0),IF(KF167="cash",LF167,0),IF(LH167="cash",MH167,0))</f>
        <v>0</v>
      </c>
      <c r="BK167" s="7">
        <f>SUM(BF167,BH167,BI167,BJ167)</f>
        <v>0.022415098934550914</v>
      </c>
      <c r="BL167" s="7">
        <f>G167-BK167</f>
        <v>-3.469446951953614e-18</v>
      </c>
      <c r="BM167" s="5">
        <f>MAX(ABS(CG167),ABS(DI167),ABS(EK167),ABS(FM167),ABS(GO167),ABS(HQ167),ABS(IS167),ABS(JU167),ABS(KW167),ABS(LY167))</f>
        <v>1.2419535885821453e-16</v>
      </c>
      <c r="BN167" s="9">
        <f>COUNTA(BO167,CQ167,DS167,EU167,FW167,GY167,IA167,JC167,KE167,LG167)</f>
        <v>4</v>
      </c>
      <c r="BO167" t="inlineStr">
        <is>
          <t xml:space="preserve">Treasury collateral</t>
        </is>
      </c>
      <c r="BP167" t="inlineStr">
        <is>
          <t xml:space="preserve">treasury</t>
        </is>
      </c>
      <c r="BQ167" t="inlineStr">
        <is>
          <t xml:space="preserve">lease</t>
        </is>
      </c>
      <c r="BR167" t="inlineStr">
        <is>
          <t xml:space="preserve">long</t>
        </is>
      </c>
      <c r="BS167"/>
      <c r="BT167" s="4">
        <v>104.3638544815898</v>
      </c>
      <c r="BU167" s="4">
        <v>104.38398383872816</v>
      </c>
      <c r="BV167" s="6"/>
      <c r="BW167" s="4">
        <v>0.015181273185835968</v>
      </c>
      <c r="BX167" s="5">
        <f>IF(BP167="direct",IFERROR(CD167/BU167,0),0)</f>
        <v>0</v>
      </c>
      <c r="BY167" s="5">
        <f>IF(BP167="direct",BW167-BX167,IF(BP167="cash",CI167,BW167))</f>
        <v>0.015181273185835968</v>
      </c>
      <c r="BZ167" s="6">
        <v>1</v>
      </c>
      <c r="CA167" s="4">
        <v>1.5843761856118461</v>
      </c>
      <c r="CB167" s="4">
        <v>1.5843761856118461</v>
      </c>
      <c r="CC167" s="5">
        <f>IF(BP167="direct",BW167*(BU167-BT167),CF167)</f>
        <v>0.0003055892697726812</v>
      </c>
      <c r="CD167" s="5">
        <f>IF(BP167="direct",CB167*BV167*C167/365,0)</f>
        <v>0</v>
      </c>
      <c r="CE167" s="5">
        <f>CC167-CD167</f>
        <v>0.0003055892697728054</v>
      </c>
      <c r="CF167" s="4">
        <v>0.0003055892697728054</v>
      </c>
      <c r="CG167" s="5">
        <f>CF167-CE167</f>
        <v>1.2419535885821453e-16</v>
      </c>
      <c r="CH167" s="4">
        <v>-5.068645156369733e-17</v>
      </c>
      <c r="CI167" s="4">
        <v>1.5846817748816189</v>
      </c>
      <c r="CJ167" s="4">
        <v>1.705</v>
      </c>
      <c r="CK167" s="4">
        <v>1.702</v>
      </c>
      <c r="CL167" s="6"/>
      <c r="CM167" s="6"/>
      <c r="CN167" s="6"/>
      <c r="CO167" s="9">
        <v>22</v>
      </c>
      <c r="CP167" s="7">
        <f>IFERROR(CE167/F167,0)</f>
        <v>0.00019287671232876713</v>
      </c>
      <c r="CQ167" t="inlineStr">
        <is>
          <t xml:space="preserve">SI69U</t>
        </is>
      </c>
      <c r="CR167" t="inlineStr">
        <is>
          <t xml:space="preserve">future</t>
        </is>
      </c>
      <c r="CS167" t="inlineStr">
        <is>
          <t xml:space="preserve">lease</t>
        </is>
      </c>
      <c r="CT167" t="inlineStr">
        <is>
          <t xml:space="preserve">long</t>
        </is>
      </c>
      <c r="CU167" t="inlineStr">
        <is>
          <t xml:space="preserve">regular</t>
        </is>
      </c>
      <c r="CV167" s="4">
        <v>1.665</v>
      </c>
      <c r="CW167" s="4">
        <v>1.702</v>
      </c>
      <c r="CX167" s="6"/>
      <c r="CY167" s="4">
        <v>0.9515772886557634</v>
      </c>
      <c r="CZ167" s="5">
        <f>IF(CR167="direct",IFERROR(DF167/CW167,0),0)</f>
        <v>0</v>
      </c>
      <c r="DA167" s="5">
        <f>IF(CR167="direct",CY167-CZ167,IF(CR167="cash",DK167,CY167))</f>
        <v>0.9515772886557634</v>
      </c>
      <c r="DB167" s="6">
        <v>1</v>
      </c>
      <c r="DC167" s="4">
        <v>1.5843761856118461</v>
      </c>
      <c r="DD167" s="4">
        <v>0</v>
      </c>
      <c r="DE167" s="5">
        <f>IF(CR167="direct",CY167*(CW167-CV167),DH167)</f>
        <v>0.035208359680263125</v>
      </c>
      <c r="DF167" s="5">
        <f>IF(CR167="direct",DD167*CX167*C167/365,0)</f>
        <v>0</v>
      </c>
      <c r="DG167" s="5">
        <f>DE167-DF167</f>
        <v>0.035208359680263125</v>
      </c>
      <c r="DH167" s="4">
        <v>0.035208359680263125</v>
      </c>
      <c r="DI167" s="5">
        <f>DH167-DG167</f>
        <v>0</v>
      </c>
      <c r="DJ167" s="4">
        <v>-0.035208359680263125</v>
      </c>
      <c r="DK167" s="4">
        <v>0</v>
      </c>
      <c r="DL167" s="4">
        <v>1.705</v>
      </c>
      <c r="DM167" s="4">
        <v>1.702</v>
      </c>
      <c r="DN167" s="6">
        <v>-0.02346041055718473</v>
      </c>
      <c r="DO167" s="6">
        <v>0.0704</v>
      </c>
      <c r="DP167" s="6">
        <v>0.4596295387896558</v>
      </c>
      <c r="DQ167" s="9">
        <v>22</v>
      </c>
      <c r="DR167" s="7">
        <f>IFERROR(DG167/F167,0)</f>
        <v>0.022222222222222147</v>
      </c>
      <c r="DS167" t="inlineStr">
        <is>
          <t xml:space="preserve">Lease cash / margin / financing</t>
        </is>
      </c>
      <c r="DT167" t="inlineStr">
        <is>
          <t xml:space="preserve">cash</t>
        </is>
      </c>
      <c r="DU167" t="inlineStr">
        <is>
          <t xml:space="preserve">lease</t>
        </is>
      </c>
      <c r="DV167" t="inlineStr">
        <is>
          <t xml:space="preserve">cash</t>
        </is>
      </c>
      <c r="DW167"/>
      <c r="DX167" s="4">
        <v>1</v>
      </c>
      <c r="DY167" s="4">
        <v>1</v>
      </c>
      <c r="DZ167" s="6"/>
      <c r="EA167" s="4">
        <v>6.661338147750939e-16</v>
      </c>
      <c r="EB167" s="5">
        <f>IF(DT167="direct",IFERROR(EH167/DY167,0),0)</f>
        <v>0</v>
      </c>
      <c r="EC167" s="5">
        <f>IF(DT167="direct",EA167-EB167,IF(DT167="cash",EM167,EA167))</f>
        <v>0.03520835968026384</v>
      </c>
      <c r="ED167" s="6"/>
      <c r="EE167" s="4">
        <v>6.661338147750939e-16</v>
      </c>
      <c r="EF167" s="4">
        <v>6.661338147750939e-16</v>
      </c>
      <c r="EG167" s="5">
        <f>IF(DT167="direct",EA167*(DY167-DX167),EJ167)</f>
        <v>0</v>
      </c>
      <c r="EH167" s="5">
        <f>IF(DT167="direct",EF167*DZ167*C167/365,0)</f>
        <v>0</v>
      </c>
      <c r="EI167" s="5">
        <f>EG167-EH167</f>
        <v>0</v>
      </c>
      <c r="EJ167" s="4">
        <v>0</v>
      </c>
      <c r="EK167" s="5">
        <f>EJ167-EI167</f>
        <v>0</v>
      </c>
      <c r="EL167" s="4">
        <v>0.035208359680263174</v>
      </c>
      <c r="EM167" s="4">
        <v>0.03520835968026384</v>
      </c>
      <c r="EN167" s="4">
        <v>1.705</v>
      </c>
      <c r="EO167" s="4">
        <v>1.702</v>
      </c>
      <c r="EP167" s="6"/>
      <c r="EQ167" s="6"/>
      <c r="ER167" s="6"/>
      <c r="ES167" s="9"/>
      <c r="ET167" s="7">
        <f>IFERROR(EI167/F167,0)</f>
        <v>0</v>
      </c>
      <c r="EU167" t="inlineStr">
        <is>
          <t xml:space="preserve">Keep cash / margin / financing</t>
        </is>
      </c>
      <c r="EV167" t="inlineStr">
        <is>
          <t xml:space="preserve">cash</t>
        </is>
      </c>
      <c r="EW167" t="inlineStr">
        <is>
          <t xml:space="preserve">keep</t>
        </is>
      </c>
      <c r="EX167" t="inlineStr">
        <is>
          <t xml:space="preserve">cash</t>
        </is>
      </c>
      <c r="EY167"/>
      <c r="EZ167" s="4">
        <v>1</v>
      </c>
      <c r="FA167" s="4">
        <v>1</v>
      </c>
      <c r="FB167" s="6"/>
      <c r="FC167" s="4">
        <v>0</v>
      </c>
      <c r="FD167" s="5">
        <f>IF(EV167="direct",IFERROR(FJ167/FA167,0),0)</f>
        <v>0</v>
      </c>
      <c r="FE167" s="5">
        <f>IF(EV167="direct",FC167-FD167,IF(EV167="cash",FO167,FC167))</f>
        <v>0</v>
      </c>
      <c r="FF167" s="6"/>
      <c r="FG167" s="4">
        <v>0</v>
      </c>
      <c r="FH167" s="4">
        <v>0</v>
      </c>
      <c r="FI167" s="5">
        <f>IF(EV167="direct",FC167*(FA167-EZ167),FL167)</f>
        <v>0</v>
      </c>
      <c r="FJ167" s="5">
        <f>IF(EV167="direct",FH167*FB167*C167/365,0)</f>
        <v>0</v>
      </c>
      <c r="FK167" s="5">
        <f>FI167-FJ167</f>
        <v>0</v>
      </c>
      <c r="FL167" s="4">
        <v>0</v>
      </c>
      <c r="FM167" s="5">
        <f>FL167-FK167</f>
        <v>0</v>
      </c>
      <c r="FN167" s="4">
        <v>0</v>
      </c>
      <c r="FO167" s="4">
        <v>0</v>
      </c>
      <c r="FP167" s="4">
        <v>1.705</v>
      </c>
      <c r="FQ167" s="4">
        <v>1.702</v>
      </c>
      <c r="FR167" s="6"/>
      <c r="FS167" s="6"/>
      <c r="FT167" s="6"/>
      <c r="FU167" s="9"/>
      <c r="FV167" s="7">
        <f>IFERROR(FK167/F167,0)</f>
        <v>0</v>
      </c>
      <c r="FW167"/>
      <c r="FX167"/>
      <c r="FY167"/>
      <c r="FZ167"/>
      <c r="GA167"/>
      <c r="GB167" s="4"/>
      <c r="GC167" s="4"/>
      <c r="GD167" s="6"/>
      <c r="GE167" s="4"/>
      <c r="GF167" s="5">
        <v>0</v>
      </c>
      <c r="GG167" s="5"/>
      <c r="GH167" s="6"/>
      <c r="GI167" s="4"/>
      <c r="GJ167" s="4"/>
      <c r="GK167" s="5">
        <v>0</v>
      </c>
      <c r="GL167" s="5">
        <v>0</v>
      </c>
      <c r="GM167" s="5"/>
      <c r="GN167" s="4"/>
      <c r="GO167" s="5">
        <v>0</v>
      </c>
      <c r="GP167" s="4"/>
      <c r="GQ167" s="4"/>
      <c r="GR167" s="4"/>
      <c r="GS167" s="4"/>
      <c r="GT167" s="6"/>
      <c r="GU167" s="6"/>
      <c r="GV167" s="6"/>
      <c r="GW167" s="9"/>
      <c r="GX167"/>
      <c r="GY167"/>
      <c r="GZ167"/>
      <c r="HA167"/>
      <c r="HB167"/>
      <c r="HC167"/>
      <c r="HD167" s="4"/>
      <c r="HE167" s="4"/>
      <c r="HF167" s="6"/>
      <c r="HG167" s="4"/>
      <c r="HH167" s="5">
        <v>0</v>
      </c>
      <c r="HI167" s="5"/>
      <c r="HJ167" s="6"/>
      <c r="HK167" s="4"/>
      <c r="HL167" s="4"/>
      <c r="HM167" s="5">
        <v>0</v>
      </c>
      <c r="HN167" s="5">
        <v>0</v>
      </c>
      <c r="HO167" s="5"/>
      <c r="HP167" s="4"/>
      <c r="HQ167" s="5">
        <v>0</v>
      </c>
      <c r="HR167" s="4"/>
      <c r="HS167" s="4"/>
      <c r="HT167" s="4"/>
      <c r="HU167" s="4"/>
      <c r="HV167" s="6"/>
      <c r="HW167" s="6"/>
      <c r="HX167" s="6"/>
      <c r="HY167" s="9"/>
      <c r="HZ167"/>
      <c r="IA167"/>
      <c r="IB167"/>
      <c r="IC167"/>
      <c r="ID167"/>
      <c r="IE167"/>
      <c r="IF167" s="4"/>
      <c r="IG167" s="4"/>
      <c r="IH167" s="6"/>
      <c r="II167" s="4"/>
      <c r="IJ167" s="5">
        <v>0</v>
      </c>
      <c r="IK167" s="5"/>
      <c r="IL167" s="6"/>
      <c r="IM167" s="4"/>
      <c r="IN167" s="4"/>
      <c r="IO167" s="5">
        <v>0</v>
      </c>
      <c r="IP167" s="5">
        <v>0</v>
      </c>
      <c r="IQ167" s="5"/>
      <c r="IR167" s="4"/>
      <c r="IS167" s="5">
        <v>0</v>
      </c>
      <c r="IT167" s="4"/>
      <c r="IU167" s="4"/>
      <c r="IV167" s="4"/>
      <c r="IW167" s="4"/>
      <c r="IX167" s="6"/>
      <c r="IY167" s="6"/>
      <c r="IZ167" s="6"/>
      <c r="JA167" s="9"/>
      <c r="JB167"/>
      <c r="JC167"/>
      <c r="JD167"/>
      <c r="JE167"/>
      <c r="JF167"/>
      <c r="JG167"/>
      <c r="JH167" s="4"/>
      <c r="JI167" s="4"/>
      <c r="JJ167" s="6"/>
      <c r="JK167" s="4"/>
      <c r="JL167" s="5">
        <v>0</v>
      </c>
      <c r="JM167" s="5"/>
      <c r="JN167" s="6"/>
      <c r="JO167" s="4"/>
      <c r="JP167" s="4"/>
      <c r="JQ167" s="5">
        <v>0</v>
      </c>
      <c r="JR167" s="5">
        <v>0</v>
      </c>
      <c r="JS167" s="5"/>
      <c r="JT167" s="4"/>
      <c r="JU167" s="5">
        <v>0</v>
      </c>
      <c r="JV167" s="4"/>
      <c r="JW167" s="4"/>
      <c r="JX167" s="4"/>
      <c r="JY167" s="4"/>
      <c r="JZ167" s="6"/>
      <c r="KA167" s="6"/>
      <c r="KB167" s="6"/>
      <c r="KC167" s="9"/>
      <c r="KD167"/>
      <c r="KE167"/>
      <c r="KF167"/>
      <c r="KG167"/>
      <c r="KH167"/>
      <c r="KI167"/>
      <c r="KJ167" s="4"/>
      <c r="KK167" s="4"/>
      <c r="KL167" s="6"/>
      <c r="KM167" s="4"/>
      <c r="KN167" s="5">
        <v>0</v>
      </c>
      <c r="KO167" s="5"/>
      <c r="KP167" s="6"/>
      <c r="KQ167" s="4"/>
      <c r="KR167" s="4"/>
      <c r="KS167" s="5">
        <v>0</v>
      </c>
      <c r="KT167" s="5">
        <v>0</v>
      </c>
      <c r="KU167" s="5"/>
      <c r="KV167" s="4"/>
      <c r="KW167" s="5">
        <v>0</v>
      </c>
      <c r="KX167" s="4"/>
      <c r="KY167" s="4"/>
      <c r="KZ167" s="4"/>
      <c r="LA167" s="4"/>
      <c r="LB167" s="6"/>
      <c r="LC167" s="6"/>
      <c r="LD167" s="6"/>
      <c r="LE167" s="9"/>
      <c r="LF167"/>
      <c r="LG167"/>
      <c r="LH167"/>
      <c r="LI167"/>
      <c r="LJ167"/>
      <c r="LK167"/>
      <c r="LL167" s="4"/>
      <c r="LM167" s="4"/>
      <c r="LN167" s="6"/>
      <c r="LO167" s="4"/>
      <c r="LP167" s="5">
        <v>0</v>
      </c>
      <c r="LQ167" s="5"/>
      <c r="LR167" s="6"/>
      <c r="LS167" s="4"/>
      <c r="LT167" s="4"/>
      <c r="LU167" s="5">
        <v>0</v>
      </c>
      <c r="LV167" s="5">
        <v>0</v>
      </c>
      <c r="LW167" s="5"/>
      <c r="LX167" s="4"/>
      <c r="LY167" s="5">
        <v>0</v>
      </c>
      <c r="LZ167" s="4"/>
      <c r="MA167" s="4"/>
      <c r="MB167" s="4"/>
      <c r="MC167" s="4"/>
      <c r="MD167" s="6"/>
      <c r="ME167" s="6"/>
      <c r="MF167" s="6"/>
      <c r="MG167" s="9"/>
      <c r="MH167"/>
    </row>
    <row r="168">
      <c r="A168" s="8">
        <v>25451</v>
      </c>
      <c r="B168" s="8">
        <v>25454</v>
      </c>
      <c r="C168" s="9">
        <f>B168-A168</f>
        <v>3</v>
      </c>
      <c r="D168" s="8">
        <v>25451</v>
      </c>
      <c r="E168" t="inlineStr">
        <is>
          <t xml:space="preserve">positive</t>
        </is>
      </c>
      <c r="F168" s="4">
        <v>1.619890134561882</v>
      </c>
      <c r="G168" s="6">
        <v>0.011943398324399414</v>
      </c>
      <c r="H168" s="7">
        <f>SUM(CP168,DR168,ET168,FV168,GX168,HZ168,JB168,KD168,LF168,MH168)</f>
        <v>0.011943398324399413</v>
      </c>
      <c r="I168" s="7">
        <f>G168-H168</f>
        <v>1.734723475976807e-18</v>
      </c>
      <c r="J168" s="5">
        <f>F168*(1+H168)</f>
        <v>1.6392371276807196</v>
      </c>
      <c r="K168" s="4">
        <v>1.6392371276807196</v>
      </c>
      <c r="L168" s="5">
        <f>K168-J168</f>
        <v>0</v>
      </c>
      <c r="M168" s="4">
        <v>1.702</v>
      </c>
      <c r="N168" s="4">
        <v>1.728</v>
      </c>
      <c r="O168" s="5">
        <f>M168/$M$3</f>
        <v>0.8692543411644535</v>
      </c>
      <c r="P168" s="5">
        <f>N168/$M$3</f>
        <v>0.8825331971399387</v>
      </c>
      <c r="Q168" s="7">
        <f>IFERROR(N168/M168-1,0)</f>
        <v>0.01527614571092828</v>
      </c>
      <c r="R168" s="5">
        <f>SUM(IF(BQ168="lease",CB168,0),IF(CS168="lease",DD168,0),IF(DU168="lease",EF168,0),IF(EW168="lease",FH168,0),IF(FY168="lease",GJ168,0),IF(HA168="lease",HL168,0),IF(IC168="lease",IN168,0),IF(JE168="lease",JP168,0),IF(KG168="lease",KR168,0),IF(LI168="lease",LT168,0))</f>
        <v>1.6198901345618828</v>
      </c>
      <c r="S168" s="5">
        <f>SUM(IF(BQ168="lease",CI168,0),IF(CS168="lease",DK168,0),IF(DU168="lease",EM168,0),IF(EW168="lease",FO168,0),IF(FY168="lease",GQ168,0),IF(HA168="lease",HS168,0),IF(IC168="lease",IU168,0),IF(JE168="lease",JW168,0),IF(KG168="lease",KY168,0),IF(LI168="lease",MA168,0))</f>
        <v>1.6392371276807207</v>
      </c>
      <c r="T168" s="5">
        <f>SUM(IF(BQ168="keep",CB168,0),IF(CS168="keep",DD168,0),IF(DU168="keep",EF168,0),IF(EW168="keep",FH168,0),IF(FY168="keep",GJ168,0),IF(HA168="keep",HL168,0),IF(IC168="keep",IN168,0),IF(JE168="keep",JP168,0),IF(KG168="keep",KR168,0),IF(LI168="keep",LT168,0))</f>
        <v>0</v>
      </c>
      <c r="U168" s="5">
        <f>SUM(IF(BQ168="keep",CI168,0),IF(CS168="keep",DK168,0),IF(DU168="keep",EM168,0),IF(EW168="keep",FO168,0),IF(FY168="keep",GQ168,0),IF(HA168="keep",HS168,0),IF(IC168="keep",IU168,0),IF(JE168="keep",JW168,0),IF(KG168="keep",KY168,0),IF(LI168="keep",MA168,0))</f>
        <v>0</v>
      </c>
      <c r="V168" s="5">
        <f>R168/O168</f>
        <v>1.8635398845312376</v>
      </c>
      <c r="W168" s="5">
        <f>S168/P168</f>
        <v>1.857422624999335</v>
      </c>
      <c r="X168" s="5">
        <f>T168/O168</f>
        <v>0</v>
      </c>
      <c r="Y168" s="5">
        <f>U168/P168</f>
        <v>0</v>
      </c>
      <c r="Z168" s="5">
        <f>V168+X168</f>
        <v>1.8635398845312376</v>
      </c>
      <c r="AA168" s="7">
        <f>IFERROR(W168/V168-1,0)</f>
        <v>-0.0032826018818702396</v>
      </c>
      <c r="AB168" s="7">
        <f>IFERROR((W168-V168)/Z168,0)</f>
        <v>-0.003282601881870279</v>
      </c>
      <c r="AC168" s="7">
        <f>IFERROR(Y168/X168-1,0)</f>
        <v>0</v>
      </c>
      <c r="AD168" s="7">
        <f>IFERROR((Y168-X168)/Z168,0)</f>
        <v>0</v>
      </c>
      <c r="AE168" s="7">
        <f>AB168+AD168</f>
        <v>-0.003282601881870279</v>
      </c>
      <c r="AF168" s="7">
        <f>(1+Q168)*(1+AE168)-1</f>
        <v>0.011943398324399723</v>
      </c>
      <c r="AG168" s="7">
        <f>G168-AF168</f>
        <v>-3.0878077872387166e-16</v>
      </c>
      <c r="AH168" s="5">
        <f>SUM(IF(BQ168="lease",CE168,0),IF(CS168="lease",DG168,0),IF(DU168="lease",EI168,0),IF(EW168="lease",FK168,0),IF(FY168="lease",GM168,0),IF(HA168="lease",HO168,0),IF(IC168="lease",IQ168,0),IF(JE168="lease",JS168,0),IF(KG168="lease",KU168,0),IF(LI168="lease",LW168,0))</f>
        <v>0.01934699311883752</v>
      </c>
      <c r="AI168" s="5">
        <f>SUM(IF(BQ168="keep",CE168,0),IF(CS168="keep",DG168,0),IF(DU168="keep",EI168,0),IF(EW168="keep",FK168,0),IF(FY168="keep",GM168,0),IF(HA168="keep",HO168,0),IF(IC168="keep",IQ168,0),IF(JE168="keep",JS168,0),IF(KG168="keep",KU168,0),IF(LI168="keep",LW168,0))</f>
        <v>0</v>
      </c>
      <c r="AJ168" s="5">
        <f>SUM(IF(BQ168="lease",CH168,0),IF(CS168="lease",DJ168,0),IF(DU168="lease",EL168,0),IF(EW168="lease",FN168,0),IF(FY168="lease",GP168,0),IF(HA168="lease",HR168,0),IF(IC168="lease",IT168,0),IF(JE168="lease",JV168,0),IF(KG168="lease",KX168,0),IF(LI168="lease",LZ168,0))</f>
        <v>0</v>
      </c>
      <c r="AK168" s="5">
        <f>SUM(IF(BQ168="keep",CH168,0),IF(CS168="keep",DJ168,0),IF(DU168="keep",EL168,0),IF(EW168="keep",FN168,0),IF(FY168="keep",GP168,0),IF(HA168="keep",HR168,0),IF(IC168="keep",IT168,0),IF(JE168="keep",JV168,0),IF(KG168="keep",KX168,0),IF(LI168="keep",LZ168,0))</f>
        <v>0</v>
      </c>
      <c r="AL168" s="5">
        <f>R168-S167</f>
        <v>0</v>
      </c>
      <c r="AM168" s="5">
        <f>T168-U167</f>
        <v>0</v>
      </c>
      <c r="AN168" s="5">
        <f>AN167</f>
        <v>1</v>
      </c>
      <c r="AO168" s="5">
        <f>AO167+AH168</f>
        <v>0.6392371276807204</v>
      </c>
      <c r="AP168" s="5">
        <f>AP167+AL168</f>
        <v>-4.440892098500626e-16</v>
      </c>
      <c r="AQ168" s="5">
        <f>AN168+AO168+AP168</f>
        <v>1.6392371276807198</v>
      </c>
      <c r="AR168" s="5">
        <f>S168-AQ168</f>
        <v>8.881784197001252e-16</v>
      </c>
      <c r="AS168" s="5">
        <f>AS167</f>
        <v>0</v>
      </c>
      <c r="AT168" s="5">
        <f>AT167+AI168</f>
        <v>0</v>
      </c>
      <c r="AU168" s="5">
        <f>AU167+AM168</f>
        <v>0</v>
      </c>
      <c r="AV168" s="5">
        <f>AS168+AT168+AU168</f>
        <v>0</v>
      </c>
      <c r="AW168" s="5">
        <f>U168-AV168</f>
        <v>0</v>
      </c>
      <c r="AX168" s="4">
        <v>1.6198901345618828</v>
      </c>
      <c r="AY168" s="4">
        <v>1.6392371276807203</v>
      </c>
      <c r="AZ168" s="5">
        <f>S168-AY168</f>
        <v>4.440892098500626e-16</v>
      </c>
      <c r="BA168" s="4">
        <v>0</v>
      </c>
      <c r="BB168" s="4">
        <v>0</v>
      </c>
      <c r="BC168" s="5">
        <f>U168-BB168</f>
        <v>0</v>
      </c>
      <c r="BD168" s="7">
        <f>SUM(IF(BP168="direct",CC168/F168,0),IF(CR168="direct",DE168/F168,0),IF(DT168="direct",EG168/F168,0),IF(EV168="direct",FI168/F168,0),IF(FX168="direct",GK168/F168,0),IF(GZ168="direct",HM168/F168,0),IF(IB168="direct",IO168/F168,0),IF(JD168="direct",JQ168/F168,0),IF(KF168="direct",KS168/F168,0),IF(LH168="direct",LU168/F168,0))</f>
        <v>0.008086173129651398</v>
      </c>
      <c r="BE168" s="7">
        <f>-SUM(IF(BP168="direct",CD168/F168,0),IF(CR168="direct",DF168/F168,0),IF(DT168="direct",EH168/F168,0),IF(EV168="direct",FJ168/F168,0),IF(FX168="direct",GL168/F168,0),IF(GZ168="direct",HN168/F168,0),IF(IB168="direct",IP168/F168,0),IF(JD168="direct",JR168/F168,0),IF(KF168="direct",KT168/F168,0),IF(LH168="direct",LV168/F168,0))</f>
        <v>-0.000010876712328767122</v>
      </c>
      <c r="BF168" s="7">
        <f>BD168+BE168</f>
        <v>0.00807529641732263</v>
      </c>
      <c r="BG168" s="7">
        <f>BF168-SUM(IF(BP168="direct",CP168,0),IF(CR168="direct",DR168,0),IF(DT168="direct",ET168,0),IF(EV168="direct",FV168,0),IF(FX168="direct",GX168,0),IF(GZ168="direct",HZ168,0),IF(IB168="direct",JB168,0),IF(JD168="direct",KD168,0),IF(KF168="direct",LF168,0),IF(LH168="direct",MH168,0))</f>
        <v>2.7755575615628914e-17</v>
      </c>
      <c r="BH168" s="7">
        <f>SUM(IF(BP168="treasury",CP168,0),IF(CR168="treasury",DR168,0),IF(DT168="treasury",ET168,0),IF(EV168="treasury",FV168,0),IF(FX168="treasury",GX168,0),IF(GZ168="treasury",HZ168,0),IF(IB168="treasury",JB168,0),IF(JD168="treasury",KD168,0),IF(KF168="treasury",LF168,0),IF(LH168="treasury",MH168,0))</f>
        <v>0.0002731156164383562</v>
      </c>
      <c r="BI168" s="7">
        <f>SUM(IF(BP168="future",CP168,0),IF(CR168="future",DR168,0),IF(DT168="future",ET168,0),IF(EV168="future",FV168,0),IF(FX168="future",GX168,0),IF(GZ168="future",HZ168,0),IF(IB168="future",JB168,0),IF(JD168="future",KD168,0),IF(KF168="future",LF168,0),IF(LH168="future",MH168,0))</f>
        <v>0.0035949862906384552</v>
      </c>
      <c r="BJ168" s="7">
        <f>SUM(IF(BP168="cash",CP168,0),IF(CR168="cash",DR168,0),IF(DT168="cash",ET168,0),IF(EV168="cash",FV168,0),IF(FX168="cash",GX168,0),IF(GZ168="cash",HZ168,0),IF(IB168="cash",JB168,0),IF(JD168="cash",KD168,0),IF(KF168="cash",LF168,0),IF(LH168="cash",MH168,0))</f>
        <v>0</v>
      </c>
      <c r="BK168" s="7">
        <f>SUM(BF168,BH168,BI168,BJ168)</f>
        <v>0.011943398324399414</v>
      </c>
      <c r="BL168" s="7">
        <f>G168-BK168</f>
        <v>0</v>
      </c>
      <c r="BM168" s="5">
        <f>MAX(ABS(CG168),ABS(DI168),ABS(EK168),ABS(FM168),ABS(GO168),ABS(HQ168),ABS(IS168),ABS(JU168),ABS(KW168),ABS(LY168))</f>
        <v>1.1687699419393738e-16</v>
      </c>
      <c r="BN168" s="9">
        <f>COUNTA(BO168,CQ168,DS168,EU168,FW168,GY168,IA168,JC168,KE168,LG168)</f>
        <v>5</v>
      </c>
      <c r="BO168" t="inlineStr">
        <is>
          <t xml:space="preserve">Direct commodity holding</t>
        </is>
      </c>
      <c r="BP168" t="inlineStr">
        <is>
          <t xml:space="preserve">direct</t>
        </is>
      </c>
      <c r="BQ168" t="inlineStr">
        <is>
          <t xml:space="preserve">lease</t>
        </is>
      </c>
      <c r="BR168" t="inlineStr">
        <is>
          <t xml:space="preserve">long</t>
        </is>
      </c>
      <c r="BS168"/>
      <c r="BT168" s="4">
        <v>1.702</v>
      </c>
      <c r="BU168" s="4">
        <v>1.728</v>
      </c>
      <c r="BV168" s="6">
        <v>0.0025</v>
      </c>
      <c r="BW168" s="4">
        <v>0.5037966184262179</v>
      </c>
      <c r="BX168" s="5">
        <f>IF(BP168="direct",IFERROR(CD168/BU168,0),0)</f>
        <v>0.000010196226271896675</v>
      </c>
      <c r="BY168" s="5">
        <f>IF(BP168="direct",BW168-BX168,IF(BP168="cash",CI168,BW168))</f>
        <v>0.5037864221999461</v>
      </c>
      <c r="BZ168" s="6">
        <v>0.5293333333333333</v>
      </c>
      <c r="CA168" s="4">
        <v>0.8574618445614228</v>
      </c>
      <c r="CB168" s="4">
        <v>0.8574618445614228</v>
      </c>
      <c r="CC168" s="5">
        <f>IF(BP168="direct",BW168*(BU168-BT168),CF168)</f>
        <v>0.013098712079081677</v>
      </c>
      <c r="CD168" s="5">
        <f>IF(BP168="direct",CB168*BV168*C168/365,0)</f>
        <v>0.000017619078997837455</v>
      </c>
      <c r="CE168" s="5">
        <f>CC168-CD168</f>
        <v>0.013081093000083793</v>
      </c>
      <c r="CF168" s="4">
        <v>0.013081093000083793</v>
      </c>
      <c r="CG168" s="5">
        <f>CF168-CE168</f>
        <v>-4.7135689448807305e-17</v>
      </c>
      <c r="CH168" s="4">
        <v>0</v>
      </c>
      <c r="CI168" s="4">
        <v>0.8705429375615068</v>
      </c>
      <c r="CJ168" s="4">
        <v>1.702</v>
      </c>
      <c r="CK168" s="4">
        <v>1.728</v>
      </c>
      <c r="CL168" s="6"/>
      <c r="CM168" s="6"/>
      <c r="CN168" s="6"/>
      <c r="CO168" s="9"/>
      <c r="CP168" s="7">
        <f>IFERROR(CE168/F168,0)</f>
        <v>0.008075296417322603</v>
      </c>
      <c r="CQ168" t="inlineStr">
        <is>
          <t xml:space="preserve">Treasury collateral</t>
        </is>
      </c>
      <c r="CR168" t="inlineStr">
        <is>
          <t xml:space="preserve">treasury</t>
        </is>
      </c>
      <c r="CS168" t="inlineStr">
        <is>
          <t xml:space="preserve">lease</t>
        </is>
      </c>
      <c r="CT168" t="inlineStr">
        <is>
          <t xml:space="preserve">long</t>
        </is>
      </c>
      <c r="CU168"/>
      <c r="CV168" s="4">
        <v>104.38398383872816</v>
      </c>
      <c r="CW168" s="4">
        <v>104.44455514770634</v>
      </c>
      <c r="CX168" s="6"/>
      <c r="CY168" s="4">
        <v>0.007304073498271541</v>
      </c>
      <c r="CZ168" s="5">
        <f>IF(CR168="direct",IFERROR(DF168/CW168,0),0)</f>
        <v>0</v>
      </c>
      <c r="DA168" s="5">
        <f>IF(CR168="direct",CY168-CZ168,IF(CR168="cash",DK168,CY168))</f>
        <v>0.007304073498271541</v>
      </c>
      <c r="DB168" s="6">
        <v>0.4706666666666667</v>
      </c>
      <c r="DC168" s="4">
        <v>0.7624282900004591</v>
      </c>
      <c r="DD168" s="4">
        <v>0.7624282900004591</v>
      </c>
      <c r="DE168" s="5">
        <f>IF(CR168="direct",CY168*(CW168-CV168),DH168)</f>
        <v>0.00044241729266316325</v>
      </c>
      <c r="DF168" s="5">
        <f>IF(CR168="direct",DD168*CX168*C168/365,0)</f>
        <v>0</v>
      </c>
      <c r="DG168" s="5">
        <f>DE168-DF168</f>
        <v>0.00044241729266328013</v>
      </c>
      <c r="DH168" s="4">
        <v>0.00044241729266328013</v>
      </c>
      <c r="DI168" s="5">
        <f>DH168-DG168</f>
        <v>1.1687699419393738e-16</v>
      </c>
      <c r="DJ168" s="4">
        <v>-2.4882439858542327e-17</v>
      </c>
      <c r="DK168" s="4">
        <v>0.7628707072931223</v>
      </c>
      <c r="DL168" s="4">
        <v>1.702</v>
      </c>
      <c r="DM168" s="4">
        <v>1.728</v>
      </c>
      <c r="DN168" s="6"/>
      <c r="DO168" s="6"/>
      <c r="DP168" s="6"/>
      <c r="DQ168" s="9">
        <v>21</v>
      </c>
      <c r="DR168" s="7">
        <f>IFERROR(DG168/F168,0)</f>
        <v>0.0002731156164383562</v>
      </c>
      <c r="DS168" t="inlineStr">
        <is>
          <t xml:space="preserve">SI69U</t>
        </is>
      </c>
      <c r="DT168" t="inlineStr">
        <is>
          <t xml:space="preserve">future</t>
        </is>
      </c>
      <c r="DU168" t="inlineStr">
        <is>
          <t xml:space="preserve">lease</t>
        </is>
      </c>
      <c r="DV168" t="inlineStr">
        <is>
          <t xml:space="preserve">long</t>
        </is>
      </c>
      <c r="DW168" t="inlineStr">
        <is>
          <t xml:space="preserve">regular</t>
        </is>
      </c>
      <c r="DX168" s="4">
        <v>1.702</v>
      </c>
      <c r="DY168" s="4">
        <v>1.715</v>
      </c>
      <c r="DZ168" s="6"/>
      <c r="EA168" s="4">
        <v>0.4479602173915741</v>
      </c>
      <c r="EB168" s="5">
        <f>IF(DT168="direct",IFERROR(EH168/DY168,0),0)</f>
        <v>0</v>
      </c>
      <c r="EC168" s="5">
        <f>IF(DT168="direct",EA168-EB168,IF(DT168="cash",EM168,EA168))</f>
        <v>0.4479602173915741</v>
      </c>
      <c r="ED168" s="6">
        <v>0.4706666666666667</v>
      </c>
      <c r="EE168" s="4">
        <v>0.7624282900004591</v>
      </c>
      <c r="EF168" s="4">
        <v>0</v>
      </c>
      <c r="EG168" s="5">
        <f>IF(DT168="direct",EA168*(DY168-DX168),EJ168)</f>
        <v>0.005823482826090448</v>
      </c>
      <c r="EH168" s="5">
        <f>IF(DT168="direct",EF168*DZ168*C168/365,0)</f>
        <v>0</v>
      </c>
      <c r="EI168" s="5">
        <f>EG168-EH168</f>
        <v>0.005823482826090448</v>
      </c>
      <c r="EJ168" s="4">
        <v>0.005823482826090448</v>
      </c>
      <c r="EK168" s="5">
        <f>EJ168-EI168</f>
        <v>0</v>
      </c>
      <c r="EL168" s="4">
        <v>-0.005823482826090448</v>
      </c>
      <c r="EM168" s="4">
        <v>0</v>
      </c>
      <c r="EN168" s="4">
        <v>1.702</v>
      </c>
      <c r="EO168" s="4">
        <v>1.728</v>
      </c>
      <c r="EP168" s="6">
        <v>0</v>
      </c>
      <c r="EQ168" s="6">
        <v>0.0706</v>
      </c>
      <c r="ER168" s="6">
        <v>0.0706</v>
      </c>
      <c r="ES168" s="9">
        <v>21</v>
      </c>
      <c r="ET168" s="7">
        <f>IFERROR(EI168/F168,0)</f>
        <v>0.0035949862906384552</v>
      </c>
      <c r="EU168" t="inlineStr">
        <is>
          <t xml:space="preserve">Lease cash / margin / financing</t>
        </is>
      </c>
      <c r="EV168" t="inlineStr">
        <is>
          <t xml:space="preserve">cash</t>
        </is>
      </c>
      <c r="EW168" t="inlineStr">
        <is>
          <t xml:space="preserve">lease</t>
        </is>
      </c>
      <c r="EX168" t="inlineStr">
        <is>
          <t xml:space="preserve">cash</t>
        </is>
      </c>
      <c r="EY168"/>
      <c r="EZ168" s="4">
        <v>1</v>
      </c>
      <c r="FA168" s="4">
        <v>1</v>
      </c>
      <c r="FB168" s="6"/>
      <c r="FC168" s="4">
        <v>8.881784197001252e-16</v>
      </c>
      <c r="FD168" s="5">
        <f>IF(EV168="direct",IFERROR(FJ168/FA168,0),0)</f>
        <v>0</v>
      </c>
      <c r="FE168" s="5">
        <f>IF(EV168="direct",FC168-FD168,IF(EV168="cash",FO168,FC168))</f>
        <v>0.005823482826091362</v>
      </c>
      <c r="FF168" s="6"/>
      <c r="FG168" s="4">
        <v>8.881784197001252e-16</v>
      </c>
      <c r="FH168" s="4">
        <v>8.881784197001252e-16</v>
      </c>
      <c r="FI168" s="5">
        <f>IF(EV168="direct",FC168*(FA168-EZ168),FL168)</f>
        <v>0</v>
      </c>
      <c r="FJ168" s="5">
        <f>IF(EV168="direct",FH168*FB168*C168/365,0)</f>
        <v>0</v>
      </c>
      <c r="FK168" s="5">
        <f>FI168-FJ168</f>
        <v>0</v>
      </c>
      <c r="FL168" s="4">
        <v>0</v>
      </c>
      <c r="FM168" s="5">
        <f>FL168-FK168</f>
        <v>0</v>
      </c>
      <c r="FN168" s="4">
        <v>0.005823482826090473</v>
      </c>
      <c r="FO168" s="4">
        <v>0.005823482826091362</v>
      </c>
      <c r="FP168" s="4">
        <v>1.702</v>
      </c>
      <c r="FQ168" s="4">
        <v>1.728</v>
      </c>
      <c r="FR168" s="6"/>
      <c r="FS168" s="6"/>
      <c r="FT168" s="6"/>
      <c r="FU168" s="9"/>
      <c r="FV168" s="7">
        <f>IFERROR(FK168/F168,0)</f>
        <v>0</v>
      </c>
      <c r="FW168" t="inlineStr">
        <is>
          <t xml:space="preserve">Keep cash / margin / financing</t>
        </is>
      </c>
      <c r="FX168" t="inlineStr">
        <is>
          <t xml:space="preserve">cash</t>
        </is>
      </c>
      <c r="FY168" t="inlineStr">
        <is>
          <t xml:space="preserve">keep</t>
        </is>
      </c>
      <c r="FZ168" t="inlineStr">
        <is>
          <t xml:space="preserve">cash</t>
        </is>
      </c>
      <c r="GA168"/>
      <c r="GB168" s="4">
        <v>1</v>
      </c>
      <c r="GC168" s="4">
        <v>1</v>
      </c>
      <c r="GD168" s="6"/>
      <c r="GE168" s="4">
        <v>0</v>
      </c>
      <c r="GF168" s="5">
        <f>IF(FX168="direct",IFERROR(GL168/GC168,0),0)</f>
        <v>0</v>
      </c>
      <c r="GG168" s="5">
        <f>IF(FX168="direct",GE168-GF168,IF(FX168="cash",GQ168,GE168))</f>
        <v>0</v>
      </c>
      <c r="GH168" s="6"/>
      <c r="GI168" s="4">
        <v>0</v>
      </c>
      <c r="GJ168" s="4">
        <v>0</v>
      </c>
      <c r="GK168" s="5">
        <f>IF(FX168="direct",GE168*(GC168-GB168),GN168)</f>
        <v>0</v>
      </c>
      <c r="GL168" s="5">
        <f>IF(FX168="direct",GJ168*GD168*C168/365,0)</f>
        <v>0</v>
      </c>
      <c r="GM168" s="5">
        <f>GK168-GL168</f>
        <v>0</v>
      </c>
      <c r="GN168" s="4">
        <v>0</v>
      </c>
      <c r="GO168" s="5">
        <f>GN168-GM168</f>
        <v>0</v>
      </c>
      <c r="GP168" s="4">
        <v>0</v>
      </c>
      <c r="GQ168" s="4">
        <v>0</v>
      </c>
      <c r="GR168" s="4">
        <v>1.702</v>
      </c>
      <c r="GS168" s="4">
        <v>1.728</v>
      </c>
      <c r="GT168" s="6"/>
      <c r="GU168" s="6"/>
      <c r="GV168" s="6"/>
      <c r="GW168" s="9"/>
      <c r="GX168" s="7">
        <f>IFERROR(GM168/F168,0)</f>
        <v>0</v>
      </c>
      <c r="GY168"/>
      <c r="GZ168"/>
      <c r="HA168"/>
      <c r="HB168"/>
      <c r="HC168"/>
      <c r="HD168" s="4"/>
      <c r="HE168" s="4"/>
      <c r="HF168" s="6"/>
      <c r="HG168" s="4"/>
      <c r="HH168" s="5">
        <v>0</v>
      </c>
      <c r="HI168" s="5"/>
      <c r="HJ168" s="6"/>
      <c r="HK168" s="4"/>
      <c r="HL168" s="4"/>
      <c r="HM168" s="5">
        <v>0</v>
      </c>
      <c r="HN168" s="5">
        <v>0</v>
      </c>
      <c r="HO168" s="5"/>
      <c r="HP168" s="4"/>
      <c r="HQ168" s="5">
        <v>0</v>
      </c>
      <c r="HR168" s="4"/>
      <c r="HS168" s="4"/>
      <c r="HT168" s="4"/>
      <c r="HU168" s="4"/>
      <c r="HV168" s="6"/>
      <c r="HW168" s="6"/>
      <c r="HX168" s="6"/>
      <c r="HY168" s="9"/>
      <c r="HZ168"/>
      <c r="IA168"/>
      <c r="IB168"/>
      <c r="IC168"/>
      <c r="ID168"/>
      <c r="IE168"/>
      <c r="IF168" s="4"/>
      <c r="IG168" s="4"/>
      <c r="IH168" s="6"/>
      <c r="II168" s="4"/>
      <c r="IJ168" s="5">
        <v>0</v>
      </c>
      <c r="IK168" s="5"/>
      <c r="IL168" s="6"/>
      <c r="IM168" s="4"/>
      <c r="IN168" s="4"/>
      <c r="IO168" s="5">
        <v>0</v>
      </c>
      <c r="IP168" s="5">
        <v>0</v>
      </c>
      <c r="IQ168" s="5"/>
      <c r="IR168" s="4"/>
      <c r="IS168" s="5">
        <v>0</v>
      </c>
      <c r="IT168" s="4"/>
      <c r="IU168" s="4"/>
      <c r="IV168" s="4"/>
      <c r="IW168" s="4"/>
      <c r="IX168" s="6"/>
      <c r="IY168" s="6"/>
      <c r="IZ168" s="6"/>
      <c r="JA168" s="9"/>
      <c r="JB168"/>
      <c r="JC168"/>
      <c r="JD168"/>
      <c r="JE168"/>
      <c r="JF168"/>
      <c r="JG168"/>
      <c r="JH168" s="4"/>
      <c r="JI168" s="4"/>
      <c r="JJ168" s="6"/>
      <c r="JK168" s="4"/>
      <c r="JL168" s="5">
        <v>0</v>
      </c>
      <c r="JM168" s="5"/>
      <c r="JN168" s="6"/>
      <c r="JO168" s="4"/>
      <c r="JP168" s="4"/>
      <c r="JQ168" s="5">
        <v>0</v>
      </c>
      <c r="JR168" s="5">
        <v>0</v>
      </c>
      <c r="JS168" s="5"/>
      <c r="JT168" s="4"/>
      <c r="JU168" s="5">
        <v>0</v>
      </c>
      <c r="JV168" s="4"/>
      <c r="JW168" s="4"/>
      <c r="JX168" s="4"/>
      <c r="JY168" s="4"/>
      <c r="JZ168" s="6"/>
      <c r="KA168" s="6"/>
      <c r="KB168" s="6"/>
      <c r="KC168" s="9"/>
      <c r="KD168"/>
      <c r="KE168"/>
      <c r="KF168"/>
      <c r="KG168"/>
      <c r="KH168"/>
      <c r="KI168"/>
      <c r="KJ168" s="4"/>
      <c r="KK168" s="4"/>
      <c r="KL168" s="6"/>
      <c r="KM168" s="4"/>
      <c r="KN168" s="5">
        <v>0</v>
      </c>
      <c r="KO168" s="5"/>
      <c r="KP168" s="6"/>
      <c r="KQ168" s="4"/>
      <c r="KR168" s="4"/>
      <c r="KS168" s="5">
        <v>0</v>
      </c>
      <c r="KT168" s="5">
        <v>0</v>
      </c>
      <c r="KU168" s="5"/>
      <c r="KV168" s="4"/>
      <c r="KW168" s="5">
        <v>0</v>
      </c>
      <c r="KX168" s="4"/>
      <c r="KY168" s="4"/>
      <c r="KZ168" s="4"/>
      <c r="LA168" s="4"/>
      <c r="LB168" s="6"/>
      <c r="LC168" s="6"/>
      <c r="LD168" s="6"/>
      <c r="LE168" s="9"/>
      <c r="LF168"/>
      <c r="LG168"/>
      <c r="LH168"/>
      <c r="LI168"/>
      <c r="LJ168"/>
      <c r="LK168"/>
      <c r="LL168" s="4"/>
      <c r="LM168" s="4"/>
      <c r="LN168" s="6"/>
      <c r="LO168" s="4"/>
      <c r="LP168" s="5">
        <v>0</v>
      </c>
      <c r="LQ168" s="5"/>
      <c r="LR168" s="6"/>
      <c r="LS168" s="4"/>
      <c r="LT168" s="4"/>
      <c r="LU168" s="5">
        <v>0</v>
      </c>
      <c r="LV168" s="5">
        <v>0</v>
      </c>
      <c r="LW168" s="5"/>
      <c r="LX168" s="4"/>
      <c r="LY168" s="5">
        <v>0</v>
      </c>
      <c r="LZ168" s="4"/>
      <c r="MA168" s="4"/>
      <c r="MB168" s="4"/>
      <c r="MC168" s="4"/>
      <c r="MD168" s="6"/>
      <c r="ME168" s="6"/>
      <c r="MF168" s="6"/>
      <c r="MG168" s="9"/>
      <c r="MH168"/>
    </row>
    <row r="169">
      <c r="A169" s="8">
        <v>25454</v>
      </c>
      <c r="B169" s="8">
        <v>25455</v>
      </c>
      <c r="C169" s="9">
        <f>B169-A169</f>
        <v>1</v>
      </c>
      <c r="D169" s="8">
        <v>25454</v>
      </c>
      <c r="E169" t="inlineStr">
        <is>
          <t xml:space="preserve">positive</t>
        </is>
      </c>
      <c r="F169" s="4">
        <v>1.6392371276807196</v>
      </c>
      <c r="G169" s="6">
        <v>0.014771506050561172</v>
      </c>
      <c r="H169" s="7">
        <f>SUM(CP169,DR169,ET169,FV169,GX169,HZ169,JB169,KD169,LF169,MH169)</f>
        <v>0.014771506050561174</v>
      </c>
      <c r="I169" s="7">
        <f>G169-H169</f>
        <v>-1.734723475976807e-18</v>
      </c>
      <c r="J169" s="5">
        <f>F169*(1+H169)</f>
        <v>1.6634511288305598</v>
      </c>
      <c r="K169" s="4">
        <v>1.6634511288305598</v>
      </c>
      <c r="L169" s="5">
        <f>K169-J169</f>
        <v>0</v>
      </c>
      <c r="M169" s="4">
        <v>1.728</v>
      </c>
      <c r="N169" s="4">
        <v>1.758</v>
      </c>
      <c r="O169" s="5">
        <f>M169/$M$3</f>
        <v>0.8825331971399387</v>
      </c>
      <c r="P169" s="5">
        <f>N169/$M$3</f>
        <v>0.8978549540347294</v>
      </c>
      <c r="Q169" s="7">
        <f>IFERROR(N169/M169-1,0)</f>
        <v>0.01736111111111116</v>
      </c>
      <c r="R169" s="5">
        <f>SUM(IF(BQ169="lease",CB169,0),IF(CS169="lease",DD169,0),IF(DU169="lease",EF169,0),IF(EW169="lease",FH169,0),IF(FY169="lease",GJ169,0),IF(HA169="lease",HL169,0),IF(IC169="lease",IN169,0),IF(JE169="lease",JP169,0),IF(KG169="lease",KR169,0),IF(LI169="lease",LT169,0))</f>
        <v>1.6392371276807203</v>
      </c>
      <c r="S169" s="5">
        <f>SUM(IF(BQ169="lease",CI169,0),IF(CS169="lease",DK169,0),IF(DU169="lease",EM169,0),IF(EW169="lease",FO169,0),IF(FY169="lease",GQ169,0),IF(HA169="lease",HS169,0),IF(IC169="lease",IU169,0),IF(JE169="lease",JW169,0),IF(KG169="lease",KY169,0),IF(LI169="lease",MA169,0))</f>
        <v>1.6634511288305605</v>
      </c>
      <c r="T169" s="5">
        <f>SUM(IF(BQ169="keep",CB169,0),IF(CS169="keep",DD169,0),IF(DU169="keep",EF169,0),IF(EW169="keep",FH169,0),IF(FY169="keep",GJ169,0),IF(HA169="keep",HL169,0),IF(IC169="keep",IN169,0),IF(JE169="keep",JP169,0),IF(KG169="keep",KR169,0),IF(LI169="keep",LT169,0))</f>
        <v>0</v>
      </c>
      <c r="U169" s="5">
        <f>SUM(IF(BQ169="keep",CI169,0),IF(CS169="keep",DK169,0),IF(DU169="keep",EM169,0),IF(EW169="keep",FO169,0),IF(FY169="keep",GQ169,0),IF(HA169="keep",HS169,0),IF(IC169="keep",IU169,0),IF(JE169="keep",JW169,0),IF(KG169="keep",KY169,0),IF(LI169="keep",MA169,0))</f>
        <v>0</v>
      </c>
      <c r="V169" s="5">
        <f>R169/O169</f>
        <v>1.8574226249993346</v>
      </c>
      <c r="W169" s="5">
        <f>S169/P169</f>
        <v>1.852694715728235</v>
      </c>
      <c r="X169" s="5">
        <f>T169/O169</f>
        <v>0</v>
      </c>
      <c r="Y169" s="5">
        <f>U169/P169</f>
        <v>0</v>
      </c>
      <c r="Z169" s="5">
        <f>V169+X169</f>
        <v>1.8574226249993346</v>
      </c>
      <c r="AA169" s="7">
        <f>IFERROR(W169/V169-1,0)</f>
        <v>-0.0025454138479127364</v>
      </c>
      <c r="AB169" s="7">
        <f>IFERROR((W169-V169)/Z169,0)</f>
        <v>-0.0025454138479127047</v>
      </c>
      <c r="AC169" s="7">
        <f>IFERROR(Y169/X169-1,0)</f>
        <v>0</v>
      </c>
      <c r="AD169" s="7">
        <f>IFERROR((Y169-X169)/Z169,0)</f>
        <v>0</v>
      </c>
      <c r="AE169" s="7">
        <f>AB169+AD169</f>
        <v>-0.0025454138479127047</v>
      </c>
      <c r="AF169" s="7">
        <f>(1+Q169)*(1+AE169)-1</f>
        <v>0.0147715060505611</v>
      </c>
      <c r="AG169" s="7">
        <f>G169-AF169</f>
        <v>7.112366251504909e-17</v>
      </c>
      <c r="AH169" s="5">
        <f>SUM(IF(BQ169="lease",CE169,0),IF(CS169="lease",DG169,0),IF(DU169="lease",EI169,0),IF(EW169="lease",FK169,0),IF(FY169="lease",GM169,0),IF(HA169="lease",HO169,0),IF(IC169="lease",IQ169,0),IF(JE169="lease",JS169,0),IF(KG169="lease",KU169,0),IF(LI169="lease",LW169,0))</f>
        <v>0.024214001149840268</v>
      </c>
      <c r="AI169" s="5">
        <f>SUM(IF(BQ169="keep",CE169,0),IF(CS169="keep",DG169,0),IF(DU169="keep",EI169,0),IF(EW169="keep",FK169,0),IF(FY169="keep",GM169,0),IF(HA169="keep",HO169,0),IF(IC169="keep",IQ169,0),IF(JE169="keep",JS169,0),IF(KG169="keep",KU169,0),IF(LI169="keep",LW169,0))</f>
        <v>0</v>
      </c>
      <c r="AJ169" s="5">
        <f>SUM(IF(BQ169="lease",CH169,0),IF(CS169="lease",DJ169,0),IF(DU169="lease",EL169,0),IF(EW169="lease",FN169,0),IF(FY169="lease",GP169,0),IF(HA169="lease",HR169,0),IF(IC169="lease",IT169,0),IF(JE169="lease",JV169,0),IF(KG169="lease",KX169,0),IF(LI169="lease",LZ169,0))</f>
        <v>0</v>
      </c>
      <c r="AK169" s="5">
        <f>SUM(IF(BQ169="keep",CH169,0),IF(CS169="keep",DJ169,0),IF(DU169="keep",EL169,0),IF(EW169="keep",FN169,0),IF(FY169="keep",GP169,0),IF(HA169="keep",HR169,0),IF(IC169="keep",IT169,0),IF(JE169="keep",JV169,0),IF(KG169="keep",KX169,0),IF(LI169="keep",LZ169,0))</f>
        <v>0</v>
      </c>
      <c r="AL169" s="5">
        <f>R169-S168</f>
        <v>-4.440892098500626e-16</v>
      </c>
      <c r="AM169" s="5">
        <f>T169-U168</f>
        <v>0</v>
      </c>
      <c r="AN169" s="5">
        <f>AN168</f>
        <v>1</v>
      </c>
      <c r="AO169" s="5">
        <f>AO168+AH169</f>
        <v>0.6634511288305607</v>
      </c>
      <c r="AP169" s="5">
        <f>AP168+AL169</f>
        <v>-8.881784197001252e-16</v>
      </c>
      <c r="AQ169" s="5">
        <f>AN169+AO169+AP169</f>
        <v>1.6634511288305598</v>
      </c>
      <c r="AR169" s="5">
        <f>S169-AQ169</f>
        <v>6.661338147750939e-16</v>
      </c>
      <c r="AS169" s="5">
        <f>AS168</f>
        <v>0</v>
      </c>
      <c r="AT169" s="5">
        <f>AT168+AI169</f>
        <v>0</v>
      </c>
      <c r="AU169" s="5">
        <f>AU168+AM169</f>
        <v>0</v>
      </c>
      <c r="AV169" s="5">
        <f>AS169+AT169+AU169</f>
        <v>0</v>
      </c>
      <c r="AW169" s="5">
        <f>U169-AV169</f>
        <v>0</v>
      </c>
      <c r="AX169" s="4">
        <v>1.6392371276807203</v>
      </c>
      <c r="AY169" s="4">
        <v>1.6634511288305605</v>
      </c>
      <c r="AZ169" s="5">
        <f>S169-AY169</f>
        <v>0</v>
      </c>
      <c r="BA169" s="4">
        <v>0</v>
      </c>
      <c r="BB169" s="4">
        <v>0</v>
      </c>
      <c r="BC169" s="5">
        <f>U169-BB169</f>
        <v>0</v>
      </c>
      <c r="BD169" s="7">
        <f>SUM(IF(BP169="direct",CC169/F169,0),IF(CR169="direct",DE169/F169,0),IF(DT169="direct",EG169/F169,0),IF(EV169="direct",FI169/F169,0),IF(FX169="direct",GK169/F169,0),IF(GZ169="direct",HM169/F169,0),IF(IB169="direct",IO169/F169,0),IF(JD169="direct",JQ169/F169,0),IF(KF169="direct",KS169/F169,0),IF(LH169="direct",LU169/F169,0))</f>
        <v>0</v>
      </c>
      <c r="BE169" s="7">
        <f>-SUM(IF(BP169="direct",CD169/F169,0),IF(CR169="direct",DF169/F169,0),IF(DT169="direct",EH169/F169,0),IF(EV169="direct",FJ169/F169,0),IF(FX169="direct",GL169/F169,0),IF(GZ169="direct",HN169/F169,0),IF(IB169="direct",IP169/F169,0),IF(JD169="direct",JR169/F169,0),IF(KF169="direct",KT169/F169,0),IF(LH169="direct",LV169/F169,0))</f>
        <v>0</v>
      </c>
      <c r="BF169" s="7">
        <f>BD169+BE169</f>
        <v>0</v>
      </c>
      <c r="BG169" s="7">
        <f>BF169-SUM(IF(BP169="direct",CP169,0),IF(CR169="direct",DR169,0),IF(DT169="direct",ET169,0),IF(EV169="direct",FV169,0),IF(FX169="direct",GX169,0),IF(GZ169="direct",HZ169,0),IF(IB169="direct",JB169,0),IF(JD169="direct",KD169,0),IF(KF169="direct",LF169,0),IF(LH169="direct",MH169,0))</f>
        <v>0</v>
      </c>
      <c r="BH169" s="7">
        <f>SUM(IF(BP169="treasury",CP169,0),IF(CR169="treasury",DR169,0),IF(DT169="treasury",ET169,0),IF(EV169="treasury",FV169,0),IF(FX169="treasury",GX169,0),IF(GZ169="treasury",HZ169,0),IF(IB169="treasury",JB169,0),IF(JD169="treasury",KD169,0),IF(KF169="treasury",LF169,0),IF(LH169="treasury",MH169,0))</f>
        <v>0.00019424657534246575</v>
      </c>
      <c r="BI169" s="7">
        <f>SUM(IF(BP169="future",CP169,0),IF(CR169="future",DR169,0),IF(DT169="future",ET169,0),IF(EV169="future",FV169,0),IF(FX169="future",GX169,0),IF(GZ169="future",HZ169,0),IF(IB169="future",JB169,0),IF(JD169="future",KD169,0),IF(KF169="future",LF169,0),IF(LH169="future",MH169,0))</f>
        <v>0.014577259475218707</v>
      </c>
      <c r="BJ169" s="7">
        <f>SUM(IF(BP169="cash",CP169,0),IF(CR169="cash",DR169,0),IF(DT169="cash",ET169,0),IF(EV169="cash",FV169,0),IF(FX169="cash",GX169,0),IF(GZ169="cash",HZ169,0),IF(IB169="cash",JB169,0),IF(JD169="cash",KD169,0),IF(KF169="cash",LF169,0),IF(LH169="cash",MH169,0))</f>
        <v>0</v>
      </c>
      <c r="BK169" s="7">
        <f>SUM(BF169,BH169,BI169,BJ169)</f>
        <v>0.014771506050561172</v>
      </c>
      <c r="BL169" s="7">
        <f>G169-BK169</f>
        <v>0</v>
      </c>
      <c r="BM169" s="5">
        <f>MAX(ABS(CG169),ABS(DI169),ABS(EK169),ABS(FM169),ABS(GO169),ABS(HQ169),ABS(IS169),ABS(JU169),ABS(KW169),ABS(LY169))</f>
        <v>3.1208759534995245e-16</v>
      </c>
      <c r="BN169" s="9">
        <f>COUNTA(BO169,CQ169,DS169,EU169,FW169,GY169,IA169,JC169,KE169,LG169)</f>
        <v>4</v>
      </c>
      <c r="BO169" t="inlineStr">
        <is>
          <t xml:space="preserve">Treasury collateral</t>
        </is>
      </c>
      <c r="BP169" t="inlineStr">
        <is>
          <t xml:space="preserve">treasury</t>
        </is>
      </c>
      <c r="BQ169" t="inlineStr">
        <is>
          <t xml:space="preserve">lease</t>
        </is>
      </c>
      <c r="BR169" t="inlineStr">
        <is>
          <t xml:space="preserve">long</t>
        </is>
      </c>
      <c r="BS169"/>
      <c r="BT169" s="4">
        <v>104.44455514770634</v>
      </c>
      <c r="BU169" s="4">
        <v>104.46484314485693</v>
      </c>
      <c r="BV169" s="6"/>
      <c r="BW169" s="4">
        <v>0.01569480692758466</v>
      </c>
      <c r="BX169" s="5">
        <f>IF(BP169="direct",IFERROR(CD169/BU169,0),0)</f>
        <v>0</v>
      </c>
      <c r="BY169" s="5">
        <f>IF(BP169="direct",BW169-BX169,IF(BP169="cash",CI169,BW169))</f>
        <v>0.01569480692758466</v>
      </c>
      <c r="BZ169" s="6">
        <v>1</v>
      </c>
      <c r="CA169" s="4">
        <v>1.6392371276807196</v>
      </c>
      <c r="CB169" s="4">
        <v>1.6392371276807196</v>
      </c>
      <c r="CC169" s="5">
        <f>IF(BP169="direct",BW169*(BU169-BT169),CF169)</f>
        <v>0.000318416198225888</v>
      </c>
      <c r="CD169" s="5">
        <f>IF(BP169="direct",CB169*BV169*C169/365,0)</f>
        <v>0</v>
      </c>
      <c r="CE169" s="5">
        <f>CC169-CD169</f>
        <v>0.00031841619822620007</v>
      </c>
      <c r="CF169" s="4">
        <v>0.00031841619822620007</v>
      </c>
      <c r="CG169" s="5">
        <f>CF169-CE169</f>
        <v>3.1208759534995245e-16</v>
      </c>
      <c r="CH169" s="4">
        <v>-2.763631337665551e-16</v>
      </c>
      <c r="CI169" s="4">
        <v>1.6395555438789455</v>
      </c>
      <c r="CJ169" s="4">
        <v>1.728</v>
      </c>
      <c r="CK169" s="4">
        <v>1.758</v>
      </c>
      <c r="CL169" s="6"/>
      <c r="CM169" s="6"/>
      <c r="CN169" s="6"/>
      <c r="CO169" s="9">
        <v>18</v>
      </c>
      <c r="CP169" s="7">
        <f>IFERROR(CE169/F169,0)</f>
        <v>0.00019424657534246575</v>
      </c>
      <c r="CQ169" t="inlineStr">
        <is>
          <t xml:space="preserve">SI69U</t>
        </is>
      </c>
      <c r="CR169" t="inlineStr">
        <is>
          <t xml:space="preserve">future</t>
        </is>
      </c>
      <c r="CS169" t="inlineStr">
        <is>
          <t xml:space="preserve">lease</t>
        </is>
      </c>
      <c r="CT169" t="inlineStr">
        <is>
          <t xml:space="preserve">long</t>
        </is>
      </c>
      <c r="CU169" t="inlineStr">
        <is>
          <t xml:space="preserve">regular</t>
        </is>
      </c>
      <c r="CV169" s="4">
        <v>1.715</v>
      </c>
      <c r="CW169" s="4">
        <v>1.74</v>
      </c>
      <c r="CX169" s="6"/>
      <c r="CY169" s="4">
        <v>0.9558233980645595</v>
      </c>
      <c r="CZ169" s="5">
        <f>IF(CR169="direct",IFERROR(DF169/CW169,0),0)</f>
        <v>0</v>
      </c>
      <c r="DA169" s="5">
        <f>IF(CR169="direct",CY169-CZ169,IF(CR169="cash",DK169,CY169))</f>
        <v>0.9558233980645595</v>
      </c>
      <c r="DB169" s="6">
        <v>1</v>
      </c>
      <c r="DC169" s="4">
        <v>1.6392371276807196</v>
      </c>
      <c r="DD169" s="4">
        <v>0</v>
      </c>
      <c r="DE169" s="5">
        <f>IF(CR169="direct",CY169*(CW169-CV169),DH169)</f>
        <v>0.023895584951614066</v>
      </c>
      <c r="DF169" s="5">
        <f>IF(CR169="direct",DD169*CX169*C169/365,0)</f>
        <v>0</v>
      </c>
      <c r="DG169" s="5">
        <f>DE169-DF169</f>
        <v>0.023895584951614066</v>
      </c>
      <c r="DH169" s="4">
        <v>0.023895584951614066</v>
      </c>
      <c r="DI169" s="5">
        <f>DH169-DG169</f>
        <v>0</v>
      </c>
      <c r="DJ169" s="4">
        <v>-0.023895584951614066</v>
      </c>
      <c r="DK169" s="4">
        <v>0</v>
      </c>
      <c r="DL169" s="4">
        <v>1.728</v>
      </c>
      <c r="DM169" s="4">
        <v>1.758</v>
      </c>
      <c r="DN169" s="6">
        <v>-0.00752314814814814</v>
      </c>
      <c r="DO169" s="6">
        <v>0.0709</v>
      </c>
      <c r="DP169" s="6">
        <v>0.22345272633744842</v>
      </c>
      <c r="DQ169" s="9">
        <v>18</v>
      </c>
      <c r="DR169" s="7">
        <f>IFERROR(DG169/F169,0)</f>
        <v>0.014577259475218707</v>
      </c>
      <c r="DS169" t="inlineStr">
        <is>
          <t xml:space="preserve">Lease cash / margin / financing</t>
        </is>
      </c>
      <c r="DT169" t="inlineStr">
        <is>
          <t xml:space="preserve">cash</t>
        </is>
      </c>
      <c r="DU169" t="inlineStr">
        <is>
          <t xml:space="preserve">lease</t>
        </is>
      </c>
      <c r="DV169" t="inlineStr">
        <is>
          <t xml:space="preserve">cash</t>
        </is>
      </c>
      <c r="DW169"/>
      <c r="DX169" s="4">
        <v>1</v>
      </c>
      <c r="DY169" s="4">
        <v>1</v>
      </c>
      <c r="DZ169" s="6"/>
      <c r="EA169" s="4">
        <v>6.661338147750939e-16</v>
      </c>
      <c r="EB169" s="5">
        <f>IF(DT169="direct",IFERROR(EH169/DY169,0),0)</f>
        <v>0</v>
      </c>
      <c r="EC169" s="5">
        <f>IF(DT169="direct",EA169-EB169,IF(DT169="cash",EM169,EA169))</f>
        <v>0.02389558495161501</v>
      </c>
      <c r="ED169" s="6"/>
      <c r="EE169" s="4">
        <v>6.661338147750939e-16</v>
      </c>
      <c r="EF169" s="4">
        <v>6.661338147750939e-16</v>
      </c>
      <c r="EG169" s="5">
        <f>IF(DT169="direct",EA169*(DY169-DX169),EJ169)</f>
        <v>0</v>
      </c>
      <c r="EH169" s="5">
        <f>IF(DT169="direct",EF169*DZ169*C169/365,0)</f>
        <v>0</v>
      </c>
      <c r="EI169" s="5">
        <f>EG169-EH169</f>
        <v>0</v>
      </c>
      <c r="EJ169" s="4">
        <v>0</v>
      </c>
      <c r="EK169" s="5">
        <f>EJ169-EI169</f>
        <v>0</v>
      </c>
      <c r="EL169" s="4">
        <v>0.023895584951614344</v>
      </c>
      <c r="EM169" s="4">
        <v>0.02389558495161501</v>
      </c>
      <c r="EN169" s="4">
        <v>1.728</v>
      </c>
      <c r="EO169" s="4">
        <v>1.758</v>
      </c>
      <c r="EP169" s="6"/>
      <c r="EQ169" s="6"/>
      <c r="ER169" s="6"/>
      <c r="ES169" s="9"/>
      <c r="ET169" s="7">
        <f>IFERROR(EI169/F169,0)</f>
        <v>0</v>
      </c>
      <c r="EU169" t="inlineStr">
        <is>
          <t xml:space="preserve">Keep cash / margin / financing</t>
        </is>
      </c>
      <c r="EV169" t="inlineStr">
        <is>
          <t xml:space="preserve">cash</t>
        </is>
      </c>
      <c r="EW169" t="inlineStr">
        <is>
          <t xml:space="preserve">keep</t>
        </is>
      </c>
      <c r="EX169" t="inlineStr">
        <is>
          <t xml:space="preserve">cash</t>
        </is>
      </c>
      <c r="EY169"/>
      <c r="EZ169" s="4">
        <v>1</v>
      </c>
      <c r="FA169" s="4">
        <v>1</v>
      </c>
      <c r="FB169" s="6"/>
      <c r="FC169" s="4">
        <v>0</v>
      </c>
      <c r="FD169" s="5">
        <f>IF(EV169="direct",IFERROR(FJ169/FA169,0),0)</f>
        <v>0</v>
      </c>
      <c r="FE169" s="5">
        <f>IF(EV169="direct",FC169-FD169,IF(EV169="cash",FO169,FC169))</f>
        <v>0</v>
      </c>
      <c r="FF169" s="6"/>
      <c r="FG169" s="4">
        <v>0</v>
      </c>
      <c r="FH169" s="4">
        <v>0</v>
      </c>
      <c r="FI169" s="5">
        <f>IF(EV169="direct",FC169*(FA169-EZ169),FL169)</f>
        <v>0</v>
      </c>
      <c r="FJ169" s="5">
        <f>IF(EV169="direct",FH169*FB169*C169/365,0)</f>
        <v>0</v>
      </c>
      <c r="FK169" s="5">
        <f>FI169-FJ169</f>
        <v>0</v>
      </c>
      <c r="FL169" s="4">
        <v>0</v>
      </c>
      <c r="FM169" s="5">
        <f>FL169-FK169</f>
        <v>0</v>
      </c>
      <c r="FN169" s="4">
        <v>0</v>
      </c>
      <c r="FO169" s="4">
        <v>0</v>
      </c>
      <c r="FP169" s="4">
        <v>1.728</v>
      </c>
      <c r="FQ169" s="4">
        <v>1.758</v>
      </c>
      <c r="FR169" s="6"/>
      <c r="FS169" s="6"/>
      <c r="FT169" s="6"/>
      <c r="FU169" s="9"/>
      <c r="FV169" s="7">
        <f>IFERROR(FK169/F169,0)</f>
        <v>0</v>
      </c>
      <c r="FW169"/>
      <c r="FX169"/>
      <c r="FY169"/>
      <c r="FZ169"/>
      <c r="GA169"/>
      <c r="GB169" s="4"/>
      <c r="GC169" s="4"/>
      <c r="GD169" s="6"/>
      <c r="GE169" s="4"/>
      <c r="GF169" s="5">
        <v>0</v>
      </c>
      <c r="GG169" s="5"/>
      <c r="GH169" s="6"/>
      <c r="GI169" s="4"/>
      <c r="GJ169" s="4"/>
      <c r="GK169" s="5">
        <v>0</v>
      </c>
      <c r="GL169" s="5">
        <v>0</v>
      </c>
      <c r="GM169" s="5"/>
      <c r="GN169" s="4"/>
      <c r="GO169" s="5">
        <v>0</v>
      </c>
      <c r="GP169" s="4"/>
      <c r="GQ169" s="4"/>
      <c r="GR169" s="4"/>
      <c r="GS169" s="4"/>
      <c r="GT169" s="6"/>
      <c r="GU169" s="6"/>
      <c r="GV169" s="6"/>
      <c r="GW169" s="9"/>
      <c r="GX169"/>
      <c r="GY169"/>
      <c r="GZ169"/>
      <c r="HA169"/>
      <c r="HB169"/>
      <c r="HC169"/>
      <c r="HD169" s="4"/>
      <c r="HE169" s="4"/>
      <c r="HF169" s="6"/>
      <c r="HG169" s="4"/>
      <c r="HH169" s="5">
        <v>0</v>
      </c>
      <c r="HI169" s="5"/>
      <c r="HJ169" s="6"/>
      <c r="HK169" s="4"/>
      <c r="HL169" s="4"/>
      <c r="HM169" s="5">
        <v>0</v>
      </c>
      <c r="HN169" s="5">
        <v>0</v>
      </c>
      <c r="HO169" s="5"/>
      <c r="HP169" s="4"/>
      <c r="HQ169" s="5">
        <v>0</v>
      </c>
      <c r="HR169" s="4"/>
      <c r="HS169" s="4"/>
      <c r="HT169" s="4"/>
      <c r="HU169" s="4"/>
      <c r="HV169" s="6"/>
      <c r="HW169" s="6"/>
      <c r="HX169" s="6"/>
      <c r="HY169" s="9"/>
      <c r="HZ169"/>
      <c r="IA169"/>
      <c r="IB169"/>
      <c r="IC169"/>
      <c r="ID169"/>
      <c r="IE169"/>
      <c r="IF169" s="4"/>
      <c r="IG169" s="4"/>
      <c r="IH169" s="6"/>
      <c r="II169" s="4"/>
      <c r="IJ169" s="5">
        <v>0</v>
      </c>
      <c r="IK169" s="5"/>
      <c r="IL169" s="6"/>
      <c r="IM169" s="4"/>
      <c r="IN169" s="4"/>
      <c r="IO169" s="5">
        <v>0</v>
      </c>
      <c r="IP169" s="5">
        <v>0</v>
      </c>
      <c r="IQ169" s="5"/>
      <c r="IR169" s="4"/>
      <c r="IS169" s="5">
        <v>0</v>
      </c>
      <c r="IT169" s="4"/>
      <c r="IU169" s="4"/>
      <c r="IV169" s="4"/>
      <c r="IW169" s="4"/>
      <c r="IX169" s="6"/>
      <c r="IY169" s="6"/>
      <c r="IZ169" s="6"/>
      <c r="JA169" s="9"/>
      <c r="JB169"/>
      <c r="JC169"/>
      <c r="JD169"/>
      <c r="JE169"/>
      <c r="JF169"/>
      <c r="JG169"/>
      <c r="JH169" s="4"/>
      <c r="JI169" s="4"/>
      <c r="JJ169" s="6"/>
      <c r="JK169" s="4"/>
      <c r="JL169" s="5">
        <v>0</v>
      </c>
      <c r="JM169" s="5"/>
      <c r="JN169" s="6"/>
      <c r="JO169" s="4"/>
      <c r="JP169" s="4"/>
      <c r="JQ169" s="5">
        <v>0</v>
      </c>
      <c r="JR169" s="5">
        <v>0</v>
      </c>
      <c r="JS169" s="5"/>
      <c r="JT169" s="4"/>
      <c r="JU169" s="5">
        <v>0</v>
      </c>
      <c r="JV169" s="4"/>
      <c r="JW169" s="4"/>
      <c r="JX169" s="4"/>
      <c r="JY169" s="4"/>
      <c r="JZ169" s="6"/>
      <c r="KA169" s="6"/>
      <c r="KB169" s="6"/>
      <c r="KC169" s="9"/>
      <c r="KD169"/>
      <c r="KE169"/>
      <c r="KF169"/>
      <c r="KG169"/>
      <c r="KH169"/>
      <c r="KI169"/>
      <c r="KJ169" s="4"/>
      <c r="KK169" s="4"/>
      <c r="KL169" s="6"/>
      <c r="KM169" s="4"/>
      <c r="KN169" s="5">
        <v>0</v>
      </c>
      <c r="KO169" s="5"/>
      <c r="KP169" s="6"/>
      <c r="KQ169" s="4"/>
      <c r="KR169" s="4"/>
      <c r="KS169" s="5">
        <v>0</v>
      </c>
      <c r="KT169" s="5">
        <v>0</v>
      </c>
      <c r="KU169" s="5"/>
      <c r="KV169" s="4"/>
      <c r="KW169" s="5">
        <v>0</v>
      </c>
      <c r="KX169" s="4"/>
      <c r="KY169" s="4"/>
      <c r="KZ169" s="4"/>
      <c r="LA169" s="4"/>
      <c r="LB169" s="6"/>
      <c r="LC169" s="6"/>
      <c r="LD169" s="6"/>
      <c r="LE169" s="9"/>
      <c r="LF169"/>
      <c r="LG169"/>
      <c r="LH169"/>
      <c r="LI169"/>
      <c r="LJ169"/>
      <c r="LK169"/>
      <c r="LL169" s="4"/>
      <c r="LM169" s="4"/>
      <c r="LN169" s="6"/>
      <c r="LO169" s="4"/>
      <c r="LP169" s="5">
        <v>0</v>
      </c>
      <c r="LQ169" s="5"/>
      <c r="LR169" s="6"/>
      <c r="LS169" s="4"/>
      <c r="LT169" s="4"/>
      <c r="LU169" s="5">
        <v>0</v>
      </c>
      <c r="LV169" s="5">
        <v>0</v>
      </c>
      <c r="LW169" s="5"/>
      <c r="LX169" s="4"/>
      <c r="LY169" s="5">
        <v>0</v>
      </c>
      <c r="LZ169" s="4"/>
      <c r="MA169" s="4"/>
      <c r="MB169" s="4"/>
      <c r="MC169" s="4"/>
      <c r="MD169" s="6"/>
      <c r="ME169" s="6"/>
      <c r="MF169" s="6"/>
      <c r="MG169" s="9"/>
      <c r="MH169"/>
    </row>
    <row r="170">
      <c r="A170" s="8">
        <v>25455</v>
      </c>
      <c r="B170" s="8">
        <v>25456</v>
      </c>
      <c r="C170" s="9">
        <f>B170-A170</f>
        <v>1</v>
      </c>
      <c r="D170" s="8">
        <v>25455</v>
      </c>
      <c r="E170" t="inlineStr">
        <is>
          <t xml:space="preserve">positive</t>
        </is>
      </c>
      <c r="F170" s="4">
        <v>1.6634511288305598</v>
      </c>
      <c r="G170" s="6">
        <v>-0.002677398834829074</v>
      </c>
      <c r="H170" s="7">
        <f>SUM(CP170,DR170,ET170,FV170,GX170,HZ170,JB170,KD170,LF170,MH170)</f>
        <v>-0.0026773988348290745</v>
      </c>
      <c r="I170" s="7">
        <f>G170-H170</f>
        <v>4.336808689942018e-19</v>
      </c>
      <c r="J170" s="5">
        <f>F170*(1+H170)</f>
        <v>1.6589974067164337</v>
      </c>
      <c r="K170" s="4">
        <v>1.6589974067164337</v>
      </c>
      <c r="L170" s="5">
        <f>K170-J170</f>
        <v>0</v>
      </c>
      <c r="M170" s="4">
        <v>1.758</v>
      </c>
      <c r="N170" s="4">
        <v>1.754</v>
      </c>
      <c r="O170" s="5">
        <f>M170/$M$3</f>
        <v>0.8978549540347294</v>
      </c>
      <c r="P170" s="5">
        <f>N170/$M$3</f>
        <v>0.8958120531154239</v>
      </c>
      <c r="Q170" s="7">
        <f>IFERROR(N170/M170-1,0)</f>
        <v>-0.0022753128555176305</v>
      </c>
      <c r="R170" s="5">
        <f>SUM(IF(BQ170="lease",CB170,0),IF(CS170="lease",DD170,0),IF(DU170="lease",EF170,0),IF(EW170="lease",FH170,0),IF(FY170="lease",GJ170,0),IF(HA170="lease",HL170,0),IF(IC170="lease",IN170,0),IF(JE170="lease",JP170,0),IF(KG170="lease",KR170,0),IF(LI170="lease",LT170,0))</f>
        <v>1.6634511288305605</v>
      </c>
      <c r="S170" s="5">
        <f>SUM(IF(BQ170="lease",CI170,0),IF(CS170="lease",DK170,0),IF(DU170="lease",EM170,0),IF(EW170="lease",FO170,0),IF(FY170="lease",GQ170,0),IF(HA170="lease",HS170,0),IF(IC170="lease",IU170,0),IF(JE170="lease",JW170,0),IF(KG170="lease",KY170,0),IF(LI170="lease",MA170,0))</f>
        <v>1.6589974067164344</v>
      </c>
      <c r="T170" s="5">
        <f>SUM(IF(BQ170="keep",CB170,0),IF(CS170="keep",DD170,0),IF(DU170="keep",EF170,0),IF(EW170="keep",FH170,0),IF(FY170="keep",GJ170,0),IF(HA170="keep",HL170,0),IF(IC170="keep",IN170,0),IF(JE170="keep",JP170,0),IF(KG170="keep",KR170,0),IF(LI170="keep",LT170,0))</f>
        <v>0</v>
      </c>
      <c r="U170" s="5">
        <f>SUM(IF(BQ170="keep",CI170,0),IF(CS170="keep",DK170,0),IF(DU170="keep",EM170,0),IF(EW170="keep",FO170,0),IF(FY170="keep",GQ170,0),IF(HA170="keep",HS170,0),IF(IC170="keep",IU170,0),IF(JE170="keep",JW170,0),IF(KG170="keep",KY170,0),IF(LI170="keep",MA170,0))</f>
        <v>0</v>
      </c>
      <c r="V170" s="5">
        <f>R170/O170</f>
        <v>1.852694715728235</v>
      </c>
      <c r="W170" s="5">
        <f>S170/P170</f>
        <v>1.8519480743162933</v>
      </c>
      <c r="X170" s="5">
        <f>T170/O170</f>
        <v>0</v>
      </c>
      <c r="Y170" s="5">
        <f>U170/P170</f>
        <v>0</v>
      </c>
      <c r="Z170" s="5">
        <f>V170+X170</f>
        <v>1.852694715728235</v>
      </c>
      <c r="AA170" s="7">
        <f>IFERROR(W170/V170-1,0)</f>
        <v>-0.0004030029370749588</v>
      </c>
      <c r="AB170" s="7">
        <f>IFERROR((W170-V170)/Z170,0)</f>
        <v>-0.0004030029370749376</v>
      </c>
      <c r="AC170" s="7">
        <f>IFERROR(Y170/X170-1,0)</f>
        <v>0</v>
      </c>
      <c r="AD170" s="7">
        <f>IFERROR((Y170-X170)/Z170,0)</f>
        <v>0</v>
      </c>
      <c r="AE170" s="7">
        <f>AB170+AD170</f>
        <v>-0.0004030029370749376</v>
      </c>
      <c r="AF170" s="7">
        <f>(1+Q170)*(1+AE170)-1</f>
        <v>-0.0026773988348290922</v>
      </c>
      <c r="AG170" s="7">
        <f>G170-AF170</f>
        <v>1.8214596497756474e-17</v>
      </c>
      <c r="AH170" s="5">
        <f>SUM(IF(BQ170="lease",CE170,0),IF(CS170="lease",DG170,0),IF(DU170="lease",EI170,0),IF(EW170="lease",FK170,0),IF(FY170="lease",GM170,0),IF(HA170="lease",HO170,0),IF(IC170="lease",IQ170,0),IF(JE170="lease",JS170,0),IF(KG170="lease",KU170,0),IF(LI170="lease",LW170,0))</f>
        <v>-0.004453722114126049</v>
      </c>
      <c r="AI170" s="5">
        <f>SUM(IF(BQ170="keep",CE170,0),IF(CS170="keep",DG170,0),IF(DU170="keep",EI170,0),IF(EW170="keep",FK170,0),IF(FY170="keep",GM170,0),IF(HA170="keep",HO170,0),IF(IC170="keep",IQ170,0),IF(JE170="keep",JS170,0),IF(KG170="keep",KU170,0),IF(LI170="keep",LW170,0))</f>
        <v>0</v>
      </c>
      <c r="AJ170" s="5">
        <f>SUM(IF(BQ170="lease",CH170,0),IF(CS170="lease",DJ170,0),IF(DU170="lease",EL170,0),IF(EW170="lease",FN170,0),IF(FY170="lease",GP170,0),IF(HA170="lease",HR170,0),IF(IC170="lease",IT170,0),IF(JE170="lease",JV170,0),IF(KG170="lease",KX170,0),IF(LI170="lease",LZ170,0))</f>
        <v>0</v>
      </c>
      <c r="AK170" s="5">
        <f>SUM(IF(BQ170="keep",CH170,0),IF(CS170="keep",DJ170,0),IF(DU170="keep",EL170,0),IF(EW170="keep",FN170,0),IF(FY170="keep",GP170,0),IF(HA170="keep",HR170,0),IF(IC170="keep",IT170,0),IF(JE170="keep",JV170,0),IF(KG170="keep",KX170,0),IF(LI170="keep",LZ170,0))</f>
        <v>0</v>
      </c>
      <c r="AL170" s="5">
        <f>R170-S169</f>
        <v>0</v>
      </c>
      <c r="AM170" s="5">
        <f>T170-U169</f>
        <v>0</v>
      </c>
      <c r="AN170" s="5">
        <f>AN169</f>
        <v>1</v>
      </c>
      <c r="AO170" s="5">
        <f>AO169+AH170</f>
        <v>0.6589974067164346</v>
      </c>
      <c r="AP170" s="5">
        <f>AP169+AL170</f>
        <v>-8.881784197001252e-16</v>
      </c>
      <c r="AQ170" s="5">
        <f>AN170+AO170+AP170</f>
        <v>1.6589974067164337</v>
      </c>
      <c r="AR170" s="5">
        <f>S170-AQ170</f>
        <v>6.661338147750939e-16</v>
      </c>
      <c r="AS170" s="5">
        <f>AS169</f>
        <v>0</v>
      </c>
      <c r="AT170" s="5">
        <f>AT169+AI170</f>
        <v>0</v>
      </c>
      <c r="AU170" s="5">
        <f>AU169+AM170</f>
        <v>0</v>
      </c>
      <c r="AV170" s="5">
        <f>AS170+AT170+AU170</f>
        <v>0</v>
      </c>
      <c r="AW170" s="5">
        <f>U170-AV170</f>
        <v>0</v>
      </c>
      <c r="AX170" s="4">
        <v>1.6634511288305605</v>
      </c>
      <c r="AY170" s="4">
        <v>1.6589974067164344</v>
      </c>
      <c r="AZ170" s="5">
        <f>S170-AY170</f>
        <v>0</v>
      </c>
      <c r="BA170" s="4">
        <v>0</v>
      </c>
      <c r="BB170" s="4">
        <v>0</v>
      </c>
      <c r="BC170" s="5">
        <f>U170-BB170</f>
        <v>0</v>
      </c>
      <c r="BD170" s="7">
        <f>SUM(IF(BP170="direct",CC170/F170,0),IF(CR170="direct",DE170/F170,0),IF(DT170="direct",EG170/F170,0),IF(EV170="direct",FI170/F170,0),IF(FX170="direct",GK170/F170,0),IF(GZ170="direct",HM170/F170,0),IF(IB170="direct",IO170/F170,0),IF(JD170="direct",JQ170/F170,0),IF(KF170="direct",KS170/F170,0),IF(LH170="direct",LU170/F170,0))</f>
        <v>0</v>
      </c>
      <c r="BE170" s="7">
        <f>-SUM(IF(BP170="direct",CD170/F170,0),IF(CR170="direct",DF170/F170,0),IF(DT170="direct",EH170/F170,0),IF(EV170="direct",FJ170/F170,0),IF(FX170="direct",GL170/F170,0),IF(GZ170="direct",HN170/F170,0),IF(IB170="direct",IP170/F170,0),IF(JD170="direct",JR170/F170,0),IF(KF170="direct",KT170/F170,0),IF(LH170="direct",LV170/F170,0))</f>
        <v>0</v>
      </c>
      <c r="BF170" s="7">
        <f>BD170+BE170</f>
        <v>0</v>
      </c>
      <c r="BG170" s="7">
        <f>BF170-SUM(IF(BP170="direct",CP170,0),IF(CR170="direct",DR170,0),IF(DT170="direct",ET170,0),IF(EV170="direct",FV170,0),IF(FX170="direct",GX170,0),IF(GZ170="direct",HZ170,0),IF(IB170="direct",JB170,0),IF(JD170="direct",KD170,0),IF(KF170="direct",LF170,0),IF(LH170="direct",MH170,0))</f>
        <v>0</v>
      </c>
      <c r="BH170" s="7">
        <f>SUM(IF(BP170="treasury",CP170,0),IF(CR170="treasury",DR170,0),IF(DT170="treasury",ET170,0),IF(EV170="treasury",FV170,0),IF(FX170="treasury",GX170,0),IF(GZ170="treasury",HZ170,0),IF(IB170="treasury",JB170,0),IF(JD170="treasury",KD170,0),IF(KF170="treasury",LF170,0),IF(LH170="treasury",MH170,0))</f>
        <v>0.00019616438356164382</v>
      </c>
      <c r="BI170" s="7">
        <f>SUM(IF(BP170="future",CP170,0),IF(CR170="future",DR170,0),IF(DT170="future",ET170,0),IF(EV170="future",FV170,0),IF(FX170="future",GX170,0),IF(GZ170="future",HZ170,0),IF(IB170="future",JB170,0),IF(JD170="future",KD170,0),IF(KF170="future",LF170,0),IF(LH170="future",MH170,0))</f>
        <v>-0.0028735632183907183</v>
      </c>
      <c r="BJ170" s="7">
        <f>SUM(IF(BP170="cash",CP170,0),IF(CR170="cash",DR170,0),IF(DT170="cash",ET170,0),IF(EV170="cash",FV170,0),IF(FX170="cash",GX170,0),IF(GZ170="cash",HZ170,0),IF(IB170="cash",JB170,0),IF(JD170="cash",KD170,0),IF(KF170="cash",LF170,0),IF(LH170="cash",MH170,0))</f>
        <v>0</v>
      </c>
      <c r="BK170" s="7">
        <f>SUM(BF170,BH170,BI170,BJ170)</f>
        <v>-0.0026773988348290745</v>
      </c>
      <c r="BL170" s="7">
        <f>G170-BK170</f>
        <v>4.336808689942018e-19</v>
      </c>
      <c r="BM170" s="5">
        <f>MAX(ABS(CG170),ABS(DI170),ABS(EK170),ABS(FM170),ABS(GO170),ABS(HQ170),ABS(IS170),ABS(JU170),ABS(KW170),ABS(LY170))</f>
        <v>1.5888982837775067e-16</v>
      </c>
      <c r="BN170" s="9">
        <f>COUNTA(BO170,CQ170,DS170,EU170,FW170,GY170,IA170,JC170,KE170,LG170)</f>
        <v>4</v>
      </c>
      <c r="BO170" t="inlineStr">
        <is>
          <t xml:space="preserve">Treasury collateral</t>
        </is>
      </c>
      <c r="BP170" t="inlineStr">
        <is>
          <t xml:space="preserve">treasury</t>
        </is>
      </c>
      <c r="BQ170" t="inlineStr">
        <is>
          <t xml:space="preserve">lease</t>
        </is>
      </c>
      <c r="BR170" t="inlineStr">
        <is>
          <t xml:space="preserve">long</t>
        </is>
      </c>
      <c r="BS170"/>
      <c r="BT170" s="4">
        <v>104.46484314485693</v>
      </c>
      <c r="BU170" s="4">
        <v>104.48533542641631</v>
      </c>
      <c r="BV170" s="6"/>
      <c r="BW170" s="4">
        <v>0.015923549768068125</v>
      </c>
      <c r="BX170" s="5">
        <f>IF(BP170="direct",IFERROR(CD170/BU170,0),0)</f>
        <v>0</v>
      </c>
      <c r="BY170" s="5">
        <f>IF(BP170="direct",BW170-BX170,IF(BP170="cash",CI170,BW170))</f>
        <v>0.015923549768068125</v>
      </c>
      <c r="BZ170" s="6">
        <v>1</v>
      </c>
      <c r="CA170" s="4">
        <v>1.6634511288305598</v>
      </c>
      <c r="CB170" s="4">
        <v>1.6634511288305598</v>
      </c>
      <c r="CC170" s="5">
        <f>IF(BP170="direct",BW170*(BU170-BT170),CF170)</f>
        <v>0.0003263098652721262</v>
      </c>
      <c r="CD170" s="5">
        <f>IF(BP170="direct",CB170*BV170*C170/365,0)</f>
        <v>0</v>
      </c>
      <c r="CE170" s="5">
        <f>CC170-CD170</f>
        <v>0.0003263098652719673</v>
      </c>
      <c r="CF170" s="4">
        <v>0.0003263098652719673</v>
      </c>
      <c r="CG170" s="5">
        <f>CF170-CE170</f>
        <v>-1.5888982837775067e-16</v>
      </c>
      <c r="CH170" s="4">
        <v>-3.301395615218361e-17</v>
      </c>
      <c r="CI170" s="4">
        <v>1.6637774386958317</v>
      </c>
      <c r="CJ170" s="4">
        <v>1.758</v>
      </c>
      <c r="CK170" s="4">
        <v>1.754</v>
      </c>
      <c r="CL170" s="6"/>
      <c r="CM170" s="6"/>
      <c r="CN170" s="6"/>
      <c r="CO170" s="9">
        <v>17</v>
      </c>
      <c r="CP170" s="7">
        <f>IFERROR(CE170/F170,0)</f>
        <v>0.00019616438356164382</v>
      </c>
      <c r="CQ170" t="inlineStr">
        <is>
          <t xml:space="preserve">SI69U</t>
        </is>
      </c>
      <c r="CR170" t="inlineStr">
        <is>
          <t xml:space="preserve">future</t>
        </is>
      </c>
      <c r="CS170" t="inlineStr">
        <is>
          <t xml:space="preserve">lease</t>
        </is>
      </c>
      <c r="CT170" t="inlineStr">
        <is>
          <t xml:space="preserve">long</t>
        </is>
      </c>
      <c r="CU170" t="inlineStr">
        <is>
          <t xml:space="preserve">regular</t>
        </is>
      </c>
      <c r="CV170" s="4">
        <v>1.74</v>
      </c>
      <c r="CW170" s="4">
        <v>1.735</v>
      </c>
      <c r="CX170" s="6"/>
      <c r="CY170" s="4">
        <v>0.9560063958796321</v>
      </c>
      <c r="CZ170" s="5">
        <f>IF(CR170="direct",IFERROR(DF170/CW170,0),0)</f>
        <v>0</v>
      </c>
      <c r="DA170" s="5">
        <f>IF(CR170="direct",CY170-CZ170,IF(CR170="cash",DK170,CY170))</f>
        <v>0.9560063958796321</v>
      </c>
      <c r="DB170" s="6">
        <v>1</v>
      </c>
      <c r="DC170" s="4">
        <v>1.6634511288305598</v>
      </c>
      <c r="DD170" s="4">
        <v>0</v>
      </c>
      <c r="DE170" s="5">
        <f>IF(CR170="direct",CY170*(CW170-CV170),DH170)</f>
        <v>-0.004780031979398016</v>
      </c>
      <c r="DF170" s="5">
        <f>IF(CR170="direct",DD170*CX170*C170/365,0)</f>
        <v>0</v>
      </c>
      <c r="DG170" s="5">
        <f>DE170-DF170</f>
        <v>-0.004780031979398016</v>
      </c>
      <c r="DH170" s="4">
        <v>-0.004780031979398016</v>
      </c>
      <c r="DI170" s="5">
        <f>DH170-DG170</f>
        <v>0</v>
      </c>
      <c r="DJ170" s="4">
        <v>0.004780031979398016</v>
      </c>
      <c r="DK170" s="4">
        <v>0</v>
      </c>
      <c r="DL170" s="4">
        <v>1.758</v>
      </c>
      <c r="DM170" s="4">
        <v>1.754</v>
      </c>
      <c r="DN170" s="6">
        <v>-0.010238907849829393</v>
      </c>
      <c r="DO170" s="6">
        <v>0.0716</v>
      </c>
      <c r="DP170" s="6">
        <v>0.29143537442280754</v>
      </c>
      <c r="DQ170" s="9">
        <v>17</v>
      </c>
      <c r="DR170" s="7">
        <f>IFERROR(DG170/F170,0)</f>
        <v>-0.0028735632183907183</v>
      </c>
      <c r="DS170" t="inlineStr">
        <is>
          <t xml:space="preserve">Lease cash / margin / financing</t>
        </is>
      </c>
      <c r="DT170" t="inlineStr">
        <is>
          <t xml:space="preserve">cash</t>
        </is>
      </c>
      <c r="DU170" t="inlineStr">
        <is>
          <t xml:space="preserve">lease</t>
        </is>
      </c>
      <c r="DV170" t="inlineStr">
        <is>
          <t xml:space="preserve">cash</t>
        </is>
      </c>
      <c r="DW170"/>
      <c r="DX170" s="4">
        <v>1</v>
      </c>
      <c r="DY170" s="4">
        <v>1</v>
      </c>
      <c r="DZ170" s="6"/>
      <c r="EA170" s="4">
        <v>6.661338147750939e-16</v>
      </c>
      <c r="EB170" s="5">
        <f>IF(DT170="direct",IFERROR(EH170/DY170,0),0)</f>
        <v>0</v>
      </c>
      <c r="EC170" s="5">
        <f>IF(DT170="direct",EA170-EB170,IF(DT170="cash",EM170,EA170))</f>
        <v>-0.004780031979397317</v>
      </c>
      <c r="ED170" s="6"/>
      <c r="EE170" s="4">
        <v>6.661338147750939e-16</v>
      </c>
      <c r="EF170" s="4">
        <v>6.661338147750939e-16</v>
      </c>
      <c r="EG170" s="5">
        <f>IF(DT170="direct",EA170*(DY170-DX170),EJ170)</f>
        <v>0</v>
      </c>
      <c r="EH170" s="5">
        <f>IF(DT170="direct",EF170*DZ170*C170/365,0)</f>
        <v>0</v>
      </c>
      <c r="EI170" s="5">
        <f>EG170-EH170</f>
        <v>0</v>
      </c>
      <c r="EJ170" s="4">
        <v>0</v>
      </c>
      <c r="EK170" s="5">
        <f>EJ170-EI170</f>
        <v>0</v>
      </c>
      <c r="EL170" s="4">
        <v>-0.004780031979397983</v>
      </c>
      <c r="EM170" s="4">
        <v>-0.004780031979397317</v>
      </c>
      <c r="EN170" s="4">
        <v>1.758</v>
      </c>
      <c r="EO170" s="4">
        <v>1.754</v>
      </c>
      <c r="EP170" s="6"/>
      <c r="EQ170" s="6"/>
      <c r="ER170" s="6"/>
      <c r="ES170" s="9"/>
      <c r="ET170" s="7">
        <f>IFERROR(EI170/F170,0)</f>
        <v>0</v>
      </c>
      <c r="EU170" t="inlineStr">
        <is>
          <t xml:space="preserve">Keep cash / margin / financing</t>
        </is>
      </c>
      <c r="EV170" t="inlineStr">
        <is>
          <t xml:space="preserve">cash</t>
        </is>
      </c>
      <c r="EW170" t="inlineStr">
        <is>
          <t xml:space="preserve">keep</t>
        </is>
      </c>
      <c r="EX170" t="inlineStr">
        <is>
          <t xml:space="preserve">cash</t>
        </is>
      </c>
      <c r="EY170"/>
      <c r="EZ170" s="4">
        <v>1</v>
      </c>
      <c r="FA170" s="4">
        <v>1</v>
      </c>
      <c r="FB170" s="6"/>
      <c r="FC170" s="4">
        <v>0</v>
      </c>
      <c r="FD170" s="5">
        <f>IF(EV170="direct",IFERROR(FJ170/FA170,0),0)</f>
        <v>0</v>
      </c>
      <c r="FE170" s="5">
        <f>IF(EV170="direct",FC170-FD170,IF(EV170="cash",FO170,FC170))</f>
        <v>0</v>
      </c>
      <c r="FF170" s="6"/>
      <c r="FG170" s="4">
        <v>0</v>
      </c>
      <c r="FH170" s="4">
        <v>0</v>
      </c>
      <c r="FI170" s="5">
        <f>IF(EV170="direct",FC170*(FA170-EZ170),FL170)</f>
        <v>0</v>
      </c>
      <c r="FJ170" s="5">
        <f>IF(EV170="direct",FH170*FB170*C170/365,0)</f>
        <v>0</v>
      </c>
      <c r="FK170" s="5">
        <f>FI170-FJ170</f>
        <v>0</v>
      </c>
      <c r="FL170" s="4">
        <v>0</v>
      </c>
      <c r="FM170" s="5">
        <f>FL170-FK170</f>
        <v>0</v>
      </c>
      <c r="FN170" s="4">
        <v>0</v>
      </c>
      <c r="FO170" s="4">
        <v>0</v>
      </c>
      <c r="FP170" s="4">
        <v>1.758</v>
      </c>
      <c r="FQ170" s="4">
        <v>1.754</v>
      </c>
      <c r="FR170" s="6"/>
      <c r="FS170" s="6"/>
      <c r="FT170" s="6"/>
      <c r="FU170" s="9"/>
      <c r="FV170" s="7">
        <f>IFERROR(FK170/F170,0)</f>
        <v>0</v>
      </c>
      <c r="FW170"/>
      <c r="FX170"/>
      <c r="FY170"/>
      <c r="FZ170"/>
      <c r="GA170"/>
      <c r="GB170" s="4"/>
      <c r="GC170" s="4"/>
      <c r="GD170" s="6"/>
      <c r="GE170" s="4"/>
      <c r="GF170" s="5">
        <v>0</v>
      </c>
      <c r="GG170" s="5"/>
      <c r="GH170" s="6"/>
      <c r="GI170" s="4"/>
      <c r="GJ170" s="4"/>
      <c r="GK170" s="5">
        <v>0</v>
      </c>
      <c r="GL170" s="5">
        <v>0</v>
      </c>
      <c r="GM170" s="5"/>
      <c r="GN170" s="4"/>
      <c r="GO170" s="5">
        <v>0</v>
      </c>
      <c r="GP170" s="4"/>
      <c r="GQ170" s="4"/>
      <c r="GR170" s="4"/>
      <c r="GS170" s="4"/>
      <c r="GT170" s="6"/>
      <c r="GU170" s="6"/>
      <c r="GV170" s="6"/>
      <c r="GW170" s="9"/>
      <c r="GX170"/>
      <c r="GY170"/>
      <c r="GZ170"/>
      <c r="HA170"/>
      <c r="HB170"/>
      <c r="HC170"/>
      <c r="HD170" s="4"/>
      <c r="HE170" s="4"/>
      <c r="HF170" s="6"/>
      <c r="HG170" s="4"/>
      <c r="HH170" s="5">
        <v>0</v>
      </c>
      <c r="HI170" s="5"/>
      <c r="HJ170" s="6"/>
      <c r="HK170" s="4"/>
      <c r="HL170" s="4"/>
      <c r="HM170" s="5">
        <v>0</v>
      </c>
      <c r="HN170" s="5">
        <v>0</v>
      </c>
      <c r="HO170" s="5"/>
      <c r="HP170" s="4"/>
      <c r="HQ170" s="5">
        <v>0</v>
      </c>
      <c r="HR170" s="4"/>
      <c r="HS170" s="4"/>
      <c r="HT170" s="4"/>
      <c r="HU170" s="4"/>
      <c r="HV170" s="6"/>
      <c r="HW170" s="6"/>
      <c r="HX170" s="6"/>
      <c r="HY170" s="9"/>
      <c r="HZ170"/>
      <c r="IA170"/>
      <c r="IB170"/>
      <c r="IC170"/>
      <c r="ID170"/>
      <c r="IE170"/>
      <c r="IF170" s="4"/>
      <c r="IG170" s="4"/>
      <c r="IH170" s="6"/>
      <c r="II170" s="4"/>
      <c r="IJ170" s="5">
        <v>0</v>
      </c>
      <c r="IK170" s="5"/>
      <c r="IL170" s="6"/>
      <c r="IM170" s="4"/>
      <c r="IN170" s="4"/>
      <c r="IO170" s="5">
        <v>0</v>
      </c>
      <c r="IP170" s="5">
        <v>0</v>
      </c>
      <c r="IQ170" s="5"/>
      <c r="IR170" s="4"/>
      <c r="IS170" s="5">
        <v>0</v>
      </c>
      <c r="IT170" s="4"/>
      <c r="IU170" s="4"/>
      <c r="IV170" s="4"/>
      <c r="IW170" s="4"/>
      <c r="IX170" s="6"/>
      <c r="IY170" s="6"/>
      <c r="IZ170" s="6"/>
      <c r="JA170" s="9"/>
      <c r="JB170"/>
      <c r="JC170"/>
      <c r="JD170"/>
      <c r="JE170"/>
      <c r="JF170"/>
      <c r="JG170"/>
      <c r="JH170" s="4"/>
      <c r="JI170" s="4"/>
      <c r="JJ170" s="6"/>
      <c r="JK170" s="4"/>
      <c r="JL170" s="5">
        <v>0</v>
      </c>
      <c r="JM170" s="5"/>
      <c r="JN170" s="6"/>
      <c r="JO170" s="4"/>
      <c r="JP170" s="4"/>
      <c r="JQ170" s="5">
        <v>0</v>
      </c>
      <c r="JR170" s="5">
        <v>0</v>
      </c>
      <c r="JS170" s="5"/>
      <c r="JT170" s="4"/>
      <c r="JU170" s="5">
        <v>0</v>
      </c>
      <c r="JV170" s="4"/>
      <c r="JW170" s="4"/>
      <c r="JX170" s="4"/>
      <c r="JY170" s="4"/>
      <c r="JZ170" s="6"/>
      <c r="KA170" s="6"/>
      <c r="KB170" s="6"/>
      <c r="KC170" s="9"/>
      <c r="KD170"/>
      <c r="KE170"/>
      <c r="KF170"/>
      <c r="KG170"/>
      <c r="KH170"/>
      <c r="KI170"/>
      <c r="KJ170" s="4"/>
      <c r="KK170" s="4"/>
      <c r="KL170" s="6"/>
      <c r="KM170" s="4"/>
      <c r="KN170" s="5">
        <v>0</v>
      </c>
      <c r="KO170" s="5"/>
      <c r="KP170" s="6"/>
      <c r="KQ170" s="4"/>
      <c r="KR170" s="4"/>
      <c r="KS170" s="5">
        <v>0</v>
      </c>
      <c r="KT170" s="5">
        <v>0</v>
      </c>
      <c r="KU170" s="5"/>
      <c r="KV170" s="4"/>
      <c r="KW170" s="5">
        <v>0</v>
      </c>
      <c r="KX170" s="4"/>
      <c r="KY170" s="4"/>
      <c r="KZ170" s="4"/>
      <c r="LA170" s="4"/>
      <c r="LB170" s="6"/>
      <c r="LC170" s="6"/>
      <c r="LD170" s="6"/>
      <c r="LE170" s="9"/>
      <c r="LF170"/>
      <c r="LG170"/>
      <c r="LH170"/>
      <c r="LI170"/>
      <c r="LJ170"/>
      <c r="LK170"/>
      <c r="LL170" s="4"/>
      <c r="LM170" s="4"/>
      <c r="LN170" s="6"/>
      <c r="LO170" s="4"/>
      <c r="LP170" s="5">
        <v>0</v>
      </c>
      <c r="LQ170" s="5"/>
      <c r="LR170" s="6"/>
      <c r="LS170" s="4"/>
      <c r="LT170" s="4"/>
      <c r="LU170" s="5">
        <v>0</v>
      </c>
      <c r="LV170" s="5">
        <v>0</v>
      </c>
      <c r="LW170" s="5"/>
      <c r="LX170" s="4"/>
      <c r="LY170" s="5">
        <v>0</v>
      </c>
      <c r="LZ170" s="4"/>
      <c r="MA170" s="4"/>
      <c r="MB170" s="4"/>
      <c r="MC170" s="4"/>
      <c r="MD170" s="6"/>
      <c r="ME170" s="6"/>
      <c r="MF170" s="6"/>
      <c r="MG170" s="9"/>
      <c r="MH170"/>
    </row>
    <row r="171">
      <c r="A171" s="8">
        <v>25456</v>
      </c>
      <c r="B171" s="8">
        <v>25457</v>
      </c>
      <c r="C171" s="9">
        <f>B171-A171</f>
        <v>1</v>
      </c>
      <c r="D171" s="8">
        <v>25456</v>
      </c>
      <c r="E171" t="inlineStr">
        <is>
          <t xml:space="preserve">positive</t>
        </is>
      </c>
      <c r="F171" s="4">
        <v>1.6589974067164337</v>
      </c>
      <c r="G171" s="6">
        <v>0.010569708262603094</v>
      </c>
      <c r="H171" s="7">
        <f>SUM(CP171,DR171,ET171,FV171,GX171,HZ171,JB171,KD171,LF171,MH171)</f>
        <v>0.010569708262603094</v>
      </c>
      <c r="I171" s="7">
        <f>G171-H171</f>
        <v>0</v>
      </c>
      <c r="J171" s="5">
        <f>F171*(1+H171)</f>
        <v>1.6765325253138414</v>
      </c>
      <c r="K171" s="4">
        <v>1.6765325253138414</v>
      </c>
      <c r="L171" s="5">
        <f>K171-J171</f>
        <v>0</v>
      </c>
      <c r="M171" s="4">
        <v>1.754</v>
      </c>
      <c r="N171" s="4">
        <v>1.769</v>
      </c>
      <c r="O171" s="5">
        <f>M171/$M$3</f>
        <v>0.8958120531154239</v>
      </c>
      <c r="P171" s="5">
        <f>N171/$M$3</f>
        <v>0.9034729315628192</v>
      </c>
      <c r="Q171" s="7">
        <f>IFERROR(N171/M171-1,0)</f>
        <v>0.008551881413910944</v>
      </c>
      <c r="R171" s="5">
        <f>SUM(IF(BQ171="lease",CB171,0),IF(CS171="lease",DD171,0),IF(DU171="lease",EF171,0),IF(EW171="lease",FH171,0),IF(FY171="lease",GJ171,0),IF(HA171="lease",HL171,0),IF(IC171="lease",IN171,0),IF(JE171="lease",JP171,0),IF(KG171="lease",KR171,0),IF(LI171="lease",LT171,0))</f>
        <v>1.6589974067164344</v>
      </c>
      <c r="S171" s="5">
        <f>SUM(IF(BQ171="lease",CI171,0),IF(CS171="lease",DK171,0),IF(DU171="lease",EM171,0),IF(EW171="lease",FO171,0),IF(FY171="lease",GQ171,0),IF(HA171="lease",HS171,0),IF(IC171="lease",IU171,0),IF(JE171="lease",JW171,0),IF(KG171="lease",KY171,0),IF(LI171="lease",MA171,0))</f>
        <v>1.6765325253138421</v>
      </c>
      <c r="T171" s="5">
        <f>SUM(IF(BQ171="keep",CB171,0),IF(CS171="keep",DD171,0),IF(DU171="keep",EF171,0),IF(EW171="keep",FH171,0),IF(FY171="keep",GJ171,0),IF(HA171="keep",HL171,0),IF(IC171="keep",IN171,0),IF(JE171="keep",JP171,0),IF(KG171="keep",KR171,0),IF(LI171="keep",LT171,0))</f>
        <v>0</v>
      </c>
      <c r="U171" s="5">
        <f>SUM(IF(BQ171="keep",CI171,0),IF(CS171="keep",DK171,0),IF(DU171="keep",EM171,0),IF(EW171="keep",FO171,0),IF(FY171="keep",GQ171,0),IF(HA171="keep",HS171,0),IF(IC171="keep",IU171,0),IF(JE171="keep",JW171,0),IF(KG171="keep",KY171,0),IF(LI171="keep",MA171,0))</f>
        <v>0</v>
      </c>
      <c r="V171" s="5">
        <f>R171/O171</f>
        <v>1.8519480743162933</v>
      </c>
      <c r="W171" s="5">
        <f>S171/P171</f>
        <v>1.8556532982275313</v>
      </c>
      <c r="X171" s="5">
        <f>T171/O171</f>
        <v>0</v>
      </c>
      <c r="Y171" s="5">
        <f>U171/P171</f>
        <v>0</v>
      </c>
      <c r="Z171" s="5">
        <f>V171+X171</f>
        <v>1.8519480743162933</v>
      </c>
      <c r="AA171" s="7">
        <f>IFERROR(W171/V171-1,0)</f>
        <v>0.0020007169545539494</v>
      </c>
      <c r="AB171" s="7">
        <f>IFERROR((W171-V171)/Z171,0)</f>
        <v>0.002000716954553906</v>
      </c>
      <c r="AC171" s="7">
        <f>IFERROR(Y171/X171-1,0)</f>
        <v>0</v>
      </c>
      <c r="AD171" s="7">
        <f>IFERROR((Y171-X171)/Z171,0)</f>
        <v>0</v>
      </c>
      <c r="AE171" s="7">
        <f>AB171+AD171</f>
        <v>0.002000716954553906</v>
      </c>
      <c r="AF171" s="7">
        <f>(1+Q171)*(1+AE171)-1</f>
        <v>0.010569708262603061</v>
      </c>
      <c r="AG171" s="7">
        <f>G171-AF171</f>
        <v>3.2959746043559335e-17</v>
      </c>
      <c r="AH171" s="5">
        <f>SUM(IF(BQ171="lease",CE171,0),IF(CS171="lease",DG171,0),IF(DU171="lease",EI171,0),IF(EW171="lease",FK171,0),IF(FY171="lease",GM171,0),IF(HA171="lease",HO171,0),IF(IC171="lease",IQ171,0),IF(JE171="lease",JS171,0),IF(KG171="lease",KU171,0),IF(LI171="lease",LW171,0))</f>
        <v>0.017535118597407796</v>
      </c>
      <c r="AI171" s="5">
        <f>SUM(IF(BQ171="keep",CE171,0),IF(CS171="keep",DG171,0),IF(DU171="keep",EI171,0),IF(EW171="keep",FK171,0),IF(FY171="keep",GM171,0),IF(HA171="keep",HO171,0),IF(IC171="keep",IQ171,0),IF(JE171="keep",JS171,0),IF(KG171="keep",KU171,0),IF(LI171="keep",LW171,0))</f>
        <v>0</v>
      </c>
      <c r="AJ171" s="5">
        <f>SUM(IF(BQ171="lease",CH171,0),IF(CS171="lease",DJ171,0),IF(DU171="lease",EL171,0),IF(EW171="lease",FN171,0),IF(FY171="lease",GP171,0),IF(HA171="lease",HR171,0),IF(IC171="lease",IT171,0),IF(JE171="lease",JV171,0),IF(KG171="lease",KX171,0),IF(LI171="lease",LZ171,0))</f>
        <v>0</v>
      </c>
      <c r="AK171" s="5">
        <f>SUM(IF(BQ171="keep",CH171,0),IF(CS171="keep",DJ171,0),IF(DU171="keep",EL171,0),IF(EW171="keep",FN171,0),IF(FY171="keep",GP171,0),IF(HA171="keep",HR171,0),IF(IC171="keep",IT171,0),IF(JE171="keep",JV171,0),IF(KG171="keep",KX171,0),IF(LI171="keep",LZ171,0))</f>
        <v>0</v>
      </c>
      <c r="AL171" s="5">
        <f>R171-S170</f>
        <v>0</v>
      </c>
      <c r="AM171" s="5">
        <f>T171-U170</f>
        <v>0</v>
      </c>
      <c r="AN171" s="5">
        <f>AN170</f>
        <v>1</v>
      </c>
      <c r="AO171" s="5">
        <f>AO170+AH171</f>
        <v>0.6765325253138423</v>
      </c>
      <c r="AP171" s="5">
        <f>AP170+AL171</f>
        <v>-8.881784197001252e-16</v>
      </c>
      <c r="AQ171" s="5">
        <f>AN171+AO171+AP171</f>
        <v>1.6765325253138414</v>
      </c>
      <c r="AR171" s="5">
        <f>S171-AQ171</f>
        <v>6.661338147750939e-16</v>
      </c>
      <c r="AS171" s="5">
        <f>AS170</f>
        <v>0</v>
      </c>
      <c r="AT171" s="5">
        <f>AT170+AI171</f>
        <v>0</v>
      </c>
      <c r="AU171" s="5">
        <f>AU170+AM171</f>
        <v>0</v>
      </c>
      <c r="AV171" s="5">
        <f>AS171+AT171+AU171</f>
        <v>0</v>
      </c>
      <c r="AW171" s="5">
        <f>U171-AV171</f>
        <v>0</v>
      </c>
      <c r="AX171" s="4">
        <v>1.6589974067164344</v>
      </c>
      <c r="AY171" s="4">
        <v>1.6765325253138421</v>
      </c>
      <c r="AZ171" s="5">
        <f>S171-AY171</f>
        <v>0</v>
      </c>
      <c r="BA171" s="4">
        <v>0</v>
      </c>
      <c r="BB171" s="4">
        <v>0</v>
      </c>
      <c r="BC171" s="5">
        <f>U171-BB171</f>
        <v>0</v>
      </c>
      <c r="BD171" s="7">
        <f>SUM(IF(BP171="direct",CC171/F171,0),IF(CR171="direct",DE171/F171,0),IF(DT171="direct",EG171/F171,0),IF(EV171="direct",FI171/F171,0),IF(FX171="direct",GK171/F171,0),IF(GZ171="direct",HM171/F171,0),IF(IB171="direct",IO171/F171,0),IF(JD171="direct",JQ171/F171,0),IF(KF171="direct",KS171/F171,0),IF(LH171="direct",LU171/F171,0))</f>
        <v>0</v>
      </c>
      <c r="BE171" s="7">
        <f>-SUM(IF(BP171="direct",CD171/F171,0),IF(CR171="direct",DF171/F171,0),IF(DT171="direct",EH171/F171,0),IF(EV171="direct",FJ171/F171,0),IF(FX171="direct",GL171/F171,0),IF(GZ171="direct",HN171/F171,0),IF(IB171="direct",IP171/F171,0),IF(JD171="direct",JR171/F171,0),IF(KF171="direct",KT171/F171,0),IF(LH171="direct",LV171/F171,0))</f>
        <v>0</v>
      </c>
      <c r="BF171" s="7">
        <f>BD171+BE171</f>
        <v>0</v>
      </c>
      <c r="BG171" s="7">
        <f>BF171-SUM(IF(BP171="direct",CP171,0),IF(CR171="direct",DR171,0),IF(DT171="direct",ET171,0),IF(EV171="direct",FV171,0),IF(FX171="direct",GX171,0),IF(GZ171="direct",HZ171,0),IF(IB171="direct",JB171,0),IF(JD171="direct",KD171,0),IF(KF171="direct",LF171,0),IF(LH171="direct",MH171,0))</f>
        <v>0</v>
      </c>
      <c r="BH171" s="7">
        <f>SUM(IF(BP171="treasury",CP171,0),IF(CR171="treasury",DR171,0),IF(DT171="treasury",ET171,0),IF(EV171="treasury",FV171,0),IF(FX171="treasury",GX171,0),IF(GZ171="treasury",HZ171,0),IF(IB171="treasury",JB171,0),IF(JD171="treasury",KD171,0),IF(KF171="treasury",LF171,0),IF(LH171="treasury",MH171,0))</f>
        <v>0.0001950684931506849</v>
      </c>
      <c r="BI171" s="7">
        <f>SUM(IF(BP171="future",CP171,0),IF(CR171="future",DR171,0),IF(DT171="future",ET171,0),IF(EV171="future",FV171,0),IF(FX171="future",GX171,0),IF(GZ171="future",HZ171,0),IF(IB171="future",JB171,0),IF(JD171="future",KD171,0),IF(KF171="future",LF171,0),IF(LH171="future",MH171,0))</f>
        <v>0.01037463976945241</v>
      </c>
      <c r="BJ171" s="7">
        <f>SUM(IF(BP171="cash",CP171,0),IF(CR171="cash",DR171,0),IF(DT171="cash",ET171,0),IF(EV171="cash",FV171,0),IF(FX171="cash",GX171,0),IF(GZ171="cash",HZ171,0),IF(IB171="cash",JB171,0),IF(JD171="cash",KD171,0),IF(KF171="cash",LF171,0),IF(LH171="cash",MH171,0))</f>
        <v>0</v>
      </c>
      <c r="BK171" s="7">
        <f>SUM(BF171,BH171,BI171,BJ171)</f>
        <v>0.010569708262603094</v>
      </c>
      <c r="BL171" s="7">
        <f>G171-BK171</f>
        <v>0</v>
      </c>
      <c r="BM171" s="5">
        <f>MAX(ABS(CG171),ABS(DI171),ABS(EK171),ABS(FM171),ABS(GO171),ABS(HQ171),ABS(IS171),ABS(JU171),ABS(KW171),ABS(LY171))</f>
        <v>1.0191500421363742e-16</v>
      </c>
      <c r="BN171" s="9">
        <f>COUNTA(BO171,CQ171,DS171,EU171,FW171,GY171,IA171,JC171,KE171,LG171)</f>
        <v>4</v>
      </c>
      <c r="BO171" t="inlineStr">
        <is>
          <t xml:space="preserve">Treasury collateral</t>
        </is>
      </c>
      <c r="BP171" t="inlineStr">
        <is>
          <t xml:space="preserve">treasury</t>
        </is>
      </c>
      <c r="BQ171" t="inlineStr">
        <is>
          <t xml:space="preserve">lease</t>
        </is>
      </c>
      <c r="BR171" t="inlineStr">
        <is>
          <t xml:space="preserve">long</t>
        </is>
      </c>
      <c r="BS171"/>
      <c r="BT171" s="4">
        <v>104.48533542641631</v>
      </c>
      <c r="BU171" s="4">
        <v>104.50571722335428</v>
      </c>
      <c r="BV171" s="6"/>
      <c r="BW171" s="4">
        <v>0.0158778014153458</v>
      </c>
      <c r="BX171" s="5">
        <f>IF(BP171="direct",IFERROR(CD171/BU171,0),0)</f>
        <v>0</v>
      </c>
      <c r="BY171" s="5">
        <f>IF(BP171="direct",BW171-BX171,IF(BP171="cash",CI171,BW171))</f>
        <v>0.0158778014153458</v>
      </c>
      <c r="BZ171" s="6">
        <v>1</v>
      </c>
      <c r="CA171" s="4">
        <v>1.6589974067164337</v>
      </c>
      <c r="CB171" s="4">
        <v>1.6589974067164337</v>
      </c>
      <c r="CC171" s="5">
        <f>IF(BP171="direct",BW171*(BU171-BT171),CF171)</f>
        <v>0.00032361812426896677</v>
      </c>
      <c r="CD171" s="5">
        <f>IF(BP171="direct",CB171*BV171*C171/365,0)</f>
        <v>0</v>
      </c>
      <c r="CE171" s="5">
        <f>CC171-CD171</f>
        <v>0.0003236181242690687</v>
      </c>
      <c r="CF171" s="4">
        <v>0.0003236181242690687</v>
      </c>
      <c r="CG171" s="5">
        <f>CF171-CE171</f>
        <v>1.0191500421363742e-16</v>
      </c>
      <c r="CH171" s="4">
        <v>-1.1470858984896637e-16</v>
      </c>
      <c r="CI171" s="4">
        <v>1.6593210248407027</v>
      </c>
      <c r="CJ171" s="4">
        <v>1.754</v>
      </c>
      <c r="CK171" s="4">
        <v>1.769</v>
      </c>
      <c r="CL171" s="6"/>
      <c r="CM171" s="6"/>
      <c r="CN171" s="6"/>
      <c r="CO171" s="9">
        <v>16</v>
      </c>
      <c r="CP171" s="7">
        <f>IFERROR(CE171/F171,0)</f>
        <v>0.0001950684931506849</v>
      </c>
      <c r="CQ171" t="inlineStr">
        <is>
          <t xml:space="preserve">SI69U</t>
        </is>
      </c>
      <c r="CR171" t="inlineStr">
        <is>
          <t xml:space="preserve">future</t>
        </is>
      </c>
      <c r="CS171" t="inlineStr">
        <is>
          <t xml:space="preserve">lease</t>
        </is>
      </c>
      <c r="CT171" t="inlineStr">
        <is>
          <t xml:space="preserve">long</t>
        </is>
      </c>
      <c r="CU171" t="inlineStr">
        <is>
          <t xml:space="preserve">regular</t>
        </is>
      </c>
      <c r="CV171" s="4">
        <v>1.735</v>
      </c>
      <c r="CW171" s="4">
        <v>1.7530000000000001</v>
      </c>
      <c r="CX171" s="6"/>
      <c r="CY171" s="4">
        <v>0.9561944707299329</v>
      </c>
      <c r="CZ171" s="5">
        <f>IF(CR171="direct",IFERROR(DF171/CW171,0),0)</f>
        <v>0</v>
      </c>
      <c r="DA171" s="5">
        <f>IF(CR171="direct",CY171-CZ171,IF(CR171="cash",DK171,CY171))</f>
        <v>0.9561944707299329</v>
      </c>
      <c r="DB171" s="6">
        <v>1</v>
      </c>
      <c r="DC171" s="4">
        <v>1.6589974067164337</v>
      </c>
      <c r="DD171" s="4">
        <v>0</v>
      </c>
      <c r="DE171" s="5">
        <f>IF(CR171="direct",CY171*(CW171-CV171),DH171)</f>
        <v>0.017211500473138727</v>
      </c>
      <c r="DF171" s="5">
        <f>IF(CR171="direct",DD171*CX171*C171/365,0)</f>
        <v>0</v>
      </c>
      <c r="DG171" s="5">
        <f>DE171-DF171</f>
        <v>0.017211500473138727</v>
      </c>
      <c r="DH171" s="4">
        <v>0.017211500473138727</v>
      </c>
      <c r="DI171" s="5">
        <f>DH171-DG171</f>
        <v>0</v>
      </c>
      <c r="DJ171" s="4">
        <v>-0.017211500473138727</v>
      </c>
      <c r="DK171" s="4">
        <v>0</v>
      </c>
      <c r="DL171" s="4">
        <v>1.754</v>
      </c>
      <c r="DM171" s="4">
        <v>1.769</v>
      </c>
      <c r="DN171" s="6">
        <v>-0.010832383124287248</v>
      </c>
      <c r="DO171" s="6">
        <v>0.0712</v>
      </c>
      <c r="DP171" s="6">
        <v>0.3183137400228028</v>
      </c>
      <c r="DQ171" s="9">
        <v>16</v>
      </c>
      <c r="DR171" s="7">
        <f>IFERROR(DG171/F171,0)</f>
        <v>0.01037463976945241</v>
      </c>
      <c r="DS171" t="inlineStr">
        <is>
          <t xml:space="preserve">Lease cash / margin / financing</t>
        </is>
      </c>
      <c r="DT171" t="inlineStr">
        <is>
          <t xml:space="preserve">cash</t>
        </is>
      </c>
      <c r="DU171" t="inlineStr">
        <is>
          <t xml:space="preserve">lease</t>
        </is>
      </c>
      <c r="DV171" t="inlineStr">
        <is>
          <t xml:space="preserve">cash</t>
        </is>
      </c>
      <c r="DW171"/>
      <c r="DX171" s="4">
        <v>1</v>
      </c>
      <c r="DY171" s="4">
        <v>1</v>
      </c>
      <c r="DZ171" s="6"/>
      <c r="EA171" s="4">
        <v>6.661338147750939e-16</v>
      </c>
      <c r="EB171" s="5">
        <f>IF(DT171="direct",IFERROR(EH171/DY171,0),0)</f>
        <v>0</v>
      </c>
      <c r="EC171" s="5">
        <f>IF(DT171="direct",EA171-EB171,IF(DT171="cash",EM171,EA171))</f>
        <v>0.017211500473139508</v>
      </c>
      <c r="ED171" s="6"/>
      <c r="EE171" s="4">
        <v>6.661338147750939e-16</v>
      </c>
      <c r="EF171" s="4">
        <v>6.661338147750939e-16</v>
      </c>
      <c r="EG171" s="5">
        <f>IF(DT171="direct",EA171*(DY171-DX171),EJ171)</f>
        <v>0</v>
      </c>
      <c r="EH171" s="5">
        <f>IF(DT171="direct",EF171*DZ171*C171/365,0)</f>
        <v>0</v>
      </c>
      <c r="EI171" s="5">
        <f>EG171-EH171</f>
        <v>0</v>
      </c>
      <c r="EJ171" s="4">
        <v>0</v>
      </c>
      <c r="EK171" s="5">
        <f>EJ171-EI171</f>
        <v>0</v>
      </c>
      <c r="EL171" s="4">
        <v>0.01721150047313884</v>
      </c>
      <c r="EM171" s="4">
        <v>0.017211500473139508</v>
      </c>
      <c r="EN171" s="4">
        <v>1.754</v>
      </c>
      <c r="EO171" s="4">
        <v>1.769</v>
      </c>
      <c r="EP171" s="6"/>
      <c r="EQ171" s="6"/>
      <c r="ER171" s="6"/>
      <c r="ES171" s="9"/>
      <c r="ET171" s="7">
        <f>IFERROR(EI171/F171,0)</f>
        <v>0</v>
      </c>
      <c r="EU171" t="inlineStr">
        <is>
          <t xml:space="preserve">Keep cash / margin / financing</t>
        </is>
      </c>
      <c r="EV171" t="inlineStr">
        <is>
          <t xml:space="preserve">cash</t>
        </is>
      </c>
      <c r="EW171" t="inlineStr">
        <is>
          <t xml:space="preserve">keep</t>
        </is>
      </c>
      <c r="EX171" t="inlineStr">
        <is>
          <t xml:space="preserve">cash</t>
        </is>
      </c>
      <c r="EY171"/>
      <c r="EZ171" s="4">
        <v>1</v>
      </c>
      <c r="FA171" s="4">
        <v>1</v>
      </c>
      <c r="FB171" s="6"/>
      <c r="FC171" s="4">
        <v>0</v>
      </c>
      <c r="FD171" s="5">
        <f>IF(EV171="direct",IFERROR(FJ171/FA171,0),0)</f>
        <v>0</v>
      </c>
      <c r="FE171" s="5">
        <f>IF(EV171="direct",FC171-FD171,IF(EV171="cash",FO171,FC171))</f>
        <v>0</v>
      </c>
      <c r="FF171" s="6"/>
      <c r="FG171" s="4">
        <v>0</v>
      </c>
      <c r="FH171" s="4">
        <v>0</v>
      </c>
      <c r="FI171" s="5">
        <f>IF(EV171="direct",FC171*(FA171-EZ171),FL171)</f>
        <v>0</v>
      </c>
      <c r="FJ171" s="5">
        <f>IF(EV171="direct",FH171*FB171*C171/365,0)</f>
        <v>0</v>
      </c>
      <c r="FK171" s="5">
        <f>FI171-FJ171</f>
        <v>0</v>
      </c>
      <c r="FL171" s="4">
        <v>0</v>
      </c>
      <c r="FM171" s="5">
        <f>FL171-FK171</f>
        <v>0</v>
      </c>
      <c r="FN171" s="4">
        <v>0</v>
      </c>
      <c r="FO171" s="4">
        <v>0</v>
      </c>
      <c r="FP171" s="4">
        <v>1.754</v>
      </c>
      <c r="FQ171" s="4">
        <v>1.769</v>
      </c>
      <c r="FR171" s="6"/>
      <c r="FS171" s="6"/>
      <c r="FT171" s="6"/>
      <c r="FU171" s="9"/>
      <c r="FV171" s="7">
        <f>IFERROR(FK171/F171,0)</f>
        <v>0</v>
      </c>
      <c r="FW171"/>
      <c r="FX171"/>
      <c r="FY171"/>
      <c r="FZ171"/>
      <c r="GA171"/>
      <c r="GB171" s="4"/>
      <c r="GC171" s="4"/>
      <c r="GD171" s="6"/>
      <c r="GE171" s="4"/>
      <c r="GF171" s="5">
        <v>0</v>
      </c>
      <c r="GG171" s="5"/>
      <c r="GH171" s="6"/>
      <c r="GI171" s="4"/>
      <c r="GJ171" s="4"/>
      <c r="GK171" s="5">
        <v>0</v>
      </c>
      <c r="GL171" s="5">
        <v>0</v>
      </c>
      <c r="GM171" s="5"/>
      <c r="GN171" s="4"/>
      <c r="GO171" s="5">
        <v>0</v>
      </c>
      <c r="GP171" s="4"/>
      <c r="GQ171" s="4"/>
      <c r="GR171" s="4"/>
      <c r="GS171" s="4"/>
      <c r="GT171" s="6"/>
      <c r="GU171" s="6"/>
      <c r="GV171" s="6"/>
      <c r="GW171" s="9"/>
      <c r="GX171"/>
      <c r="GY171"/>
      <c r="GZ171"/>
      <c r="HA171"/>
      <c r="HB171"/>
      <c r="HC171"/>
      <c r="HD171" s="4"/>
      <c r="HE171" s="4"/>
      <c r="HF171" s="6"/>
      <c r="HG171" s="4"/>
      <c r="HH171" s="5">
        <v>0</v>
      </c>
      <c r="HI171" s="5"/>
      <c r="HJ171" s="6"/>
      <c r="HK171" s="4"/>
      <c r="HL171" s="4"/>
      <c r="HM171" s="5">
        <v>0</v>
      </c>
      <c r="HN171" s="5">
        <v>0</v>
      </c>
      <c r="HO171" s="5"/>
      <c r="HP171" s="4"/>
      <c r="HQ171" s="5">
        <v>0</v>
      </c>
      <c r="HR171" s="4"/>
      <c r="HS171" s="4"/>
      <c r="HT171" s="4"/>
      <c r="HU171" s="4"/>
      <c r="HV171" s="6"/>
      <c r="HW171" s="6"/>
      <c r="HX171" s="6"/>
      <c r="HY171" s="9"/>
      <c r="HZ171"/>
      <c r="IA171"/>
      <c r="IB171"/>
      <c r="IC171"/>
      <c r="ID171"/>
      <c r="IE171"/>
      <c r="IF171" s="4"/>
      <c r="IG171" s="4"/>
      <c r="IH171" s="6"/>
      <c r="II171" s="4"/>
      <c r="IJ171" s="5">
        <v>0</v>
      </c>
      <c r="IK171" s="5"/>
      <c r="IL171" s="6"/>
      <c r="IM171" s="4"/>
      <c r="IN171" s="4"/>
      <c r="IO171" s="5">
        <v>0</v>
      </c>
      <c r="IP171" s="5">
        <v>0</v>
      </c>
      <c r="IQ171" s="5"/>
      <c r="IR171" s="4"/>
      <c r="IS171" s="5">
        <v>0</v>
      </c>
      <c r="IT171" s="4"/>
      <c r="IU171" s="4"/>
      <c r="IV171" s="4"/>
      <c r="IW171" s="4"/>
      <c r="IX171" s="6"/>
      <c r="IY171" s="6"/>
      <c r="IZ171" s="6"/>
      <c r="JA171" s="9"/>
      <c r="JB171"/>
      <c r="JC171"/>
      <c r="JD171"/>
      <c r="JE171"/>
      <c r="JF171"/>
      <c r="JG171"/>
      <c r="JH171" s="4"/>
      <c r="JI171" s="4"/>
      <c r="JJ171" s="6"/>
      <c r="JK171" s="4"/>
      <c r="JL171" s="5">
        <v>0</v>
      </c>
      <c r="JM171" s="5"/>
      <c r="JN171" s="6"/>
      <c r="JO171" s="4"/>
      <c r="JP171" s="4"/>
      <c r="JQ171" s="5">
        <v>0</v>
      </c>
      <c r="JR171" s="5">
        <v>0</v>
      </c>
      <c r="JS171" s="5"/>
      <c r="JT171" s="4"/>
      <c r="JU171" s="5">
        <v>0</v>
      </c>
      <c r="JV171" s="4"/>
      <c r="JW171" s="4"/>
      <c r="JX171" s="4"/>
      <c r="JY171" s="4"/>
      <c r="JZ171" s="6"/>
      <c r="KA171" s="6"/>
      <c r="KB171" s="6"/>
      <c r="KC171" s="9"/>
      <c r="KD171"/>
      <c r="KE171"/>
      <c r="KF171"/>
      <c r="KG171"/>
      <c r="KH171"/>
      <c r="KI171"/>
      <c r="KJ171" s="4"/>
      <c r="KK171" s="4"/>
      <c r="KL171" s="6"/>
      <c r="KM171" s="4"/>
      <c r="KN171" s="5">
        <v>0</v>
      </c>
      <c r="KO171" s="5"/>
      <c r="KP171" s="6"/>
      <c r="KQ171" s="4"/>
      <c r="KR171" s="4"/>
      <c r="KS171" s="5">
        <v>0</v>
      </c>
      <c r="KT171" s="5">
        <v>0</v>
      </c>
      <c r="KU171" s="5"/>
      <c r="KV171" s="4"/>
      <c r="KW171" s="5">
        <v>0</v>
      </c>
      <c r="KX171" s="4"/>
      <c r="KY171" s="4"/>
      <c r="KZ171" s="4"/>
      <c r="LA171" s="4"/>
      <c r="LB171" s="6"/>
      <c r="LC171" s="6"/>
      <c r="LD171" s="6"/>
      <c r="LE171" s="9"/>
      <c r="LF171"/>
      <c r="LG171"/>
      <c r="LH171"/>
      <c r="LI171"/>
      <c r="LJ171"/>
      <c r="LK171"/>
      <c r="LL171" s="4"/>
      <c r="LM171" s="4"/>
      <c r="LN171" s="6"/>
      <c r="LO171" s="4"/>
      <c r="LP171" s="5">
        <v>0</v>
      </c>
      <c r="LQ171" s="5"/>
      <c r="LR171" s="6"/>
      <c r="LS171" s="4"/>
      <c r="LT171" s="4"/>
      <c r="LU171" s="5">
        <v>0</v>
      </c>
      <c r="LV171" s="5">
        <v>0</v>
      </c>
      <c r="LW171" s="5"/>
      <c r="LX171" s="4"/>
      <c r="LY171" s="5">
        <v>0</v>
      </c>
      <c r="LZ171" s="4"/>
      <c r="MA171" s="4"/>
      <c r="MB171" s="4"/>
      <c r="MC171" s="4"/>
      <c r="MD171" s="6"/>
      <c r="ME171" s="6"/>
      <c r="MF171" s="6"/>
      <c r="MG171" s="9"/>
      <c r="MH171"/>
    </row>
    <row r="172">
      <c r="A172" s="8">
        <v>25457</v>
      </c>
      <c r="B172" s="8">
        <v>25458</v>
      </c>
      <c r="C172" s="9">
        <f>B172-A172</f>
        <v>1</v>
      </c>
      <c r="D172" s="8">
        <v>25457</v>
      </c>
      <c r="E172" t="inlineStr">
        <is>
          <t xml:space="preserve">positive</t>
        </is>
      </c>
      <c r="F172" s="4">
        <v>1.6765325253138414</v>
      </c>
      <c r="G172" s="6">
        <v>0.0053283024795066245</v>
      </c>
      <c r="H172" s="7">
        <f>SUM(CP172,DR172,ET172,FV172,GX172,HZ172,JB172,KD172,LF172,MH172)</f>
        <v>0.0053283024795066245</v>
      </c>
      <c r="I172" s="7">
        <f>G172-H172</f>
        <v>0</v>
      </c>
      <c r="J172" s="5">
        <f>F172*(1+H172)</f>
        <v>1.6854655977254445</v>
      </c>
      <c r="K172" s="4">
        <v>1.6854655977254445</v>
      </c>
      <c r="L172" s="5">
        <f>K172-J172</f>
        <v>0</v>
      </c>
      <c r="M172" s="4">
        <v>1.769</v>
      </c>
      <c r="N172" s="4">
        <v>1.804</v>
      </c>
      <c r="O172" s="5">
        <f>M172/$M$3</f>
        <v>0.9034729315628192</v>
      </c>
      <c r="P172" s="5">
        <f>N172/$M$3</f>
        <v>0.9213483146067416</v>
      </c>
      <c r="Q172" s="7">
        <f>IFERROR(N172/M172-1,0)</f>
        <v>0.019785189372526935</v>
      </c>
      <c r="R172" s="5">
        <f>SUM(IF(BQ172="lease",CB172,0),IF(CS172="lease",DD172,0),IF(DU172="lease",EF172,0),IF(EW172="lease",FH172,0),IF(FY172="lease",GJ172,0),IF(HA172="lease",HL172,0),IF(IC172="lease",IN172,0),IF(JE172="lease",JP172,0),IF(KG172="lease",KR172,0),IF(LI172="lease",LT172,0))</f>
        <v>1.6765325253138421</v>
      </c>
      <c r="S172" s="5">
        <f>SUM(IF(BQ172="lease",CI172,0),IF(CS172="lease",DK172,0),IF(DU172="lease",EM172,0),IF(EW172="lease",FO172,0),IF(FY172="lease",GQ172,0),IF(HA172="lease",HS172,0),IF(IC172="lease",IU172,0),IF(JE172="lease",JW172,0),IF(KG172="lease",KY172,0),IF(LI172="lease",MA172,0))</f>
        <v>1.6854655977254454</v>
      </c>
      <c r="T172" s="5">
        <f>SUM(IF(BQ172="keep",CB172,0),IF(CS172="keep",DD172,0),IF(DU172="keep",EF172,0),IF(EW172="keep",FH172,0),IF(FY172="keep",GJ172,0),IF(HA172="keep",HL172,0),IF(IC172="keep",IN172,0),IF(JE172="keep",JP172,0),IF(KG172="keep",KR172,0),IF(LI172="keep",LT172,0))</f>
        <v>0</v>
      </c>
      <c r="U172" s="5">
        <f>SUM(IF(BQ172="keep",CI172,0),IF(CS172="keep",DK172,0),IF(DU172="keep",EM172,0),IF(EW172="keep",FO172,0),IF(FY172="keep",GQ172,0),IF(HA172="keep",HS172,0),IF(IC172="keep",IU172,0),IF(JE172="keep",JW172,0),IF(KG172="keep",KY172,0),IF(LI172="keep",MA172,0))</f>
        <v>0</v>
      </c>
      <c r="V172" s="5">
        <f>R172/O172</f>
        <v>1.8556532982275313</v>
      </c>
      <c r="W172" s="5">
        <f>S172/P172</f>
        <v>1.8293468072873735</v>
      </c>
      <c r="X172" s="5">
        <f>T172/O172</f>
        <v>0</v>
      </c>
      <c r="Y172" s="5">
        <f>U172/P172</f>
        <v>0</v>
      </c>
      <c r="Z172" s="5">
        <f>V172+X172</f>
        <v>1.8556532982275313</v>
      </c>
      <c r="AA172" s="7">
        <f>IFERROR(W172/V172-1,0)</f>
        <v>-0.014176404054186742</v>
      </c>
      <c r="AB172" s="7">
        <f>IFERROR((W172-V172)/Z172,0)</f>
        <v>-0.014176404054186756</v>
      </c>
      <c r="AC172" s="7">
        <f>IFERROR(Y172/X172-1,0)</f>
        <v>0</v>
      </c>
      <c r="AD172" s="7">
        <f>IFERROR((Y172-X172)/Z172,0)</f>
        <v>0</v>
      </c>
      <c r="AE172" s="7">
        <f>AB172+AD172</f>
        <v>-0.014176404054186756</v>
      </c>
      <c r="AF172" s="7">
        <f>(1+Q172)*(1+AE172)-1</f>
        <v>0.0053283024795065526</v>
      </c>
      <c r="AG172" s="7">
        <f>G172-AF172</f>
        <v>7.19910242530375e-17</v>
      </c>
      <c r="AH172" s="5">
        <f>SUM(IF(BQ172="lease",CE172,0),IF(CS172="lease",DG172,0),IF(DU172="lease",EI172,0),IF(EW172="lease",FK172,0),IF(FY172="lease",GM172,0),IF(HA172="lease",HO172,0),IF(IC172="lease",IQ172,0),IF(JE172="lease",JS172,0),IF(KG172="lease",KU172,0),IF(LI172="lease",LW172,0))</f>
        <v>0.008933072411603245</v>
      </c>
      <c r="AI172" s="5">
        <f>SUM(IF(BQ172="keep",CE172,0),IF(CS172="keep",DG172,0),IF(DU172="keep",EI172,0),IF(EW172="keep",FK172,0),IF(FY172="keep",GM172,0),IF(HA172="keep",HO172,0),IF(IC172="keep",IQ172,0),IF(JE172="keep",JS172,0),IF(KG172="keep",KU172,0),IF(LI172="keep",LW172,0))</f>
        <v>0</v>
      </c>
      <c r="AJ172" s="5">
        <f>SUM(IF(BQ172="lease",CH172,0),IF(CS172="lease",DJ172,0),IF(DU172="lease",EL172,0),IF(EW172="lease",FN172,0),IF(FY172="lease",GP172,0),IF(HA172="lease",HR172,0),IF(IC172="lease",IT172,0),IF(JE172="lease",JV172,0),IF(KG172="lease",KX172,0),IF(LI172="lease",LZ172,0))</f>
        <v>0</v>
      </c>
      <c r="AK172" s="5">
        <f>SUM(IF(BQ172="keep",CH172,0),IF(CS172="keep",DJ172,0),IF(DU172="keep",EL172,0),IF(EW172="keep",FN172,0),IF(FY172="keep",GP172,0),IF(HA172="keep",HR172,0),IF(IC172="keep",IT172,0),IF(JE172="keep",JV172,0),IF(KG172="keep",KX172,0),IF(LI172="keep",LZ172,0))</f>
        <v>0</v>
      </c>
      <c r="AL172" s="5">
        <f>R172-S171</f>
        <v>0</v>
      </c>
      <c r="AM172" s="5">
        <f>T172-U171</f>
        <v>0</v>
      </c>
      <c r="AN172" s="5">
        <f>AN171</f>
        <v>1</v>
      </c>
      <c r="AO172" s="5">
        <f>AO171+AH172</f>
        <v>0.6854655977254456</v>
      </c>
      <c r="AP172" s="5">
        <f>AP171+AL172</f>
        <v>-8.881784197001252e-16</v>
      </c>
      <c r="AQ172" s="5">
        <f>AN172+AO172+AP172</f>
        <v>1.6854655977254447</v>
      </c>
      <c r="AR172" s="5">
        <f>S172-AQ172</f>
        <v>6.661338147750939e-16</v>
      </c>
      <c r="AS172" s="5">
        <f>AS171</f>
        <v>0</v>
      </c>
      <c r="AT172" s="5">
        <f>AT171+AI172</f>
        <v>0</v>
      </c>
      <c r="AU172" s="5">
        <f>AU171+AM172</f>
        <v>0</v>
      </c>
      <c r="AV172" s="5">
        <f>AS172+AT172+AU172</f>
        <v>0</v>
      </c>
      <c r="AW172" s="5">
        <f>U172-AV172</f>
        <v>0</v>
      </c>
      <c r="AX172" s="4">
        <v>1.6765325253138421</v>
      </c>
      <c r="AY172" s="4">
        <v>1.6854655977254454</v>
      </c>
      <c r="AZ172" s="5">
        <f>S172-AY172</f>
        <v>0</v>
      </c>
      <c r="BA172" s="4">
        <v>0</v>
      </c>
      <c r="BB172" s="4">
        <v>0</v>
      </c>
      <c r="BC172" s="5">
        <f>U172-BB172</f>
        <v>0</v>
      </c>
      <c r="BD172" s="7">
        <f>SUM(IF(BP172="direct",CC172/F172,0),IF(CR172="direct",DE172/F172,0),IF(DT172="direct",EG172/F172,0),IF(EV172="direct",FI172/F172,0),IF(FX172="direct",GK172/F172,0),IF(GZ172="direct",HM172/F172,0),IF(IB172="direct",IO172/F172,0),IF(JD172="direct",JQ172/F172,0),IF(KF172="direct",KS172/F172,0),IF(LH172="direct",LU172/F172,0))</f>
        <v>0</v>
      </c>
      <c r="BE172" s="7">
        <f>-SUM(IF(BP172="direct",CD172/F172,0),IF(CR172="direct",DF172/F172,0),IF(DT172="direct",EH172/F172,0),IF(EV172="direct",FJ172/F172,0),IF(FX172="direct",GL172/F172,0),IF(GZ172="direct",HN172/F172,0),IF(IB172="direct",IP172/F172,0),IF(JD172="direct",JR172/F172,0),IF(KF172="direct",KT172/F172,0),IF(LH172="direct",LV172/F172,0))</f>
        <v>0</v>
      </c>
      <c r="BF172" s="7">
        <f>BD172+BE172</f>
        <v>0</v>
      </c>
      <c r="BG172" s="7">
        <f>BF172-SUM(IF(BP172="direct",CP172,0),IF(CR172="direct",DR172,0),IF(DT172="direct",ET172,0),IF(EV172="direct",FV172,0),IF(FX172="direct",GX172,0),IF(GZ172="direct",HZ172,0),IF(IB172="direct",JB172,0),IF(JD172="direct",KD172,0),IF(KF172="direct",LF172,0),IF(LH172="direct",MH172,0))</f>
        <v>0</v>
      </c>
      <c r="BH172" s="7">
        <f>SUM(IF(BP172="treasury",CP172,0),IF(CR172="treasury",DR172,0),IF(DT172="treasury",ET172,0),IF(EV172="treasury",FV172,0),IF(FX172="treasury",GX172,0),IF(GZ172="treasury",HZ172,0),IF(IB172="treasury",JB172,0),IF(JD172="treasury",KD172,0),IF(KF172="treasury",LF172,0),IF(LH172="treasury",MH172,0))</f>
        <v>0.00019424657534246578</v>
      </c>
      <c r="BI172" s="7">
        <f>SUM(IF(BP172="future",CP172,0),IF(CR172="future",DR172,0),IF(DT172="future",ET172,0),IF(EV172="future",FV172,0),IF(FX172="future",GX172,0),IF(GZ172="future",HZ172,0),IF(IB172="future",JB172,0),IF(JD172="future",KD172,0),IF(KF172="future",LF172,0),IF(LH172="future",MH172,0))</f>
        <v>0.005134055904164159</v>
      </c>
      <c r="BJ172" s="7">
        <f>SUM(IF(BP172="cash",CP172,0),IF(CR172="cash",DR172,0),IF(DT172="cash",ET172,0),IF(EV172="cash",FV172,0),IF(FX172="cash",GX172,0),IF(GZ172="cash",HZ172,0),IF(IB172="cash",JB172,0),IF(JD172="cash",KD172,0),IF(KF172="cash",LF172,0),IF(LH172="cash",MH172,0))</f>
        <v>0</v>
      </c>
      <c r="BK172" s="7">
        <f>SUM(BF172,BH172,BI172,BJ172)</f>
        <v>0.0053283024795066245</v>
      </c>
      <c r="BL172" s="7">
        <f>G172-BK172</f>
        <v>0</v>
      </c>
      <c r="BM172" s="5">
        <f>MAX(ABS(CG172),ABS(DI172),ABS(EK172),ABS(FM172),ABS(GO172),ABS(HQ172),ABS(IS172),ABS(JU172),ABS(KW172),ABS(LY172))</f>
        <v>3.745918505937418e-17</v>
      </c>
      <c r="BN172" s="9">
        <f>COUNTA(BO172,CQ172,DS172,EU172,FW172,GY172,IA172,JC172,KE172,LG172)</f>
        <v>4</v>
      </c>
      <c r="BO172" t="inlineStr">
        <is>
          <t xml:space="preserve">Treasury collateral</t>
        </is>
      </c>
      <c r="BP172" t="inlineStr">
        <is>
          <t xml:space="preserve">treasury</t>
        </is>
      </c>
      <c r="BQ172" t="inlineStr">
        <is>
          <t xml:space="preserve">lease</t>
        </is>
      </c>
      <c r="BR172" t="inlineStr">
        <is>
          <t xml:space="preserve">long</t>
        </is>
      </c>
      <c r="BS172"/>
      <c r="BT172" s="4">
        <v>104.50571722335428</v>
      </c>
      <c r="BU172" s="4">
        <v>104.52601710102863</v>
      </c>
      <c r="BV172" s="6"/>
      <c r="BW172" s="4">
        <v>0.01604249575868353</v>
      </c>
      <c r="BX172" s="5">
        <f>IF(BP172="direct",IFERROR(CD172/BU172,0),0)</f>
        <v>0</v>
      </c>
      <c r="BY172" s="5">
        <f>IF(BP172="direct",BW172-BX172,IF(BP172="cash",CI172,BW172))</f>
        <v>0.01604249575868353</v>
      </c>
      <c r="BZ172" s="6">
        <v>1</v>
      </c>
      <c r="CA172" s="4">
        <v>1.6765325253138414</v>
      </c>
      <c r="CB172" s="4">
        <v>1.6765325253138414</v>
      </c>
      <c r="CC172" s="5">
        <f>IF(BP172="direct",BW172*(BU172-BT172),CF172)</f>
        <v>0.00032566070149250695</v>
      </c>
      <c r="CD172" s="5">
        <f>IF(BP172="direct",CB172*BV172*C172/365,0)</f>
        <v>0</v>
      </c>
      <c r="CE172" s="5">
        <f>CC172-CD172</f>
        <v>0.0003256607014924695</v>
      </c>
      <c r="CF172" s="4">
        <v>0.0003256607014924695</v>
      </c>
      <c r="CG172" s="5">
        <f>CF172-CE172</f>
        <v>-3.745918505937418e-17</v>
      </c>
      <c r="CH172" s="4">
        <v>-1.5542038142579706e-16</v>
      </c>
      <c r="CI172" s="4">
        <v>1.6768581860153338</v>
      </c>
      <c r="CJ172" s="4">
        <v>1.769</v>
      </c>
      <c r="CK172" s="4">
        <v>1.804</v>
      </c>
      <c r="CL172" s="6"/>
      <c r="CM172" s="6"/>
      <c r="CN172" s="6"/>
      <c r="CO172" s="9">
        <v>15</v>
      </c>
      <c r="CP172" s="7">
        <f>IFERROR(CE172/F172,0)</f>
        <v>0.00019424657534246578</v>
      </c>
      <c r="CQ172" t="inlineStr">
        <is>
          <t xml:space="preserve">SI69U</t>
        </is>
      </c>
      <c r="CR172" t="inlineStr">
        <is>
          <t xml:space="preserve">future</t>
        </is>
      </c>
      <c r="CS172" t="inlineStr">
        <is>
          <t xml:space="preserve">lease</t>
        </is>
      </c>
      <c r="CT172" t="inlineStr">
        <is>
          <t xml:space="preserve">long</t>
        </is>
      </c>
      <c r="CU172" t="inlineStr">
        <is>
          <t xml:space="preserve">regular</t>
        </is>
      </c>
      <c r="CV172" s="4">
        <v>1.7530000000000001</v>
      </c>
      <c r="CW172" s="4">
        <v>1.7619999999999998</v>
      </c>
      <c r="CX172" s="6"/>
      <c r="CY172" s="4">
        <v>0.9563790789012215</v>
      </c>
      <c r="CZ172" s="5">
        <f>IF(CR172="direct",IFERROR(DF172/CW172,0),0)</f>
        <v>0</v>
      </c>
      <c r="DA172" s="5">
        <f>IF(CR172="direct",CY172-CZ172,IF(CR172="cash",DK172,CY172))</f>
        <v>0.9563790789012215</v>
      </c>
      <c r="DB172" s="6">
        <v>1</v>
      </c>
      <c r="DC172" s="4">
        <v>1.6765325253138414</v>
      </c>
      <c r="DD172" s="4">
        <v>0</v>
      </c>
      <c r="DE172" s="5">
        <f>IF(CR172="direct",CY172*(CW172-CV172),DH172)</f>
        <v>0.008607411710110775</v>
      </c>
      <c r="DF172" s="5">
        <f>IF(CR172="direct",DD172*CX172*C172/365,0)</f>
        <v>0</v>
      </c>
      <c r="DG172" s="5">
        <f>DE172-DF172</f>
        <v>0.008607411710110775</v>
      </c>
      <c r="DH172" s="4">
        <v>0.008607411710110775</v>
      </c>
      <c r="DI172" s="5">
        <f>DH172-DG172</f>
        <v>0</v>
      </c>
      <c r="DJ172" s="4">
        <v>-0.008607411710110775</v>
      </c>
      <c r="DK172" s="4">
        <v>0</v>
      </c>
      <c r="DL172" s="4">
        <v>1.769</v>
      </c>
      <c r="DM172" s="4">
        <v>1.804</v>
      </c>
      <c r="DN172" s="6">
        <v>-0.009044657998869332</v>
      </c>
      <c r="DO172" s="6">
        <v>0.0709</v>
      </c>
      <c r="DP172" s="6">
        <v>0.2909866779724871</v>
      </c>
      <c r="DQ172" s="9">
        <v>15</v>
      </c>
      <c r="DR172" s="7">
        <f>IFERROR(DG172/F172,0)</f>
        <v>0.005134055904164159</v>
      </c>
      <c r="DS172" t="inlineStr">
        <is>
          <t xml:space="preserve">Lease cash / margin / financing</t>
        </is>
      </c>
      <c r="DT172" t="inlineStr">
        <is>
          <t xml:space="preserve">cash</t>
        </is>
      </c>
      <c r="DU172" t="inlineStr">
        <is>
          <t xml:space="preserve">lease</t>
        </is>
      </c>
      <c r="DV172" t="inlineStr">
        <is>
          <t xml:space="preserve">cash</t>
        </is>
      </c>
      <c r="DW172"/>
      <c r="DX172" s="4">
        <v>1</v>
      </c>
      <c r="DY172" s="4">
        <v>1</v>
      </c>
      <c r="DZ172" s="6"/>
      <c r="EA172" s="4">
        <v>6.661338147750939e-16</v>
      </c>
      <c r="EB172" s="5">
        <f>IF(DT172="direct",IFERROR(EH172/DY172,0),0)</f>
        <v>0</v>
      </c>
      <c r="EC172" s="5">
        <f>IF(DT172="direct",EA172-EB172,IF(DT172="cash",EM172,EA172))</f>
        <v>0.008607411710111597</v>
      </c>
      <c r="ED172" s="6"/>
      <c r="EE172" s="4">
        <v>6.661338147750939e-16</v>
      </c>
      <c r="EF172" s="4">
        <v>6.661338147750939e-16</v>
      </c>
      <c r="EG172" s="5">
        <f>IF(DT172="direct",EA172*(DY172-DX172),EJ172)</f>
        <v>0</v>
      </c>
      <c r="EH172" s="5">
        <f>IF(DT172="direct",EF172*DZ172*C172/365,0)</f>
        <v>0</v>
      </c>
      <c r="EI172" s="5">
        <f>EG172-EH172</f>
        <v>0</v>
      </c>
      <c r="EJ172" s="4">
        <v>0</v>
      </c>
      <c r="EK172" s="5">
        <f>EJ172-EI172</f>
        <v>0</v>
      </c>
      <c r="EL172" s="4">
        <v>0.00860741171011093</v>
      </c>
      <c r="EM172" s="4">
        <v>0.008607411710111597</v>
      </c>
      <c r="EN172" s="4">
        <v>1.769</v>
      </c>
      <c r="EO172" s="4">
        <v>1.804</v>
      </c>
      <c r="EP172" s="6"/>
      <c r="EQ172" s="6"/>
      <c r="ER172" s="6"/>
      <c r="ES172" s="9"/>
      <c r="ET172" s="7">
        <f>IFERROR(EI172/F172,0)</f>
        <v>0</v>
      </c>
      <c r="EU172" t="inlineStr">
        <is>
          <t xml:space="preserve">Keep cash / margin / financing</t>
        </is>
      </c>
      <c r="EV172" t="inlineStr">
        <is>
          <t xml:space="preserve">cash</t>
        </is>
      </c>
      <c r="EW172" t="inlineStr">
        <is>
          <t xml:space="preserve">keep</t>
        </is>
      </c>
      <c r="EX172" t="inlineStr">
        <is>
          <t xml:space="preserve">cash</t>
        </is>
      </c>
      <c r="EY172"/>
      <c r="EZ172" s="4">
        <v>1</v>
      </c>
      <c r="FA172" s="4">
        <v>1</v>
      </c>
      <c r="FB172" s="6"/>
      <c r="FC172" s="4">
        <v>0</v>
      </c>
      <c r="FD172" s="5">
        <f>IF(EV172="direct",IFERROR(FJ172/FA172,0),0)</f>
        <v>0</v>
      </c>
      <c r="FE172" s="5">
        <f>IF(EV172="direct",FC172-FD172,IF(EV172="cash",FO172,FC172))</f>
        <v>0</v>
      </c>
      <c r="FF172" s="6"/>
      <c r="FG172" s="4">
        <v>0</v>
      </c>
      <c r="FH172" s="4">
        <v>0</v>
      </c>
      <c r="FI172" s="5">
        <f>IF(EV172="direct",FC172*(FA172-EZ172),FL172)</f>
        <v>0</v>
      </c>
      <c r="FJ172" s="5">
        <f>IF(EV172="direct",FH172*FB172*C172/365,0)</f>
        <v>0</v>
      </c>
      <c r="FK172" s="5">
        <f>FI172-FJ172</f>
        <v>0</v>
      </c>
      <c r="FL172" s="4">
        <v>0</v>
      </c>
      <c r="FM172" s="5">
        <f>FL172-FK172</f>
        <v>0</v>
      </c>
      <c r="FN172" s="4">
        <v>0</v>
      </c>
      <c r="FO172" s="4">
        <v>0</v>
      </c>
      <c r="FP172" s="4">
        <v>1.769</v>
      </c>
      <c r="FQ172" s="4">
        <v>1.804</v>
      </c>
      <c r="FR172" s="6"/>
      <c r="FS172" s="6"/>
      <c r="FT172" s="6"/>
      <c r="FU172" s="9"/>
      <c r="FV172" s="7">
        <f>IFERROR(FK172/F172,0)</f>
        <v>0</v>
      </c>
      <c r="FW172"/>
      <c r="FX172"/>
      <c r="FY172"/>
      <c r="FZ172"/>
      <c r="GA172"/>
      <c r="GB172" s="4"/>
      <c r="GC172" s="4"/>
      <c r="GD172" s="6"/>
      <c r="GE172" s="4"/>
      <c r="GF172" s="5">
        <v>0</v>
      </c>
      <c r="GG172" s="5"/>
      <c r="GH172" s="6"/>
      <c r="GI172" s="4"/>
      <c r="GJ172" s="4"/>
      <c r="GK172" s="5">
        <v>0</v>
      </c>
      <c r="GL172" s="5">
        <v>0</v>
      </c>
      <c r="GM172" s="5"/>
      <c r="GN172" s="4"/>
      <c r="GO172" s="5">
        <v>0</v>
      </c>
      <c r="GP172" s="4"/>
      <c r="GQ172" s="4"/>
      <c r="GR172" s="4"/>
      <c r="GS172" s="4"/>
      <c r="GT172" s="6"/>
      <c r="GU172" s="6"/>
      <c r="GV172" s="6"/>
      <c r="GW172" s="9"/>
      <c r="GX172"/>
      <c r="GY172"/>
      <c r="GZ172"/>
      <c r="HA172"/>
      <c r="HB172"/>
      <c r="HC172"/>
      <c r="HD172" s="4"/>
      <c r="HE172" s="4"/>
      <c r="HF172" s="6"/>
      <c r="HG172" s="4"/>
      <c r="HH172" s="5">
        <v>0</v>
      </c>
      <c r="HI172" s="5"/>
      <c r="HJ172" s="6"/>
      <c r="HK172" s="4"/>
      <c r="HL172" s="4"/>
      <c r="HM172" s="5">
        <v>0</v>
      </c>
      <c r="HN172" s="5">
        <v>0</v>
      </c>
      <c r="HO172" s="5"/>
      <c r="HP172" s="4"/>
      <c r="HQ172" s="5">
        <v>0</v>
      </c>
      <c r="HR172" s="4"/>
      <c r="HS172" s="4"/>
      <c r="HT172" s="4"/>
      <c r="HU172" s="4"/>
      <c r="HV172" s="6"/>
      <c r="HW172" s="6"/>
      <c r="HX172" s="6"/>
      <c r="HY172" s="9"/>
      <c r="HZ172"/>
      <c r="IA172"/>
      <c r="IB172"/>
      <c r="IC172"/>
      <c r="ID172"/>
      <c r="IE172"/>
      <c r="IF172" s="4"/>
      <c r="IG172" s="4"/>
      <c r="IH172" s="6"/>
      <c r="II172" s="4"/>
      <c r="IJ172" s="5">
        <v>0</v>
      </c>
      <c r="IK172" s="5"/>
      <c r="IL172" s="6"/>
      <c r="IM172" s="4"/>
      <c r="IN172" s="4"/>
      <c r="IO172" s="5">
        <v>0</v>
      </c>
      <c r="IP172" s="5">
        <v>0</v>
      </c>
      <c r="IQ172" s="5"/>
      <c r="IR172" s="4"/>
      <c r="IS172" s="5">
        <v>0</v>
      </c>
      <c r="IT172" s="4"/>
      <c r="IU172" s="4"/>
      <c r="IV172" s="4"/>
      <c r="IW172" s="4"/>
      <c r="IX172" s="6"/>
      <c r="IY172" s="6"/>
      <c r="IZ172" s="6"/>
      <c r="JA172" s="9"/>
      <c r="JB172"/>
      <c r="JC172"/>
      <c r="JD172"/>
      <c r="JE172"/>
      <c r="JF172"/>
      <c r="JG172"/>
      <c r="JH172" s="4"/>
      <c r="JI172" s="4"/>
      <c r="JJ172" s="6"/>
      <c r="JK172" s="4"/>
      <c r="JL172" s="5">
        <v>0</v>
      </c>
      <c r="JM172" s="5"/>
      <c r="JN172" s="6"/>
      <c r="JO172" s="4"/>
      <c r="JP172" s="4"/>
      <c r="JQ172" s="5">
        <v>0</v>
      </c>
      <c r="JR172" s="5">
        <v>0</v>
      </c>
      <c r="JS172" s="5"/>
      <c r="JT172" s="4"/>
      <c r="JU172" s="5">
        <v>0</v>
      </c>
      <c r="JV172" s="4"/>
      <c r="JW172" s="4"/>
      <c r="JX172" s="4"/>
      <c r="JY172" s="4"/>
      <c r="JZ172" s="6"/>
      <c r="KA172" s="6"/>
      <c r="KB172" s="6"/>
      <c r="KC172" s="9"/>
      <c r="KD172"/>
      <c r="KE172"/>
      <c r="KF172"/>
      <c r="KG172"/>
      <c r="KH172"/>
      <c r="KI172"/>
      <c r="KJ172" s="4"/>
      <c r="KK172" s="4"/>
      <c r="KL172" s="6"/>
      <c r="KM172" s="4"/>
      <c r="KN172" s="5">
        <v>0</v>
      </c>
      <c r="KO172" s="5"/>
      <c r="KP172" s="6"/>
      <c r="KQ172" s="4"/>
      <c r="KR172" s="4"/>
      <c r="KS172" s="5">
        <v>0</v>
      </c>
      <c r="KT172" s="5">
        <v>0</v>
      </c>
      <c r="KU172" s="5"/>
      <c r="KV172" s="4"/>
      <c r="KW172" s="5">
        <v>0</v>
      </c>
      <c r="KX172" s="4"/>
      <c r="KY172" s="4"/>
      <c r="KZ172" s="4"/>
      <c r="LA172" s="4"/>
      <c r="LB172" s="6"/>
      <c r="LC172" s="6"/>
      <c r="LD172" s="6"/>
      <c r="LE172" s="9"/>
      <c r="LF172"/>
      <c r="LG172"/>
      <c r="LH172"/>
      <c r="LI172"/>
      <c r="LJ172"/>
      <c r="LK172"/>
      <c r="LL172" s="4"/>
      <c r="LM172" s="4"/>
      <c r="LN172" s="6"/>
      <c r="LO172" s="4"/>
      <c r="LP172" s="5">
        <v>0</v>
      </c>
      <c r="LQ172" s="5"/>
      <c r="LR172" s="6"/>
      <c r="LS172" s="4"/>
      <c r="LT172" s="4"/>
      <c r="LU172" s="5">
        <v>0</v>
      </c>
      <c r="LV172" s="5">
        <v>0</v>
      </c>
      <c r="LW172" s="5"/>
      <c r="LX172" s="4"/>
      <c r="LY172" s="5">
        <v>0</v>
      </c>
      <c r="LZ172" s="4"/>
      <c r="MA172" s="4"/>
      <c r="MB172" s="4"/>
      <c r="MC172" s="4"/>
      <c r="MD172" s="6"/>
      <c r="ME172" s="6"/>
      <c r="MF172" s="6"/>
      <c r="MG172" s="9"/>
      <c r="MH172"/>
    </row>
    <row r="173">
      <c r="A173" s="8">
        <v>25458</v>
      </c>
      <c r="B173" s="8">
        <v>25461</v>
      </c>
      <c r="C173" s="9">
        <f>B173-A173</f>
        <v>3</v>
      </c>
      <c r="D173" s="8">
        <v>25458</v>
      </c>
      <c r="E173" t="inlineStr">
        <is>
          <t xml:space="preserve">positive</t>
        </is>
      </c>
      <c r="F173" s="4">
        <v>1.6854655977254445</v>
      </c>
      <c r="G173" s="6">
        <v>-0.009064565484427512</v>
      </c>
      <c r="H173" s="7">
        <f>SUM(CP173,DR173,ET173,FV173,GX173,HZ173,JB173,KD173,LF173,MH173)</f>
        <v>-0.009064565484427512</v>
      </c>
      <c r="I173" s="7">
        <f>G173-H173</f>
        <v>0</v>
      </c>
      <c r="J173" s="5">
        <f>F173*(1+H173)</f>
        <v>1.6701875844431124</v>
      </c>
      <c r="K173" s="4">
        <v>1.6701875844431124</v>
      </c>
      <c r="L173" s="5">
        <f>K173-J173</f>
        <v>0</v>
      </c>
      <c r="M173" s="4">
        <v>1.804</v>
      </c>
      <c r="N173" s="4">
        <v>1.781</v>
      </c>
      <c r="O173" s="5">
        <f>M173/$M$3</f>
        <v>0.9213483146067416</v>
      </c>
      <c r="P173" s="5">
        <f>N173/$M$3</f>
        <v>0.9096016343207354</v>
      </c>
      <c r="Q173" s="7">
        <f>IFERROR(N173/M173-1,0)</f>
        <v>-0.012749445676275006</v>
      </c>
      <c r="R173" s="5">
        <f>SUM(IF(BQ173="lease",CB173,0),IF(CS173="lease",DD173,0),IF(DU173="lease",EF173,0),IF(EW173="lease",FH173,0),IF(FY173="lease",GJ173,0),IF(HA173="lease",HL173,0),IF(IC173="lease",IN173,0),IF(JE173="lease",JP173,0),IF(KG173="lease",KR173,0),IF(LI173="lease",LT173,0))</f>
        <v>1.6854655977254454</v>
      </c>
      <c r="S173" s="5">
        <f>SUM(IF(BQ173="lease",CI173,0),IF(CS173="lease",DK173,0),IF(DU173="lease",EM173,0),IF(EW173="lease",FO173,0),IF(FY173="lease",GQ173,0),IF(HA173="lease",HS173,0),IF(IC173="lease",IU173,0),IF(JE173="lease",JW173,0),IF(KG173="lease",KY173,0),IF(LI173="lease",MA173,0))</f>
        <v>1.6701875844431133</v>
      </c>
      <c r="T173" s="5">
        <f>SUM(IF(BQ173="keep",CB173,0),IF(CS173="keep",DD173,0),IF(DU173="keep",EF173,0),IF(EW173="keep",FH173,0),IF(FY173="keep",GJ173,0),IF(HA173="keep",HL173,0),IF(IC173="keep",IN173,0),IF(JE173="keep",JP173,0),IF(KG173="keep",KR173,0),IF(LI173="keep",LT173,0))</f>
        <v>0</v>
      </c>
      <c r="U173" s="5">
        <f>SUM(IF(BQ173="keep",CI173,0),IF(CS173="keep",DK173,0),IF(DU173="keep",EM173,0),IF(EW173="keep",FO173,0),IF(FY173="keep",GQ173,0),IF(HA173="keep",HS173,0),IF(IC173="keep",IU173,0),IF(JE173="keep",JW173,0),IF(KG173="keep",KY173,0),IF(LI173="keep",MA173,0))</f>
        <v>0</v>
      </c>
      <c r="V173" s="5">
        <f>R173/O173</f>
        <v>1.8293468072873735</v>
      </c>
      <c r="W173" s="5">
        <f>S173/P173</f>
        <v>1.8361747840199978</v>
      </c>
      <c r="X173" s="5">
        <f>T173/O173</f>
        <v>0</v>
      </c>
      <c r="Y173" s="5">
        <f>U173/P173</f>
        <v>0</v>
      </c>
      <c r="Z173" s="5">
        <f>V173+X173</f>
        <v>1.8293468072873735</v>
      </c>
      <c r="AA173" s="7">
        <f>IFERROR(W173/V173-1,0)</f>
        <v>0.003732467078098267</v>
      </c>
      <c r="AB173" s="7">
        <f>IFERROR((W173-V173)/Z173,0)</f>
        <v>0.003732467078098243</v>
      </c>
      <c r="AC173" s="7">
        <f>IFERROR(Y173/X173-1,0)</f>
        <v>0</v>
      </c>
      <c r="AD173" s="7">
        <f>IFERROR((Y173-X173)/Z173,0)</f>
        <v>0</v>
      </c>
      <c r="AE173" s="7">
        <f>AB173+AD173</f>
        <v>0.003732467078098243</v>
      </c>
      <c r="AF173" s="7">
        <f>(1+Q173)*(1+AE173)-1</f>
        <v>-0.009064565484427467</v>
      </c>
      <c r="AG173" s="7">
        <f>G173-AF173</f>
        <v>-4.5102810375396984e-17</v>
      </c>
      <c r="AH173" s="5">
        <f>SUM(IF(BQ173="lease",CE173,0),IF(CS173="lease",DG173,0),IF(DU173="lease",EI173,0),IF(EW173="lease",FK173,0),IF(FY173="lease",GM173,0),IF(HA173="lease",HO173,0),IF(IC173="lease",IQ173,0),IF(JE173="lease",JS173,0),IF(KG173="lease",KU173,0),IF(LI173="lease",LW173,0))</f>
        <v>-0.01527801328233205</v>
      </c>
      <c r="AI173" s="5">
        <f>SUM(IF(BQ173="keep",CE173,0),IF(CS173="keep",DG173,0),IF(DU173="keep",EI173,0),IF(EW173="keep",FK173,0),IF(FY173="keep",GM173,0),IF(HA173="keep",HO173,0),IF(IC173="keep",IQ173,0),IF(JE173="keep",JS173,0),IF(KG173="keep",KU173,0),IF(LI173="keep",LW173,0))</f>
        <v>0</v>
      </c>
      <c r="AJ173" s="5">
        <f>SUM(IF(BQ173="lease",CH173,0),IF(CS173="lease",DJ173,0),IF(DU173="lease",EL173,0),IF(EW173="lease",FN173,0),IF(FY173="lease",GP173,0),IF(HA173="lease",HR173,0),IF(IC173="lease",IT173,0),IF(JE173="lease",JV173,0),IF(KG173="lease",KX173,0),IF(LI173="lease",LZ173,0))</f>
        <v>0</v>
      </c>
      <c r="AK173" s="5">
        <f>SUM(IF(BQ173="keep",CH173,0),IF(CS173="keep",DJ173,0),IF(DU173="keep",EL173,0),IF(EW173="keep",FN173,0),IF(FY173="keep",GP173,0),IF(HA173="keep",HR173,0),IF(IC173="keep",IT173,0),IF(JE173="keep",JV173,0),IF(KG173="keep",KX173,0),IF(LI173="keep",LZ173,0))</f>
        <v>0</v>
      </c>
      <c r="AL173" s="5">
        <f>R173-S172</f>
        <v>0</v>
      </c>
      <c r="AM173" s="5">
        <f>T173-U172</f>
        <v>0</v>
      </c>
      <c r="AN173" s="5">
        <f>AN172</f>
        <v>1</v>
      </c>
      <c r="AO173" s="5">
        <f>AO172+AH173</f>
        <v>0.6701875844431135</v>
      </c>
      <c r="AP173" s="5">
        <f>AP172+AL173</f>
        <v>-8.881784197001252e-16</v>
      </c>
      <c r="AQ173" s="5">
        <f>AN173+AO173+AP173</f>
        <v>1.6701875844431127</v>
      </c>
      <c r="AR173" s="5">
        <f>S173-AQ173</f>
        <v>6.661338147750939e-16</v>
      </c>
      <c r="AS173" s="5">
        <f>AS172</f>
        <v>0</v>
      </c>
      <c r="AT173" s="5">
        <f>AT172+AI173</f>
        <v>0</v>
      </c>
      <c r="AU173" s="5">
        <f>AU172+AM173</f>
        <v>0</v>
      </c>
      <c r="AV173" s="5">
        <f>AS173+AT173+AU173</f>
        <v>0</v>
      </c>
      <c r="AW173" s="5">
        <f>U173-AV173</f>
        <v>0</v>
      </c>
      <c r="AX173" s="4">
        <v>1.6854655977254454</v>
      </c>
      <c r="AY173" s="4">
        <v>1.6701875844431133</v>
      </c>
      <c r="AZ173" s="5">
        <f>S173-AY173</f>
        <v>0</v>
      </c>
      <c r="BA173" s="4">
        <v>0</v>
      </c>
      <c r="BB173" s="4">
        <v>0</v>
      </c>
      <c r="BC173" s="5">
        <f>U173-BB173</f>
        <v>0</v>
      </c>
      <c r="BD173" s="7">
        <f>SUM(IF(BP173="direct",CC173/F173,0),IF(CR173="direct",DE173/F173,0),IF(DT173="direct",EG173/F173,0),IF(EV173="direct",FI173/F173,0),IF(FX173="direct",GK173/F173,0),IF(GZ173="direct",HM173/F173,0),IF(IB173="direct",IO173/F173,0),IF(JD173="direct",JQ173/F173,0),IF(KF173="direct",KS173/F173,0),IF(LH173="direct",LU173/F173,0))</f>
        <v>0</v>
      </c>
      <c r="BE173" s="7">
        <f>-SUM(IF(BP173="direct",CD173/F173,0),IF(CR173="direct",DF173/F173,0),IF(DT173="direct",EH173/F173,0),IF(EV173="direct",FJ173/F173,0),IF(FX173="direct",GL173/F173,0),IF(GZ173="direct",HN173/F173,0),IF(IB173="direct",IP173/F173,0),IF(JD173="direct",JR173/F173,0),IF(KF173="direct",KT173/F173,0),IF(LH173="direct",LV173/F173,0))</f>
        <v>0</v>
      </c>
      <c r="BF173" s="7">
        <f>BD173+BE173</f>
        <v>0</v>
      </c>
      <c r="BG173" s="7">
        <f>BF173-SUM(IF(BP173="direct",CP173,0),IF(CR173="direct",DR173,0),IF(DT173="direct",ET173,0),IF(EV173="direct",FV173,0),IF(FX173="direct",GX173,0),IF(GZ173="direct",HZ173,0),IF(IB173="direct",JB173,0),IF(JD173="direct",KD173,0),IF(KF173="direct",LF173,0),IF(LH173="direct",MH173,0))</f>
        <v>0</v>
      </c>
      <c r="BH173" s="7">
        <f>SUM(IF(BP173="treasury",CP173,0),IF(CR173="treasury",DR173,0),IF(DT173="treasury",ET173,0),IF(EV173="treasury",FV173,0),IF(FX173="treasury",GX173,0),IF(GZ173="treasury",HZ173,0),IF(IB173="treasury",JB173,0),IF(JD173="treasury",KD173,0),IF(KF173="treasury",LF173,0),IF(LH173="treasury",MH173,0))</f>
        <v>0.0005835616438356162</v>
      </c>
      <c r="BI173" s="7">
        <f>SUM(IF(BP173="future",CP173,0),IF(CR173="future",DR173,0),IF(DT173="future",ET173,0),IF(EV173="future",FV173,0),IF(FX173="future",GX173,0),IF(GZ173="future",HZ173,0),IF(IB173="future",JB173,0),IF(JD173="future",KD173,0),IF(KF173="future",LF173,0),IF(LH173="future",MH173,0))</f>
        <v>-0.009648127128263129</v>
      </c>
      <c r="BJ173" s="7">
        <f>SUM(IF(BP173="cash",CP173,0),IF(CR173="cash",DR173,0),IF(DT173="cash",ET173,0),IF(EV173="cash",FV173,0),IF(FX173="cash",GX173,0),IF(GZ173="cash",HZ173,0),IF(IB173="cash",JB173,0),IF(JD173="cash",KD173,0),IF(KF173="cash",LF173,0),IF(LH173="cash",MH173,0))</f>
        <v>0</v>
      </c>
      <c r="BK173" s="7">
        <f>SUM(BF173,BH173,BI173,BJ173)</f>
        <v>-0.009064565484427512</v>
      </c>
      <c r="BL173" s="7">
        <f>G173-BK173</f>
        <v>0</v>
      </c>
      <c r="BM173" s="5">
        <f>MAX(ABS(CG173),ABS(DI173),ABS(EK173),ABS(FM173),ABS(GO173),ABS(HQ173),ABS(IS173),ABS(JU173),ABS(KW173),ABS(LY173))</f>
        <v>4.7488055154865094e-17</v>
      </c>
      <c r="BN173" s="9">
        <f>COUNTA(BO173,CQ173,DS173,EU173,FW173,GY173,IA173,JC173,KE173,LG173)</f>
        <v>4</v>
      </c>
      <c r="BO173" t="inlineStr">
        <is>
          <t xml:space="preserve">Treasury collateral</t>
        </is>
      </c>
      <c r="BP173" t="inlineStr">
        <is>
          <t xml:space="preserve">treasury</t>
        </is>
      </c>
      <c r="BQ173" t="inlineStr">
        <is>
          <t xml:space="preserve">lease</t>
        </is>
      </c>
      <c r="BR173" t="inlineStr">
        <is>
          <t xml:space="preserve">long</t>
        </is>
      </c>
      <c r="BS173"/>
      <c r="BT173" s="4">
        <v>104.52601710102863</v>
      </c>
      <c r="BU173" s="4">
        <v>104.5870144753917</v>
      </c>
      <c r="BV173" s="6"/>
      <c r="BW173" s="4">
        <v>0.016124842833113728</v>
      </c>
      <c r="BX173" s="5">
        <f>IF(BP173="direct",IFERROR(CD173/BU173,0),0)</f>
        <v>0</v>
      </c>
      <c r="BY173" s="5">
        <f>IF(BP173="direct",BW173-BX173,IF(BP173="cash",CI173,BW173))</f>
        <v>0.016124842833113728</v>
      </c>
      <c r="BZ173" s="6">
        <v>1</v>
      </c>
      <c r="CA173" s="4">
        <v>1.6854655977254445</v>
      </c>
      <c r="CB173" s="4">
        <v>1.6854655977254445</v>
      </c>
      <c r="CC173" s="5">
        <f>IF(BP173="direct",BW173*(BU173-BT173),CF173)</f>
        <v>0.0009835730748370874</v>
      </c>
      <c r="CD173" s="5">
        <f>IF(BP173="direct",CB173*BV173*C173/365,0)</f>
        <v>0</v>
      </c>
      <c r="CE173" s="5">
        <f>CC173-CD173</f>
        <v>0.00098357307483704</v>
      </c>
      <c r="CF173" s="4">
        <v>0.00098357307483704</v>
      </c>
      <c r="CG173" s="5">
        <f>CF173-CE173</f>
        <v>-4.7488055154865094e-17</v>
      </c>
      <c r="CH173" s="4">
        <v>5.637851296924623e-17</v>
      </c>
      <c r="CI173" s="4">
        <v>1.6864491708002816</v>
      </c>
      <c r="CJ173" s="4">
        <v>1.804</v>
      </c>
      <c r="CK173" s="4">
        <v>1.781</v>
      </c>
      <c r="CL173" s="6"/>
      <c r="CM173" s="6"/>
      <c r="CN173" s="6"/>
      <c r="CO173" s="9">
        <v>14</v>
      </c>
      <c r="CP173" s="7">
        <f>IFERROR(CE173/F173,0)</f>
        <v>0.0005835616438356162</v>
      </c>
      <c r="CQ173" t="inlineStr">
        <is>
          <t xml:space="preserve">SI69U</t>
        </is>
      </c>
      <c r="CR173" t="inlineStr">
        <is>
          <t xml:space="preserve">future</t>
        </is>
      </c>
      <c r="CS173" t="inlineStr">
        <is>
          <t xml:space="preserve">lease</t>
        </is>
      </c>
      <c r="CT173" t="inlineStr">
        <is>
          <t xml:space="preserve">long</t>
        </is>
      </c>
      <c r="CU173" t="inlineStr">
        <is>
          <t xml:space="preserve">regular</t>
        </is>
      </c>
      <c r="CV173" s="4">
        <v>1.7619999999999998</v>
      </c>
      <c r="CW173" s="4">
        <v>1.745</v>
      </c>
      <c r="CX173" s="6"/>
      <c r="CY173" s="4">
        <v>0.9565639033629084</v>
      </c>
      <c r="CZ173" s="5">
        <f>IF(CR173="direct",IFERROR(DF173/CW173,0),0)</f>
        <v>0</v>
      </c>
      <c r="DA173" s="5">
        <f>IF(CR173="direct",CY173-CZ173,IF(CR173="cash",DK173,CY173))</f>
        <v>0.9565639033629084</v>
      </c>
      <c r="DB173" s="6">
        <v>1</v>
      </c>
      <c r="DC173" s="4">
        <v>1.6854655977254445</v>
      </c>
      <c r="DD173" s="4">
        <v>0</v>
      </c>
      <c r="DE173" s="5">
        <f>IF(CR173="direct",CY173*(CW173-CV173),DH173)</f>
        <v>-0.01626158635716909</v>
      </c>
      <c r="DF173" s="5">
        <f>IF(CR173="direct",DD173*CX173*C173/365,0)</f>
        <v>0</v>
      </c>
      <c r="DG173" s="5">
        <f>DE173-DF173</f>
        <v>-0.01626158635716909</v>
      </c>
      <c r="DH173" s="4">
        <v>-0.01626158635716909</v>
      </c>
      <c r="DI173" s="5">
        <f>DH173-DG173</f>
        <v>0</v>
      </c>
      <c r="DJ173" s="4">
        <v>0.01626158635716909</v>
      </c>
      <c r="DK173" s="4">
        <v>0</v>
      </c>
      <c r="DL173" s="4">
        <v>1.804</v>
      </c>
      <c r="DM173" s="4">
        <v>1.781</v>
      </c>
      <c r="DN173" s="6">
        <v>-0.0232815964523283</v>
      </c>
      <c r="DO173" s="6">
        <v>0.071</v>
      </c>
      <c r="DP173" s="6">
        <v>0.6779844789357021</v>
      </c>
      <c r="DQ173" s="9">
        <v>14</v>
      </c>
      <c r="DR173" s="7">
        <f>IFERROR(DG173/F173,0)</f>
        <v>-0.009648127128263129</v>
      </c>
      <c r="DS173" t="inlineStr">
        <is>
          <t xml:space="preserve">Lease cash / margin / financing</t>
        </is>
      </c>
      <c r="DT173" t="inlineStr">
        <is>
          <t xml:space="preserve">cash</t>
        </is>
      </c>
      <c r="DU173" t="inlineStr">
        <is>
          <t xml:space="preserve">lease</t>
        </is>
      </c>
      <c r="DV173" t="inlineStr">
        <is>
          <t xml:space="preserve">cash</t>
        </is>
      </c>
      <c r="DW173"/>
      <c r="DX173" s="4">
        <v>1</v>
      </c>
      <c r="DY173" s="4">
        <v>1</v>
      </c>
      <c r="DZ173" s="6"/>
      <c r="EA173" s="4">
        <v>8.881784197001252e-16</v>
      </c>
      <c r="EB173" s="5">
        <f>IF(DT173="direct",IFERROR(EH173/DY173,0),0)</f>
        <v>0</v>
      </c>
      <c r="EC173" s="5">
        <f>IF(DT173="direct",EA173-EB173,IF(DT173="cash",EM173,EA173))</f>
        <v>-0.016261586357168258</v>
      </c>
      <c r="ED173" s="6"/>
      <c r="EE173" s="4">
        <v>8.881784197001252e-16</v>
      </c>
      <c r="EF173" s="4">
        <v>8.881784197001252e-16</v>
      </c>
      <c r="EG173" s="5">
        <f>IF(DT173="direct",EA173*(DY173-DX173),EJ173)</f>
        <v>0</v>
      </c>
      <c r="EH173" s="5">
        <f>IF(DT173="direct",EF173*DZ173*C173/365,0)</f>
        <v>0</v>
      </c>
      <c r="EI173" s="5">
        <f>EG173-EH173</f>
        <v>0</v>
      </c>
      <c r="EJ173" s="4">
        <v>0</v>
      </c>
      <c r="EK173" s="5">
        <f>EJ173-EI173</f>
        <v>0</v>
      </c>
      <c r="EL173" s="4">
        <v>-0.016261586357169146</v>
      </c>
      <c r="EM173" s="4">
        <v>-0.016261586357168258</v>
      </c>
      <c r="EN173" s="4">
        <v>1.804</v>
      </c>
      <c r="EO173" s="4">
        <v>1.781</v>
      </c>
      <c r="EP173" s="6"/>
      <c r="EQ173" s="6"/>
      <c r="ER173" s="6"/>
      <c r="ES173" s="9"/>
      <c r="ET173" s="7">
        <f>IFERROR(EI173/F173,0)</f>
        <v>0</v>
      </c>
      <c r="EU173" t="inlineStr">
        <is>
          <t xml:space="preserve">Keep cash / margin / financing</t>
        </is>
      </c>
      <c r="EV173" t="inlineStr">
        <is>
          <t xml:space="preserve">cash</t>
        </is>
      </c>
      <c r="EW173" t="inlineStr">
        <is>
          <t xml:space="preserve">keep</t>
        </is>
      </c>
      <c r="EX173" t="inlineStr">
        <is>
          <t xml:space="preserve">cash</t>
        </is>
      </c>
      <c r="EY173"/>
      <c r="EZ173" s="4">
        <v>1</v>
      </c>
      <c r="FA173" s="4">
        <v>1</v>
      </c>
      <c r="FB173" s="6"/>
      <c r="FC173" s="4">
        <v>0</v>
      </c>
      <c r="FD173" s="5">
        <f>IF(EV173="direct",IFERROR(FJ173/FA173,0),0)</f>
        <v>0</v>
      </c>
      <c r="FE173" s="5">
        <f>IF(EV173="direct",FC173-FD173,IF(EV173="cash",FO173,FC173))</f>
        <v>0</v>
      </c>
      <c r="FF173" s="6"/>
      <c r="FG173" s="4">
        <v>0</v>
      </c>
      <c r="FH173" s="4">
        <v>0</v>
      </c>
      <c r="FI173" s="5">
        <f>IF(EV173="direct",FC173*(FA173-EZ173),FL173)</f>
        <v>0</v>
      </c>
      <c r="FJ173" s="5">
        <f>IF(EV173="direct",FH173*FB173*C173/365,0)</f>
        <v>0</v>
      </c>
      <c r="FK173" s="5">
        <f>FI173-FJ173</f>
        <v>0</v>
      </c>
      <c r="FL173" s="4">
        <v>0</v>
      </c>
      <c r="FM173" s="5">
        <f>FL173-FK173</f>
        <v>0</v>
      </c>
      <c r="FN173" s="4">
        <v>0</v>
      </c>
      <c r="FO173" s="4">
        <v>0</v>
      </c>
      <c r="FP173" s="4">
        <v>1.804</v>
      </c>
      <c r="FQ173" s="4">
        <v>1.781</v>
      </c>
      <c r="FR173" s="6"/>
      <c r="FS173" s="6"/>
      <c r="FT173" s="6"/>
      <c r="FU173" s="9"/>
      <c r="FV173" s="7">
        <f>IFERROR(FK173/F173,0)</f>
        <v>0</v>
      </c>
      <c r="FW173"/>
      <c r="FX173"/>
      <c r="FY173"/>
      <c r="FZ173"/>
      <c r="GA173"/>
      <c r="GB173" s="4"/>
      <c r="GC173" s="4"/>
      <c r="GD173" s="6"/>
      <c r="GE173" s="4"/>
      <c r="GF173" s="5">
        <v>0</v>
      </c>
      <c r="GG173" s="5"/>
      <c r="GH173" s="6"/>
      <c r="GI173" s="4"/>
      <c r="GJ173" s="4"/>
      <c r="GK173" s="5">
        <v>0</v>
      </c>
      <c r="GL173" s="5">
        <v>0</v>
      </c>
      <c r="GM173" s="5"/>
      <c r="GN173" s="4"/>
      <c r="GO173" s="5">
        <v>0</v>
      </c>
      <c r="GP173" s="4"/>
      <c r="GQ173" s="4"/>
      <c r="GR173" s="4"/>
      <c r="GS173" s="4"/>
      <c r="GT173" s="6"/>
      <c r="GU173" s="6"/>
      <c r="GV173" s="6"/>
      <c r="GW173" s="9"/>
      <c r="GX173"/>
      <c r="GY173"/>
      <c r="GZ173"/>
      <c r="HA173"/>
      <c r="HB173"/>
      <c r="HC173"/>
      <c r="HD173" s="4"/>
      <c r="HE173" s="4"/>
      <c r="HF173" s="6"/>
      <c r="HG173" s="4"/>
      <c r="HH173" s="5">
        <v>0</v>
      </c>
      <c r="HI173" s="5"/>
      <c r="HJ173" s="6"/>
      <c r="HK173" s="4"/>
      <c r="HL173" s="4"/>
      <c r="HM173" s="5">
        <v>0</v>
      </c>
      <c r="HN173" s="5">
        <v>0</v>
      </c>
      <c r="HO173" s="5"/>
      <c r="HP173" s="4"/>
      <c r="HQ173" s="5">
        <v>0</v>
      </c>
      <c r="HR173" s="4"/>
      <c r="HS173" s="4"/>
      <c r="HT173" s="4"/>
      <c r="HU173" s="4"/>
      <c r="HV173" s="6"/>
      <c r="HW173" s="6"/>
      <c r="HX173" s="6"/>
      <c r="HY173" s="9"/>
      <c r="HZ173"/>
      <c r="IA173"/>
      <c r="IB173"/>
      <c r="IC173"/>
      <c r="ID173"/>
      <c r="IE173"/>
      <c r="IF173" s="4"/>
      <c r="IG173" s="4"/>
      <c r="IH173" s="6"/>
      <c r="II173" s="4"/>
      <c r="IJ173" s="5">
        <v>0</v>
      </c>
      <c r="IK173" s="5"/>
      <c r="IL173" s="6"/>
      <c r="IM173" s="4"/>
      <c r="IN173" s="4"/>
      <c r="IO173" s="5">
        <v>0</v>
      </c>
      <c r="IP173" s="5">
        <v>0</v>
      </c>
      <c r="IQ173" s="5"/>
      <c r="IR173" s="4"/>
      <c r="IS173" s="5">
        <v>0</v>
      </c>
      <c r="IT173" s="4"/>
      <c r="IU173" s="4"/>
      <c r="IV173" s="4"/>
      <c r="IW173" s="4"/>
      <c r="IX173" s="6"/>
      <c r="IY173" s="6"/>
      <c r="IZ173" s="6"/>
      <c r="JA173" s="9"/>
      <c r="JB173"/>
      <c r="JC173"/>
      <c r="JD173"/>
      <c r="JE173"/>
      <c r="JF173"/>
      <c r="JG173"/>
      <c r="JH173" s="4"/>
      <c r="JI173" s="4"/>
      <c r="JJ173" s="6"/>
      <c r="JK173" s="4"/>
      <c r="JL173" s="5">
        <v>0</v>
      </c>
      <c r="JM173" s="5"/>
      <c r="JN173" s="6"/>
      <c r="JO173" s="4"/>
      <c r="JP173" s="4"/>
      <c r="JQ173" s="5">
        <v>0</v>
      </c>
      <c r="JR173" s="5">
        <v>0</v>
      </c>
      <c r="JS173" s="5"/>
      <c r="JT173" s="4"/>
      <c r="JU173" s="5">
        <v>0</v>
      </c>
      <c r="JV173" s="4"/>
      <c r="JW173" s="4"/>
      <c r="JX173" s="4"/>
      <c r="JY173" s="4"/>
      <c r="JZ173" s="6"/>
      <c r="KA173" s="6"/>
      <c r="KB173" s="6"/>
      <c r="KC173" s="9"/>
      <c r="KD173"/>
      <c r="KE173"/>
      <c r="KF173"/>
      <c r="KG173"/>
      <c r="KH173"/>
      <c r="KI173"/>
      <c r="KJ173" s="4"/>
      <c r="KK173" s="4"/>
      <c r="KL173" s="6"/>
      <c r="KM173" s="4"/>
      <c r="KN173" s="5">
        <v>0</v>
      </c>
      <c r="KO173" s="5"/>
      <c r="KP173" s="6"/>
      <c r="KQ173" s="4"/>
      <c r="KR173" s="4"/>
      <c r="KS173" s="5">
        <v>0</v>
      </c>
      <c r="KT173" s="5">
        <v>0</v>
      </c>
      <c r="KU173" s="5"/>
      <c r="KV173" s="4"/>
      <c r="KW173" s="5">
        <v>0</v>
      </c>
      <c r="KX173" s="4"/>
      <c r="KY173" s="4"/>
      <c r="KZ173" s="4"/>
      <c r="LA173" s="4"/>
      <c r="LB173" s="6"/>
      <c r="LC173" s="6"/>
      <c r="LD173" s="6"/>
      <c r="LE173" s="9"/>
      <c r="LF173"/>
      <c r="LG173"/>
      <c r="LH173"/>
      <c r="LI173"/>
      <c r="LJ173"/>
      <c r="LK173"/>
      <c r="LL173" s="4"/>
      <c r="LM173" s="4"/>
      <c r="LN173" s="6"/>
      <c r="LO173" s="4"/>
      <c r="LP173" s="5">
        <v>0</v>
      </c>
      <c r="LQ173" s="5"/>
      <c r="LR173" s="6"/>
      <c r="LS173" s="4"/>
      <c r="LT173" s="4"/>
      <c r="LU173" s="5">
        <v>0</v>
      </c>
      <c r="LV173" s="5">
        <v>0</v>
      </c>
      <c r="LW173" s="5"/>
      <c r="LX173" s="4"/>
      <c r="LY173" s="5">
        <v>0</v>
      </c>
      <c r="LZ173" s="4"/>
      <c r="MA173" s="4"/>
      <c r="MB173" s="4"/>
      <c r="MC173" s="4"/>
      <c r="MD173" s="6"/>
      <c r="ME173" s="6"/>
      <c r="MF173" s="6"/>
      <c r="MG173" s="9"/>
      <c r="MH173"/>
    </row>
    <row r="174">
      <c r="A174" s="8">
        <v>25461</v>
      </c>
      <c r="B174" s="8">
        <v>25462</v>
      </c>
      <c r="C174" s="9">
        <f>B174-A174</f>
        <v>1</v>
      </c>
      <c r="D174" s="8">
        <v>25461</v>
      </c>
      <c r="E174" t="inlineStr">
        <is>
          <t xml:space="preserve">positive</t>
        </is>
      </c>
      <c r="F174" s="4">
        <v>1.6701875844431124</v>
      </c>
      <c r="G174" s="6">
        <v>0.02082489304078171</v>
      </c>
      <c r="H174" s="7">
        <f>SUM(CP174,DR174,ET174,FV174,GX174,HZ174,JB174,KD174,LF174,MH174)</f>
        <v>0.02082489304078171</v>
      </c>
      <c r="I174" s="7">
        <f>G174-H174</f>
        <v>0</v>
      </c>
      <c r="J174" s="5">
        <f>F174*(1+H174)</f>
        <v>1.7049690622471818</v>
      </c>
      <c r="K174" s="4">
        <v>1.7049690622471818</v>
      </c>
      <c r="L174" s="5">
        <f>K174-J174</f>
        <v>0</v>
      </c>
      <c r="M174" s="4">
        <v>1.781</v>
      </c>
      <c r="N174" s="4">
        <v>1.768</v>
      </c>
      <c r="O174" s="5">
        <f>M174/$M$3</f>
        <v>0.9096016343207354</v>
      </c>
      <c r="P174" s="5">
        <f>N174/$M$3</f>
        <v>0.9029622063329928</v>
      </c>
      <c r="Q174" s="7">
        <f>IFERROR(N174/M174-1,0)</f>
        <v>-0.007299270072992692</v>
      </c>
      <c r="R174" s="5">
        <f>SUM(IF(BQ174="lease",CB174,0),IF(CS174="lease",DD174,0),IF(DU174="lease",EF174,0),IF(EW174="lease",FH174,0),IF(FY174="lease",GJ174,0),IF(HA174="lease",HL174,0),IF(IC174="lease",IN174,0),IF(JE174="lease",JP174,0),IF(KG174="lease",KR174,0),IF(LI174="lease",LT174,0))</f>
        <v>1.6701875844431133</v>
      </c>
      <c r="S174" s="5">
        <f>SUM(IF(BQ174="lease",CI174,0),IF(CS174="lease",DK174,0),IF(DU174="lease",EM174,0),IF(EW174="lease",FO174,0),IF(FY174="lease",GQ174,0),IF(HA174="lease",HS174,0),IF(IC174="lease",IU174,0),IF(JE174="lease",JW174,0),IF(KG174="lease",KY174,0),IF(LI174="lease",MA174,0))</f>
        <v>1.7049690622471827</v>
      </c>
      <c r="T174" s="5">
        <f>SUM(IF(BQ174="keep",CB174,0),IF(CS174="keep",DD174,0),IF(DU174="keep",EF174,0),IF(EW174="keep",FH174,0),IF(FY174="keep",GJ174,0),IF(HA174="keep",HL174,0),IF(IC174="keep",IN174,0),IF(JE174="keep",JP174,0),IF(KG174="keep",KR174,0),IF(LI174="keep",LT174,0))</f>
        <v>0</v>
      </c>
      <c r="U174" s="5">
        <f>SUM(IF(BQ174="keep",CI174,0),IF(CS174="keep",DK174,0),IF(DU174="keep",EM174,0),IF(EW174="keep",FO174,0),IF(FY174="keep",GQ174,0),IF(HA174="keep",HS174,0),IF(IC174="keep",IU174,0),IF(JE174="keep",JW174,0),IF(KG174="keep",KY174,0),IF(LI174="keep",MA174,0))</f>
        <v>0</v>
      </c>
      <c r="V174" s="5">
        <f>R174/O174</f>
        <v>1.8361747840199978</v>
      </c>
      <c r="W174" s="5">
        <f>S174/P174</f>
        <v>1.8881953754977283</v>
      </c>
      <c r="X174" s="5">
        <f>T174/O174</f>
        <v>0</v>
      </c>
      <c r="Y174" s="5">
        <f>U174/P174</f>
        <v>0</v>
      </c>
      <c r="Z174" s="5">
        <f>V174+X174</f>
        <v>1.8361747840199978</v>
      </c>
      <c r="AA174" s="7">
        <f>IFERROR(W174/V174-1,0)</f>
        <v>0.028330958430787367</v>
      </c>
      <c r="AB174" s="7">
        <f>IFERROR((W174-V174)/Z174,0)</f>
        <v>0.028330958430787367</v>
      </c>
      <c r="AC174" s="7">
        <f>IFERROR(Y174/X174-1,0)</f>
        <v>0</v>
      </c>
      <c r="AD174" s="7">
        <f>IFERROR((Y174-X174)/Z174,0)</f>
        <v>0</v>
      </c>
      <c r="AE174" s="7">
        <f>AB174+AD174</f>
        <v>0.028330958430787367</v>
      </c>
      <c r="AF174" s="7">
        <f>(1+Q174)*(1+AE174)-1</f>
        <v>0.020824893040781722</v>
      </c>
      <c r="AG174" s="7">
        <f>G174-AF174</f>
        <v>-1.3877787807814457e-17</v>
      </c>
      <c r="AH174" s="5">
        <f>SUM(IF(BQ174="lease",CE174,0),IF(CS174="lease",DG174,0),IF(DU174="lease",EI174,0),IF(EW174="lease",FK174,0),IF(FY174="lease",GM174,0),IF(HA174="lease",HO174,0),IF(IC174="lease",IQ174,0),IF(JE174="lease",JS174,0),IF(KG174="lease",KU174,0),IF(LI174="lease",LW174,0))</f>
        <v>0.034781477804069386</v>
      </c>
      <c r="AI174" s="5">
        <f>SUM(IF(BQ174="keep",CE174,0),IF(CS174="keep",DG174,0),IF(DU174="keep",EI174,0),IF(EW174="keep",FK174,0),IF(FY174="keep",GM174,0),IF(HA174="keep",HO174,0),IF(IC174="keep",IQ174,0),IF(JE174="keep",JS174,0),IF(KG174="keep",KU174,0),IF(LI174="keep",LW174,0))</f>
        <v>0</v>
      </c>
      <c r="AJ174" s="5">
        <f>SUM(IF(BQ174="lease",CH174,0),IF(CS174="lease",DJ174,0),IF(DU174="lease",EL174,0),IF(EW174="lease",FN174,0),IF(FY174="lease",GP174,0),IF(HA174="lease",HR174,0),IF(IC174="lease",IT174,0),IF(JE174="lease",JV174,0),IF(KG174="lease",KX174,0),IF(LI174="lease",LZ174,0))</f>
        <v>0</v>
      </c>
      <c r="AK174" s="5">
        <f>SUM(IF(BQ174="keep",CH174,0),IF(CS174="keep",DJ174,0),IF(DU174="keep",EL174,0),IF(EW174="keep",FN174,0),IF(FY174="keep",GP174,0),IF(HA174="keep",HR174,0),IF(IC174="keep",IT174,0),IF(JE174="keep",JV174,0),IF(KG174="keep",KX174,0),IF(LI174="keep",LZ174,0))</f>
        <v>0</v>
      </c>
      <c r="AL174" s="5">
        <f>R174-S173</f>
        <v>0</v>
      </c>
      <c r="AM174" s="5">
        <f>T174-U173</f>
        <v>0</v>
      </c>
      <c r="AN174" s="5">
        <f>AN173</f>
        <v>1</v>
      </c>
      <c r="AO174" s="5">
        <f>AO173+AH174</f>
        <v>0.7049690622471829</v>
      </c>
      <c r="AP174" s="5">
        <f>AP173+AL174</f>
        <v>-8.881784197001252e-16</v>
      </c>
      <c r="AQ174" s="5">
        <f>AN174+AO174+AP174</f>
        <v>1.704969062247182</v>
      </c>
      <c r="AR174" s="5">
        <f>S174-AQ174</f>
        <v>6.661338147750939e-16</v>
      </c>
      <c r="AS174" s="5">
        <f>AS173</f>
        <v>0</v>
      </c>
      <c r="AT174" s="5">
        <f>AT173+AI174</f>
        <v>0</v>
      </c>
      <c r="AU174" s="5">
        <f>AU173+AM174</f>
        <v>0</v>
      </c>
      <c r="AV174" s="5">
        <f>AS174+AT174+AU174</f>
        <v>0</v>
      </c>
      <c r="AW174" s="5">
        <f>U174-AV174</f>
        <v>0</v>
      </c>
      <c r="AX174" s="4">
        <v>1.6701875844431133</v>
      </c>
      <c r="AY174" s="4">
        <v>1.7049690622471827</v>
      </c>
      <c r="AZ174" s="5">
        <f>S174-AY174</f>
        <v>0</v>
      </c>
      <c r="BA174" s="4">
        <v>0</v>
      </c>
      <c r="BB174" s="4">
        <v>0</v>
      </c>
      <c r="BC174" s="5">
        <f>U174-BB174</f>
        <v>0</v>
      </c>
      <c r="BD174" s="7">
        <f>SUM(IF(BP174="direct",CC174/F174,0),IF(CR174="direct",DE174/F174,0),IF(DT174="direct",EG174/F174,0),IF(EV174="direct",FI174/F174,0),IF(FX174="direct",GK174/F174,0),IF(GZ174="direct",HM174/F174,0),IF(IB174="direct",IO174/F174,0),IF(JD174="direct",JQ174/F174,0),IF(KF174="direct",KS174/F174,0),IF(LH174="direct",LU174/F174,0))</f>
        <v>0</v>
      </c>
      <c r="BE174" s="7">
        <f>-SUM(IF(BP174="direct",CD174/F174,0),IF(CR174="direct",DF174/F174,0),IF(DT174="direct",EH174/F174,0),IF(EV174="direct",FJ174/F174,0),IF(FX174="direct",GL174/F174,0),IF(GZ174="direct",HN174/F174,0),IF(IB174="direct",IP174/F174,0),IF(JD174="direct",JR174/F174,0),IF(KF174="direct",KT174/F174,0),IF(LH174="direct",LV174/F174,0))</f>
        <v>0</v>
      </c>
      <c r="BF174" s="7">
        <f>BD174+BE174</f>
        <v>0</v>
      </c>
      <c r="BG174" s="7">
        <f>BF174-SUM(IF(BP174="direct",CP174,0),IF(CR174="direct",DR174,0),IF(DT174="direct",ET174,0),IF(EV174="direct",FV174,0),IF(FX174="direct",GX174,0),IF(GZ174="direct",HZ174,0),IF(IB174="direct",JB174,0),IF(JD174="direct",KD174,0),IF(KF174="direct",LF174,0),IF(LH174="direct",MH174,0))</f>
        <v>0</v>
      </c>
      <c r="BH174" s="7">
        <f>SUM(IF(BP174="treasury",CP174,0),IF(CR174="treasury",DR174,0),IF(DT174="treasury",ET174,0),IF(EV174="treasury",FV174,0),IF(FX174="treasury",GX174,0),IF(GZ174="treasury",HZ174,0),IF(IB174="treasury",JB174,0),IF(JD174="treasury",KD174,0),IF(KF174="treasury",LF174,0),IF(LH174="treasury",MH174,0))</f>
        <v>0.00019452054794520546</v>
      </c>
      <c r="BI174" s="7">
        <f>SUM(IF(BP174="future",CP174,0),IF(CR174="future",DR174,0),IF(DT174="future",ET174,0),IF(EV174="future",FV174,0),IF(FX174="future",GX174,0),IF(GZ174="future",HZ174,0),IF(IB174="future",JB174,0),IF(JD174="future",KD174,0),IF(KF174="future",LF174,0),IF(LH174="future",MH174,0))</f>
        <v>0.020630372492836502</v>
      </c>
      <c r="BJ174" s="7">
        <f>SUM(IF(BP174="cash",CP174,0),IF(CR174="cash",DR174,0),IF(DT174="cash",ET174,0),IF(EV174="cash",FV174,0),IF(FX174="cash",GX174,0),IF(GZ174="cash",HZ174,0),IF(IB174="cash",JB174,0),IF(JD174="cash",KD174,0),IF(KF174="cash",LF174,0),IF(LH174="cash",MH174,0))</f>
        <v>0</v>
      </c>
      <c r="BK174" s="7">
        <f>SUM(BF174,BH174,BI174,BJ174)</f>
        <v>0.02082489304078171</v>
      </c>
      <c r="BL174" s="7">
        <f>G174-BK174</f>
        <v>0</v>
      </c>
      <c r="BM174" s="5">
        <f>MAX(ABS(CG174),ABS(DI174),ABS(EK174),ABS(FM174),ABS(GO174),ABS(HQ174),ABS(IS174),ABS(JU174),ABS(KW174),ABS(LY174))</f>
        <v>7.334627696864437e-17</v>
      </c>
      <c r="BN174" s="9">
        <f>COUNTA(BO174,CQ174,DS174,EU174,FW174,GY174,IA174,JC174,KE174,LG174)</f>
        <v>4</v>
      </c>
      <c r="BO174" t="inlineStr">
        <is>
          <t xml:space="preserve">Treasury collateral</t>
        </is>
      </c>
      <c r="BP174" t="inlineStr">
        <is>
          <t xml:space="preserve">treasury</t>
        </is>
      </c>
      <c r="BQ174" t="inlineStr">
        <is>
          <t xml:space="preserve">lease</t>
        </is>
      </c>
      <c r="BR174" t="inlineStr">
        <is>
          <t xml:space="preserve">long</t>
        </is>
      </c>
      <c r="BS174"/>
      <c r="BT174" s="4">
        <v>104.5870144753917</v>
      </c>
      <c r="BU174" s="4">
        <v>104.6073587987554</v>
      </c>
      <c r="BV174" s="6"/>
      <c r="BW174" s="4">
        <v>0.015969359033918034</v>
      </c>
      <c r="BX174" s="5">
        <f>IF(BP174="direct",IFERROR(CD174/BU174,0),0)</f>
        <v>0</v>
      </c>
      <c r="BY174" s="5">
        <f>IF(BP174="direct",BW174-BX174,IF(BP174="cash",CI174,BW174))</f>
        <v>0.015969359033918034</v>
      </c>
      <c r="BZ174" s="6">
        <v>1</v>
      </c>
      <c r="CA174" s="4">
        <v>1.6701875844431124</v>
      </c>
      <c r="CB174" s="4">
        <v>1.6701875844431124</v>
      </c>
      <c r="CC174" s="5">
        <f>IF(BP174="direct",BW174*(BU174-BT174),CF174)</f>
        <v>0.00032488580409708</v>
      </c>
      <c r="CD174" s="5">
        <f>IF(BP174="direct",CB174*BV174*C174/365,0)</f>
        <v>0</v>
      </c>
      <c r="CE174" s="5">
        <f>CC174-CD174</f>
        <v>0.00032488580409715335</v>
      </c>
      <c r="CF174" s="4">
        <v>0.00032488580409715335</v>
      </c>
      <c r="CG174" s="5">
        <f>CF174-CE174</f>
        <v>7.334627696864437e-17</v>
      </c>
      <c r="CH174" s="4">
        <v>2.1358782797964437e-17</v>
      </c>
      <c r="CI174" s="4">
        <v>1.6705124702472096</v>
      </c>
      <c r="CJ174" s="4">
        <v>1.781</v>
      </c>
      <c r="CK174" s="4">
        <v>1.768</v>
      </c>
      <c r="CL174" s="6"/>
      <c r="CM174" s="6"/>
      <c r="CN174" s="6"/>
      <c r="CO174" s="9">
        <v>11</v>
      </c>
      <c r="CP174" s="7">
        <f>IFERROR(CE174/F174,0)</f>
        <v>0.00019452054794520546</v>
      </c>
      <c r="CQ174" t="inlineStr">
        <is>
          <t xml:space="preserve">SI69U</t>
        </is>
      </c>
      <c r="CR174" t="inlineStr">
        <is>
          <t xml:space="preserve">future</t>
        </is>
      </c>
      <c r="CS174" t="inlineStr">
        <is>
          <t xml:space="preserve">lease</t>
        </is>
      </c>
      <c r="CT174" t="inlineStr">
        <is>
          <t xml:space="preserve">long</t>
        </is>
      </c>
      <c r="CU174" t="inlineStr">
        <is>
          <t xml:space="preserve">regular</t>
        </is>
      </c>
      <c r="CV174" s="4">
        <v>1.745</v>
      </c>
      <c r="CW174" s="4">
        <v>1.781</v>
      </c>
      <c r="CX174" s="6"/>
      <c r="CY174" s="4">
        <v>0.9571275555547921</v>
      </c>
      <c r="CZ174" s="5">
        <f>IF(CR174="direct",IFERROR(DF174/CW174,0),0)</f>
        <v>0</v>
      </c>
      <c r="DA174" s="5">
        <f>IF(CR174="direct",CY174-CZ174,IF(CR174="cash",DK174,CY174))</f>
        <v>0.9571275555547921</v>
      </c>
      <c r="DB174" s="6">
        <v>1</v>
      </c>
      <c r="DC174" s="4">
        <v>1.6701875844431124</v>
      </c>
      <c r="DD174" s="4">
        <v>0</v>
      </c>
      <c r="DE174" s="5">
        <f>IF(CR174="direct",CY174*(CW174-CV174),DH174)</f>
        <v>0.03445659199997223</v>
      </c>
      <c r="DF174" s="5">
        <f>IF(CR174="direct",DD174*CX174*C174/365,0)</f>
        <v>0</v>
      </c>
      <c r="DG174" s="5">
        <f>DE174-DF174</f>
        <v>0.03445659199997223</v>
      </c>
      <c r="DH174" s="4">
        <v>0.03445659199997223</v>
      </c>
      <c r="DI174" s="5">
        <f>DH174-DG174</f>
        <v>0</v>
      </c>
      <c r="DJ174" s="4">
        <v>-0.03445659199997223</v>
      </c>
      <c r="DK174" s="4">
        <v>0</v>
      </c>
      <c r="DL174" s="4">
        <v>1.781</v>
      </c>
      <c r="DM174" s="4">
        <v>1.768</v>
      </c>
      <c r="DN174" s="6">
        <v>-0.02021336327905665</v>
      </c>
      <c r="DO174" s="6">
        <v>0.071</v>
      </c>
      <c r="DP174" s="6">
        <v>0.741716145168698</v>
      </c>
      <c r="DQ174" s="9">
        <v>11</v>
      </c>
      <c r="DR174" s="7">
        <f>IFERROR(DG174/F174,0)</f>
        <v>0.020630372492836502</v>
      </c>
      <c r="DS174" t="inlineStr">
        <is>
          <t xml:space="preserve">Lease cash / margin / financing</t>
        </is>
      </c>
      <c r="DT174" t="inlineStr">
        <is>
          <t xml:space="preserve">cash</t>
        </is>
      </c>
      <c r="DU174" t="inlineStr">
        <is>
          <t xml:space="preserve">lease</t>
        </is>
      </c>
      <c r="DV174" t="inlineStr">
        <is>
          <t xml:space="preserve">cash</t>
        </is>
      </c>
      <c r="DW174"/>
      <c r="DX174" s="4">
        <v>1</v>
      </c>
      <c r="DY174" s="4">
        <v>1</v>
      </c>
      <c r="DZ174" s="6"/>
      <c r="EA174" s="4">
        <v>8.881784197001252e-16</v>
      </c>
      <c r="EB174" s="5">
        <f>IF(DT174="direct",IFERROR(EH174/DY174,0),0)</f>
        <v>0</v>
      </c>
      <c r="EC174" s="5">
        <f>IF(DT174="direct",EA174-EB174,IF(DT174="cash",EM174,EA174))</f>
        <v>0.0344565919999731</v>
      </c>
      <c r="ED174" s="6"/>
      <c r="EE174" s="4">
        <v>8.881784197001252e-16</v>
      </c>
      <c r="EF174" s="4">
        <v>8.881784197001252e-16</v>
      </c>
      <c r="EG174" s="5">
        <f>IF(DT174="direct",EA174*(DY174-DX174),EJ174)</f>
        <v>0</v>
      </c>
      <c r="EH174" s="5">
        <f>IF(DT174="direct",EF174*DZ174*C174/365,0)</f>
        <v>0</v>
      </c>
      <c r="EI174" s="5">
        <f>EG174-EH174</f>
        <v>0</v>
      </c>
      <c r="EJ174" s="4">
        <v>0</v>
      </c>
      <c r="EK174" s="5">
        <f>EJ174-EI174</f>
        <v>0</v>
      </c>
      <c r="EL174" s="4">
        <v>0.03445659199997221</v>
      </c>
      <c r="EM174" s="4">
        <v>0.0344565919999731</v>
      </c>
      <c r="EN174" s="4">
        <v>1.781</v>
      </c>
      <c r="EO174" s="4">
        <v>1.768</v>
      </c>
      <c r="EP174" s="6"/>
      <c r="EQ174" s="6"/>
      <c r="ER174" s="6"/>
      <c r="ES174" s="9"/>
      <c r="ET174" s="7">
        <f>IFERROR(EI174/F174,0)</f>
        <v>0</v>
      </c>
      <c r="EU174" t="inlineStr">
        <is>
          <t xml:space="preserve">Keep cash / margin / financing</t>
        </is>
      </c>
      <c r="EV174" t="inlineStr">
        <is>
          <t xml:space="preserve">cash</t>
        </is>
      </c>
      <c r="EW174" t="inlineStr">
        <is>
          <t xml:space="preserve">keep</t>
        </is>
      </c>
      <c r="EX174" t="inlineStr">
        <is>
          <t xml:space="preserve">cash</t>
        </is>
      </c>
      <c r="EY174"/>
      <c r="EZ174" s="4">
        <v>1</v>
      </c>
      <c r="FA174" s="4">
        <v>1</v>
      </c>
      <c r="FB174" s="6"/>
      <c r="FC174" s="4">
        <v>0</v>
      </c>
      <c r="FD174" s="5">
        <f>IF(EV174="direct",IFERROR(FJ174/FA174,0),0)</f>
        <v>0</v>
      </c>
      <c r="FE174" s="5">
        <f>IF(EV174="direct",FC174-FD174,IF(EV174="cash",FO174,FC174))</f>
        <v>0</v>
      </c>
      <c r="FF174" s="6"/>
      <c r="FG174" s="4">
        <v>0</v>
      </c>
      <c r="FH174" s="4">
        <v>0</v>
      </c>
      <c r="FI174" s="5">
        <f>IF(EV174="direct",FC174*(FA174-EZ174),FL174)</f>
        <v>0</v>
      </c>
      <c r="FJ174" s="5">
        <f>IF(EV174="direct",FH174*FB174*C174/365,0)</f>
        <v>0</v>
      </c>
      <c r="FK174" s="5">
        <f>FI174-FJ174</f>
        <v>0</v>
      </c>
      <c r="FL174" s="4">
        <v>0</v>
      </c>
      <c r="FM174" s="5">
        <f>FL174-FK174</f>
        <v>0</v>
      </c>
      <c r="FN174" s="4">
        <v>0</v>
      </c>
      <c r="FO174" s="4">
        <v>0</v>
      </c>
      <c r="FP174" s="4">
        <v>1.781</v>
      </c>
      <c r="FQ174" s="4">
        <v>1.768</v>
      </c>
      <c r="FR174" s="6"/>
      <c r="FS174" s="6"/>
      <c r="FT174" s="6"/>
      <c r="FU174" s="9"/>
      <c r="FV174" s="7">
        <f>IFERROR(FK174/F174,0)</f>
        <v>0</v>
      </c>
      <c r="FW174"/>
      <c r="FX174"/>
      <c r="FY174"/>
      <c r="FZ174"/>
      <c r="GA174"/>
      <c r="GB174" s="4"/>
      <c r="GC174" s="4"/>
      <c r="GD174" s="6"/>
      <c r="GE174" s="4"/>
      <c r="GF174" s="5">
        <v>0</v>
      </c>
      <c r="GG174" s="5"/>
      <c r="GH174" s="6"/>
      <c r="GI174" s="4"/>
      <c r="GJ174" s="4"/>
      <c r="GK174" s="5">
        <v>0</v>
      </c>
      <c r="GL174" s="5">
        <v>0</v>
      </c>
      <c r="GM174" s="5"/>
      <c r="GN174" s="4"/>
      <c r="GO174" s="5">
        <v>0</v>
      </c>
      <c r="GP174" s="4"/>
      <c r="GQ174" s="4"/>
      <c r="GR174" s="4"/>
      <c r="GS174" s="4"/>
      <c r="GT174" s="6"/>
      <c r="GU174" s="6"/>
      <c r="GV174" s="6"/>
      <c r="GW174" s="9"/>
      <c r="GX174"/>
      <c r="GY174"/>
      <c r="GZ174"/>
      <c r="HA174"/>
      <c r="HB174"/>
      <c r="HC174"/>
      <c r="HD174" s="4"/>
      <c r="HE174" s="4"/>
      <c r="HF174" s="6"/>
      <c r="HG174" s="4"/>
      <c r="HH174" s="5">
        <v>0</v>
      </c>
      <c r="HI174" s="5"/>
      <c r="HJ174" s="6"/>
      <c r="HK174" s="4"/>
      <c r="HL174" s="4"/>
      <c r="HM174" s="5">
        <v>0</v>
      </c>
      <c r="HN174" s="5">
        <v>0</v>
      </c>
      <c r="HO174" s="5"/>
      <c r="HP174" s="4"/>
      <c r="HQ174" s="5">
        <v>0</v>
      </c>
      <c r="HR174" s="4"/>
      <c r="HS174" s="4"/>
      <c r="HT174" s="4"/>
      <c r="HU174" s="4"/>
      <c r="HV174" s="6"/>
      <c r="HW174" s="6"/>
      <c r="HX174" s="6"/>
      <c r="HY174" s="9"/>
      <c r="HZ174"/>
      <c r="IA174"/>
      <c r="IB174"/>
      <c r="IC174"/>
      <c r="ID174"/>
      <c r="IE174"/>
      <c r="IF174" s="4"/>
      <c r="IG174" s="4"/>
      <c r="IH174" s="6"/>
      <c r="II174" s="4"/>
      <c r="IJ174" s="5">
        <v>0</v>
      </c>
      <c r="IK174" s="5"/>
      <c r="IL174" s="6"/>
      <c r="IM174" s="4"/>
      <c r="IN174" s="4"/>
      <c r="IO174" s="5">
        <v>0</v>
      </c>
      <c r="IP174" s="5">
        <v>0</v>
      </c>
      <c r="IQ174" s="5"/>
      <c r="IR174" s="4"/>
      <c r="IS174" s="5">
        <v>0</v>
      </c>
      <c r="IT174" s="4"/>
      <c r="IU174" s="4"/>
      <c r="IV174" s="4"/>
      <c r="IW174" s="4"/>
      <c r="IX174" s="6"/>
      <c r="IY174" s="6"/>
      <c r="IZ174" s="6"/>
      <c r="JA174" s="9"/>
      <c r="JB174"/>
      <c r="JC174"/>
      <c r="JD174"/>
      <c r="JE174"/>
      <c r="JF174"/>
      <c r="JG174"/>
      <c r="JH174" s="4"/>
      <c r="JI174" s="4"/>
      <c r="JJ174" s="6"/>
      <c r="JK174" s="4"/>
      <c r="JL174" s="5">
        <v>0</v>
      </c>
      <c r="JM174" s="5"/>
      <c r="JN174" s="6"/>
      <c r="JO174" s="4"/>
      <c r="JP174" s="4"/>
      <c r="JQ174" s="5">
        <v>0</v>
      </c>
      <c r="JR174" s="5">
        <v>0</v>
      </c>
      <c r="JS174" s="5"/>
      <c r="JT174" s="4"/>
      <c r="JU174" s="5">
        <v>0</v>
      </c>
      <c r="JV174" s="4"/>
      <c r="JW174" s="4"/>
      <c r="JX174" s="4"/>
      <c r="JY174" s="4"/>
      <c r="JZ174" s="6"/>
      <c r="KA174" s="6"/>
      <c r="KB174" s="6"/>
      <c r="KC174" s="9"/>
      <c r="KD174"/>
      <c r="KE174"/>
      <c r="KF174"/>
      <c r="KG174"/>
      <c r="KH174"/>
      <c r="KI174"/>
      <c r="KJ174" s="4"/>
      <c r="KK174" s="4"/>
      <c r="KL174" s="6"/>
      <c r="KM174" s="4"/>
      <c r="KN174" s="5">
        <v>0</v>
      </c>
      <c r="KO174" s="5"/>
      <c r="KP174" s="6"/>
      <c r="KQ174" s="4"/>
      <c r="KR174" s="4"/>
      <c r="KS174" s="5">
        <v>0</v>
      </c>
      <c r="KT174" s="5">
        <v>0</v>
      </c>
      <c r="KU174" s="5"/>
      <c r="KV174" s="4"/>
      <c r="KW174" s="5">
        <v>0</v>
      </c>
      <c r="KX174" s="4"/>
      <c r="KY174" s="4"/>
      <c r="KZ174" s="4"/>
      <c r="LA174" s="4"/>
      <c r="LB174" s="6"/>
      <c r="LC174" s="6"/>
      <c r="LD174" s="6"/>
      <c r="LE174" s="9"/>
      <c r="LF174"/>
      <c r="LG174"/>
      <c r="LH174"/>
      <c r="LI174"/>
      <c r="LJ174"/>
      <c r="LK174"/>
      <c r="LL174" s="4"/>
      <c r="LM174" s="4"/>
      <c r="LN174" s="6"/>
      <c r="LO174" s="4"/>
      <c r="LP174" s="5">
        <v>0</v>
      </c>
      <c r="LQ174" s="5"/>
      <c r="LR174" s="6"/>
      <c r="LS174" s="4"/>
      <c r="LT174" s="4"/>
      <c r="LU174" s="5">
        <v>0</v>
      </c>
      <c r="LV174" s="5">
        <v>0</v>
      </c>
      <c r="LW174" s="5"/>
      <c r="LX174" s="4"/>
      <c r="LY174" s="5">
        <v>0</v>
      </c>
      <c r="LZ174" s="4"/>
      <c r="MA174" s="4"/>
      <c r="MB174" s="4"/>
      <c r="MC174" s="4"/>
      <c r="MD174" s="6"/>
      <c r="ME174" s="6"/>
      <c r="MF174" s="6"/>
      <c r="MG174" s="9"/>
      <c r="MH174"/>
    </row>
    <row r="175">
      <c r="A175" s="8">
        <v>25462</v>
      </c>
      <c r="B175" s="8">
        <v>25463</v>
      </c>
      <c r="C175" s="9">
        <f>B175-A175</f>
        <v>1</v>
      </c>
      <c r="D175" s="8">
        <v>25462</v>
      </c>
      <c r="E175" t="inlineStr">
        <is>
          <t xml:space="preserve">neutral</t>
        </is>
      </c>
      <c r="F175" s="4">
        <v>1.7049690622471818</v>
      </c>
      <c r="G175" s="6">
        <v>0.02374880679352871</v>
      </c>
      <c r="H175" s="7">
        <f>SUM(CP175,DR175,ET175,FV175,GX175,HZ175,JB175,KD175,LF175,MH175)</f>
        <v>0.02374880679352871</v>
      </c>
      <c r="I175" s="7">
        <f>G175-H175</f>
        <v>0</v>
      </c>
      <c r="J175" s="5">
        <f>F175*(1+H175)</f>
        <v>1.7454600430954341</v>
      </c>
      <c r="K175" s="4">
        <v>1.7454600430954341</v>
      </c>
      <c r="L175" s="5">
        <f>K175-J175</f>
        <v>0</v>
      </c>
      <c r="M175" s="4">
        <v>1.768</v>
      </c>
      <c r="N175" s="4">
        <v>1.81</v>
      </c>
      <c r="O175" s="5">
        <f>M175/$M$3</f>
        <v>0.9029622063329928</v>
      </c>
      <c r="P175" s="5">
        <f>N175/$M$3</f>
        <v>0.9244126659856997</v>
      </c>
      <c r="Q175" s="7">
        <f>IFERROR(N175/M175-1,0)</f>
        <v>0.0237556561085972</v>
      </c>
      <c r="R175" s="5">
        <f>SUM(IF(BQ175="lease",CB175,0),IF(CS175="lease",DD175,0),IF(DU175="lease",EF175,0),IF(EW175="lease",FH175,0),IF(FY175="lease",GJ175,0),IF(HA175="lease",HL175,0),IF(IC175="lease",IN175,0),IF(JE175="lease",JP175,0),IF(KG175="lease",KR175,0),IF(LI175="lease",LT175,0))</f>
        <v>1.7049690622471827</v>
      </c>
      <c r="S175" s="5">
        <f>SUM(IF(BQ175="lease",CI175,0),IF(CS175="lease",DK175,0),IF(DU175="lease",EM175,0),IF(EW175="lease",FO175,0),IF(FY175="lease",GQ175,0),IF(HA175="lease",HS175,0),IF(IC175="lease",IU175,0),IF(JE175="lease",JW175,0),IF(KG175="lease",KY175,0),IF(LI175="lease",MA175,0))</f>
        <v>1.745460043095435</v>
      </c>
      <c r="T175" s="5">
        <f>SUM(IF(BQ175="keep",CB175,0),IF(CS175="keep",DD175,0),IF(DU175="keep",EF175,0),IF(EW175="keep",FH175,0),IF(FY175="keep",GJ175,0),IF(HA175="keep",HL175,0),IF(IC175="keep",IN175,0),IF(JE175="keep",JP175,0),IF(KG175="keep",KR175,0),IF(LI175="keep",LT175,0))</f>
        <v>0</v>
      </c>
      <c r="U175" s="5">
        <f>SUM(IF(BQ175="keep",CI175,0),IF(CS175="keep",DK175,0),IF(DU175="keep",EM175,0),IF(EW175="keep",FO175,0),IF(FY175="keep",GQ175,0),IF(HA175="keep",HS175,0),IF(IC175="keep",IU175,0),IF(JE175="keep",JW175,0),IF(KG175="keep",KY175,0),IF(LI175="keep",MA175,0))</f>
        <v>0</v>
      </c>
      <c r="V175" s="5">
        <f>R175/O175</f>
        <v>1.8881953754977283</v>
      </c>
      <c r="W175" s="5">
        <f>S175/P175</f>
        <v>1.8881827427518574</v>
      </c>
      <c r="X175" s="5">
        <f>T175/O175</f>
        <v>0</v>
      </c>
      <c r="Y175" s="5">
        <f>U175/P175</f>
        <v>0</v>
      </c>
      <c r="Z175" s="5">
        <f>V175+X175</f>
        <v>1.8881953754977283</v>
      </c>
      <c r="AA175" s="7">
        <f>IFERROR(W175/V175-1,0)</f>
        <v>-0.000006690380685681063</v>
      </c>
      <c r="AB175" s="7">
        <f>IFERROR((W175-V175)/Z175,0)</f>
        <v>-0.000006690380685633763</v>
      </c>
      <c r="AC175" s="7">
        <f>IFERROR(Y175/X175-1,0)</f>
        <v>0</v>
      </c>
      <c r="AD175" s="7">
        <f>IFERROR((Y175-X175)/Z175,0)</f>
        <v>0</v>
      </c>
      <c r="AE175" s="7">
        <f>AB175+AD175</f>
        <v>-0.000006690380685633763</v>
      </c>
      <c r="AF175" s="7">
        <f>(1+Q175)*(1+AE175)-1</f>
        <v>0.023748806793528754</v>
      </c>
      <c r="AG175" s="7">
        <f>G175-AF175</f>
        <v>-4.5102810375396984e-17</v>
      </c>
      <c r="AH175" s="5">
        <f>SUM(IF(BQ175="lease",CE175,0),IF(CS175="lease",DG175,0),IF(DU175="lease",EI175,0),IF(EW175="lease",FK175,0),IF(FY175="lease",GM175,0),IF(HA175="lease",HO175,0),IF(IC175="lease",IQ175,0),IF(JE175="lease",JS175,0),IF(KG175="lease",KU175,0),IF(LI175="lease",LW175,0))</f>
        <v>0.040490980848252145</v>
      </c>
      <c r="AI175" s="5">
        <f>SUM(IF(BQ175="keep",CE175,0),IF(CS175="keep",DG175,0),IF(DU175="keep",EI175,0),IF(EW175="keep",FK175,0),IF(FY175="keep",GM175,0),IF(HA175="keep",HO175,0),IF(IC175="keep",IQ175,0),IF(JE175="keep",JS175,0),IF(KG175="keep",KU175,0),IF(LI175="keep",LW175,0))</f>
        <v>0</v>
      </c>
      <c r="AJ175" s="5">
        <f>SUM(IF(BQ175="lease",CH175,0),IF(CS175="lease",DJ175,0),IF(DU175="lease",EL175,0),IF(EW175="lease",FN175,0),IF(FY175="lease",GP175,0),IF(HA175="lease",HR175,0),IF(IC175="lease",IT175,0),IF(JE175="lease",JV175,0),IF(KG175="lease",KX175,0),IF(LI175="lease",LZ175,0))</f>
        <v>0</v>
      </c>
      <c r="AK175" s="5">
        <f>SUM(IF(BQ175="keep",CH175,0),IF(CS175="keep",DJ175,0),IF(DU175="keep",EL175,0),IF(EW175="keep",FN175,0),IF(FY175="keep",GP175,0),IF(HA175="keep",HR175,0),IF(IC175="keep",IT175,0),IF(JE175="keep",JV175,0),IF(KG175="keep",KX175,0),IF(LI175="keep",LZ175,0))</f>
        <v>0</v>
      </c>
      <c r="AL175" s="5">
        <f>R175-S174</f>
        <v>0</v>
      </c>
      <c r="AM175" s="5">
        <f>T175-U174</f>
        <v>0</v>
      </c>
      <c r="AN175" s="5">
        <f>AN174</f>
        <v>1</v>
      </c>
      <c r="AO175" s="5">
        <f>AO174+AH175</f>
        <v>0.745460043095435</v>
      </c>
      <c r="AP175" s="5">
        <f>AP174+AL175</f>
        <v>-8.881784197001252e-16</v>
      </c>
      <c r="AQ175" s="5">
        <f>AN175+AO175+AP175</f>
        <v>1.7454600430954341</v>
      </c>
      <c r="AR175" s="5">
        <f>S175-AQ175</f>
        <v>8.881784197001252e-16</v>
      </c>
      <c r="AS175" s="5">
        <f>AS174</f>
        <v>0</v>
      </c>
      <c r="AT175" s="5">
        <f>AT174+AI175</f>
        <v>0</v>
      </c>
      <c r="AU175" s="5">
        <f>AU174+AM175</f>
        <v>0</v>
      </c>
      <c r="AV175" s="5">
        <f>AS175+AT175+AU175</f>
        <v>0</v>
      </c>
      <c r="AW175" s="5">
        <f>U175-AV175</f>
        <v>0</v>
      </c>
      <c r="AX175" s="4">
        <v>1.7049690622471827</v>
      </c>
      <c r="AY175" s="4">
        <v>1.7454600430954348</v>
      </c>
      <c r="AZ175" s="5">
        <f>S175-AY175</f>
        <v>2.220446049250313e-16</v>
      </c>
      <c r="BA175" s="4">
        <v>0</v>
      </c>
      <c r="BB175" s="4">
        <v>0</v>
      </c>
      <c r="BC175" s="5">
        <f>U175-BB175</f>
        <v>0</v>
      </c>
      <c r="BD175" s="7">
        <f>SUM(IF(BP175="direct",CC175/F175,0),IF(CR175="direct",DE175/F175,0),IF(DT175="direct",EG175/F175,0),IF(EV175="direct",FI175/F175,0),IF(FX175="direct",GK175/F175,0),IF(GZ175="direct",HM175/F175,0),IF(IB175="direct",IO175/F175,0),IF(JD175="direct",JQ175/F175,0),IF(KF175="direct",KS175/F175,0),IF(LH175="direct",LU175/F175,0))</f>
        <v>0.023755656108597305</v>
      </c>
      <c r="BE175" s="7">
        <f>-SUM(IF(BP175="direct",CD175/F175,0),IF(CR175="direct",DF175/F175,0),IF(DT175="direct",EH175/F175,0),IF(EV175="direct",FJ175/F175,0),IF(FX175="direct",GL175/F175,0),IF(GZ175="direct",HN175/F175,0),IF(IB175="direct",IP175/F175,0),IF(JD175="direct",JR175/F175,0),IF(KF175="direct",KT175/F175,0),IF(LH175="direct",LV175/F175,0))</f>
        <v>-0.000006849315068493151</v>
      </c>
      <c r="BF175" s="7">
        <f>BD175+BE175</f>
        <v>0.023748806793528813</v>
      </c>
      <c r="BG175" s="7">
        <f>BF175-SUM(IF(BP175="direct",CP175,0),IF(CR175="direct",DR175,0),IF(DT175="direct",ET175,0),IF(EV175="direct",FV175,0),IF(FX175="direct",GX175,0),IF(GZ175="direct",HZ175,0),IF(IB175="direct",JB175,0),IF(JD175="direct",KD175,0),IF(KF175="direct",LF175,0),IF(LH175="direct",MH175,0))</f>
        <v>1.0408340855860843e-16</v>
      </c>
      <c r="BH175" s="7">
        <f>SUM(IF(BP175="treasury",CP175,0),IF(CR175="treasury",DR175,0),IF(DT175="treasury",ET175,0),IF(EV175="treasury",FV175,0),IF(FX175="treasury",GX175,0),IF(GZ175="treasury",HZ175,0),IF(IB175="treasury",JB175,0),IF(JD175="treasury",KD175,0),IF(KF175="treasury",LF175,0),IF(LH175="treasury",MH175,0))</f>
        <v>0</v>
      </c>
      <c r="BI175" s="7">
        <f>SUM(IF(BP175="future",CP175,0),IF(CR175="future",DR175,0),IF(DT175="future",ET175,0),IF(EV175="future",FV175,0),IF(FX175="future",GX175,0),IF(GZ175="future",HZ175,0),IF(IB175="future",JB175,0),IF(JD175="future",KD175,0),IF(KF175="future",LF175,0),IF(LH175="future",MH175,0))</f>
        <v>0</v>
      </c>
      <c r="BJ175" s="7">
        <f>SUM(IF(BP175="cash",CP175,0),IF(CR175="cash",DR175,0),IF(DT175="cash",ET175,0),IF(EV175="cash",FV175,0),IF(FX175="cash",GX175,0),IF(GZ175="cash",HZ175,0),IF(IB175="cash",JB175,0),IF(JD175="cash",KD175,0),IF(KF175="cash",LF175,0),IF(LH175="cash",MH175,0))</f>
        <v>0</v>
      </c>
      <c r="BK175" s="7">
        <f>SUM(BF175,BH175,BI175,BJ175)</f>
        <v>0.02374880679352871</v>
      </c>
      <c r="BL175" s="7">
        <f>G175-BK175</f>
        <v>0</v>
      </c>
      <c r="BM175" s="5">
        <f>MAX(ABS(CG175),ABS(DI175),ABS(EK175),ABS(FM175),ABS(GO175),ABS(HQ175),ABS(IS175),ABS(JU175),ABS(KW175),ABS(LY175))</f>
        <v>1.7222551509932238e-16</v>
      </c>
      <c r="BN175" s="9">
        <f>COUNTA(BO175,CQ175,DS175,EU175,FW175,GY175,IA175,JC175,KE175,LG175)</f>
        <v>3</v>
      </c>
      <c r="BO175" t="inlineStr">
        <is>
          <t xml:space="preserve">Direct commodity holding</t>
        </is>
      </c>
      <c r="BP175" t="inlineStr">
        <is>
          <t xml:space="preserve">direct</t>
        </is>
      </c>
      <c r="BQ175" t="inlineStr">
        <is>
          <t xml:space="preserve">lease</t>
        </is>
      </c>
      <c r="BR175" t="inlineStr">
        <is>
          <t xml:space="preserve">long</t>
        </is>
      </c>
      <c r="BS175"/>
      <c r="BT175" s="4">
        <v>1.768</v>
      </c>
      <c r="BU175" s="4">
        <v>1.81</v>
      </c>
      <c r="BV175" s="6">
        <v>0.0025</v>
      </c>
      <c r="BW175" s="4">
        <v>0.9643490171081345</v>
      </c>
      <c r="BX175" s="5">
        <f>IF(BP175="direct",IFERROR(CD175/BU175,0),0)</f>
        <v>0.000006451862038322795</v>
      </c>
      <c r="BY175" s="5">
        <f>IF(BP175="direct",BW175-BX175,IF(BP175="cash",CI175,BW175))</f>
        <v>0.9643425652460962</v>
      </c>
      <c r="BZ175" s="6">
        <v>1</v>
      </c>
      <c r="CA175" s="4">
        <v>1.7049690622471818</v>
      </c>
      <c r="CB175" s="4">
        <v>1.7049690622471818</v>
      </c>
      <c r="CC175" s="5">
        <f>IF(BP175="direct",BW175*(BU175-BT175),CF175)</f>
        <v>0.04050265871854168</v>
      </c>
      <c r="CD175" s="5">
        <f>IF(BP175="direct",CB175*BV175*C175/365,0)</f>
        <v>0.00001167787028936426</v>
      </c>
      <c r="CE175" s="5">
        <f>CC175-CD175</f>
        <v>0.040490980848252145</v>
      </c>
      <c r="CF175" s="4">
        <v>0.040490980848252145</v>
      </c>
      <c r="CG175" s="5">
        <f>CF175-CE175</f>
        <v>-1.7222551509932238e-16</v>
      </c>
      <c r="CH175" s="4">
        <v>0</v>
      </c>
      <c r="CI175" s="4">
        <v>1.7454600430954341</v>
      </c>
      <c r="CJ175" s="4">
        <v>1.768</v>
      </c>
      <c r="CK175" s="4">
        <v>1.81</v>
      </c>
      <c r="CL175" s="6"/>
      <c r="CM175" s="6"/>
      <c r="CN175" s="6"/>
      <c r="CO175" s="9"/>
      <c r="CP175" s="7">
        <f>IFERROR(CE175/F175,0)</f>
        <v>0.02374880679352871</v>
      </c>
      <c r="CQ175" t="inlineStr">
        <is>
          <t xml:space="preserve">Lease cash / margin / financing</t>
        </is>
      </c>
      <c r="CR175" t="inlineStr">
        <is>
          <t xml:space="preserve">cash</t>
        </is>
      </c>
      <c r="CS175" t="inlineStr">
        <is>
          <t xml:space="preserve">lease</t>
        </is>
      </c>
      <c r="CT175" t="inlineStr">
        <is>
          <t xml:space="preserve">cash</t>
        </is>
      </c>
      <c r="CU175"/>
      <c r="CV175" s="4">
        <v>1</v>
      </c>
      <c r="CW175" s="4">
        <v>1</v>
      </c>
      <c r="CX175" s="6"/>
      <c r="CY175" s="4">
        <v>8.881784197001252e-16</v>
      </c>
      <c r="CZ175" s="5">
        <f>IF(CR175="direct",IFERROR(DF175/CW175,0),0)</f>
        <v>0</v>
      </c>
      <c r="DA175" s="5">
        <f>IF(CR175="direct",CY175-CZ175,IF(CR175="cash",DK175,CY175))</f>
        <v>8.881784197001252e-16</v>
      </c>
      <c r="DB175" s="6"/>
      <c r="DC175" s="4">
        <v>8.881784197001252e-16</v>
      </c>
      <c r="DD175" s="4">
        <v>8.881784197001252e-16</v>
      </c>
      <c r="DE175" s="5">
        <f>IF(CR175="direct",CY175*(CW175-CV175),DH175)</f>
        <v>0</v>
      </c>
      <c r="DF175" s="5">
        <f>IF(CR175="direct",DD175*CX175*C175/365,0)</f>
        <v>0</v>
      </c>
      <c r="DG175" s="5">
        <f>DE175-DF175</f>
        <v>0</v>
      </c>
      <c r="DH175" s="4">
        <v>0</v>
      </c>
      <c r="DI175" s="5">
        <f>DH175-DG175</f>
        <v>0</v>
      </c>
      <c r="DJ175" s="4">
        <v>0</v>
      </c>
      <c r="DK175" s="4">
        <v>8.881784197001252e-16</v>
      </c>
      <c r="DL175" s="4">
        <v>1.768</v>
      </c>
      <c r="DM175" s="4">
        <v>1.81</v>
      </c>
      <c r="DN175" s="6"/>
      <c r="DO175" s="6"/>
      <c r="DP175" s="6"/>
      <c r="DQ175" s="9"/>
      <c r="DR175" s="7">
        <f>IFERROR(DG175/F175,0)</f>
        <v>0</v>
      </c>
      <c r="DS175" t="inlineStr">
        <is>
          <t xml:space="preserve">Keep cash / margin / financing</t>
        </is>
      </c>
      <c r="DT175" t="inlineStr">
        <is>
          <t xml:space="preserve">cash</t>
        </is>
      </c>
      <c r="DU175" t="inlineStr">
        <is>
          <t xml:space="preserve">keep</t>
        </is>
      </c>
      <c r="DV175" t="inlineStr">
        <is>
          <t xml:space="preserve">cash</t>
        </is>
      </c>
      <c r="DW175"/>
      <c r="DX175" s="4">
        <v>1</v>
      </c>
      <c r="DY175" s="4">
        <v>1</v>
      </c>
      <c r="DZ175" s="6"/>
      <c r="EA175" s="4">
        <v>0</v>
      </c>
      <c r="EB175" s="5">
        <f>IF(DT175="direct",IFERROR(EH175/DY175,0),0)</f>
        <v>0</v>
      </c>
      <c r="EC175" s="5">
        <f>IF(DT175="direct",EA175-EB175,IF(DT175="cash",EM175,EA175))</f>
        <v>0</v>
      </c>
      <c r="ED175" s="6"/>
      <c r="EE175" s="4">
        <v>0</v>
      </c>
      <c r="EF175" s="4">
        <v>0</v>
      </c>
      <c r="EG175" s="5">
        <f>IF(DT175="direct",EA175*(DY175-DX175),EJ175)</f>
        <v>0</v>
      </c>
      <c r="EH175" s="5">
        <f>IF(DT175="direct",EF175*DZ175*C175/365,0)</f>
        <v>0</v>
      </c>
      <c r="EI175" s="5">
        <f>EG175-EH175</f>
        <v>0</v>
      </c>
      <c r="EJ175" s="4">
        <v>0</v>
      </c>
      <c r="EK175" s="5">
        <f>EJ175-EI175</f>
        <v>0</v>
      </c>
      <c r="EL175" s="4">
        <v>0</v>
      </c>
      <c r="EM175" s="4">
        <v>0</v>
      </c>
      <c r="EN175" s="4">
        <v>1.768</v>
      </c>
      <c r="EO175" s="4">
        <v>1.81</v>
      </c>
      <c r="EP175" s="6"/>
      <c r="EQ175" s="6"/>
      <c r="ER175" s="6"/>
      <c r="ES175" s="9"/>
      <c r="ET175" s="7">
        <f>IFERROR(EI175/F175,0)</f>
        <v>0</v>
      </c>
      <c r="EU175"/>
      <c r="EV175"/>
      <c r="EW175"/>
      <c r="EX175"/>
      <c r="EY175"/>
      <c r="EZ175" s="4"/>
      <c r="FA175" s="4"/>
      <c r="FB175" s="6"/>
      <c r="FC175" s="4"/>
      <c r="FD175" s="5">
        <v>0</v>
      </c>
      <c r="FE175" s="5"/>
      <c r="FF175" s="6"/>
      <c r="FG175" s="4"/>
      <c r="FH175" s="4"/>
      <c r="FI175" s="5">
        <v>0</v>
      </c>
      <c r="FJ175" s="5">
        <v>0</v>
      </c>
      <c r="FK175" s="5"/>
      <c r="FL175" s="4"/>
      <c r="FM175" s="5">
        <v>0</v>
      </c>
      <c r="FN175" s="4"/>
      <c r="FO175" s="4"/>
      <c r="FP175" s="4"/>
      <c r="FQ175" s="4"/>
      <c r="FR175" s="6"/>
      <c r="FS175" s="6"/>
      <c r="FT175" s="6"/>
      <c r="FU175" s="9"/>
      <c r="FV175"/>
      <c r="FW175"/>
      <c r="FX175"/>
      <c r="FY175"/>
      <c r="FZ175"/>
      <c r="GA175"/>
      <c r="GB175" s="4"/>
      <c r="GC175" s="4"/>
      <c r="GD175" s="6"/>
      <c r="GE175" s="4"/>
      <c r="GF175" s="5">
        <v>0</v>
      </c>
      <c r="GG175" s="5"/>
      <c r="GH175" s="6"/>
      <c r="GI175" s="4"/>
      <c r="GJ175" s="4"/>
      <c r="GK175" s="5">
        <v>0</v>
      </c>
      <c r="GL175" s="5">
        <v>0</v>
      </c>
      <c r="GM175" s="5"/>
      <c r="GN175" s="4"/>
      <c r="GO175" s="5">
        <v>0</v>
      </c>
      <c r="GP175" s="4"/>
      <c r="GQ175" s="4"/>
      <c r="GR175" s="4"/>
      <c r="GS175" s="4"/>
      <c r="GT175" s="6"/>
      <c r="GU175" s="6"/>
      <c r="GV175" s="6"/>
      <c r="GW175" s="9"/>
      <c r="GX175"/>
      <c r="GY175"/>
      <c r="GZ175"/>
      <c r="HA175"/>
      <c r="HB175"/>
      <c r="HC175"/>
      <c r="HD175" s="4"/>
      <c r="HE175" s="4"/>
      <c r="HF175" s="6"/>
      <c r="HG175" s="4"/>
      <c r="HH175" s="5">
        <v>0</v>
      </c>
      <c r="HI175" s="5"/>
      <c r="HJ175" s="6"/>
      <c r="HK175" s="4"/>
      <c r="HL175" s="4"/>
      <c r="HM175" s="5">
        <v>0</v>
      </c>
      <c r="HN175" s="5">
        <v>0</v>
      </c>
      <c r="HO175" s="5"/>
      <c r="HP175" s="4"/>
      <c r="HQ175" s="5">
        <v>0</v>
      </c>
      <c r="HR175" s="4"/>
      <c r="HS175" s="4"/>
      <c r="HT175" s="4"/>
      <c r="HU175" s="4"/>
      <c r="HV175" s="6"/>
      <c r="HW175" s="6"/>
      <c r="HX175" s="6"/>
      <c r="HY175" s="9"/>
      <c r="HZ175"/>
      <c r="IA175"/>
      <c r="IB175"/>
      <c r="IC175"/>
      <c r="ID175"/>
      <c r="IE175"/>
      <c r="IF175" s="4"/>
      <c r="IG175" s="4"/>
      <c r="IH175" s="6"/>
      <c r="II175" s="4"/>
      <c r="IJ175" s="5">
        <v>0</v>
      </c>
      <c r="IK175" s="5"/>
      <c r="IL175" s="6"/>
      <c r="IM175" s="4"/>
      <c r="IN175" s="4"/>
      <c r="IO175" s="5">
        <v>0</v>
      </c>
      <c r="IP175" s="5">
        <v>0</v>
      </c>
      <c r="IQ175" s="5"/>
      <c r="IR175" s="4"/>
      <c r="IS175" s="5">
        <v>0</v>
      </c>
      <c r="IT175" s="4"/>
      <c r="IU175" s="4"/>
      <c r="IV175" s="4"/>
      <c r="IW175" s="4"/>
      <c r="IX175" s="6"/>
      <c r="IY175" s="6"/>
      <c r="IZ175" s="6"/>
      <c r="JA175" s="9"/>
      <c r="JB175"/>
      <c r="JC175"/>
      <c r="JD175"/>
      <c r="JE175"/>
      <c r="JF175"/>
      <c r="JG175"/>
      <c r="JH175" s="4"/>
      <c r="JI175" s="4"/>
      <c r="JJ175" s="6"/>
      <c r="JK175" s="4"/>
      <c r="JL175" s="5">
        <v>0</v>
      </c>
      <c r="JM175" s="5"/>
      <c r="JN175" s="6"/>
      <c r="JO175" s="4"/>
      <c r="JP175" s="4"/>
      <c r="JQ175" s="5">
        <v>0</v>
      </c>
      <c r="JR175" s="5">
        <v>0</v>
      </c>
      <c r="JS175" s="5"/>
      <c r="JT175" s="4"/>
      <c r="JU175" s="5">
        <v>0</v>
      </c>
      <c r="JV175" s="4"/>
      <c r="JW175" s="4"/>
      <c r="JX175" s="4"/>
      <c r="JY175" s="4"/>
      <c r="JZ175" s="6"/>
      <c r="KA175" s="6"/>
      <c r="KB175" s="6"/>
      <c r="KC175" s="9"/>
      <c r="KD175"/>
      <c r="KE175"/>
      <c r="KF175"/>
      <c r="KG175"/>
      <c r="KH175"/>
      <c r="KI175"/>
      <c r="KJ175" s="4"/>
      <c r="KK175" s="4"/>
      <c r="KL175" s="6"/>
      <c r="KM175" s="4"/>
      <c r="KN175" s="5">
        <v>0</v>
      </c>
      <c r="KO175" s="5"/>
      <c r="KP175" s="6"/>
      <c r="KQ175" s="4"/>
      <c r="KR175" s="4"/>
      <c r="KS175" s="5">
        <v>0</v>
      </c>
      <c r="KT175" s="5">
        <v>0</v>
      </c>
      <c r="KU175" s="5"/>
      <c r="KV175" s="4"/>
      <c r="KW175" s="5">
        <v>0</v>
      </c>
      <c r="KX175" s="4"/>
      <c r="KY175" s="4"/>
      <c r="KZ175" s="4"/>
      <c r="LA175" s="4"/>
      <c r="LB175" s="6"/>
      <c r="LC175" s="6"/>
      <c r="LD175" s="6"/>
      <c r="LE175" s="9"/>
      <c r="LF175"/>
      <c r="LG175"/>
      <c r="LH175"/>
      <c r="LI175"/>
      <c r="LJ175"/>
      <c r="LK175"/>
      <c r="LL175" s="4"/>
      <c r="LM175" s="4"/>
      <c r="LN175" s="6"/>
      <c r="LO175" s="4"/>
      <c r="LP175" s="5">
        <v>0</v>
      </c>
      <c r="LQ175" s="5"/>
      <c r="LR175" s="6"/>
      <c r="LS175" s="4"/>
      <c r="LT175" s="4"/>
      <c r="LU175" s="5">
        <v>0</v>
      </c>
      <c r="LV175" s="5">
        <v>0</v>
      </c>
      <c r="LW175" s="5"/>
      <c r="LX175" s="4"/>
      <c r="LY175" s="5">
        <v>0</v>
      </c>
      <c r="LZ175" s="4"/>
      <c r="MA175" s="4"/>
      <c r="MB175" s="4"/>
      <c r="MC175" s="4"/>
      <c r="MD175" s="6"/>
      <c r="ME175" s="6"/>
      <c r="MF175" s="6"/>
      <c r="MG175" s="9"/>
      <c r="MH175"/>
    </row>
    <row r="176">
      <c r="A176" s="8">
        <v>25463</v>
      </c>
      <c r="B176" s="8">
        <v>25464</v>
      </c>
      <c r="C176" s="9">
        <f>B176-A176</f>
        <v>1</v>
      </c>
      <c r="D176" s="8">
        <v>25463</v>
      </c>
      <c r="E176" t="inlineStr">
        <is>
          <t xml:space="preserve">positive</t>
        </is>
      </c>
      <c r="F176" s="4">
        <v>1.7454600430954341</v>
      </c>
      <c r="G176" s="6">
        <v>0.0022551373646030114</v>
      </c>
      <c r="H176" s="7">
        <f>SUM(CP176,DR176,ET176,FV176,GX176,HZ176,JB176,KD176,LF176,MH176)</f>
        <v>0.0022551373646030105</v>
      </c>
      <c r="I176" s="7">
        <f>G176-H176</f>
        <v>8.673617379884035e-19</v>
      </c>
      <c r="J176" s="5">
        <f>F176*(1+H176)</f>
        <v>1.74939629525704</v>
      </c>
      <c r="K176" s="4">
        <v>1.74939629525704</v>
      </c>
      <c r="L176" s="5">
        <f>K176-J176</f>
        <v>0</v>
      </c>
      <c r="M176" s="4">
        <v>1.81</v>
      </c>
      <c r="N176" s="4">
        <v>1.79</v>
      </c>
      <c r="O176" s="5">
        <f>M176/$M$3</f>
        <v>0.9244126659856997</v>
      </c>
      <c r="P176" s="5">
        <f>N176/$M$3</f>
        <v>0.9141981613891726</v>
      </c>
      <c r="Q176" s="7">
        <f>IFERROR(N176/M176-1,0)</f>
        <v>-0.011049723756906049</v>
      </c>
      <c r="R176" s="5">
        <f>SUM(IF(BQ176="lease",CB176,0),IF(CS176="lease",DD176,0),IF(DU176="lease",EF176,0),IF(EW176="lease",FH176,0),IF(FY176="lease",GJ176,0),IF(HA176="lease",HL176,0),IF(IC176="lease",IN176,0),IF(JE176="lease",JP176,0),IF(KG176="lease",KR176,0),IF(LI176="lease",LT176,0))</f>
        <v>1.7454600430954348</v>
      </c>
      <c r="S176" s="5">
        <f>SUM(IF(BQ176="lease",CI176,0),IF(CS176="lease",DK176,0),IF(DU176="lease",EM176,0),IF(EW176="lease",FO176,0),IF(FY176="lease",GQ176,0),IF(HA176="lease",HS176,0),IF(IC176="lease",IU176,0),IF(JE176="lease",JW176,0),IF(KG176="lease",KY176,0),IF(LI176="lease",MA176,0))</f>
        <v>1.749396295257041</v>
      </c>
      <c r="T176" s="5">
        <f>SUM(IF(BQ176="keep",CB176,0),IF(CS176="keep",DD176,0),IF(DU176="keep",EF176,0),IF(EW176="keep",FH176,0),IF(FY176="keep",GJ176,0),IF(HA176="keep",HL176,0),IF(IC176="keep",IN176,0),IF(JE176="keep",JP176,0),IF(KG176="keep",KR176,0),IF(LI176="keep",LT176,0))</f>
        <v>0</v>
      </c>
      <c r="U176" s="5">
        <f>SUM(IF(BQ176="keep",CI176,0),IF(CS176="keep",DK176,0),IF(DU176="keep",EM176,0),IF(EW176="keep",FO176,0),IF(FY176="keep",GQ176,0),IF(HA176="keep",HS176,0),IF(IC176="keep",IU176,0),IF(JE176="keep",JW176,0),IF(KG176="keep",KY176,0),IF(LI176="keep",MA176,0))</f>
        <v>0</v>
      </c>
      <c r="V176" s="5">
        <f>R176/O176</f>
        <v>1.888182742751857</v>
      </c>
      <c r="W176" s="5">
        <f>S176/P176</f>
        <v>1.9135854447560259</v>
      </c>
      <c r="X176" s="5">
        <f>T176/O176</f>
        <v>0</v>
      </c>
      <c r="Y176" s="5">
        <f>U176/P176</f>
        <v>0</v>
      </c>
      <c r="Z176" s="5">
        <f>V176+X176</f>
        <v>1.888182742751857</v>
      </c>
      <c r="AA176" s="7">
        <f>IFERROR(W176/V176-1,0)</f>
        <v>0.013453518787671426</v>
      </c>
      <c r="AB176" s="7">
        <f>IFERROR((W176-V176)/Z176,0)</f>
        <v>0.013453518787671358</v>
      </c>
      <c r="AC176" s="7">
        <f>IFERROR(Y176/X176-1,0)</f>
        <v>0</v>
      </c>
      <c r="AD176" s="7">
        <f>IFERROR((Y176-X176)/Z176,0)</f>
        <v>0</v>
      </c>
      <c r="AE176" s="7">
        <f>AB176+AD176</f>
        <v>0.013453518787671358</v>
      </c>
      <c r="AF176" s="7">
        <f>(1+Q176)*(1+AE176)-1</f>
        <v>0.0022551373646033657</v>
      </c>
      <c r="AG176" s="7">
        <f>G176-AF176</f>
        <v>-3.5431726996826285e-16</v>
      </c>
      <c r="AH176" s="5">
        <f>SUM(IF(BQ176="lease",CE176,0),IF(CS176="lease",DG176,0),IF(DU176="lease",EI176,0),IF(EW176="lease",FK176,0),IF(FY176="lease",GM176,0),IF(HA176="lease",HO176,0),IF(IC176="lease",IQ176,0),IF(JE176="lease",JS176,0),IF(KG176="lease",KU176,0),IF(LI176="lease",LW176,0))</f>
        <v>0.003936252161606094</v>
      </c>
      <c r="AI176" s="5">
        <f>SUM(IF(BQ176="keep",CE176,0),IF(CS176="keep",DG176,0),IF(DU176="keep",EI176,0),IF(EW176="keep",FK176,0),IF(FY176="keep",GM176,0),IF(HA176="keep",HO176,0),IF(IC176="keep",IQ176,0),IF(JE176="keep",JS176,0),IF(KG176="keep",KU176,0),IF(LI176="keep",LW176,0))</f>
        <v>0</v>
      </c>
      <c r="AJ176" s="5">
        <f>SUM(IF(BQ176="lease",CH176,0),IF(CS176="lease",DJ176,0),IF(DU176="lease",EL176,0),IF(EW176="lease",FN176,0),IF(FY176="lease",GP176,0),IF(HA176="lease",HR176,0),IF(IC176="lease",IT176,0),IF(JE176="lease",JV176,0),IF(KG176="lease",KX176,0),IF(LI176="lease",LZ176,0))</f>
        <v>0</v>
      </c>
      <c r="AK176" s="5">
        <f>SUM(IF(BQ176="keep",CH176,0),IF(CS176="keep",DJ176,0),IF(DU176="keep",EL176,0),IF(EW176="keep",FN176,0),IF(FY176="keep",GP176,0),IF(HA176="keep",HR176,0),IF(IC176="keep",IT176,0),IF(JE176="keep",JV176,0),IF(KG176="keep",KX176,0),IF(LI176="keep",LZ176,0))</f>
        <v>0</v>
      </c>
      <c r="AL176" s="5">
        <f>R176-S175</f>
        <v>-2.220446049250313e-16</v>
      </c>
      <c r="AM176" s="5">
        <f>T176-U175</f>
        <v>0</v>
      </c>
      <c r="AN176" s="5">
        <f>AN175</f>
        <v>1</v>
      </c>
      <c r="AO176" s="5">
        <f>AO175+AH176</f>
        <v>0.7493962952570411</v>
      </c>
      <c r="AP176" s="5">
        <f>AP175+AL176</f>
        <v>-1.1102230246251565e-15</v>
      </c>
      <c r="AQ176" s="5">
        <f>AN176+AO176+AP176</f>
        <v>1.7493962952570399</v>
      </c>
      <c r="AR176" s="5">
        <f>S176-AQ176</f>
        <v>1.1102230246251565e-15</v>
      </c>
      <c r="AS176" s="5">
        <f>AS175</f>
        <v>0</v>
      </c>
      <c r="AT176" s="5">
        <f>AT175+AI176</f>
        <v>0</v>
      </c>
      <c r="AU176" s="5">
        <f>AU175+AM176</f>
        <v>0</v>
      </c>
      <c r="AV176" s="5">
        <f>AS176+AT176+AU176</f>
        <v>0</v>
      </c>
      <c r="AW176" s="5">
        <f>U176-AV176</f>
        <v>0</v>
      </c>
      <c r="AX176" s="4">
        <v>1.7454600430954348</v>
      </c>
      <c r="AY176" s="4">
        <v>1.749396295257041</v>
      </c>
      <c r="AZ176" s="5">
        <f>S176-AY176</f>
        <v>0</v>
      </c>
      <c r="BA176" s="4">
        <v>0</v>
      </c>
      <c r="BB176" s="4">
        <v>0</v>
      </c>
      <c r="BC176" s="5">
        <f>U176-BB176</f>
        <v>0</v>
      </c>
      <c r="BD176" s="7">
        <f>SUM(IF(BP176="direct",CC176/F176,0),IF(CR176="direct",DE176/F176,0),IF(DT176="direct",EG176/F176,0),IF(EV176="direct",FI176/F176,0),IF(FX176="direct",GK176/F176,0),IF(GZ176="direct",HM176/F176,0),IF(IB176="direct",IO176/F176,0),IF(JD176="direct",JQ176/F176,0),IF(KF176="direct",KS176/F176,0),IF(LH176="direct",LU176/F176,0))</f>
        <v>-0.004769397769778595</v>
      </c>
      <c r="BE176" s="7">
        <f>-SUM(IF(BP176="direct",CD176/F176,0),IF(CR176="direct",DF176/F176,0),IF(DT176="direct",EH176/F176,0),IF(EV176="direct",FJ176/F176,0),IF(FX176="direct",GL176/F176,0),IF(GZ176="direct",HN176/F176,0),IF(IB176="direct",IP176/F176,0),IF(JD176="direct",JR176/F176,0),IF(KF176="direct",KT176/F176,0),IF(LH176="direct",LV176/F176,0))</f>
        <v>-0.000002956373275102483</v>
      </c>
      <c r="BF176" s="7">
        <f>BD176+BE176</f>
        <v>-0.004772354143053698</v>
      </c>
      <c r="BG176" s="7">
        <f>BF176-SUM(IF(BP176="direct",CP176,0),IF(CR176="direct",DR176,0),IF(DT176="direct",ET176,0),IF(EV176="direct",FV176,0),IF(FX176="direct",GX176,0),IF(GZ176="direct",HZ176,0),IF(IB176="direct",JB176,0),IF(JD176="direct",KD176,0),IF(KF176="direct",LF176,0),IF(LH176="direct",MH176,0))</f>
        <v>-1.6479873021779667e-17</v>
      </c>
      <c r="BH176" s="7">
        <f>SUM(IF(BP176="treasury",CP176,0),IF(CR176="treasury",DR176,0),IF(DT176="treasury",ET176,0),IF(EV176="treasury",FV176,0),IF(FX176="treasury",GX176,0),IF(GZ176="treasury",HZ176,0),IF(IB176="treasury",JB176,0),IF(JD176="treasury",KD176,0),IF(KF176="treasury",LF176,0),IF(LH176="treasury",MH176,0))</f>
        <v>0.00011102669994750186</v>
      </c>
      <c r="BI176" s="7">
        <f>SUM(IF(BP176="future",CP176,0),IF(CR176="future",DR176,0),IF(DT176="future",ET176,0),IF(EV176="future",FV176,0),IF(FX176="future",GX176,0),IF(GZ176="future",HZ176,0),IF(IB176="future",JB176,0),IF(JD176="future",KD176,0),IF(KF176="future",LF176,0),IF(LH176="future",MH176,0))</f>
        <v>0.006916464807709189</v>
      </c>
      <c r="BJ176" s="7">
        <f>SUM(IF(BP176="cash",CP176,0),IF(CR176="cash",DR176,0),IF(DT176="cash",ET176,0),IF(EV176="cash",FV176,0),IF(FX176="cash",GX176,0),IF(GZ176="cash",HZ176,0),IF(IB176="cash",JB176,0),IF(JD176="cash",KD176,0),IF(KF176="cash",LF176,0),IF(LH176="cash",MH176,0))</f>
        <v>0</v>
      </c>
      <c r="BK176" s="7">
        <f>SUM(BF176,BH176,BI176,BJ176)</f>
        <v>0.00225513736460301</v>
      </c>
      <c r="BL176" s="7">
        <f>G176-BK176</f>
        <v>1.3010426069826053e-18</v>
      </c>
      <c r="BM176" s="5">
        <f>MAX(ABS(CG176),ABS(DI176),ABS(EK176),ABS(FM176),ABS(GO176),ABS(HQ176),ABS(IS176),ABS(JU176),ABS(KW176),ABS(LY176))</f>
        <v>1.8466673502859354e-16</v>
      </c>
      <c r="BN176" s="9">
        <f>COUNTA(BO176,CQ176,DS176,EU176,FW176,GY176,IA176,JC176,KE176,LG176)</f>
        <v>10</v>
      </c>
      <c r="BO176" t="inlineStr">
        <is>
          <t xml:space="preserve">Direct commodity holding</t>
        </is>
      </c>
      <c r="BP176" t="inlineStr">
        <is>
          <t xml:space="preserve">direct</t>
        </is>
      </c>
      <c r="BQ176" t="inlineStr">
        <is>
          <t xml:space="preserve">lease</t>
        </is>
      </c>
      <c r="BR176" t="inlineStr">
        <is>
          <t xml:space="preserve">long</t>
        </is>
      </c>
      <c r="BS176"/>
      <c r="BT176" s="4">
        <v>1.81</v>
      </c>
      <c r="BU176" s="4">
        <v>1.79</v>
      </c>
      <c r="BV176" s="6">
        <v>0.0025</v>
      </c>
      <c r="BW176" s="4">
        <v>0.4162396618388503</v>
      </c>
      <c r="BX176" s="5">
        <f>IF(BP176="direct",IFERROR(CD176/BU176,0),0)</f>
        <v>0.000002882810851489704</v>
      </c>
      <c r="BY176" s="5">
        <f>IF(BP176="direct",BW176-BX176,IF(BP176="cash",CI176,BW176))</f>
        <v>0.4162367790279988</v>
      </c>
      <c r="BZ176" s="6">
        <v>0.43163049816496246</v>
      </c>
      <c r="CA176" s="4">
        <v>0.7533937879283191</v>
      </c>
      <c r="CB176" s="4">
        <v>0.7533937879283191</v>
      </c>
      <c r="CC176" s="5">
        <f>IF(BP176="direct",BW176*(BU176-BT176),CF176)</f>
        <v>-0.008324793236777013</v>
      </c>
      <c r="CD176" s="5">
        <f>IF(BP176="direct",CB176*BV176*C176/365,0)</f>
        <v>0.00000516023142416657</v>
      </c>
      <c r="CE176" s="5">
        <f>CC176-CD176</f>
        <v>-0.008329953468201153</v>
      </c>
      <c r="CF176" s="4">
        <v>-0.008329953468201153</v>
      </c>
      <c r="CG176" s="5">
        <f>CF176-CE176</f>
        <v>2.745572595230089e-17</v>
      </c>
      <c r="CH176" s="4">
        <v>0</v>
      </c>
      <c r="CI176" s="4">
        <v>0.7450638344601179</v>
      </c>
      <c r="CJ176" s="4">
        <v>1.81</v>
      </c>
      <c r="CK176" s="4">
        <v>1.79</v>
      </c>
      <c r="CL176" s="6"/>
      <c r="CM176" s="6"/>
      <c r="CN176" s="6"/>
      <c r="CO176" s="9"/>
      <c r="CP176" s="7">
        <f>IFERROR(CE176/F176,0)</f>
        <v>-0.004772354143053681</v>
      </c>
      <c r="CQ176" t="inlineStr">
        <is>
          <t xml:space="preserve">Treasury collateral</t>
        </is>
      </c>
      <c r="CR176" t="inlineStr">
        <is>
          <t xml:space="preserve">treasury</t>
        </is>
      </c>
      <c r="CS176" t="inlineStr">
        <is>
          <t xml:space="preserve">lease</t>
        </is>
      </c>
      <c r="CT176" t="inlineStr">
        <is>
          <t xml:space="preserve">long</t>
        </is>
      </c>
      <c r="CU176"/>
      <c r="CV176" s="4">
        <v>104.6277930581591</v>
      </c>
      <c r="CW176" s="4">
        <v>104.64823130924144</v>
      </c>
      <c r="CX176" s="6"/>
      <c r="CY176" s="4">
        <v>0.00948186161793223</v>
      </c>
      <c r="CZ176" s="5">
        <f>IF(CR176="direct",IFERROR(DF176/CW176,0),0)</f>
        <v>0</v>
      </c>
      <c r="DA176" s="5">
        <f>IF(CR176="direct",CY176-CZ176,IF(CR176="cash",DK176,CY176))</f>
        <v>0.00948186161793223</v>
      </c>
      <c r="DB176" s="6">
        <v>0.5683695018350375</v>
      </c>
      <c r="DC176" s="4">
        <v>0.992066255167115</v>
      </c>
      <c r="DD176" s="4">
        <v>0.992066255167115</v>
      </c>
      <c r="DE176" s="5">
        <f>IF(CR176="direct",CY176*(CW176-CV176),DH176)</f>
        <v>0.0001937926684752951</v>
      </c>
      <c r="DF176" s="5">
        <f>IF(CR176="direct",DD176*CX176*C176/365,0)</f>
        <v>0</v>
      </c>
      <c r="DG176" s="5">
        <f>DE176-DF176</f>
        <v>0.00019379266847511042</v>
      </c>
      <c r="DH176" s="4">
        <v>0.00019379266847511042</v>
      </c>
      <c r="DI176" s="5">
        <f>DH176-DG176</f>
        <v>-1.8466673502859354e-16</v>
      </c>
      <c r="DJ176" s="4">
        <v>3.016792544940916e-16</v>
      </c>
      <c r="DK176" s="4">
        <v>0.9922600478355904</v>
      </c>
      <c r="DL176" s="4">
        <v>1.81</v>
      </c>
      <c r="DM176" s="4">
        <v>1.79</v>
      </c>
      <c r="DN176" s="6"/>
      <c r="DO176" s="6"/>
      <c r="DP176" s="6"/>
      <c r="DQ176" s="9">
        <v>103</v>
      </c>
      <c r="DR176" s="7">
        <f>IFERROR(DG176/F176,0)</f>
        <v>0.00011102669994750186</v>
      </c>
      <c r="DS176" t="inlineStr">
        <is>
          <t xml:space="preserve">SI69Z</t>
        </is>
      </c>
      <c r="DT176" t="inlineStr">
        <is>
          <t xml:space="preserve">future</t>
        </is>
      </c>
      <c r="DU176" t="inlineStr">
        <is>
          <t xml:space="preserve">lease</t>
        </is>
      </c>
      <c r="DV176" t="inlineStr">
        <is>
          <t xml:space="preserve">long</t>
        </is>
      </c>
      <c r="DW176" t="inlineStr">
        <is>
          <t xml:space="preserve">regular</t>
        </is>
      </c>
      <c r="DX176" s="4">
        <v>1.8030000000000002</v>
      </c>
      <c r="DY176" s="4">
        <v>1.825</v>
      </c>
      <c r="DZ176" s="6"/>
      <c r="EA176" s="4">
        <v>0.5232583405862186</v>
      </c>
      <c r="EB176" s="5">
        <f>IF(DT176="direct",IFERROR(EH176/DY176,0),0)</f>
        <v>0</v>
      </c>
      <c r="EC176" s="5">
        <f>IF(DT176="direct",EA176-EB176,IF(DT176="cash",EM176,EA176))</f>
        <v>0.5232583405862186</v>
      </c>
      <c r="ED176" s="6">
        <v>0.5405078115703215</v>
      </c>
      <c r="EE176" s="4">
        <v>0.9434347880769521</v>
      </c>
      <c r="EF176" s="4">
        <v>0</v>
      </c>
      <c r="EG176" s="5">
        <f>IF(DT176="direct",EA176*(DY176-DX176),EJ176)</f>
        <v>0.011511683492896798</v>
      </c>
      <c r="EH176" s="5">
        <f>IF(DT176="direct",EF176*DZ176*C176/365,0)</f>
        <v>0</v>
      </c>
      <c r="EI176" s="5">
        <f>EG176-EH176</f>
        <v>0.011511683492896798</v>
      </c>
      <c r="EJ176" s="4">
        <v>0.011511683492896798</v>
      </c>
      <c r="EK176" s="5">
        <f>EJ176-EI176</f>
        <v>0</v>
      </c>
      <c r="EL176" s="4">
        <v>-0.011511683492896798</v>
      </c>
      <c r="EM176" s="4">
        <v>0</v>
      </c>
      <c r="EN176" s="4">
        <v>1.81</v>
      </c>
      <c r="EO176" s="4">
        <v>1.79</v>
      </c>
      <c r="EP176" s="6">
        <v>-0.003867403314917084</v>
      </c>
      <c r="EQ176" s="6">
        <v>0.07155054945054945</v>
      </c>
      <c r="ER176" s="6">
        <v>0.08525542527525562</v>
      </c>
      <c r="ES176" s="9">
        <v>103</v>
      </c>
      <c r="ET176" s="7">
        <f>IFERROR(EI176/F176,0)</f>
        <v>0.006595214561590162</v>
      </c>
      <c r="EU176" t="inlineStr">
        <is>
          <t xml:space="preserve">SI70F</t>
        </is>
      </c>
      <c r="EV176" t="inlineStr">
        <is>
          <t xml:space="preserve">future</t>
        </is>
      </c>
      <c r="EW176" t="inlineStr">
        <is>
          <t xml:space="preserve">lease</t>
        </is>
      </c>
      <c r="EX176" t="inlineStr">
        <is>
          <t xml:space="preserve">long</t>
        </is>
      </c>
      <c r="EY176" t="inlineStr">
        <is>
          <t xml:space="preserve">regular</t>
        </is>
      </c>
      <c r="EZ176" s="4">
        <v>1.821</v>
      </c>
      <c r="FA176" s="4">
        <v>1.8419999999999999</v>
      </c>
      <c r="FB176" s="6"/>
      <c r="FC176" s="4">
        <v>0.026428621815425924</v>
      </c>
      <c r="FD176" s="5">
        <f>IF(EV176="direct",IFERROR(FJ176/FA176,0),0)</f>
        <v>0</v>
      </c>
      <c r="FE176" s="5">
        <f>IF(EV176="direct",FC176-FD176,IF(EV176="cash",FO176,FC176))</f>
        <v>0.026428621815425924</v>
      </c>
      <c r="FF176" s="6">
        <v>0.027572398758863626</v>
      </c>
      <c r="FG176" s="4">
        <v>0.048126520325890605</v>
      </c>
      <c r="FH176" s="4">
        <v>0</v>
      </c>
      <c r="FI176" s="5">
        <f>IF(EV176="direct",FC176*(FA176-EZ176),FL176)</f>
        <v>0.0005550010581239455</v>
      </c>
      <c r="FJ176" s="5">
        <f>IF(EV176="direct",FH176*FB176*C176/365,0)</f>
        <v>0</v>
      </c>
      <c r="FK176" s="5">
        <f>FI176-FJ176</f>
        <v>0.0005550010581239455</v>
      </c>
      <c r="FL176" s="4">
        <v>0.0005550010581239455</v>
      </c>
      <c r="FM176" s="5">
        <f>FL176-FK176</f>
        <v>0</v>
      </c>
      <c r="FN176" s="4">
        <v>-0.0005550010581239455</v>
      </c>
      <c r="FO176" s="4">
        <v>0</v>
      </c>
      <c r="FP176" s="4">
        <v>1.81</v>
      </c>
      <c r="FQ176" s="4">
        <v>1.79</v>
      </c>
      <c r="FR176" s="6">
        <v>0.006077348066298338</v>
      </c>
      <c r="FS176" s="6">
        <v>0.07217692307692307</v>
      </c>
      <c r="FT176" s="6">
        <v>0.05549848665437501</v>
      </c>
      <c r="FU176" s="9">
        <v>133</v>
      </c>
      <c r="FV176" s="7">
        <f>IFERROR(FK176/F176,0)</f>
        <v>0.00031796835471506723</v>
      </c>
      <c r="FW176" t="inlineStr">
        <is>
          <t xml:space="preserve">SI70H</t>
        </is>
      </c>
      <c r="FX176" t="inlineStr">
        <is>
          <t xml:space="preserve">future</t>
        </is>
      </c>
      <c r="FY176" t="inlineStr">
        <is>
          <t xml:space="preserve">lease</t>
        </is>
      </c>
      <c r="FZ176" t="inlineStr">
        <is>
          <t xml:space="preserve">long</t>
        </is>
      </c>
      <c r="GA176" t="inlineStr">
        <is>
          <t xml:space="preserve">regular</t>
        </is>
      </c>
      <c r="GB176" s="4">
        <v>1.854</v>
      </c>
      <c r="GC176" s="4">
        <v>1.875</v>
      </c>
      <c r="GD176" s="6"/>
      <c r="GE176" s="4">
        <v>0.00025189258687197943</v>
      </c>
      <c r="GF176" s="5">
        <f>IF(FX176="direct",IFERROR(GL176/GC176,0),0)</f>
        <v>0</v>
      </c>
      <c r="GG176" s="5">
        <f>IF(FX176="direct",GE176-GF176,IF(FX176="cash",GQ176,GE176))</f>
        <v>0.00025189258687197943</v>
      </c>
      <c r="GH176" s="6">
        <v>0.000267556314398608</v>
      </c>
      <c r="GI176" s="4">
        <v>0.00046700885606064987</v>
      </c>
      <c r="GJ176" s="4">
        <v>0</v>
      </c>
      <c r="GK176" s="5">
        <f>IF(FX176="direct",GE176*(GC176-GB176),GN176)</f>
        <v>0.000005289744324311531</v>
      </c>
      <c r="GL176" s="5">
        <f>IF(FX176="direct",GJ176*GD176*C176/365,0)</f>
        <v>0</v>
      </c>
      <c r="GM176" s="5">
        <f>GK176-GL176</f>
        <v>0.000005289744324311531</v>
      </c>
      <c r="GN176" s="4">
        <v>0.000005289744324311531</v>
      </c>
      <c r="GO176" s="5">
        <f>GN176-GM176</f>
        <v>0</v>
      </c>
      <c r="GP176" s="4">
        <v>-0.000005289744324311531</v>
      </c>
      <c r="GQ176" s="4">
        <v>0</v>
      </c>
      <c r="GR176" s="4">
        <v>1.81</v>
      </c>
      <c r="GS176" s="4">
        <v>1.79</v>
      </c>
      <c r="GT176" s="6">
        <v>0.024309392265193353</v>
      </c>
      <c r="GU176" s="6">
        <v>0.0734311475409836</v>
      </c>
      <c r="GV176" s="6">
        <v>0.026976026196504167</v>
      </c>
      <c r="GW176" s="9">
        <v>191</v>
      </c>
      <c r="GX176" s="7">
        <f>IFERROR(GM176/F176,0)</f>
        <v>0.0000030305731404372865</v>
      </c>
      <c r="GY176" t="inlineStr">
        <is>
          <t xml:space="preserve">SI70K</t>
        </is>
      </c>
      <c r="GZ176" t="inlineStr">
        <is>
          <t xml:space="preserve">future</t>
        </is>
      </c>
      <c r="HA176" t="inlineStr">
        <is>
          <t xml:space="preserve">lease</t>
        </is>
      </c>
      <c r="HB176" t="inlineStr">
        <is>
          <t xml:space="preserve">long</t>
        </is>
      </c>
      <c r="HC176" t="inlineStr">
        <is>
          <t xml:space="preserve">regular</t>
        </is>
      </c>
      <c r="HD176" s="4">
        <v>1.886</v>
      </c>
      <c r="HE176" s="4">
        <v>1.9080000000000001</v>
      </c>
      <c r="HF176" s="6"/>
      <c r="HG176" s="4">
        <v>0.000015969686514255538</v>
      </c>
      <c r="HH176" s="5">
        <f>IF(GZ176="direct",IFERROR(HN176/HE176,0),0)</f>
        <v>0</v>
      </c>
      <c r="HI176" s="5">
        <f>IF(GZ176="direct",HG176-HH176,IF(GZ176="cash",HS176,HG176))</f>
        <v>0.000015969686514255538</v>
      </c>
      <c r="HJ176" s="6">
        <v>0.000017255524630900517</v>
      </c>
      <c r="HK176" s="4">
        <v>0.00003011882876588594</v>
      </c>
      <c r="HL176" s="4">
        <v>0</v>
      </c>
      <c r="HM176" s="5">
        <f>IF(GZ176="direct",HG176*(HE176-HD176),HP176)</f>
        <v>3.513331033136279e-7</v>
      </c>
      <c r="HN176" s="5">
        <f>IF(GZ176="direct",HL176*HF176*C176/365,0)</f>
        <v>0</v>
      </c>
      <c r="HO176" s="5">
        <f>HM176-HN176</f>
        <v>3.513331033136279e-7</v>
      </c>
      <c r="HP176" s="4">
        <v>3.513331033136279e-7</v>
      </c>
      <c r="HQ176" s="5">
        <f>HP176-HO176</f>
        <v>0</v>
      </c>
      <c r="HR176" s="4">
        <v>-3.513331033136279e-7</v>
      </c>
      <c r="HS176" s="4">
        <v>0</v>
      </c>
      <c r="HT176" s="4">
        <v>1.81</v>
      </c>
      <c r="HU176" s="4">
        <v>1.79</v>
      </c>
      <c r="HV176" s="6">
        <v>0.04198895027624294</v>
      </c>
      <c r="HW176" s="6">
        <v>0.07499781420765028</v>
      </c>
      <c r="HX176" s="6">
        <v>0.014180485434520607</v>
      </c>
      <c r="HY176" s="9">
        <v>252</v>
      </c>
      <c r="HZ176" s="7">
        <f>IFERROR(HO176/F176,0)</f>
        <v>2.012839564580159e-7</v>
      </c>
      <c r="IA176" t="inlineStr">
        <is>
          <t xml:space="preserve">SI70N</t>
        </is>
      </c>
      <c r="IB176" t="inlineStr">
        <is>
          <t xml:space="preserve">future</t>
        </is>
      </c>
      <c r="IC176" t="inlineStr">
        <is>
          <t xml:space="preserve">lease</t>
        </is>
      </c>
      <c r="ID176" t="inlineStr">
        <is>
          <t xml:space="preserve">long</t>
        </is>
      </c>
      <c r="IE176" t="inlineStr">
        <is>
          <t xml:space="preserve">regular</t>
        </is>
      </c>
      <c r="IF176" s="4">
        <v>1.919</v>
      </c>
      <c r="IG176" s="4">
        <v>1.94</v>
      </c>
      <c r="IH176" s="6"/>
      <c r="II176" s="4">
        <v>0.000002993317824933802</v>
      </c>
      <c r="IJ176" s="5">
        <f>IF(IB176="direct",IFERROR(IP176/IG176,0),0)</f>
        <v>0</v>
      </c>
      <c r="IK176" s="5">
        <f>IF(IB176="direct",II176-IJ176,IF(IB176="cash",IU176,II176))</f>
        <v>0.000002993317824933802</v>
      </c>
      <c r="IL176" s="6">
        <v>0.0000032909243203649203</v>
      </c>
      <c r="IM176" s="4">
        <v>0.000005744176906047966</v>
      </c>
      <c r="IN176" s="4">
        <v>0</v>
      </c>
      <c r="IO176" s="5">
        <f>IF(IB176="direct",II176*(IG176-IF176),IR176)</f>
        <v>6.28596743236097e-8</v>
      </c>
      <c r="IP176" s="5">
        <f>IF(IB176="direct",IN176*IH176*C176/365,0)</f>
        <v>0</v>
      </c>
      <c r="IQ176" s="5">
        <f>IO176-IP176</f>
        <v>6.28596743236097e-8</v>
      </c>
      <c r="IR176" s="4">
        <v>6.28596743236097e-8</v>
      </c>
      <c r="IS176" s="5">
        <f>IR176-IQ176</f>
        <v>0</v>
      </c>
      <c r="IT176" s="4">
        <v>-6.28596743236097e-8</v>
      </c>
      <c r="IU176" s="4">
        <v>0</v>
      </c>
      <c r="IV176" s="4">
        <v>1.81</v>
      </c>
      <c r="IW176" s="4">
        <v>1.79</v>
      </c>
      <c r="IX176" s="6">
        <v>0.06022099447513818</v>
      </c>
      <c r="IY176" s="6">
        <v>0.07661584699453552</v>
      </c>
      <c r="IZ176" s="6">
        <v>0.006835964507470636</v>
      </c>
      <c r="JA176" s="9">
        <v>315</v>
      </c>
      <c r="JB176" s="7">
        <f>IFERROR(IQ176/F176,0)</f>
        <v>3.60132416506843e-8</v>
      </c>
      <c r="JC176" t="inlineStr">
        <is>
          <t xml:space="preserve">SI70U</t>
        </is>
      </c>
      <c r="JD176" t="inlineStr">
        <is>
          <t xml:space="preserve">future</t>
        </is>
      </c>
      <c r="JE176" t="inlineStr">
        <is>
          <t xml:space="preserve">lease</t>
        </is>
      </c>
      <c r="JF176" t="inlineStr">
        <is>
          <t xml:space="preserve">long</t>
        </is>
      </c>
      <c r="JG176" t="inlineStr">
        <is>
          <t xml:space="preserve">regular</t>
        </is>
      </c>
      <c r="JH176" s="4">
        <v>1.95</v>
      </c>
      <c r="JI176" s="4">
        <v>1.973</v>
      </c>
      <c r="JJ176" s="6"/>
      <c r="JK176" s="4">
        <v>0.000001064052584524681</v>
      </c>
      <c r="JL176" s="5">
        <f>IF(JD176="direct",IFERROR(JR176/JI176,0),0)</f>
        <v>0</v>
      </c>
      <c r="JM176" s="5">
        <f>IF(JD176="direct",JK176-JL176,IF(JD176="cash",JW176,JK176))</f>
        <v>0.000001064052584524681</v>
      </c>
      <c r="JN176" s="6">
        <v>0.0000011887425026031842</v>
      </c>
      <c r="JO176" s="4">
        <v>0.0000020749025398231282</v>
      </c>
      <c r="JP176" s="4">
        <v>0</v>
      </c>
      <c r="JQ176" s="5">
        <f>IF(JD176="direct",JK176*(JI176-JH176),JT176)</f>
        <v>2.4473209444067945e-8</v>
      </c>
      <c r="JR176" s="5">
        <f>IF(JD176="direct",JP176*JJ176*C176/365,0)</f>
        <v>0</v>
      </c>
      <c r="JS176" s="5">
        <f>JQ176-JR176</f>
        <v>2.4473209444067945e-8</v>
      </c>
      <c r="JT176" s="4">
        <v>2.4473209444067945e-8</v>
      </c>
      <c r="JU176" s="5">
        <f>JT176-JS176</f>
        <v>0</v>
      </c>
      <c r="JV176" s="4">
        <v>-2.4473209444067945e-8</v>
      </c>
      <c r="JW176" s="4">
        <v>0</v>
      </c>
      <c r="JX176" s="4">
        <v>1.81</v>
      </c>
      <c r="JY176" s="4">
        <v>1.79</v>
      </c>
      <c r="JZ176" s="6">
        <v>0.07734806629834257</v>
      </c>
      <c r="KA176" s="6">
        <v>0.07774027397260275</v>
      </c>
      <c r="KB176" s="6">
        <v>0.0026550500393712484</v>
      </c>
      <c r="KC176" s="9">
        <v>376</v>
      </c>
      <c r="KD176" s="7">
        <f>IFERROR(JS176/F176,0)</f>
        <v>1.402106541531977e-8</v>
      </c>
      <c r="KE176" t="inlineStr">
        <is>
          <t xml:space="preserve">Lease cash / margin / financing</t>
        </is>
      </c>
      <c r="KF176" t="inlineStr">
        <is>
          <t xml:space="preserve">cash</t>
        </is>
      </c>
      <c r="KG176" t="inlineStr">
        <is>
          <t xml:space="preserve">lease</t>
        </is>
      </c>
      <c r="KH176" t="inlineStr">
        <is>
          <t xml:space="preserve">cash</t>
        </is>
      </c>
      <c r="KI176"/>
      <c r="KJ176" s="4">
        <v>1</v>
      </c>
      <c r="KK176" s="4">
        <v>1</v>
      </c>
      <c r="KL176" s="6"/>
      <c r="KM176" s="4">
        <v>6.661338147750939e-16</v>
      </c>
      <c r="KN176" s="5">
        <f>IF(KF176="direct",IFERROR(KT176/KK176,0),0)</f>
        <v>0</v>
      </c>
      <c r="KO176" s="5">
        <f>IF(KF176="direct",KM176-KN176,IF(KF176="cash",KY176,KM176))</f>
        <v>0.012072412961332499</v>
      </c>
      <c r="KP176" s="6"/>
      <c r="KQ176" s="4">
        <v>6.661338147750939e-16</v>
      </c>
      <c r="KR176" s="4">
        <v>6.661338147750939e-16</v>
      </c>
      <c r="KS176" s="5">
        <f>IF(KF176="direct",KM176*(KK176-KJ176),KV176)</f>
        <v>0</v>
      </c>
      <c r="KT176" s="5">
        <f>IF(KF176="direct",KR176*KL176*C176/365,0)</f>
        <v>0</v>
      </c>
      <c r="KU176" s="5">
        <f>KS176-KT176</f>
        <v>0</v>
      </c>
      <c r="KV176" s="4">
        <v>0</v>
      </c>
      <c r="KW176" s="5">
        <f>KV176-KU176</f>
        <v>0</v>
      </c>
      <c r="KX176" s="4">
        <v>0.012072412961331833</v>
      </c>
      <c r="KY176" s="4">
        <v>0.012072412961332499</v>
      </c>
      <c r="KZ176" s="4">
        <v>1.81</v>
      </c>
      <c r="LA176" s="4">
        <v>1.79</v>
      </c>
      <c r="LB176" s="6"/>
      <c r="LC176" s="6"/>
      <c r="LD176" s="6"/>
      <c r="LE176" s="9"/>
      <c r="LF176" s="7">
        <f>IFERROR(KU176/F176,0)</f>
        <v>0</v>
      </c>
      <c r="LG176" t="inlineStr">
        <is>
          <t xml:space="preserve">Keep cash / margin / financing</t>
        </is>
      </c>
      <c r="LH176" t="inlineStr">
        <is>
          <t xml:space="preserve">cash</t>
        </is>
      </c>
      <c r="LI176" t="inlineStr">
        <is>
          <t xml:space="preserve">keep</t>
        </is>
      </c>
      <c r="LJ176" t="inlineStr">
        <is>
          <t xml:space="preserve">cash</t>
        </is>
      </c>
      <c r="LK176"/>
      <c r="LL176" s="4">
        <v>1</v>
      </c>
      <c r="LM176" s="4">
        <v>1</v>
      </c>
      <c r="LN176" s="6"/>
      <c r="LO176" s="4">
        <v>0</v>
      </c>
      <c r="LP176" s="5">
        <f>IF(LH176="direct",IFERROR(LV176/LM176,0),0)</f>
        <v>0</v>
      </c>
      <c r="LQ176" s="5">
        <f>IF(LH176="direct",LO176-LP176,IF(LH176="cash",MA176,LO176))</f>
        <v>0</v>
      </c>
      <c r="LR176" s="6"/>
      <c r="LS176" s="4">
        <v>0</v>
      </c>
      <c r="LT176" s="4">
        <v>0</v>
      </c>
      <c r="LU176" s="5">
        <f>IF(LH176="direct",LO176*(LM176-LL176),LX176)</f>
        <v>0</v>
      </c>
      <c r="LV176" s="5">
        <f>IF(LH176="direct",LT176*LN176*C176/365,0)</f>
        <v>0</v>
      </c>
      <c r="LW176" s="5">
        <f>LU176-LV176</f>
        <v>0</v>
      </c>
      <c r="LX176" s="4">
        <v>0</v>
      </c>
      <c r="LY176" s="5">
        <f>LX176-LW176</f>
        <v>0</v>
      </c>
      <c r="LZ176" s="4">
        <v>0</v>
      </c>
      <c r="MA176" s="4">
        <v>0</v>
      </c>
      <c r="MB176" s="4">
        <v>1.81</v>
      </c>
      <c r="MC176" s="4">
        <v>1.79</v>
      </c>
      <c r="MD176" s="6"/>
      <c r="ME176" s="6"/>
      <c r="MF176" s="6"/>
      <c r="MG176" s="9"/>
      <c r="MH176" s="7">
        <f>IFERROR(LW176/F176,0)</f>
        <v>0</v>
      </c>
    </row>
    <row r="177">
      <c r="A177" s="8">
        <v>25464</v>
      </c>
      <c r="B177" s="8">
        <v>25465</v>
      </c>
      <c r="C177" s="9">
        <f>B177-A177</f>
        <v>1</v>
      </c>
      <c r="D177" s="8">
        <v>25464</v>
      </c>
      <c r="E177" t="inlineStr">
        <is>
          <t xml:space="preserve">positive</t>
        </is>
      </c>
      <c r="F177" s="4">
        <v>1.74939629525704</v>
      </c>
      <c r="G177" s="6">
        <v>0.005028480674646351</v>
      </c>
      <c r="H177" s="7">
        <f>SUM(CP177,DR177,ET177,FV177,GX177,HZ177,JB177,KD177,LF177,MH177)</f>
        <v>0.00502848067464635</v>
      </c>
      <c r="I177" s="7">
        <f>G177-H177</f>
        <v>8.673617379884035e-19</v>
      </c>
      <c r="J177" s="5">
        <f>F177*(1+H177)</f>
        <v>1.758193100720038</v>
      </c>
      <c r="K177" s="4">
        <v>1.758193100720038</v>
      </c>
      <c r="L177" s="5">
        <f>K177-J177</f>
        <v>0</v>
      </c>
      <c r="M177" s="4">
        <v>1.79</v>
      </c>
      <c r="N177" s="4">
        <v>1.799</v>
      </c>
      <c r="O177" s="5">
        <f>M177/$M$3</f>
        <v>0.9141981613891726</v>
      </c>
      <c r="P177" s="5">
        <f>N177/$M$3</f>
        <v>0.9187946884576098</v>
      </c>
      <c r="Q177" s="7">
        <f>IFERROR(N177/M177-1,0)</f>
        <v>0.005027932960893766</v>
      </c>
      <c r="R177" s="5">
        <f>SUM(IF(BQ177="lease",CB177,0),IF(CS177="lease",DD177,0),IF(DU177="lease",EF177,0),IF(EW177="lease",FH177,0),IF(FY177="lease",GJ177,0),IF(HA177="lease",HL177,0),IF(IC177="lease",IN177,0),IF(JE177="lease",JP177,0),IF(KG177="lease",KR177,0),IF(LI177="lease",LT177,0))</f>
        <v>1.749396295257041</v>
      </c>
      <c r="S177" s="5">
        <f>SUM(IF(BQ177="lease",CI177,0),IF(CS177="lease",DK177,0),IF(DU177="lease",EM177,0),IF(EW177="lease",FO177,0),IF(FY177="lease",GQ177,0),IF(HA177="lease",HS177,0),IF(IC177="lease",IU177,0),IF(JE177="lease",JW177,0),IF(KG177="lease",KY177,0),IF(LI177="lease",MA177,0))</f>
        <v>1.7581931007200386</v>
      </c>
      <c r="T177" s="5">
        <f>SUM(IF(BQ177="keep",CB177,0),IF(CS177="keep",DD177,0),IF(DU177="keep",EF177,0),IF(EW177="keep",FH177,0),IF(FY177="keep",GJ177,0),IF(HA177="keep",HL177,0),IF(IC177="keep",IN177,0),IF(JE177="keep",JP177,0),IF(KG177="keep",KR177,0),IF(LI177="keep",LT177,0))</f>
        <v>0</v>
      </c>
      <c r="U177" s="5">
        <f>SUM(IF(BQ177="keep",CI177,0),IF(CS177="keep",DK177,0),IF(DU177="keep",EM177,0),IF(EW177="keep",FO177,0),IF(FY177="keep",GQ177,0),IF(HA177="keep",HS177,0),IF(IC177="keep",IU177,0),IF(JE177="keep",JW177,0),IF(KG177="keep",KY177,0),IF(LI177="keep",MA177,0))</f>
        <v>0</v>
      </c>
      <c r="V177" s="5">
        <f>R177/O177</f>
        <v>1.9135854447560259</v>
      </c>
      <c r="W177" s="5">
        <f>S177/P177</f>
        <v>1.913586487609692</v>
      </c>
      <c r="X177" s="5">
        <f>T177/O177</f>
        <v>0</v>
      </c>
      <c r="Y177" s="5">
        <f>U177/P177</f>
        <v>0</v>
      </c>
      <c r="Z177" s="5">
        <f>V177+X177</f>
        <v>1.9135854447560259</v>
      </c>
      <c r="AA177" s="7">
        <f>IFERROR(W177/V177-1,0)</f>
        <v>5.449736613094558e-7</v>
      </c>
      <c r="AB177" s="7">
        <f>IFERROR((W177-V177)/Z177,0)</f>
        <v>5.449736613260433e-7</v>
      </c>
      <c r="AC177" s="7">
        <f>IFERROR(Y177/X177-1,0)</f>
        <v>0</v>
      </c>
      <c r="AD177" s="7">
        <f>IFERROR((Y177-X177)/Z177,0)</f>
        <v>0</v>
      </c>
      <c r="AE177" s="7">
        <f>AB177+AD177</f>
        <v>5.449736613260433e-7</v>
      </c>
      <c r="AF177" s="7">
        <f>(1+Q177)*(1+AE177)-1</f>
        <v>0.005028480674646119</v>
      </c>
      <c r="AG177" s="7">
        <f>G177-AF177</f>
        <v>2.3245294578089215e-16</v>
      </c>
      <c r="AH177" s="5">
        <f>SUM(IF(BQ177="lease",CE177,0),IF(CS177="lease",DG177,0),IF(DU177="lease",EI177,0),IF(EW177="lease",FK177,0),IF(FY177="lease",GM177,0),IF(HA177="lease",HO177,0),IF(IC177="lease",IQ177,0),IF(JE177="lease",JS177,0),IF(KG177="lease",KU177,0),IF(LI177="lease",LW177,0))</f>
        <v>0.008796805462997947</v>
      </c>
      <c r="AI177" s="5">
        <f>SUM(IF(BQ177="keep",CE177,0),IF(CS177="keep",DG177,0),IF(DU177="keep",EI177,0),IF(EW177="keep",FK177,0),IF(FY177="keep",GM177,0),IF(HA177="keep",HO177,0),IF(IC177="keep",IQ177,0),IF(JE177="keep",JS177,0),IF(KG177="keep",KU177,0),IF(LI177="keep",LW177,0))</f>
        <v>0</v>
      </c>
      <c r="AJ177" s="5">
        <f>SUM(IF(BQ177="lease",CH177,0),IF(CS177="lease",DJ177,0),IF(DU177="lease",EL177,0),IF(EW177="lease",FN177,0),IF(FY177="lease",GP177,0),IF(HA177="lease",HR177,0),IF(IC177="lease",IT177,0),IF(JE177="lease",JV177,0),IF(KG177="lease",KX177,0),IF(LI177="lease",LZ177,0))</f>
        <v>0</v>
      </c>
      <c r="AK177" s="5">
        <f>SUM(IF(BQ177="keep",CH177,0),IF(CS177="keep",DJ177,0),IF(DU177="keep",EL177,0),IF(EW177="keep",FN177,0),IF(FY177="keep",GP177,0),IF(HA177="keep",HR177,0),IF(IC177="keep",IT177,0),IF(JE177="keep",JV177,0),IF(KG177="keep",KX177,0),IF(LI177="keep",LZ177,0))</f>
        <v>0</v>
      </c>
      <c r="AL177" s="5">
        <f>R177-S176</f>
        <v>0</v>
      </c>
      <c r="AM177" s="5">
        <f>T177-U176</f>
        <v>0</v>
      </c>
      <c r="AN177" s="5">
        <f>AN176</f>
        <v>1</v>
      </c>
      <c r="AO177" s="5">
        <f>AO176+AH177</f>
        <v>0.7581931007200391</v>
      </c>
      <c r="AP177" s="5">
        <f>AP176+AL177</f>
        <v>-1.1102230246251565e-15</v>
      </c>
      <c r="AQ177" s="5">
        <f>AN177+AO177+AP177</f>
        <v>1.758193100720038</v>
      </c>
      <c r="AR177" s="5">
        <f>S177-AQ177</f>
        <v>6.661338147750939e-16</v>
      </c>
      <c r="AS177" s="5">
        <f>AS176</f>
        <v>0</v>
      </c>
      <c r="AT177" s="5">
        <f>AT176+AI177</f>
        <v>0</v>
      </c>
      <c r="AU177" s="5">
        <f>AU176+AM177</f>
        <v>0</v>
      </c>
      <c r="AV177" s="5">
        <f>AS177+AT177+AU177</f>
        <v>0</v>
      </c>
      <c r="AW177" s="5">
        <f>U177-AV177</f>
        <v>0</v>
      </c>
      <c r="AX177" s="4">
        <v>1.749396295257041</v>
      </c>
      <c r="AY177" s="4">
        <v>1.7581931007200389</v>
      </c>
      <c r="AZ177" s="5">
        <f>S177-AY177</f>
        <v>-2.220446049250313e-16</v>
      </c>
      <c r="BA177" s="4">
        <v>0</v>
      </c>
      <c r="BB177" s="4">
        <v>0</v>
      </c>
      <c r="BC177" s="5">
        <f>U177-BB177</f>
        <v>0</v>
      </c>
      <c r="BD177" s="7">
        <f>SUM(IF(BP177="direct",CC177/F177,0),IF(CR177="direct",DE177/F177,0),IF(DT177="direct",EG177/F177,0),IF(EV177="direct",FI177/F177,0),IF(FX177="direct",GK177/F177,0),IF(GZ177="direct",HM177/F177,0),IF(IB177="direct",IO177/F177,0),IF(JD177="direct",JQ177/F177,0),IF(KF177="direct",KS177/F177,0),IF(LH177="direct",LU177/F177,0))</f>
        <v>0.004971063501036615</v>
      </c>
      <c r="BE177" s="7">
        <f>-SUM(IF(BP177="direct",CD177/F177,0),IF(CR177="direct",DF177/F177,0),IF(DT177="direct",EH177/F177,0),IF(EV177="direct",FJ177/F177,0),IF(FX177="direct",GL177/F177,0),IF(GZ177="direct",HN177/F177,0),IF(IB177="direct",IP177/F177,0),IF(JD177="direct",JR177/F177,0),IF(KF177="direct",KT177/F177,0),IF(LH177="direct",LV177/F177,0))</f>
        <v>-0.000006771844495323931</v>
      </c>
      <c r="BF177" s="7">
        <f>BD177+BE177</f>
        <v>0.004964291656541292</v>
      </c>
      <c r="BG177" s="7">
        <f>BF177-SUM(IF(BP177="direct",CP177,0),IF(CR177="direct",DR177,0),IF(DT177="direct",ET177,0),IF(EV177="direct",FV177,0),IF(FX177="direct",GX177,0),IF(GZ177="direct",HZ177,0),IF(IB177="direct",JB177,0),IF(JD177="direct",KD177,0),IF(KF177="direct",LF177,0),IF(LH177="direct",MH177,0))</f>
        <v>3.0357660829594124e-17</v>
      </c>
      <c r="BH177" s="7">
        <f>SUM(IF(BP177="treasury",CP177,0),IF(CR177="treasury",DR177,0),IF(DT177="treasury",ET177,0),IF(EV177="treasury",FV177,0),IF(FX177="treasury",GX177,0),IF(GZ177="treasury",HZ177,0),IF(IB177="treasury",JB177,0),IF(JD177="treasury",KD177,0),IF(KF177="treasury",LF177,0),IF(LH177="treasury",MH177,0))</f>
        <v>0.000002212559569712921</v>
      </c>
      <c r="BI177" s="7">
        <f>SUM(IF(BP177="future",CP177,0),IF(CR177="future",DR177,0),IF(DT177="future",ET177,0),IF(EV177="future",FV177,0),IF(FX177="future",GX177,0),IF(GZ177="future",HZ177,0),IF(IB177="future",JB177,0),IF(JD177="future",KD177,0),IF(KF177="future",LF177,0),IF(LH177="future",MH177,0))</f>
        <v>0.00006197645853537569</v>
      </c>
      <c r="BJ177" s="7">
        <f>SUM(IF(BP177="cash",CP177,0),IF(CR177="cash",DR177,0),IF(DT177="cash",ET177,0),IF(EV177="cash",FV177,0),IF(FX177="cash",GX177,0),IF(GZ177="cash",HZ177,0),IF(IB177="cash",JB177,0),IF(JD177="cash",KD177,0),IF(KF177="cash",LF177,0),IF(LH177="cash",MH177,0))</f>
        <v>0</v>
      </c>
      <c r="BK177" s="7">
        <f>SUM(BF177,BH177,BI177,BJ177)</f>
        <v>0.00502848067464635</v>
      </c>
      <c r="BL177" s="7">
        <f>G177-BK177</f>
        <v>8.673617379884035e-19</v>
      </c>
      <c r="BM177" s="5">
        <f>MAX(ABS(CG177),ABS(DI177),ABS(EK177),ABS(FM177),ABS(GO177),ABS(HQ177),ABS(IS177),ABS(JU177),ABS(KW177),ABS(LY177))</f>
        <v>5.303442689348625e-17</v>
      </c>
      <c r="BN177" s="9">
        <f>COUNTA(BO177,CQ177,DS177,EU177,FW177,GY177,IA177,JC177,KE177,LG177)</f>
        <v>5</v>
      </c>
      <c r="BO177" t="inlineStr">
        <is>
          <t xml:space="preserve">Direct commodity holding</t>
        </is>
      </c>
      <c r="BP177" t="inlineStr">
        <is>
          <t xml:space="preserve">direct</t>
        </is>
      </c>
      <c r="BQ177" t="inlineStr">
        <is>
          <t xml:space="preserve">lease</t>
        </is>
      </c>
      <c r="BR177" t="inlineStr">
        <is>
          <t xml:space="preserve">long</t>
        </is>
      </c>
      <c r="BS177"/>
      <c r="BT177" s="4">
        <v>1.79</v>
      </c>
      <c r="BU177" s="4">
        <v>1.799</v>
      </c>
      <c r="BV177" s="6">
        <v>0.0025</v>
      </c>
      <c r="BW177" s="4">
        <v>0.9662622302445607</v>
      </c>
      <c r="BX177" s="5">
        <f>IF(BP177="direct",IFERROR(CD177/BU177,0),0)</f>
        <v>0.000006585124887257624</v>
      </c>
      <c r="BY177" s="5">
        <f>IF(BP177="direct",BW177-BX177,IF(BP177="cash",CI177,BW177))</f>
        <v>0.9662556451196734</v>
      </c>
      <c r="BZ177" s="6">
        <v>0.9886892963172939</v>
      </c>
      <c r="CA177" s="4">
        <v>1.7296093921377638</v>
      </c>
      <c r="CB177" s="4">
        <v>1.7296093921377638</v>
      </c>
      <c r="CC177" s="5">
        <f>IF(BP177="direct",BW177*(BU177-BT177),CF177)</f>
        <v>0.008696360072200947</v>
      </c>
      <c r="CD177" s="5">
        <f>IF(BP177="direct",CB177*BV177*C177/365,0)</f>
        <v>0.000011846639672176466</v>
      </c>
      <c r="CE177" s="5">
        <f>CC177-CD177</f>
        <v>0.008684513432528717</v>
      </c>
      <c r="CF177" s="4">
        <v>0.008684513432528717</v>
      </c>
      <c r="CG177" s="5">
        <f>CF177-CE177</f>
        <v>-5.303442689348625e-17</v>
      </c>
      <c r="CH177" s="4">
        <v>0</v>
      </c>
      <c r="CI177" s="4">
        <v>1.7382939055702924</v>
      </c>
      <c r="CJ177" s="4">
        <v>1.79</v>
      </c>
      <c r="CK177" s="4">
        <v>1.799</v>
      </c>
      <c r="CL177" s="6"/>
      <c r="CM177" s="6"/>
      <c r="CN177" s="6"/>
      <c r="CO177" s="9"/>
      <c r="CP177" s="7">
        <f>IFERROR(CE177/F177,0)</f>
        <v>0.0049642916565412615</v>
      </c>
      <c r="CQ177" t="inlineStr">
        <is>
          <t xml:space="preserve">Treasury collateral</t>
        </is>
      </c>
      <c r="CR177" t="inlineStr">
        <is>
          <t xml:space="preserve">treasury</t>
        </is>
      </c>
      <c r="CS177" t="inlineStr">
        <is>
          <t xml:space="preserve">lease</t>
        </is>
      </c>
      <c r="CT177" t="inlineStr">
        <is>
          <t xml:space="preserve">long</t>
        </is>
      </c>
      <c r="CU177"/>
      <c r="CV177" s="4">
        <v>104.64823130924144</v>
      </c>
      <c r="CW177" s="4">
        <v>104.66870222353042</v>
      </c>
      <c r="CX177" s="6"/>
      <c r="CY177" s="4">
        <v>0.0001890801485292648</v>
      </c>
      <c r="CZ177" s="5">
        <f>IF(CR177="direct",IFERROR(DF177/CW177,0),0)</f>
        <v>0</v>
      </c>
      <c r="DA177" s="5">
        <f>IF(CR177="direct",CY177-CZ177,IF(CR177="cash",DK177,CY177))</f>
        <v>0.0001890801485292648</v>
      </c>
      <c r="DB177" s="6">
        <v>0.011310703682706112</v>
      </c>
      <c r="DC177" s="4">
        <v>0.01978690311927623</v>
      </c>
      <c r="DD177" s="4">
        <v>0.01978690311927623</v>
      </c>
      <c r="DE177" s="5">
        <f>IF(CR177="direct",CY177*(CW177-CV177),DH177)</f>
        <v>0.000003870643514289865</v>
      </c>
      <c r="DF177" s="5">
        <f>IF(CR177="direct",DD177*CX177*C177/365,0)</f>
        <v>0</v>
      </c>
      <c r="DG177" s="5">
        <f>DE177-DF177</f>
        <v>0.0000038706435142912946</v>
      </c>
      <c r="DH177" s="4">
        <v>0.0000038706435142912946</v>
      </c>
      <c r="DI177" s="5">
        <f>DH177-DG177</f>
        <v>1.429791614965259e-18</v>
      </c>
      <c r="DJ177" s="4">
        <v>-1.260385025514399e-18</v>
      </c>
      <c r="DK177" s="4">
        <v>0.01979077376279052</v>
      </c>
      <c r="DL177" s="4">
        <v>1.79</v>
      </c>
      <c r="DM177" s="4">
        <v>1.799</v>
      </c>
      <c r="DN177" s="6"/>
      <c r="DO177" s="6"/>
      <c r="DP177" s="6"/>
      <c r="DQ177" s="9">
        <v>102</v>
      </c>
      <c r="DR177" s="7">
        <f>IFERROR(DG177/F177,0)</f>
        <v>0.000002212559569712921</v>
      </c>
      <c r="DS177" t="inlineStr">
        <is>
          <t xml:space="preserve">SI69Z</t>
        </is>
      </c>
      <c r="DT177" t="inlineStr">
        <is>
          <t xml:space="preserve">future</t>
        </is>
      </c>
      <c r="DU177" t="inlineStr">
        <is>
          <t xml:space="preserve">lease</t>
        </is>
      </c>
      <c r="DV177" t="inlineStr">
        <is>
          <t xml:space="preserve">long</t>
        </is>
      </c>
      <c r="DW177" t="inlineStr">
        <is>
          <t xml:space="preserve">regular</t>
        </is>
      </c>
      <c r="DX177" s="4">
        <v>1.825</v>
      </c>
      <c r="DY177" s="4">
        <v>1.835</v>
      </c>
      <c r="DZ177" s="6"/>
      <c r="EA177" s="4">
        <v>0.010842138695493825</v>
      </c>
      <c r="EB177" s="5">
        <f>IF(DT177="direct",IFERROR(EH177/DY177,0),0)</f>
        <v>0</v>
      </c>
      <c r="EC177" s="5">
        <f>IF(DT177="direct",EA177-EB177,IF(DT177="cash",EM177,EA177))</f>
        <v>0.010842138695493825</v>
      </c>
      <c r="ED177" s="6">
        <v>0.011310703682706112</v>
      </c>
      <c r="EE177" s="4">
        <v>0.01978690311927623</v>
      </c>
      <c r="EF177" s="4">
        <v>0</v>
      </c>
      <c r="EG177" s="5">
        <f>IF(DT177="direct",EA177*(DY177-DX177),EJ177)</f>
        <v>0.00010842138695493779</v>
      </c>
      <c r="EH177" s="5">
        <f>IF(DT177="direct",EF177*DZ177*C177/365,0)</f>
        <v>0</v>
      </c>
      <c r="EI177" s="5">
        <f>EG177-EH177</f>
        <v>0.00010842138695493779</v>
      </c>
      <c r="EJ177" s="4">
        <v>0.00010842138695493779</v>
      </c>
      <c r="EK177" s="5">
        <f>EJ177-EI177</f>
        <v>0</v>
      </c>
      <c r="EL177" s="4">
        <v>-0.00010842138695493779</v>
      </c>
      <c r="EM177" s="4">
        <v>0</v>
      </c>
      <c r="EN177" s="4">
        <v>1.79</v>
      </c>
      <c r="EO177" s="4">
        <v>1.799</v>
      </c>
      <c r="EP177" s="6">
        <v>0.019553072625698276</v>
      </c>
      <c r="EQ177" s="6">
        <v>0.07166593406593406</v>
      </c>
      <c r="ER177" s="6">
        <v>0.0016966055524059165</v>
      </c>
      <c r="ES177" s="9">
        <v>102</v>
      </c>
      <c r="ET177" s="7">
        <f>IFERROR(EI177/F177,0)</f>
        <v>0.00006197645853537569</v>
      </c>
      <c r="EU177" t="inlineStr">
        <is>
          <t xml:space="preserve">Lease cash / margin / financing</t>
        </is>
      </c>
      <c r="EV177" t="inlineStr">
        <is>
          <t xml:space="preserve">cash</t>
        </is>
      </c>
      <c r="EW177" t="inlineStr">
        <is>
          <t xml:space="preserve">lease</t>
        </is>
      </c>
      <c r="EX177" t="inlineStr">
        <is>
          <t xml:space="preserve">cash</t>
        </is>
      </c>
      <c r="EY177"/>
      <c r="EZ177" s="4">
        <v>1</v>
      </c>
      <c r="FA177" s="4">
        <v>1</v>
      </c>
      <c r="FB177" s="6"/>
      <c r="FC177" s="4">
        <v>8.881784197001252e-16</v>
      </c>
      <c r="FD177" s="5">
        <f>IF(EV177="direct",IFERROR(FJ177/FA177,0),0)</f>
        <v>0</v>
      </c>
      <c r="FE177" s="5">
        <f>IF(EV177="direct",FC177-FD177,IF(EV177="cash",FO177,FC177))</f>
        <v>0.00010842138695582723</v>
      </c>
      <c r="FF177" s="6"/>
      <c r="FG177" s="4">
        <v>8.881784197001252e-16</v>
      </c>
      <c r="FH177" s="4">
        <v>8.881784197001252e-16</v>
      </c>
      <c r="FI177" s="5">
        <f>IF(EV177="direct",FC177*(FA177-EZ177),FL177)</f>
        <v>0</v>
      </c>
      <c r="FJ177" s="5">
        <f>IF(EV177="direct",FH177*FB177*C177/365,0)</f>
        <v>0</v>
      </c>
      <c r="FK177" s="5">
        <f>FI177-FJ177</f>
        <v>0</v>
      </c>
      <c r="FL177" s="4">
        <v>0</v>
      </c>
      <c r="FM177" s="5">
        <f>FL177-FK177</f>
        <v>0</v>
      </c>
      <c r="FN177" s="4">
        <v>0.00010842138695493905</v>
      </c>
      <c r="FO177" s="4">
        <v>0.00010842138695582723</v>
      </c>
      <c r="FP177" s="4">
        <v>1.79</v>
      </c>
      <c r="FQ177" s="4">
        <v>1.799</v>
      </c>
      <c r="FR177" s="6"/>
      <c r="FS177" s="6"/>
      <c r="FT177" s="6"/>
      <c r="FU177" s="9"/>
      <c r="FV177" s="7">
        <f>IFERROR(FK177/F177,0)</f>
        <v>0</v>
      </c>
      <c r="FW177" t="inlineStr">
        <is>
          <t xml:space="preserve">Keep cash / margin / financing</t>
        </is>
      </c>
      <c r="FX177" t="inlineStr">
        <is>
          <t xml:space="preserve">cash</t>
        </is>
      </c>
      <c r="FY177" t="inlineStr">
        <is>
          <t xml:space="preserve">keep</t>
        </is>
      </c>
      <c r="FZ177" t="inlineStr">
        <is>
          <t xml:space="preserve">cash</t>
        </is>
      </c>
      <c r="GA177"/>
      <c r="GB177" s="4">
        <v>1</v>
      </c>
      <c r="GC177" s="4">
        <v>1</v>
      </c>
      <c r="GD177" s="6"/>
      <c r="GE177" s="4">
        <v>0</v>
      </c>
      <c r="GF177" s="5">
        <f>IF(FX177="direct",IFERROR(GL177/GC177,0),0)</f>
        <v>0</v>
      </c>
      <c r="GG177" s="5">
        <f>IF(FX177="direct",GE177-GF177,IF(FX177="cash",GQ177,GE177))</f>
        <v>0</v>
      </c>
      <c r="GH177" s="6"/>
      <c r="GI177" s="4">
        <v>0</v>
      </c>
      <c r="GJ177" s="4">
        <v>0</v>
      </c>
      <c r="GK177" s="5">
        <f>IF(FX177="direct",GE177*(GC177-GB177),GN177)</f>
        <v>0</v>
      </c>
      <c r="GL177" s="5">
        <f>IF(FX177="direct",GJ177*GD177*C177/365,0)</f>
        <v>0</v>
      </c>
      <c r="GM177" s="5">
        <f>GK177-GL177</f>
        <v>0</v>
      </c>
      <c r="GN177" s="4">
        <v>0</v>
      </c>
      <c r="GO177" s="5">
        <f>GN177-GM177</f>
        <v>0</v>
      </c>
      <c r="GP177" s="4">
        <v>0</v>
      </c>
      <c r="GQ177" s="4">
        <v>0</v>
      </c>
      <c r="GR177" s="4">
        <v>1.79</v>
      </c>
      <c r="GS177" s="4">
        <v>1.799</v>
      </c>
      <c r="GT177" s="6"/>
      <c r="GU177" s="6"/>
      <c r="GV177" s="6"/>
      <c r="GW177" s="9"/>
      <c r="GX177" s="7">
        <f>IFERROR(GM177/F177,0)</f>
        <v>0</v>
      </c>
      <c r="GY177"/>
      <c r="GZ177"/>
      <c r="HA177"/>
      <c r="HB177"/>
      <c r="HC177"/>
      <c r="HD177" s="4"/>
      <c r="HE177" s="4"/>
      <c r="HF177" s="6"/>
      <c r="HG177" s="4"/>
      <c r="HH177" s="5">
        <v>0</v>
      </c>
      <c r="HI177" s="5"/>
      <c r="HJ177" s="6"/>
      <c r="HK177" s="4"/>
      <c r="HL177" s="4"/>
      <c r="HM177" s="5">
        <v>0</v>
      </c>
      <c r="HN177" s="5">
        <v>0</v>
      </c>
      <c r="HO177" s="5"/>
      <c r="HP177" s="4"/>
      <c r="HQ177" s="5">
        <v>0</v>
      </c>
      <c r="HR177" s="4"/>
      <c r="HS177" s="4"/>
      <c r="HT177" s="4"/>
      <c r="HU177" s="4"/>
      <c r="HV177" s="6"/>
      <c r="HW177" s="6"/>
      <c r="HX177" s="6"/>
      <c r="HY177" s="9"/>
      <c r="HZ177"/>
      <c r="IA177"/>
      <c r="IB177"/>
      <c r="IC177"/>
      <c r="ID177"/>
      <c r="IE177"/>
      <c r="IF177" s="4"/>
      <c r="IG177" s="4"/>
      <c r="IH177" s="6"/>
      <c r="II177" s="4"/>
      <c r="IJ177" s="5">
        <v>0</v>
      </c>
      <c r="IK177" s="5"/>
      <c r="IL177" s="6"/>
      <c r="IM177" s="4"/>
      <c r="IN177" s="4"/>
      <c r="IO177" s="5">
        <v>0</v>
      </c>
      <c r="IP177" s="5">
        <v>0</v>
      </c>
      <c r="IQ177" s="5"/>
      <c r="IR177" s="4"/>
      <c r="IS177" s="5">
        <v>0</v>
      </c>
      <c r="IT177" s="4"/>
      <c r="IU177" s="4"/>
      <c r="IV177" s="4"/>
      <c r="IW177" s="4"/>
      <c r="IX177" s="6"/>
      <c r="IY177" s="6"/>
      <c r="IZ177" s="6"/>
      <c r="JA177" s="9"/>
      <c r="JB177"/>
      <c r="JC177"/>
      <c r="JD177"/>
      <c r="JE177"/>
      <c r="JF177"/>
      <c r="JG177"/>
      <c r="JH177" s="4"/>
      <c r="JI177" s="4"/>
      <c r="JJ177" s="6"/>
      <c r="JK177" s="4"/>
      <c r="JL177" s="5">
        <v>0</v>
      </c>
      <c r="JM177" s="5"/>
      <c r="JN177" s="6"/>
      <c r="JO177" s="4"/>
      <c r="JP177" s="4"/>
      <c r="JQ177" s="5">
        <v>0</v>
      </c>
      <c r="JR177" s="5">
        <v>0</v>
      </c>
      <c r="JS177" s="5"/>
      <c r="JT177" s="4"/>
      <c r="JU177" s="5">
        <v>0</v>
      </c>
      <c r="JV177" s="4"/>
      <c r="JW177" s="4"/>
      <c r="JX177" s="4"/>
      <c r="JY177" s="4"/>
      <c r="JZ177" s="6"/>
      <c r="KA177" s="6"/>
      <c r="KB177" s="6"/>
      <c r="KC177" s="9"/>
      <c r="KD177"/>
      <c r="KE177"/>
      <c r="KF177"/>
      <c r="KG177"/>
      <c r="KH177"/>
      <c r="KI177"/>
      <c r="KJ177" s="4"/>
      <c r="KK177" s="4"/>
      <c r="KL177" s="6"/>
      <c r="KM177" s="4"/>
      <c r="KN177" s="5">
        <v>0</v>
      </c>
      <c r="KO177" s="5"/>
      <c r="KP177" s="6"/>
      <c r="KQ177" s="4"/>
      <c r="KR177" s="4"/>
      <c r="KS177" s="5">
        <v>0</v>
      </c>
      <c r="KT177" s="5">
        <v>0</v>
      </c>
      <c r="KU177" s="5"/>
      <c r="KV177" s="4"/>
      <c r="KW177" s="5">
        <v>0</v>
      </c>
      <c r="KX177" s="4"/>
      <c r="KY177" s="4"/>
      <c r="KZ177" s="4"/>
      <c r="LA177" s="4"/>
      <c r="LB177" s="6"/>
      <c r="LC177" s="6"/>
      <c r="LD177" s="6"/>
      <c r="LE177" s="9"/>
      <c r="LF177"/>
      <c r="LG177"/>
      <c r="LH177"/>
      <c r="LI177"/>
      <c r="LJ177"/>
      <c r="LK177"/>
      <c r="LL177" s="4"/>
      <c r="LM177" s="4"/>
      <c r="LN177" s="6"/>
      <c r="LO177" s="4"/>
      <c r="LP177" s="5">
        <v>0</v>
      </c>
      <c r="LQ177" s="5"/>
      <c r="LR177" s="6"/>
      <c r="LS177" s="4"/>
      <c r="LT177" s="4"/>
      <c r="LU177" s="5">
        <v>0</v>
      </c>
      <c r="LV177" s="5">
        <v>0</v>
      </c>
      <c r="LW177" s="5"/>
      <c r="LX177" s="4"/>
      <c r="LY177" s="5">
        <v>0</v>
      </c>
      <c r="LZ177" s="4"/>
      <c r="MA177" s="4"/>
      <c r="MB177" s="4"/>
      <c r="MC177" s="4"/>
      <c r="MD177" s="6"/>
      <c r="ME177" s="6"/>
      <c r="MF177" s="6"/>
      <c r="MG177" s="9"/>
      <c r="MH177"/>
    </row>
    <row r="178">
      <c r="A178" s="8">
        <v>25465</v>
      </c>
      <c r="B178" s="8">
        <v>25468</v>
      </c>
      <c r="C178" s="9">
        <f>B178-A178</f>
        <v>3</v>
      </c>
      <c r="D178" s="8">
        <v>25465</v>
      </c>
      <c r="E178" t="inlineStr">
        <is>
          <t xml:space="preserve">neutral</t>
        </is>
      </c>
      <c r="F178" s="4">
        <v>1.758193100720038</v>
      </c>
      <c r="G178" s="6">
        <v>0.010540875067579366</v>
      </c>
      <c r="H178" s="7">
        <f>SUM(CP178,DR178,ET178,FV178,GX178,HZ178,JB178,KD178,LF178,MH178)</f>
        <v>0.010540875067579362</v>
      </c>
      <c r="I178" s="7">
        <f>G178-H178</f>
        <v>3.469446951953614e-18</v>
      </c>
      <c r="J178" s="5">
        <f>F178*(1+H178)</f>
        <v>1.7767259945394078</v>
      </c>
      <c r="K178" s="4">
        <v>1.7767259945394078</v>
      </c>
      <c r="L178" s="5">
        <f>K178-J178</f>
        <v>0</v>
      </c>
      <c r="M178" s="4">
        <v>1.799</v>
      </c>
      <c r="N178" s="4">
        <v>1.818</v>
      </c>
      <c r="O178" s="5">
        <f>M178/$M$3</f>
        <v>0.9187946884576098</v>
      </c>
      <c r="P178" s="5">
        <f>N178/$M$3</f>
        <v>0.9284984678243106</v>
      </c>
      <c r="Q178" s="7">
        <f>IFERROR(N178/M178-1,0)</f>
        <v>0.010561423012784843</v>
      </c>
      <c r="R178" s="5">
        <f>SUM(IF(BQ178="lease",CB178,0),IF(CS178="lease",DD178,0),IF(DU178="lease",EF178,0),IF(EW178="lease",FH178,0),IF(FY178="lease",GJ178,0),IF(HA178="lease",HL178,0),IF(IC178="lease",IN178,0),IF(JE178="lease",JP178,0),IF(KG178="lease",KR178,0),IF(LI178="lease",LT178,0))</f>
        <v>1.7581931007200389</v>
      </c>
      <c r="S178" s="5">
        <f>SUM(IF(BQ178="lease",CI178,0),IF(CS178="lease",DK178,0),IF(DU178="lease",EM178,0),IF(EW178="lease",FO178,0),IF(FY178="lease",GQ178,0),IF(HA178="lease",HS178,0),IF(IC178="lease",IU178,0),IF(JE178="lease",JW178,0),IF(KG178="lease",KY178,0),IF(LI178="lease",MA178,0))</f>
        <v>1.776725994539409</v>
      </c>
      <c r="T178" s="5">
        <f>SUM(IF(BQ178="keep",CB178,0),IF(CS178="keep",DD178,0),IF(DU178="keep",EF178,0),IF(EW178="keep",FH178,0),IF(FY178="keep",GJ178,0),IF(HA178="keep",HL178,0),IF(IC178="keep",IN178,0),IF(JE178="keep",JP178,0),IF(KG178="keep",KR178,0),IF(LI178="keep",LT178,0))</f>
        <v>0</v>
      </c>
      <c r="U178" s="5">
        <f>SUM(IF(BQ178="keep",CI178,0),IF(CS178="keep",DK178,0),IF(DU178="keep",EM178,0),IF(EW178="keep",FO178,0),IF(FY178="keep",GQ178,0),IF(HA178="keep",HS178,0),IF(IC178="keep",IU178,0),IF(JE178="keep",JW178,0),IF(KG178="keep",KY178,0),IF(LI178="keep",MA178,0))</f>
        <v>0</v>
      </c>
      <c r="V178" s="5">
        <f>R178/O178</f>
        <v>1.9135864876096922</v>
      </c>
      <c r="W178" s="5">
        <f>S178/P178</f>
        <v>1.913547578277317</v>
      </c>
      <c r="X178" s="5">
        <f>T178/O178</f>
        <v>0</v>
      </c>
      <c r="Y178" s="5">
        <f>U178/P178</f>
        <v>0</v>
      </c>
      <c r="Z178" s="5">
        <f>V178+X178</f>
        <v>1.9135864876096922</v>
      </c>
      <c r="AA178" s="7">
        <f>IFERROR(W178/V178-1,0)</f>
        <v>-0.000020333197703448214</v>
      </c>
      <c r="AB178" s="7">
        <f>IFERROR((W178-V178)/Z178,0)</f>
        <v>-0.00002033319770341889</v>
      </c>
      <c r="AC178" s="7">
        <f>IFERROR(Y178/X178-1,0)</f>
        <v>0</v>
      </c>
      <c r="AD178" s="7">
        <f>IFERROR((Y178-X178)/Z178,0)</f>
        <v>0</v>
      </c>
      <c r="AE178" s="7">
        <f>AB178+AD178</f>
        <v>-0.00002033319770341889</v>
      </c>
      <c r="AF178" s="7">
        <f>(1+Q178)*(1+AE178)-1</f>
        <v>0.01054087506757928</v>
      </c>
      <c r="AG178" s="7">
        <f>G178-AF178</f>
        <v>8.500145032286355e-17</v>
      </c>
      <c r="AH178" s="5">
        <f>SUM(IF(BQ178="lease",CE178,0),IF(CS178="lease",DG178,0),IF(DU178="lease",EI178,0),IF(EW178="lease",FK178,0),IF(FY178="lease",GM178,0),IF(HA178="lease",HO178,0),IF(IC178="lease",IQ178,0),IF(JE178="lease",JS178,0),IF(KG178="lease",KU178,0),IF(LI178="lease",LW178,0))</f>
        <v>0.0185328938193699</v>
      </c>
      <c r="AI178" s="5">
        <f>SUM(IF(BQ178="keep",CE178,0),IF(CS178="keep",DG178,0),IF(DU178="keep",EI178,0),IF(EW178="keep",FK178,0),IF(FY178="keep",GM178,0),IF(HA178="keep",HO178,0),IF(IC178="keep",IQ178,0),IF(JE178="keep",JS178,0),IF(KG178="keep",KU178,0),IF(LI178="keep",LW178,0))</f>
        <v>0</v>
      </c>
      <c r="AJ178" s="5">
        <f>SUM(IF(BQ178="lease",CH178,0),IF(CS178="lease",DJ178,0),IF(DU178="lease",EL178,0),IF(EW178="lease",FN178,0),IF(FY178="lease",GP178,0),IF(HA178="lease",HR178,0),IF(IC178="lease",IT178,0),IF(JE178="lease",JV178,0),IF(KG178="lease",KX178,0),IF(LI178="lease",LZ178,0))</f>
        <v>0</v>
      </c>
      <c r="AK178" s="5">
        <f>SUM(IF(BQ178="keep",CH178,0),IF(CS178="keep",DJ178,0),IF(DU178="keep",EL178,0),IF(EW178="keep",FN178,0),IF(FY178="keep",GP178,0),IF(HA178="keep",HR178,0),IF(IC178="keep",IT178,0),IF(JE178="keep",JV178,0),IF(KG178="keep",KX178,0),IF(LI178="keep",LZ178,0))</f>
        <v>0</v>
      </c>
      <c r="AL178" s="5">
        <f>R178-S177</f>
        <v>2.220446049250313e-16</v>
      </c>
      <c r="AM178" s="5">
        <f>T178-U177</f>
        <v>0</v>
      </c>
      <c r="AN178" s="5">
        <f>AN177</f>
        <v>1</v>
      </c>
      <c r="AO178" s="5">
        <f>AO177+AH178</f>
        <v>0.7767259945394089</v>
      </c>
      <c r="AP178" s="5">
        <f>AP177+AL178</f>
        <v>-8.881784197001252e-16</v>
      </c>
      <c r="AQ178" s="5">
        <f>AN178+AO178+AP178</f>
        <v>1.776725994539408</v>
      </c>
      <c r="AR178" s="5">
        <f>S178-AQ178</f>
        <v>8.881784197001252e-16</v>
      </c>
      <c r="AS178" s="5">
        <f>AS177</f>
        <v>0</v>
      </c>
      <c r="AT178" s="5">
        <f>AT177+AI178</f>
        <v>0</v>
      </c>
      <c r="AU178" s="5">
        <f>AU177+AM178</f>
        <v>0</v>
      </c>
      <c r="AV178" s="5">
        <f>AS178+AT178+AU178</f>
        <v>0</v>
      </c>
      <c r="AW178" s="5">
        <f>U178-AV178</f>
        <v>0</v>
      </c>
      <c r="AX178" s="4">
        <v>1.7581931007200389</v>
      </c>
      <c r="AY178" s="4">
        <v>1.7767259945394087</v>
      </c>
      <c r="AZ178" s="5">
        <f>S178-AY178</f>
        <v>2.220446049250313e-16</v>
      </c>
      <c r="BA178" s="4">
        <v>0</v>
      </c>
      <c r="BB178" s="4">
        <v>0</v>
      </c>
      <c r="BC178" s="5">
        <f>U178-BB178</f>
        <v>0</v>
      </c>
      <c r="BD178" s="7">
        <f>SUM(IF(BP178="direct",CC178/F178,0),IF(CR178="direct",DE178/F178,0),IF(DT178="direct",EG178/F178,0),IF(EV178="direct",FI178/F178,0),IF(FX178="direct",GK178/F178,0),IF(GZ178="direct",HM178/F178,0),IF(IB178="direct",IO178/F178,0),IF(JD178="direct",JQ178/F178,0),IF(KF178="direct",KS178/F178,0),IF(LH178="direct",LU178/F178,0))</f>
        <v>0.01056142301278495</v>
      </c>
      <c r="BE178" s="7">
        <f>-SUM(IF(BP178="direct",CD178/F178,0),IF(CR178="direct",DF178/F178,0),IF(DT178="direct",EH178/F178,0),IF(EV178="direct",FJ178/F178,0),IF(FX178="direct",GL178/F178,0),IF(GZ178="direct",HN178/F178,0),IF(IB178="direct",IP178/F178,0),IF(JD178="direct",JR178/F178,0),IF(KF178="direct",KT178/F178,0),IF(LH178="direct",LV178/F178,0))</f>
        <v>-0.000020547945205479453</v>
      </c>
      <c r="BF178" s="7">
        <f>BD178+BE178</f>
        <v>0.010540875067579471</v>
      </c>
      <c r="BG178" s="7">
        <f>BF178-SUM(IF(BP178="direct",CP178,0),IF(CR178="direct",DR178,0),IF(DT178="direct",ET178,0),IF(EV178="direct",FV178,0),IF(FX178="direct",GX178,0),IF(GZ178="direct",HZ178,0),IF(IB178="direct",JB178,0),IF(JD178="direct",KD178,0),IF(KF178="direct",LF178,0),IF(LH178="direct",MH178,0))</f>
        <v>1.0928757898653885e-16</v>
      </c>
      <c r="BH178" s="7">
        <f>SUM(IF(BP178="treasury",CP178,0),IF(CR178="treasury",DR178,0),IF(DT178="treasury",ET178,0),IF(EV178="treasury",FV178,0),IF(FX178="treasury",GX178,0),IF(GZ178="treasury",HZ178,0),IF(IB178="treasury",JB178,0),IF(JD178="treasury",KD178,0),IF(KF178="treasury",LF178,0),IF(LH178="treasury",MH178,0))</f>
        <v>0</v>
      </c>
      <c r="BI178" s="7">
        <f>SUM(IF(BP178="future",CP178,0),IF(CR178="future",DR178,0),IF(DT178="future",ET178,0),IF(EV178="future",FV178,0),IF(FX178="future",GX178,0),IF(GZ178="future",HZ178,0),IF(IB178="future",JB178,0),IF(JD178="future",KD178,0),IF(KF178="future",LF178,0),IF(LH178="future",MH178,0))</f>
        <v>0</v>
      </c>
      <c r="BJ178" s="7">
        <f>SUM(IF(BP178="cash",CP178,0),IF(CR178="cash",DR178,0),IF(DT178="cash",ET178,0),IF(EV178="cash",FV178,0),IF(FX178="cash",GX178,0),IF(GZ178="cash",HZ178,0),IF(IB178="cash",JB178,0),IF(JD178="cash",KD178,0),IF(KF178="cash",LF178,0),IF(LH178="cash",MH178,0))</f>
        <v>0</v>
      </c>
      <c r="BK178" s="7">
        <f>SUM(BF178,BH178,BI178,BJ178)</f>
        <v>0.010540875067579362</v>
      </c>
      <c r="BL178" s="7">
        <f>G178-BK178</f>
        <v>3.469446951953614e-18</v>
      </c>
      <c r="BM178" s="5">
        <f>MAX(ABS(CG178),ABS(DI178),ABS(EK178),ABS(FM178),ABS(GO178),ABS(HQ178),ABS(IS178),ABS(JU178),ABS(KW178),ABS(LY178))</f>
        <v>1.9113129048203836e-16</v>
      </c>
      <c r="BN178" s="9">
        <f>COUNTA(BO178,CQ178,DS178,EU178,FW178,GY178,IA178,JC178,KE178,LG178)</f>
        <v>3</v>
      </c>
      <c r="BO178" t="inlineStr">
        <is>
          <t xml:space="preserve">Direct commodity holding</t>
        </is>
      </c>
      <c r="BP178" t="inlineStr">
        <is>
          <t xml:space="preserve">direct</t>
        </is>
      </c>
      <c r="BQ178" t="inlineStr">
        <is>
          <t xml:space="preserve">lease</t>
        </is>
      </c>
      <c r="BR178" t="inlineStr">
        <is>
          <t xml:space="preserve">long</t>
        </is>
      </c>
      <c r="BS178"/>
      <c r="BT178" s="4">
        <v>1.799</v>
      </c>
      <c r="BU178" s="4">
        <v>1.818</v>
      </c>
      <c r="BV178" s="6">
        <v>0.0025</v>
      </c>
      <c r="BW178" s="4">
        <v>0.977316898677064</v>
      </c>
      <c r="BX178" s="5">
        <f>IF(BP178="direct",IFERROR(CD178/BU178,0),0)</f>
        <v>0.000019871977719608007</v>
      </c>
      <c r="BY178" s="5">
        <f>IF(BP178="direct",BW178-BX178,IF(BP178="cash",CI178,BW178))</f>
        <v>0.9772970266993444</v>
      </c>
      <c r="BZ178" s="6">
        <v>1</v>
      </c>
      <c r="CA178" s="4">
        <v>1.758193100720038</v>
      </c>
      <c r="CB178" s="4">
        <v>1.758193100720038</v>
      </c>
      <c r="CC178" s="5">
        <f>IF(BP178="direct",BW178*(BU178-BT178),CF178)</f>
        <v>0.01856902107486434</v>
      </c>
      <c r="CD178" s="5">
        <f>IF(BP178="direct",CB178*BV178*C178/365,0)</f>
        <v>0.000036127255494247356</v>
      </c>
      <c r="CE178" s="5">
        <f>CC178-CD178</f>
        <v>0.0185328938193699</v>
      </c>
      <c r="CF178" s="4">
        <v>0.0185328938193699</v>
      </c>
      <c r="CG178" s="5">
        <f>CF178-CE178</f>
        <v>-1.9113129048203836e-16</v>
      </c>
      <c r="CH178" s="4">
        <v>0</v>
      </c>
      <c r="CI178" s="4">
        <v>1.776725994539408</v>
      </c>
      <c r="CJ178" s="4">
        <v>1.799</v>
      </c>
      <c r="CK178" s="4">
        <v>1.818</v>
      </c>
      <c r="CL178" s="6"/>
      <c r="CM178" s="6"/>
      <c r="CN178" s="6"/>
      <c r="CO178" s="9"/>
      <c r="CP178" s="7">
        <f>IFERROR(CE178/F178,0)</f>
        <v>0.010540875067579362</v>
      </c>
      <c r="CQ178" t="inlineStr">
        <is>
          <t xml:space="preserve">Lease cash / margin / financing</t>
        </is>
      </c>
      <c r="CR178" t="inlineStr">
        <is>
          <t xml:space="preserve">cash</t>
        </is>
      </c>
      <c r="CS178" t="inlineStr">
        <is>
          <t xml:space="preserve">lease</t>
        </is>
      </c>
      <c r="CT178" t="inlineStr">
        <is>
          <t xml:space="preserve">cash</t>
        </is>
      </c>
      <c r="CU178"/>
      <c r="CV178" s="4">
        <v>1</v>
      </c>
      <c r="CW178" s="4">
        <v>1</v>
      </c>
      <c r="CX178" s="6"/>
      <c r="CY178" s="4">
        <v>8.881784197001252e-16</v>
      </c>
      <c r="CZ178" s="5">
        <f>IF(CR178="direct",IFERROR(DF178/CW178,0),0)</f>
        <v>0</v>
      </c>
      <c r="DA178" s="5">
        <f>IF(CR178="direct",CY178-CZ178,IF(CR178="cash",DK178,CY178))</f>
        <v>8.881784197001252e-16</v>
      </c>
      <c r="DB178" s="6"/>
      <c r="DC178" s="4">
        <v>8.881784197001252e-16</v>
      </c>
      <c r="DD178" s="4">
        <v>8.881784197001252e-16</v>
      </c>
      <c r="DE178" s="5">
        <f>IF(CR178="direct",CY178*(CW178-CV178),DH178)</f>
        <v>0</v>
      </c>
      <c r="DF178" s="5">
        <f>IF(CR178="direct",DD178*CX178*C178/365,0)</f>
        <v>0</v>
      </c>
      <c r="DG178" s="5">
        <f>DE178-DF178</f>
        <v>0</v>
      </c>
      <c r="DH178" s="4">
        <v>0</v>
      </c>
      <c r="DI178" s="5">
        <f>DH178-DG178</f>
        <v>0</v>
      </c>
      <c r="DJ178" s="4">
        <v>0</v>
      </c>
      <c r="DK178" s="4">
        <v>8.881784197001252e-16</v>
      </c>
      <c r="DL178" s="4">
        <v>1.799</v>
      </c>
      <c r="DM178" s="4">
        <v>1.818</v>
      </c>
      <c r="DN178" s="6"/>
      <c r="DO178" s="6"/>
      <c r="DP178" s="6"/>
      <c r="DQ178" s="9"/>
      <c r="DR178" s="7">
        <f>IFERROR(DG178/F178,0)</f>
        <v>0</v>
      </c>
      <c r="DS178" t="inlineStr">
        <is>
          <t xml:space="preserve">Keep cash / margin / financing</t>
        </is>
      </c>
      <c r="DT178" t="inlineStr">
        <is>
          <t xml:space="preserve">cash</t>
        </is>
      </c>
      <c r="DU178" t="inlineStr">
        <is>
          <t xml:space="preserve">keep</t>
        </is>
      </c>
      <c r="DV178" t="inlineStr">
        <is>
          <t xml:space="preserve">cash</t>
        </is>
      </c>
      <c r="DW178"/>
      <c r="DX178" s="4">
        <v>1</v>
      </c>
      <c r="DY178" s="4">
        <v>1</v>
      </c>
      <c r="DZ178" s="6"/>
      <c r="EA178" s="4">
        <v>0</v>
      </c>
      <c r="EB178" s="5">
        <f>IF(DT178="direct",IFERROR(EH178/DY178,0),0)</f>
        <v>0</v>
      </c>
      <c r="EC178" s="5">
        <f>IF(DT178="direct",EA178-EB178,IF(DT178="cash",EM178,EA178))</f>
        <v>0</v>
      </c>
      <c r="ED178" s="6"/>
      <c r="EE178" s="4">
        <v>0</v>
      </c>
      <c r="EF178" s="4">
        <v>0</v>
      </c>
      <c r="EG178" s="5">
        <f>IF(DT178="direct",EA178*(DY178-DX178),EJ178)</f>
        <v>0</v>
      </c>
      <c r="EH178" s="5">
        <f>IF(DT178="direct",EF178*DZ178*C178/365,0)</f>
        <v>0</v>
      </c>
      <c r="EI178" s="5">
        <f>EG178-EH178</f>
        <v>0</v>
      </c>
      <c r="EJ178" s="4">
        <v>0</v>
      </c>
      <c r="EK178" s="5">
        <f>EJ178-EI178</f>
        <v>0</v>
      </c>
      <c r="EL178" s="4">
        <v>0</v>
      </c>
      <c r="EM178" s="4">
        <v>0</v>
      </c>
      <c r="EN178" s="4">
        <v>1.799</v>
      </c>
      <c r="EO178" s="4">
        <v>1.818</v>
      </c>
      <c r="EP178" s="6"/>
      <c r="EQ178" s="6"/>
      <c r="ER178" s="6"/>
      <c r="ES178" s="9"/>
      <c r="ET178" s="7">
        <f>IFERROR(EI178/F178,0)</f>
        <v>0</v>
      </c>
      <c r="EU178"/>
      <c r="EV178"/>
      <c r="EW178"/>
      <c r="EX178"/>
      <c r="EY178"/>
      <c r="EZ178" s="4"/>
      <c r="FA178" s="4"/>
      <c r="FB178" s="6"/>
      <c r="FC178" s="4"/>
      <c r="FD178" s="5">
        <v>0</v>
      </c>
      <c r="FE178" s="5"/>
      <c r="FF178" s="6"/>
      <c r="FG178" s="4"/>
      <c r="FH178" s="4"/>
      <c r="FI178" s="5">
        <v>0</v>
      </c>
      <c r="FJ178" s="5">
        <v>0</v>
      </c>
      <c r="FK178" s="5"/>
      <c r="FL178" s="4"/>
      <c r="FM178" s="5">
        <v>0</v>
      </c>
      <c r="FN178" s="4"/>
      <c r="FO178" s="4"/>
      <c r="FP178" s="4"/>
      <c r="FQ178" s="4"/>
      <c r="FR178" s="6"/>
      <c r="FS178" s="6"/>
      <c r="FT178" s="6"/>
      <c r="FU178" s="9"/>
      <c r="FV178"/>
      <c r="FW178"/>
      <c r="FX178"/>
      <c r="FY178"/>
      <c r="FZ178"/>
      <c r="GA178"/>
      <c r="GB178" s="4"/>
      <c r="GC178" s="4"/>
      <c r="GD178" s="6"/>
      <c r="GE178" s="4"/>
      <c r="GF178" s="5">
        <v>0</v>
      </c>
      <c r="GG178" s="5"/>
      <c r="GH178" s="6"/>
      <c r="GI178" s="4"/>
      <c r="GJ178" s="4"/>
      <c r="GK178" s="5">
        <v>0</v>
      </c>
      <c r="GL178" s="5">
        <v>0</v>
      </c>
      <c r="GM178" s="5"/>
      <c r="GN178" s="4"/>
      <c r="GO178" s="5">
        <v>0</v>
      </c>
      <c r="GP178" s="4"/>
      <c r="GQ178" s="4"/>
      <c r="GR178" s="4"/>
      <c r="GS178" s="4"/>
      <c r="GT178" s="6"/>
      <c r="GU178" s="6"/>
      <c r="GV178" s="6"/>
      <c r="GW178" s="9"/>
      <c r="GX178"/>
      <c r="GY178"/>
      <c r="GZ178"/>
      <c r="HA178"/>
      <c r="HB178"/>
      <c r="HC178"/>
      <c r="HD178" s="4"/>
      <c r="HE178" s="4"/>
      <c r="HF178" s="6"/>
      <c r="HG178" s="4"/>
      <c r="HH178" s="5">
        <v>0</v>
      </c>
      <c r="HI178" s="5"/>
      <c r="HJ178" s="6"/>
      <c r="HK178" s="4"/>
      <c r="HL178" s="4"/>
      <c r="HM178" s="5">
        <v>0</v>
      </c>
      <c r="HN178" s="5">
        <v>0</v>
      </c>
      <c r="HO178" s="5"/>
      <c r="HP178" s="4"/>
      <c r="HQ178" s="5">
        <v>0</v>
      </c>
      <c r="HR178" s="4"/>
      <c r="HS178" s="4"/>
      <c r="HT178" s="4"/>
      <c r="HU178" s="4"/>
      <c r="HV178" s="6"/>
      <c r="HW178" s="6"/>
      <c r="HX178" s="6"/>
      <c r="HY178" s="9"/>
      <c r="HZ178"/>
      <c r="IA178"/>
      <c r="IB178"/>
      <c r="IC178"/>
      <c r="ID178"/>
      <c r="IE178"/>
      <c r="IF178" s="4"/>
      <c r="IG178" s="4"/>
      <c r="IH178" s="6"/>
      <c r="II178" s="4"/>
      <c r="IJ178" s="5">
        <v>0</v>
      </c>
      <c r="IK178" s="5"/>
      <c r="IL178" s="6"/>
      <c r="IM178" s="4"/>
      <c r="IN178" s="4"/>
      <c r="IO178" s="5">
        <v>0</v>
      </c>
      <c r="IP178" s="5">
        <v>0</v>
      </c>
      <c r="IQ178" s="5"/>
      <c r="IR178" s="4"/>
      <c r="IS178" s="5">
        <v>0</v>
      </c>
      <c r="IT178" s="4"/>
      <c r="IU178" s="4"/>
      <c r="IV178" s="4"/>
      <c r="IW178" s="4"/>
      <c r="IX178" s="6"/>
      <c r="IY178" s="6"/>
      <c r="IZ178" s="6"/>
      <c r="JA178" s="9"/>
      <c r="JB178"/>
      <c r="JC178"/>
      <c r="JD178"/>
      <c r="JE178"/>
      <c r="JF178"/>
      <c r="JG178"/>
      <c r="JH178" s="4"/>
      <c r="JI178" s="4"/>
      <c r="JJ178" s="6"/>
      <c r="JK178" s="4"/>
      <c r="JL178" s="5">
        <v>0</v>
      </c>
      <c r="JM178" s="5"/>
      <c r="JN178" s="6"/>
      <c r="JO178" s="4"/>
      <c r="JP178" s="4"/>
      <c r="JQ178" s="5">
        <v>0</v>
      </c>
      <c r="JR178" s="5">
        <v>0</v>
      </c>
      <c r="JS178" s="5"/>
      <c r="JT178" s="4"/>
      <c r="JU178" s="5">
        <v>0</v>
      </c>
      <c r="JV178" s="4"/>
      <c r="JW178" s="4"/>
      <c r="JX178" s="4"/>
      <c r="JY178" s="4"/>
      <c r="JZ178" s="6"/>
      <c r="KA178" s="6"/>
      <c r="KB178" s="6"/>
      <c r="KC178" s="9"/>
      <c r="KD178"/>
      <c r="KE178"/>
      <c r="KF178"/>
      <c r="KG178"/>
      <c r="KH178"/>
      <c r="KI178"/>
      <c r="KJ178" s="4"/>
      <c r="KK178" s="4"/>
      <c r="KL178" s="6"/>
      <c r="KM178" s="4"/>
      <c r="KN178" s="5">
        <v>0</v>
      </c>
      <c r="KO178" s="5"/>
      <c r="KP178" s="6"/>
      <c r="KQ178" s="4"/>
      <c r="KR178" s="4"/>
      <c r="KS178" s="5">
        <v>0</v>
      </c>
      <c r="KT178" s="5">
        <v>0</v>
      </c>
      <c r="KU178" s="5"/>
      <c r="KV178" s="4"/>
      <c r="KW178" s="5">
        <v>0</v>
      </c>
      <c r="KX178" s="4"/>
      <c r="KY178" s="4"/>
      <c r="KZ178" s="4"/>
      <c r="LA178" s="4"/>
      <c r="LB178" s="6"/>
      <c r="LC178" s="6"/>
      <c r="LD178" s="6"/>
      <c r="LE178" s="9"/>
      <c r="LF178"/>
      <c r="LG178"/>
      <c r="LH178"/>
      <c r="LI178"/>
      <c r="LJ178"/>
      <c r="LK178"/>
      <c r="LL178" s="4"/>
      <c r="LM178" s="4"/>
      <c r="LN178" s="6"/>
      <c r="LO178" s="4"/>
      <c r="LP178" s="5">
        <v>0</v>
      </c>
      <c r="LQ178" s="5"/>
      <c r="LR178" s="6"/>
      <c r="LS178" s="4"/>
      <c r="LT178" s="4"/>
      <c r="LU178" s="5">
        <v>0</v>
      </c>
      <c r="LV178" s="5">
        <v>0</v>
      </c>
      <c r="LW178" s="5"/>
      <c r="LX178" s="4"/>
      <c r="LY178" s="5">
        <v>0</v>
      </c>
      <c r="LZ178" s="4"/>
      <c r="MA178" s="4"/>
      <c r="MB178" s="4"/>
      <c r="MC178" s="4"/>
      <c r="MD178" s="6"/>
      <c r="ME178" s="6"/>
      <c r="MF178" s="6"/>
      <c r="MG178" s="9"/>
      <c r="MH178"/>
    </row>
    <row r="179">
      <c r="A179" s="8">
        <v>25468</v>
      </c>
      <c r="B179" s="8">
        <v>25469</v>
      </c>
      <c r="C179" s="9">
        <f>B179-A179</f>
        <v>1</v>
      </c>
      <c r="D179" s="8">
        <v>25468</v>
      </c>
      <c r="E179" t="inlineStr">
        <is>
          <t xml:space="preserve">neutral</t>
        </is>
      </c>
      <c r="F179" s="4">
        <v>1.7767259945394078</v>
      </c>
      <c r="G179" s="6">
        <v>0.027495900959959085</v>
      </c>
      <c r="H179" s="7">
        <f>SUM(CP179,DR179,ET179,FV179,GX179,HZ179,JB179,KD179,LF179,MH179)</f>
        <v>0.027495900959959085</v>
      </c>
      <c r="I179" s="7">
        <f>G179-H179</f>
        <v>0</v>
      </c>
      <c r="J179" s="5">
        <f>F179*(1+H179)</f>
        <v>1.8255786765182482</v>
      </c>
      <c r="K179" s="4">
        <v>1.8255786765182482</v>
      </c>
      <c r="L179" s="5">
        <f>K179-J179</f>
        <v>0</v>
      </c>
      <c r="M179" s="4">
        <v>1.818</v>
      </c>
      <c r="N179" s="4">
        <v>1.868</v>
      </c>
      <c r="O179" s="5">
        <f>M179/$M$3</f>
        <v>0.9284984678243106</v>
      </c>
      <c r="P179" s="5">
        <f>N179/$M$3</f>
        <v>0.9540347293156283</v>
      </c>
      <c r="Q179" s="7">
        <f>IFERROR(N179/M179-1,0)</f>
        <v>0.027502750275027577</v>
      </c>
      <c r="R179" s="5">
        <f>SUM(IF(BQ179="lease",CB179,0),IF(CS179="lease",DD179,0),IF(DU179="lease",EF179,0),IF(EW179="lease",FH179,0),IF(FY179="lease",GJ179,0),IF(HA179="lease",HL179,0),IF(IC179="lease",IN179,0),IF(JE179="lease",JP179,0),IF(KG179="lease",KR179,0),IF(LI179="lease",LT179,0))</f>
        <v>1.7767259945394087</v>
      </c>
      <c r="S179" s="5">
        <f>SUM(IF(BQ179="lease",CI179,0),IF(CS179="lease",DK179,0),IF(DU179="lease",EM179,0),IF(EW179="lease",FO179,0),IF(FY179="lease",GQ179,0),IF(HA179="lease",HS179,0),IF(IC179="lease",IU179,0),IF(JE179="lease",JW179,0),IF(KG179="lease",KY179,0),IF(LI179="lease",MA179,0))</f>
        <v>1.825578676518249</v>
      </c>
      <c r="T179" s="5">
        <f>SUM(IF(BQ179="keep",CB179,0),IF(CS179="keep",DD179,0),IF(DU179="keep",EF179,0),IF(EW179="keep",FH179,0),IF(FY179="keep",GJ179,0),IF(HA179="keep",HL179,0),IF(IC179="keep",IN179,0),IF(JE179="keep",JP179,0),IF(KG179="keep",KR179,0),IF(LI179="keep",LT179,0))</f>
        <v>0</v>
      </c>
      <c r="U179" s="5">
        <f>SUM(IF(BQ179="keep",CI179,0),IF(CS179="keep",DK179,0),IF(DU179="keep",EM179,0),IF(EW179="keep",FO179,0),IF(FY179="keep",GQ179,0),IF(HA179="keep",HS179,0),IF(IC179="keep",IU179,0),IF(JE179="keep",JW179,0),IF(KG179="keep",KY179,0),IF(LI179="keep",MA179,0))</f>
        <v>0</v>
      </c>
      <c r="V179" s="5">
        <f>R179/O179</f>
        <v>1.9135475782773168</v>
      </c>
      <c r="W179" s="5">
        <f>S179/P179</f>
        <v>1.913534822603175</v>
      </c>
      <c r="X179" s="5">
        <f>T179/O179</f>
        <v>0</v>
      </c>
      <c r="Y179" s="5">
        <f>U179/P179</f>
        <v>0</v>
      </c>
      <c r="Z179" s="5">
        <f>V179+X179</f>
        <v>1.9135475782773168</v>
      </c>
      <c r="AA179" s="7">
        <f>IFERROR(W179/V179-1,0)</f>
        <v>-0.000006665982224096645</v>
      </c>
      <c r="AB179" s="7">
        <f>IFERROR((W179-V179)/Z179,0)</f>
        <v>-0.000006665982224132756</v>
      </c>
      <c r="AC179" s="7">
        <f>IFERROR(Y179/X179-1,0)</f>
        <v>0</v>
      </c>
      <c r="AD179" s="7">
        <f>IFERROR((Y179-X179)/Z179,0)</f>
        <v>0</v>
      </c>
      <c r="AE179" s="7">
        <f>AB179+AD179</f>
        <v>-0.000006665982224132756</v>
      </c>
      <c r="AF179" s="7">
        <f>(1+Q179)*(1+AE179)-1</f>
        <v>0.02749590095995913</v>
      </c>
      <c r="AG179" s="7">
        <f>G179-AF179</f>
        <v>-4.5102810375396984e-17</v>
      </c>
      <c r="AH179" s="5">
        <f>SUM(IF(BQ179="lease",CE179,0),IF(CS179="lease",DG179,0),IF(DU179="lease",EI179,0),IF(EW179="lease",FK179,0),IF(FY179="lease",GM179,0),IF(HA179="lease",HO179,0),IF(IC179="lease",IQ179,0),IF(JE179="lease",JS179,0),IF(KG179="lease",KU179,0),IF(LI179="lease",LW179,0))</f>
        <v>0.048852681978840365</v>
      </c>
      <c r="AI179" s="5">
        <f>SUM(IF(BQ179="keep",CE179,0),IF(CS179="keep",DG179,0),IF(DU179="keep",EI179,0),IF(EW179="keep",FK179,0),IF(FY179="keep",GM179,0),IF(HA179="keep",HO179,0),IF(IC179="keep",IQ179,0),IF(JE179="keep",JS179,0),IF(KG179="keep",KU179,0),IF(LI179="keep",LW179,0))</f>
        <v>0</v>
      </c>
      <c r="AJ179" s="5">
        <f>SUM(IF(BQ179="lease",CH179,0),IF(CS179="lease",DJ179,0),IF(DU179="lease",EL179,0),IF(EW179="lease",FN179,0),IF(FY179="lease",GP179,0),IF(HA179="lease",HR179,0),IF(IC179="lease",IT179,0),IF(JE179="lease",JV179,0),IF(KG179="lease",KX179,0),IF(LI179="lease",LZ179,0))</f>
        <v>0</v>
      </c>
      <c r="AK179" s="5">
        <f>SUM(IF(BQ179="keep",CH179,0),IF(CS179="keep",DJ179,0),IF(DU179="keep",EL179,0),IF(EW179="keep",FN179,0),IF(FY179="keep",GP179,0),IF(HA179="keep",HR179,0),IF(IC179="keep",IT179,0),IF(JE179="keep",JV179,0),IF(KG179="keep",KX179,0),IF(LI179="keep",LZ179,0))</f>
        <v>0</v>
      </c>
      <c r="AL179" s="5">
        <f>R179-S178</f>
        <v>-2.220446049250313e-16</v>
      </c>
      <c r="AM179" s="5">
        <f>T179-U178</f>
        <v>0</v>
      </c>
      <c r="AN179" s="5">
        <f>AN178</f>
        <v>1</v>
      </c>
      <c r="AO179" s="5">
        <f>AO178+AH179</f>
        <v>0.8255786765182493</v>
      </c>
      <c r="AP179" s="5">
        <f>AP178+AL179</f>
        <v>-1.1102230246251565e-15</v>
      </c>
      <c r="AQ179" s="5">
        <f>AN179+AO179+AP179</f>
        <v>1.8255786765182482</v>
      </c>
      <c r="AR179" s="5">
        <f>S179-AQ179</f>
        <v>6.661338147750939e-16</v>
      </c>
      <c r="AS179" s="5">
        <f>AS178</f>
        <v>0</v>
      </c>
      <c r="AT179" s="5">
        <f>AT178+AI179</f>
        <v>0</v>
      </c>
      <c r="AU179" s="5">
        <f>AU178+AM179</f>
        <v>0</v>
      </c>
      <c r="AV179" s="5">
        <f>AS179+AT179+AU179</f>
        <v>0</v>
      </c>
      <c r="AW179" s="5">
        <f>U179-AV179</f>
        <v>0</v>
      </c>
      <c r="AX179" s="4">
        <v>1.7767259945394087</v>
      </c>
      <c r="AY179" s="4">
        <v>1.8255786765182491</v>
      </c>
      <c r="AZ179" s="5">
        <f>S179-AY179</f>
        <v>-2.220446049250313e-16</v>
      </c>
      <c r="BA179" s="4">
        <v>0</v>
      </c>
      <c r="BB179" s="4">
        <v>0</v>
      </c>
      <c r="BC179" s="5">
        <f>U179-BB179</f>
        <v>0</v>
      </c>
      <c r="BD179" s="7">
        <f>SUM(IF(BP179="direct",CC179/F179,0),IF(CR179="direct",DE179/F179,0),IF(DT179="direct",EG179/F179,0),IF(EV179="direct",FI179/F179,0),IF(FX179="direct",GK179/F179,0),IF(GZ179="direct",HM179/F179,0),IF(IB179="direct",IO179/F179,0),IF(JD179="direct",JQ179/F179,0),IF(KF179="direct",KS179/F179,0),IF(LH179="direct",LU179/F179,0))</f>
        <v>0.027502750275027524</v>
      </c>
      <c r="BE179" s="7">
        <f>-SUM(IF(BP179="direct",CD179/F179,0),IF(CR179="direct",DF179/F179,0),IF(DT179="direct",EH179/F179,0),IF(EV179="direct",FJ179/F179,0),IF(FX179="direct",GL179/F179,0),IF(GZ179="direct",HN179/F179,0),IF(IB179="direct",IP179/F179,0),IF(JD179="direct",JR179/F179,0),IF(KF179="direct",KT179/F179,0),IF(LH179="direct",LV179/F179,0))</f>
        <v>-0.000006849315068493152</v>
      </c>
      <c r="BF179" s="7">
        <f>BD179+BE179</f>
        <v>0.027495900959959033</v>
      </c>
      <c r="BG179" s="7">
        <f>BF179-SUM(IF(BP179="direct",CP179,0),IF(CR179="direct",DR179,0),IF(DT179="direct",ET179,0),IF(EV179="direct",FV179,0),IF(FX179="direct",GX179,0),IF(GZ179="direct",HZ179,0),IF(IB179="direct",JB179,0),IF(JD179="direct",KD179,0),IF(KF179="direct",LF179,0),IF(LH179="direct",MH179,0))</f>
        <v>-5.204170427930421e-17</v>
      </c>
      <c r="BH179" s="7">
        <f>SUM(IF(BP179="treasury",CP179,0),IF(CR179="treasury",DR179,0),IF(DT179="treasury",ET179,0),IF(EV179="treasury",FV179,0),IF(FX179="treasury",GX179,0),IF(GZ179="treasury",HZ179,0),IF(IB179="treasury",JB179,0),IF(JD179="treasury",KD179,0),IF(KF179="treasury",LF179,0),IF(LH179="treasury",MH179,0))</f>
        <v>0</v>
      </c>
      <c r="BI179" s="7">
        <f>SUM(IF(BP179="future",CP179,0),IF(CR179="future",DR179,0),IF(DT179="future",ET179,0),IF(EV179="future",FV179,0),IF(FX179="future",GX179,0),IF(GZ179="future",HZ179,0),IF(IB179="future",JB179,0),IF(JD179="future",KD179,0),IF(KF179="future",LF179,0),IF(LH179="future",MH179,0))</f>
        <v>0</v>
      </c>
      <c r="BJ179" s="7">
        <f>SUM(IF(BP179="cash",CP179,0),IF(CR179="cash",DR179,0),IF(DT179="cash",ET179,0),IF(EV179="cash",FV179,0),IF(FX179="cash",GX179,0),IF(GZ179="cash",HZ179,0),IF(IB179="cash",JB179,0),IF(JD179="cash",KD179,0),IF(KF179="cash",LF179,0),IF(LH179="cash",MH179,0))</f>
        <v>0</v>
      </c>
      <c r="BK179" s="7">
        <f>SUM(BF179,BH179,BI179,BJ179)</f>
        <v>0.027495900959959085</v>
      </c>
      <c r="BL179" s="7">
        <f>G179-BK179</f>
        <v>0</v>
      </c>
      <c r="BM179" s="5">
        <f>MAX(ABS(CG179),ABS(DI179),ABS(EK179),ABS(FM179),ABS(GO179),ABS(HQ179),ABS(IS179),ABS(JU179),ABS(KW179),ABS(LY179))</f>
        <v>9.794580782280377e-17</v>
      </c>
      <c r="BN179" s="9">
        <f>COUNTA(BO179,CQ179,DS179,EU179,FW179,GY179,IA179,JC179,KE179,LG179)</f>
        <v>3</v>
      </c>
      <c r="BO179" t="inlineStr">
        <is>
          <t xml:space="preserve">Direct commodity holding</t>
        </is>
      </c>
      <c r="BP179" t="inlineStr">
        <is>
          <t xml:space="preserve">direct</t>
        </is>
      </c>
      <c r="BQ179" t="inlineStr">
        <is>
          <t xml:space="preserve">lease</t>
        </is>
      </c>
      <c r="BR179" t="inlineStr">
        <is>
          <t xml:space="preserve">long</t>
        </is>
      </c>
      <c r="BS179"/>
      <c r="BT179" s="4">
        <v>1.818</v>
      </c>
      <c r="BU179" s="4">
        <v>1.868</v>
      </c>
      <c r="BV179" s="6">
        <v>0.0025</v>
      </c>
      <c r="BW179" s="4">
        <v>0.9772970266993442</v>
      </c>
      <c r="BX179" s="5">
        <f>IF(BP179="direct",IFERROR(CD179/BU179,0),0)</f>
        <v>0.000006514644607592209</v>
      </c>
      <c r="BY179" s="5">
        <f>IF(BP179="direct",BW179-BX179,IF(BP179="cash",CI179,BW179))</f>
        <v>0.9772905120547366</v>
      </c>
      <c r="BZ179" s="6">
        <v>1</v>
      </c>
      <c r="CA179" s="4">
        <v>1.7767259945394078</v>
      </c>
      <c r="CB179" s="4">
        <v>1.7767259945394078</v>
      </c>
      <c r="CC179" s="5">
        <f>IF(BP179="direct",BW179*(BU179-BT179),CF179)</f>
        <v>0.04886485133496725</v>
      </c>
      <c r="CD179" s="5">
        <f>IF(BP179="direct",CB179*BV179*C179/365,0)</f>
        <v>0.000012169356126982247</v>
      </c>
      <c r="CE179" s="5">
        <f>CC179-CD179</f>
        <v>0.048852681978840365</v>
      </c>
      <c r="CF179" s="4">
        <v>0.048852681978840365</v>
      </c>
      <c r="CG179" s="5">
        <f>CF179-CE179</f>
        <v>9.794580782280377e-17</v>
      </c>
      <c r="CH179" s="4">
        <v>0</v>
      </c>
      <c r="CI179" s="4">
        <v>1.825578676518248</v>
      </c>
      <c r="CJ179" s="4">
        <v>1.818</v>
      </c>
      <c r="CK179" s="4">
        <v>1.868</v>
      </c>
      <c r="CL179" s="6"/>
      <c r="CM179" s="6"/>
      <c r="CN179" s="6"/>
      <c r="CO179" s="9"/>
      <c r="CP179" s="7">
        <f>IFERROR(CE179/F179,0)</f>
        <v>0.027495900959959085</v>
      </c>
      <c r="CQ179" t="inlineStr">
        <is>
          <t xml:space="preserve">Lease cash / margin / financing</t>
        </is>
      </c>
      <c r="CR179" t="inlineStr">
        <is>
          <t xml:space="preserve">cash</t>
        </is>
      </c>
      <c r="CS179" t="inlineStr">
        <is>
          <t xml:space="preserve">lease</t>
        </is>
      </c>
      <c r="CT179" t="inlineStr">
        <is>
          <t xml:space="preserve">cash</t>
        </is>
      </c>
      <c r="CU179"/>
      <c r="CV179" s="4">
        <v>1</v>
      </c>
      <c r="CW179" s="4">
        <v>1</v>
      </c>
      <c r="CX179" s="6"/>
      <c r="CY179" s="4">
        <v>8.881784197001252e-16</v>
      </c>
      <c r="CZ179" s="5">
        <f>IF(CR179="direct",IFERROR(DF179/CW179,0),0)</f>
        <v>0</v>
      </c>
      <c r="DA179" s="5">
        <f>IF(CR179="direct",CY179-CZ179,IF(CR179="cash",DK179,CY179))</f>
        <v>8.881784197001252e-16</v>
      </c>
      <c r="DB179" s="6"/>
      <c r="DC179" s="4">
        <v>8.881784197001252e-16</v>
      </c>
      <c r="DD179" s="4">
        <v>8.881784197001252e-16</v>
      </c>
      <c r="DE179" s="5">
        <f>IF(CR179="direct",CY179*(CW179-CV179),DH179)</f>
        <v>0</v>
      </c>
      <c r="DF179" s="5">
        <f>IF(CR179="direct",DD179*CX179*C179/365,0)</f>
        <v>0</v>
      </c>
      <c r="DG179" s="5">
        <f>DE179-DF179</f>
        <v>0</v>
      </c>
      <c r="DH179" s="4">
        <v>0</v>
      </c>
      <c r="DI179" s="5">
        <f>DH179-DG179</f>
        <v>0</v>
      </c>
      <c r="DJ179" s="4">
        <v>0</v>
      </c>
      <c r="DK179" s="4">
        <v>8.881784197001252e-16</v>
      </c>
      <c r="DL179" s="4">
        <v>1.818</v>
      </c>
      <c r="DM179" s="4">
        <v>1.868</v>
      </c>
      <c r="DN179" s="6"/>
      <c r="DO179" s="6"/>
      <c r="DP179" s="6"/>
      <c r="DQ179" s="9"/>
      <c r="DR179" s="7">
        <f>IFERROR(DG179/F179,0)</f>
        <v>0</v>
      </c>
      <c r="DS179" t="inlineStr">
        <is>
          <t xml:space="preserve">Keep cash / margin / financing</t>
        </is>
      </c>
      <c r="DT179" t="inlineStr">
        <is>
          <t xml:space="preserve">cash</t>
        </is>
      </c>
      <c r="DU179" t="inlineStr">
        <is>
          <t xml:space="preserve">keep</t>
        </is>
      </c>
      <c r="DV179" t="inlineStr">
        <is>
          <t xml:space="preserve">cash</t>
        </is>
      </c>
      <c r="DW179"/>
      <c r="DX179" s="4">
        <v>1</v>
      </c>
      <c r="DY179" s="4">
        <v>1</v>
      </c>
      <c r="DZ179" s="6"/>
      <c r="EA179" s="4">
        <v>0</v>
      </c>
      <c r="EB179" s="5">
        <f>IF(DT179="direct",IFERROR(EH179/DY179,0),0)</f>
        <v>0</v>
      </c>
      <c r="EC179" s="5">
        <f>IF(DT179="direct",EA179-EB179,IF(DT179="cash",EM179,EA179))</f>
        <v>0</v>
      </c>
      <c r="ED179" s="6"/>
      <c r="EE179" s="4">
        <v>0</v>
      </c>
      <c r="EF179" s="4">
        <v>0</v>
      </c>
      <c r="EG179" s="5">
        <f>IF(DT179="direct",EA179*(DY179-DX179),EJ179)</f>
        <v>0</v>
      </c>
      <c r="EH179" s="5">
        <f>IF(DT179="direct",EF179*DZ179*C179/365,0)</f>
        <v>0</v>
      </c>
      <c r="EI179" s="5">
        <f>EG179-EH179</f>
        <v>0</v>
      </c>
      <c r="EJ179" s="4">
        <v>0</v>
      </c>
      <c r="EK179" s="5">
        <f>EJ179-EI179</f>
        <v>0</v>
      </c>
      <c r="EL179" s="4">
        <v>0</v>
      </c>
      <c r="EM179" s="4">
        <v>0</v>
      </c>
      <c r="EN179" s="4">
        <v>1.818</v>
      </c>
      <c r="EO179" s="4">
        <v>1.868</v>
      </c>
      <c r="EP179" s="6"/>
      <c r="EQ179" s="6"/>
      <c r="ER179" s="6"/>
      <c r="ES179" s="9"/>
      <c r="ET179" s="7">
        <f>IFERROR(EI179/F179,0)</f>
        <v>0</v>
      </c>
      <c r="EU179"/>
      <c r="EV179"/>
      <c r="EW179"/>
      <c r="EX179"/>
      <c r="EY179"/>
      <c r="EZ179" s="4"/>
      <c r="FA179" s="4"/>
      <c r="FB179" s="6"/>
      <c r="FC179" s="4"/>
      <c r="FD179" s="5">
        <v>0</v>
      </c>
      <c r="FE179" s="5"/>
      <c r="FF179" s="6"/>
      <c r="FG179" s="4"/>
      <c r="FH179" s="4"/>
      <c r="FI179" s="5">
        <v>0</v>
      </c>
      <c r="FJ179" s="5">
        <v>0</v>
      </c>
      <c r="FK179" s="5"/>
      <c r="FL179" s="4"/>
      <c r="FM179" s="5">
        <v>0</v>
      </c>
      <c r="FN179" s="4"/>
      <c r="FO179" s="4"/>
      <c r="FP179" s="4"/>
      <c r="FQ179" s="4"/>
      <c r="FR179" s="6"/>
      <c r="FS179" s="6"/>
      <c r="FT179" s="6"/>
      <c r="FU179" s="9"/>
      <c r="FV179"/>
      <c r="FW179"/>
      <c r="FX179"/>
      <c r="FY179"/>
      <c r="FZ179"/>
      <c r="GA179"/>
      <c r="GB179" s="4"/>
      <c r="GC179" s="4"/>
      <c r="GD179" s="6"/>
      <c r="GE179" s="4"/>
      <c r="GF179" s="5">
        <v>0</v>
      </c>
      <c r="GG179" s="5"/>
      <c r="GH179" s="6"/>
      <c r="GI179" s="4"/>
      <c r="GJ179" s="4"/>
      <c r="GK179" s="5">
        <v>0</v>
      </c>
      <c r="GL179" s="5">
        <v>0</v>
      </c>
      <c r="GM179" s="5"/>
      <c r="GN179" s="4"/>
      <c r="GO179" s="5">
        <v>0</v>
      </c>
      <c r="GP179" s="4"/>
      <c r="GQ179" s="4"/>
      <c r="GR179" s="4"/>
      <c r="GS179" s="4"/>
      <c r="GT179" s="6"/>
      <c r="GU179" s="6"/>
      <c r="GV179" s="6"/>
      <c r="GW179" s="9"/>
      <c r="GX179"/>
      <c r="GY179"/>
      <c r="GZ179"/>
      <c r="HA179"/>
      <c r="HB179"/>
      <c r="HC179"/>
      <c r="HD179" s="4"/>
      <c r="HE179" s="4"/>
      <c r="HF179" s="6"/>
      <c r="HG179" s="4"/>
      <c r="HH179" s="5">
        <v>0</v>
      </c>
      <c r="HI179" s="5"/>
      <c r="HJ179" s="6"/>
      <c r="HK179" s="4"/>
      <c r="HL179" s="4"/>
      <c r="HM179" s="5">
        <v>0</v>
      </c>
      <c r="HN179" s="5">
        <v>0</v>
      </c>
      <c r="HO179" s="5"/>
      <c r="HP179" s="4"/>
      <c r="HQ179" s="5">
        <v>0</v>
      </c>
      <c r="HR179" s="4"/>
      <c r="HS179" s="4"/>
      <c r="HT179" s="4"/>
      <c r="HU179" s="4"/>
      <c r="HV179" s="6"/>
      <c r="HW179" s="6"/>
      <c r="HX179" s="6"/>
      <c r="HY179" s="9"/>
      <c r="HZ179"/>
      <c r="IA179"/>
      <c r="IB179"/>
      <c r="IC179"/>
      <c r="ID179"/>
      <c r="IE179"/>
      <c r="IF179" s="4"/>
      <c r="IG179" s="4"/>
      <c r="IH179" s="6"/>
      <c r="II179" s="4"/>
      <c r="IJ179" s="5">
        <v>0</v>
      </c>
      <c r="IK179" s="5"/>
      <c r="IL179" s="6"/>
      <c r="IM179" s="4"/>
      <c r="IN179" s="4"/>
      <c r="IO179" s="5">
        <v>0</v>
      </c>
      <c r="IP179" s="5">
        <v>0</v>
      </c>
      <c r="IQ179" s="5"/>
      <c r="IR179" s="4"/>
      <c r="IS179" s="5">
        <v>0</v>
      </c>
      <c r="IT179" s="4"/>
      <c r="IU179" s="4"/>
      <c r="IV179" s="4"/>
      <c r="IW179" s="4"/>
      <c r="IX179" s="6"/>
      <c r="IY179" s="6"/>
      <c r="IZ179" s="6"/>
      <c r="JA179" s="9"/>
      <c r="JB179"/>
      <c r="JC179"/>
      <c r="JD179"/>
      <c r="JE179"/>
      <c r="JF179"/>
      <c r="JG179"/>
      <c r="JH179" s="4"/>
      <c r="JI179" s="4"/>
      <c r="JJ179" s="6"/>
      <c r="JK179" s="4"/>
      <c r="JL179" s="5">
        <v>0</v>
      </c>
      <c r="JM179" s="5"/>
      <c r="JN179" s="6"/>
      <c r="JO179" s="4"/>
      <c r="JP179" s="4"/>
      <c r="JQ179" s="5">
        <v>0</v>
      </c>
      <c r="JR179" s="5">
        <v>0</v>
      </c>
      <c r="JS179" s="5"/>
      <c r="JT179" s="4"/>
      <c r="JU179" s="5">
        <v>0</v>
      </c>
      <c r="JV179" s="4"/>
      <c r="JW179" s="4"/>
      <c r="JX179" s="4"/>
      <c r="JY179" s="4"/>
      <c r="JZ179" s="6"/>
      <c r="KA179" s="6"/>
      <c r="KB179" s="6"/>
      <c r="KC179" s="9"/>
      <c r="KD179"/>
      <c r="KE179"/>
      <c r="KF179"/>
      <c r="KG179"/>
      <c r="KH179"/>
      <c r="KI179"/>
      <c r="KJ179" s="4"/>
      <c r="KK179" s="4"/>
      <c r="KL179" s="6"/>
      <c r="KM179" s="4"/>
      <c r="KN179" s="5">
        <v>0</v>
      </c>
      <c r="KO179" s="5"/>
      <c r="KP179" s="6"/>
      <c r="KQ179" s="4"/>
      <c r="KR179" s="4"/>
      <c r="KS179" s="5">
        <v>0</v>
      </c>
      <c r="KT179" s="5">
        <v>0</v>
      </c>
      <c r="KU179" s="5"/>
      <c r="KV179" s="4"/>
      <c r="KW179" s="5">
        <v>0</v>
      </c>
      <c r="KX179" s="4"/>
      <c r="KY179" s="4"/>
      <c r="KZ179" s="4"/>
      <c r="LA179" s="4"/>
      <c r="LB179" s="6"/>
      <c r="LC179" s="6"/>
      <c r="LD179" s="6"/>
      <c r="LE179" s="9"/>
      <c r="LF179"/>
      <c r="LG179"/>
      <c r="LH179"/>
      <c r="LI179"/>
      <c r="LJ179"/>
      <c r="LK179"/>
      <c r="LL179" s="4"/>
      <c r="LM179" s="4"/>
      <c r="LN179" s="6"/>
      <c r="LO179" s="4"/>
      <c r="LP179" s="5">
        <v>0</v>
      </c>
      <c r="LQ179" s="5"/>
      <c r="LR179" s="6"/>
      <c r="LS179" s="4"/>
      <c r="LT179" s="4"/>
      <c r="LU179" s="5">
        <v>0</v>
      </c>
      <c r="LV179" s="5">
        <v>0</v>
      </c>
      <c r="LW179" s="5"/>
      <c r="LX179" s="4"/>
      <c r="LY179" s="5">
        <v>0</v>
      </c>
      <c r="LZ179" s="4"/>
      <c r="MA179" s="4"/>
      <c r="MB179" s="4"/>
      <c r="MC179" s="4"/>
      <c r="MD179" s="6"/>
      <c r="ME179" s="6"/>
      <c r="MF179" s="6"/>
      <c r="MG179" s="9"/>
      <c r="MH179"/>
    </row>
    <row r="180">
      <c r="A180" s="8">
        <v>25469</v>
      </c>
      <c r="B180" s="8">
        <v>25470</v>
      </c>
      <c r="C180" s="9">
        <f>B180-A180</f>
        <v>1</v>
      </c>
      <c r="D180" s="8">
        <v>25469</v>
      </c>
      <c r="E180" t="inlineStr">
        <is>
          <t xml:space="preserve">neutral</t>
        </is>
      </c>
      <c r="F180" s="4">
        <v>1.8255786765182482</v>
      </c>
      <c r="G180" s="6">
        <v>0.012305784517907934</v>
      </c>
      <c r="H180" s="7">
        <f>SUM(CP180,DR180,ET180,FV180,GX180,HZ180,JB180,KD180,LF180,MH180)</f>
        <v>0.012305784517907934</v>
      </c>
      <c r="I180" s="7">
        <f>G180-H180</f>
        <v>0</v>
      </c>
      <c r="J180" s="5">
        <f>F180*(1+H180)</f>
        <v>1.8480438543319695</v>
      </c>
      <c r="K180" s="4">
        <v>1.8480438543319695</v>
      </c>
      <c r="L180" s="5">
        <f>K180-J180</f>
        <v>0</v>
      </c>
      <c r="M180" s="4">
        <v>1.868</v>
      </c>
      <c r="N180" s="4">
        <v>1.891</v>
      </c>
      <c r="O180" s="5">
        <f>M180/$M$3</f>
        <v>0.9540347293156283</v>
      </c>
      <c r="P180" s="5">
        <f>N180/$M$3</f>
        <v>0.9657814096016344</v>
      </c>
      <c r="Q180" s="7">
        <f>IFERROR(N180/M180-1,0)</f>
        <v>0.012312633832976427</v>
      </c>
      <c r="R180" s="5">
        <f>SUM(IF(BQ180="lease",CB180,0),IF(CS180="lease",DD180,0),IF(DU180="lease",EF180,0),IF(EW180="lease",FH180,0),IF(FY180="lease",GJ180,0),IF(HA180="lease",HL180,0),IF(IC180="lease",IN180,0),IF(JE180="lease",JP180,0),IF(KG180="lease",KR180,0),IF(LI180="lease",LT180,0))</f>
        <v>1.8255786765182491</v>
      </c>
      <c r="S180" s="5">
        <f>SUM(IF(BQ180="lease",CI180,0),IF(CS180="lease",DK180,0),IF(DU180="lease",EM180,0),IF(EW180="lease",FO180,0),IF(FY180="lease",GQ180,0),IF(HA180="lease",HS180,0),IF(IC180="lease",IU180,0),IF(JE180="lease",JW180,0),IF(KG180="lease",KY180,0),IF(LI180="lease",MA180,0))</f>
        <v>1.8480438543319702</v>
      </c>
      <c r="T180" s="5">
        <f>SUM(IF(BQ180="keep",CB180,0),IF(CS180="keep",DD180,0),IF(DU180="keep",EF180,0),IF(EW180="keep",FH180,0),IF(FY180="keep",GJ180,0),IF(HA180="keep",HL180,0),IF(IC180="keep",IN180,0),IF(JE180="keep",JP180,0),IF(KG180="keep",KR180,0),IF(LI180="keep",LT180,0))</f>
        <v>0</v>
      </c>
      <c r="U180" s="5">
        <f>SUM(IF(BQ180="keep",CI180,0),IF(CS180="keep",DK180,0),IF(DU180="keep",EM180,0),IF(EW180="keep",FO180,0),IF(FY180="keep",GQ180,0),IF(HA180="keep",HS180,0),IF(IC180="keep",IU180,0),IF(JE180="keep",JW180,0),IF(KG180="keep",KY180,0),IF(LI180="keep",MA180,0))</f>
        <v>0</v>
      </c>
      <c r="V180" s="5">
        <f>R180/O180</f>
        <v>1.9135348226031754</v>
      </c>
      <c r="W180" s="5">
        <f>S180/P180</f>
        <v>1.9135218756118442</v>
      </c>
      <c r="X180" s="5">
        <f>T180/O180</f>
        <v>0</v>
      </c>
      <c r="Y180" s="5">
        <f>U180/P180</f>
        <v>0</v>
      </c>
      <c r="Z180" s="5">
        <f>V180+X180</f>
        <v>1.9135348226031754</v>
      </c>
      <c r="AA180" s="7">
        <f>IFERROR(W180/V180-1,0)</f>
        <v>-0.00000676600769333735</v>
      </c>
      <c r="AB180" s="7">
        <f>IFERROR((W180-V180)/Z180,0)</f>
        <v>-0.000006766007693363993</v>
      </c>
      <c r="AC180" s="7">
        <f>IFERROR(Y180/X180-1,0)</f>
        <v>0</v>
      </c>
      <c r="AD180" s="7">
        <f>IFERROR((Y180-X180)/Z180,0)</f>
        <v>0</v>
      </c>
      <c r="AE180" s="7">
        <f>AB180+AD180</f>
        <v>-0.000006766007693363993</v>
      </c>
      <c r="AF180" s="7">
        <f>(1+Q180)*(1+AE180)-1</f>
        <v>0.012305784517907759</v>
      </c>
      <c r="AG180" s="7">
        <f>G180-AF180</f>
        <v>1.7520707107365752e-16</v>
      </c>
      <c r="AH180" s="5">
        <f>SUM(IF(BQ180="lease",CE180,0),IF(CS180="lease",DG180,0),IF(DU180="lease",EI180,0),IF(EW180="lease",FK180,0),IF(FY180="lease",GM180,0),IF(HA180="lease",HO180,0),IF(IC180="lease",IQ180,0),IF(JE180="lease",JS180,0),IF(KG180="lease",KU180,0),IF(LI180="lease",LW180,0))</f>
        <v>0.022465177813721114</v>
      </c>
      <c r="AI180" s="5">
        <f>SUM(IF(BQ180="keep",CE180,0),IF(CS180="keep",DG180,0),IF(DU180="keep",EI180,0),IF(EW180="keep",FK180,0),IF(FY180="keep",GM180,0),IF(HA180="keep",HO180,0),IF(IC180="keep",IQ180,0),IF(JE180="keep",JS180,0),IF(KG180="keep",KU180,0),IF(LI180="keep",LW180,0))</f>
        <v>0</v>
      </c>
      <c r="AJ180" s="5">
        <f>SUM(IF(BQ180="lease",CH180,0),IF(CS180="lease",DJ180,0),IF(DU180="lease",EL180,0),IF(EW180="lease",FN180,0),IF(FY180="lease",GP180,0),IF(HA180="lease",HR180,0),IF(IC180="lease",IT180,0),IF(JE180="lease",JV180,0),IF(KG180="lease",KX180,0),IF(LI180="lease",LZ180,0))</f>
        <v>0</v>
      </c>
      <c r="AK180" s="5">
        <f>SUM(IF(BQ180="keep",CH180,0),IF(CS180="keep",DJ180,0),IF(DU180="keep",EL180,0),IF(EW180="keep",FN180,0),IF(FY180="keep",GP180,0),IF(HA180="keep",HR180,0),IF(IC180="keep",IT180,0),IF(JE180="keep",JV180,0),IF(KG180="keep",KX180,0),IF(LI180="keep",LZ180,0))</f>
        <v>0</v>
      </c>
      <c r="AL180" s="5">
        <f>R180-S179</f>
        <v>2.220446049250313e-16</v>
      </c>
      <c r="AM180" s="5">
        <f>T180-U179</f>
        <v>0</v>
      </c>
      <c r="AN180" s="5">
        <f>AN179</f>
        <v>1</v>
      </c>
      <c r="AO180" s="5">
        <f>AO179+AH180</f>
        <v>0.8480438543319705</v>
      </c>
      <c r="AP180" s="5">
        <f>AP179+AL180</f>
        <v>-8.881784197001252e-16</v>
      </c>
      <c r="AQ180" s="5">
        <f>AN180+AO180+AP180</f>
        <v>1.8480438543319697</v>
      </c>
      <c r="AR180" s="5">
        <f>S180-AQ180</f>
        <v>4.440892098500626e-16</v>
      </c>
      <c r="AS180" s="5">
        <f>AS179</f>
        <v>0</v>
      </c>
      <c r="AT180" s="5">
        <f>AT179+AI180</f>
        <v>0</v>
      </c>
      <c r="AU180" s="5">
        <f>AU179+AM180</f>
        <v>0</v>
      </c>
      <c r="AV180" s="5">
        <f>AS180+AT180+AU180</f>
        <v>0</v>
      </c>
      <c r="AW180" s="5">
        <f>U180-AV180</f>
        <v>0</v>
      </c>
      <c r="AX180" s="4">
        <v>1.8255786765182491</v>
      </c>
      <c r="AY180" s="4">
        <v>1.8480438543319702</v>
      </c>
      <c r="AZ180" s="5">
        <f>S180-AY180</f>
        <v>0</v>
      </c>
      <c r="BA180" s="4">
        <v>0</v>
      </c>
      <c r="BB180" s="4">
        <v>0</v>
      </c>
      <c r="BC180" s="5">
        <f>U180-BB180</f>
        <v>0</v>
      </c>
      <c r="BD180" s="7">
        <f>SUM(IF(BP180="direct",CC180/F180,0),IF(CR180="direct",DE180/F180,0),IF(DT180="direct",EG180/F180,0),IF(EV180="direct",FI180/F180,0),IF(FX180="direct",GK180/F180,0),IF(GZ180="direct",HM180/F180,0),IF(IB180="direct",IO180/F180,0),IF(JD180="direct",JQ180/F180,0),IF(KF180="direct",KS180/F180,0),IF(LH180="direct",LU180/F180,0))</f>
        <v>0.012312633832976398</v>
      </c>
      <c r="BE180" s="7">
        <f>-SUM(IF(BP180="direct",CD180/F180,0),IF(CR180="direct",DF180/F180,0),IF(DT180="direct",EH180/F180,0),IF(EV180="direct",FJ180/F180,0),IF(FX180="direct",GL180/F180,0),IF(GZ180="direct",HN180/F180,0),IF(IB180="direct",IP180/F180,0),IF(JD180="direct",JR180/F180,0),IF(KF180="direct",KT180/F180,0),IF(LH180="direct",LV180/F180,0))</f>
        <v>-0.000006849315068493151</v>
      </c>
      <c r="BF180" s="7">
        <f>BD180+BE180</f>
        <v>0.012305784517907904</v>
      </c>
      <c r="BG180" s="7">
        <f>BF180-SUM(IF(BP180="direct",CP180,0),IF(CR180="direct",DR180,0),IF(DT180="direct",ET180,0),IF(EV180="direct",FV180,0),IF(FX180="direct",GX180,0),IF(GZ180="direct",HZ180,0),IF(IB180="direct",JB180,0),IF(JD180="direct",KD180,0),IF(KF180="direct",LF180,0),IF(LH180="direct",MH180,0))</f>
        <v>-2.949029909160572e-17</v>
      </c>
      <c r="BH180" s="7">
        <f>SUM(IF(BP180="treasury",CP180,0),IF(CR180="treasury",DR180,0),IF(DT180="treasury",ET180,0),IF(EV180="treasury",FV180,0),IF(FX180="treasury",GX180,0),IF(GZ180="treasury",HZ180,0),IF(IB180="treasury",JB180,0),IF(JD180="treasury",KD180,0),IF(KF180="treasury",LF180,0),IF(LH180="treasury",MH180,0))</f>
        <v>0</v>
      </c>
      <c r="BI180" s="7">
        <f>SUM(IF(BP180="future",CP180,0),IF(CR180="future",DR180,0),IF(DT180="future",ET180,0),IF(EV180="future",FV180,0),IF(FX180="future",GX180,0),IF(GZ180="future",HZ180,0),IF(IB180="future",JB180,0),IF(JD180="future",KD180,0),IF(KF180="future",LF180,0),IF(LH180="future",MH180,0))</f>
        <v>0</v>
      </c>
      <c r="BJ180" s="7">
        <f>SUM(IF(BP180="cash",CP180,0),IF(CR180="cash",DR180,0),IF(DT180="cash",ET180,0),IF(EV180="cash",FV180,0),IF(FX180="cash",GX180,0),IF(GZ180="cash",HZ180,0),IF(IB180="cash",JB180,0),IF(JD180="cash",KD180,0),IF(KF180="cash",LF180,0),IF(LH180="cash",MH180,0))</f>
        <v>0</v>
      </c>
      <c r="BK180" s="7">
        <f>SUM(BF180,BH180,BI180,BJ180)</f>
        <v>0.012305784517907934</v>
      </c>
      <c r="BL180" s="7">
        <f>G180-BK180</f>
        <v>0</v>
      </c>
      <c r="BM180" s="5">
        <f>MAX(ABS(CG180),ABS(DI180),ABS(EK180),ABS(FM180),ABS(GO180),ABS(HQ180),ABS(IS180),ABS(JU180),ABS(KW180),ABS(LY180))</f>
        <v>5.3058143816009373e-17</v>
      </c>
      <c r="BN180" s="9">
        <f>COUNTA(BO180,CQ180,DS180,EU180,FW180,GY180,IA180,JC180,KE180,LG180)</f>
        <v>3</v>
      </c>
      <c r="BO180" t="inlineStr">
        <is>
          <t xml:space="preserve">Direct commodity holding</t>
        </is>
      </c>
      <c r="BP180" t="inlineStr">
        <is>
          <t xml:space="preserve">direct</t>
        </is>
      </c>
      <c r="BQ180" t="inlineStr">
        <is>
          <t xml:space="preserve">lease</t>
        </is>
      </c>
      <c r="BR180" t="inlineStr">
        <is>
          <t xml:space="preserve">long</t>
        </is>
      </c>
      <c r="BS180"/>
      <c r="BT180" s="4">
        <v>1.868</v>
      </c>
      <c r="BU180" s="4">
        <v>1.891</v>
      </c>
      <c r="BV180" s="6">
        <v>0.0025</v>
      </c>
      <c r="BW180" s="4">
        <v>0.9772905120547367</v>
      </c>
      <c r="BX180" s="5">
        <f>IF(BP180="direct",IFERROR(CD180/BU180,0),0)</f>
        <v>0.000006612355123107467</v>
      </c>
      <c r="BY180" s="5">
        <f>IF(BP180="direct",BW180-BX180,IF(BP180="cash",CI180,BW180))</f>
        <v>0.9772838996996136</v>
      </c>
      <c r="BZ180" s="6">
        <v>1</v>
      </c>
      <c r="CA180" s="4">
        <v>1.8255786765182482</v>
      </c>
      <c r="CB180" s="4">
        <v>1.8255786765182482</v>
      </c>
      <c r="CC180" s="5">
        <f>IF(BP180="direct",BW180*(BU180-BT180),CF180)</f>
        <v>0.022477681777258857</v>
      </c>
      <c r="CD180" s="5">
        <f>IF(BP180="direct",CB180*BV180*C180/365,0)</f>
        <v>0.00001250396353779622</v>
      </c>
      <c r="CE180" s="5">
        <f>CC180-CD180</f>
        <v>0.022465177813721114</v>
      </c>
      <c r="CF180" s="4">
        <v>0.022465177813721114</v>
      </c>
      <c r="CG180" s="5">
        <f>CF180-CE180</f>
        <v>5.3058143816009373e-17</v>
      </c>
      <c r="CH180" s="4">
        <v>0</v>
      </c>
      <c r="CI180" s="4">
        <v>1.8480438543319693</v>
      </c>
      <c r="CJ180" s="4">
        <v>1.868</v>
      </c>
      <c r="CK180" s="4">
        <v>1.891</v>
      </c>
      <c r="CL180" s="6"/>
      <c r="CM180" s="6"/>
      <c r="CN180" s="6"/>
      <c r="CO180" s="9"/>
      <c r="CP180" s="7">
        <f>IFERROR(CE180/F180,0)</f>
        <v>0.012305784517907934</v>
      </c>
      <c r="CQ180" t="inlineStr">
        <is>
          <t xml:space="preserve">Lease cash / margin / financing</t>
        </is>
      </c>
      <c r="CR180" t="inlineStr">
        <is>
          <t xml:space="preserve">cash</t>
        </is>
      </c>
      <c r="CS180" t="inlineStr">
        <is>
          <t xml:space="preserve">lease</t>
        </is>
      </c>
      <c r="CT180" t="inlineStr">
        <is>
          <t xml:space="preserve">cash</t>
        </is>
      </c>
      <c r="CU180"/>
      <c r="CV180" s="4">
        <v>1</v>
      </c>
      <c r="CW180" s="4">
        <v>1</v>
      </c>
      <c r="CX180" s="6"/>
      <c r="CY180" s="4">
        <v>8.881784197001252e-16</v>
      </c>
      <c r="CZ180" s="5">
        <f>IF(CR180="direct",IFERROR(DF180/CW180,0),0)</f>
        <v>0</v>
      </c>
      <c r="DA180" s="5">
        <f>IF(CR180="direct",CY180-CZ180,IF(CR180="cash",DK180,CY180))</f>
        <v>8.881784197001252e-16</v>
      </c>
      <c r="DB180" s="6"/>
      <c r="DC180" s="4">
        <v>8.881784197001252e-16</v>
      </c>
      <c r="DD180" s="4">
        <v>8.881784197001252e-16</v>
      </c>
      <c r="DE180" s="5">
        <f>IF(CR180="direct",CY180*(CW180-CV180),DH180)</f>
        <v>0</v>
      </c>
      <c r="DF180" s="5">
        <f>IF(CR180="direct",DD180*CX180*C180/365,0)</f>
        <v>0</v>
      </c>
      <c r="DG180" s="5">
        <f>DE180-DF180</f>
        <v>0</v>
      </c>
      <c r="DH180" s="4">
        <v>0</v>
      </c>
      <c r="DI180" s="5">
        <f>DH180-DG180</f>
        <v>0</v>
      </c>
      <c r="DJ180" s="4">
        <v>0</v>
      </c>
      <c r="DK180" s="4">
        <v>8.881784197001252e-16</v>
      </c>
      <c r="DL180" s="4">
        <v>1.868</v>
      </c>
      <c r="DM180" s="4">
        <v>1.891</v>
      </c>
      <c r="DN180" s="6"/>
      <c r="DO180" s="6"/>
      <c r="DP180" s="6"/>
      <c r="DQ180" s="9"/>
      <c r="DR180" s="7">
        <f>IFERROR(DG180/F180,0)</f>
        <v>0</v>
      </c>
      <c r="DS180" t="inlineStr">
        <is>
          <t xml:space="preserve">Keep cash / margin / financing</t>
        </is>
      </c>
      <c r="DT180" t="inlineStr">
        <is>
          <t xml:space="preserve">cash</t>
        </is>
      </c>
      <c r="DU180" t="inlineStr">
        <is>
          <t xml:space="preserve">keep</t>
        </is>
      </c>
      <c r="DV180" t="inlineStr">
        <is>
          <t xml:space="preserve">cash</t>
        </is>
      </c>
      <c r="DW180"/>
      <c r="DX180" s="4">
        <v>1</v>
      </c>
      <c r="DY180" s="4">
        <v>1</v>
      </c>
      <c r="DZ180" s="6"/>
      <c r="EA180" s="4">
        <v>0</v>
      </c>
      <c r="EB180" s="5">
        <f>IF(DT180="direct",IFERROR(EH180/DY180,0),0)</f>
        <v>0</v>
      </c>
      <c r="EC180" s="5">
        <f>IF(DT180="direct",EA180-EB180,IF(DT180="cash",EM180,EA180))</f>
        <v>0</v>
      </c>
      <c r="ED180" s="6"/>
      <c r="EE180" s="4">
        <v>0</v>
      </c>
      <c r="EF180" s="4">
        <v>0</v>
      </c>
      <c r="EG180" s="5">
        <f>IF(DT180="direct",EA180*(DY180-DX180),EJ180)</f>
        <v>0</v>
      </c>
      <c r="EH180" s="5">
        <f>IF(DT180="direct",EF180*DZ180*C180/365,0)</f>
        <v>0</v>
      </c>
      <c r="EI180" s="5">
        <f>EG180-EH180</f>
        <v>0</v>
      </c>
      <c r="EJ180" s="4">
        <v>0</v>
      </c>
      <c r="EK180" s="5">
        <f>EJ180-EI180</f>
        <v>0</v>
      </c>
      <c r="EL180" s="4">
        <v>0</v>
      </c>
      <c r="EM180" s="4">
        <v>0</v>
      </c>
      <c r="EN180" s="4">
        <v>1.868</v>
      </c>
      <c r="EO180" s="4">
        <v>1.891</v>
      </c>
      <c r="EP180" s="6"/>
      <c r="EQ180" s="6"/>
      <c r="ER180" s="6"/>
      <c r="ES180" s="9"/>
      <c r="ET180" s="7">
        <f>IFERROR(EI180/F180,0)</f>
        <v>0</v>
      </c>
      <c r="EU180"/>
      <c r="EV180"/>
      <c r="EW180"/>
      <c r="EX180"/>
      <c r="EY180"/>
      <c r="EZ180" s="4"/>
      <c r="FA180" s="4"/>
      <c r="FB180" s="6"/>
      <c r="FC180" s="4"/>
      <c r="FD180" s="5">
        <v>0</v>
      </c>
      <c r="FE180" s="5"/>
      <c r="FF180" s="6"/>
      <c r="FG180" s="4"/>
      <c r="FH180" s="4"/>
      <c r="FI180" s="5">
        <v>0</v>
      </c>
      <c r="FJ180" s="5">
        <v>0</v>
      </c>
      <c r="FK180" s="5"/>
      <c r="FL180" s="4"/>
      <c r="FM180" s="5">
        <v>0</v>
      </c>
      <c r="FN180" s="4"/>
      <c r="FO180" s="4"/>
      <c r="FP180" s="4"/>
      <c r="FQ180" s="4"/>
      <c r="FR180" s="6"/>
      <c r="FS180" s="6"/>
      <c r="FT180" s="6"/>
      <c r="FU180" s="9"/>
      <c r="FV180"/>
      <c r="FW180"/>
      <c r="FX180"/>
      <c r="FY180"/>
      <c r="FZ180"/>
      <c r="GA180"/>
      <c r="GB180" s="4"/>
      <c r="GC180" s="4"/>
      <c r="GD180" s="6"/>
      <c r="GE180" s="4"/>
      <c r="GF180" s="5">
        <v>0</v>
      </c>
      <c r="GG180" s="5"/>
      <c r="GH180" s="6"/>
      <c r="GI180" s="4"/>
      <c r="GJ180" s="4"/>
      <c r="GK180" s="5">
        <v>0</v>
      </c>
      <c r="GL180" s="5">
        <v>0</v>
      </c>
      <c r="GM180" s="5"/>
      <c r="GN180" s="4"/>
      <c r="GO180" s="5">
        <v>0</v>
      </c>
      <c r="GP180" s="4"/>
      <c r="GQ180" s="4"/>
      <c r="GR180" s="4"/>
      <c r="GS180" s="4"/>
      <c r="GT180" s="6"/>
      <c r="GU180" s="6"/>
      <c r="GV180" s="6"/>
      <c r="GW180" s="9"/>
      <c r="GX180"/>
      <c r="GY180"/>
      <c r="GZ180"/>
      <c r="HA180"/>
      <c r="HB180"/>
      <c r="HC180"/>
      <c r="HD180" s="4"/>
      <c r="HE180" s="4"/>
      <c r="HF180" s="6"/>
      <c r="HG180" s="4"/>
      <c r="HH180" s="5">
        <v>0</v>
      </c>
      <c r="HI180" s="5"/>
      <c r="HJ180" s="6"/>
      <c r="HK180" s="4"/>
      <c r="HL180" s="4"/>
      <c r="HM180" s="5">
        <v>0</v>
      </c>
      <c r="HN180" s="5">
        <v>0</v>
      </c>
      <c r="HO180" s="5"/>
      <c r="HP180" s="4"/>
      <c r="HQ180" s="5">
        <v>0</v>
      </c>
      <c r="HR180" s="4"/>
      <c r="HS180" s="4"/>
      <c r="HT180" s="4"/>
      <c r="HU180" s="4"/>
      <c r="HV180" s="6"/>
      <c r="HW180" s="6"/>
      <c r="HX180" s="6"/>
      <c r="HY180" s="9"/>
      <c r="HZ180"/>
      <c r="IA180"/>
      <c r="IB180"/>
      <c r="IC180"/>
      <c r="ID180"/>
      <c r="IE180"/>
      <c r="IF180" s="4"/>
      <c r="IG180" s="4"/>
      <c r="IH180" s="6"/>
      <c r="II180" s="4"/>
      <c r="IJ180" s="5">
        <v>0</v>
      </c>
      <c r="IK180" s="5"/>
      <c r="IL180" s="6"/>
      <c r="IM180" s="4"/>
      <c r="IN180" s="4"/>
      <c r="IO180" s="5">
        <v>0</v>
      </c>
      <c r="IP180" s="5">
        <v>0</v>
      </c>
      <c r="IQ180" s="5"/>
      <c r="IR180" s="4"/>
      <c r="IS180" s="5">
        <v>0</v>
      </c>
      <c r="IT180" s="4"/>
      <c r="IU180" s="4"/>
      <c r="IV180" s="4"/>
      <c r="IW180" s="4"/>
      <c r="IX180" s="6"/>
      <c r="IY180" s="6"/>
      <c r="IZ180" s="6"/>
      <c r="JA180" s="9"/>
      <c r="JB180"/>
      <c r="JC180"/>
      <c r="JD180"/>
      <c r="JE180"/>
      <c r="JF180"/>
      <c r="JG180"/>
      <c r="JH180" s="4"/>
      <c r="JI180" s="4"/>
      <c r="JJ180" s="6"/>
      <c r="JK180" s="4"/>
      <c r="JL180" s="5">
        <v>0</v>
      </c>
      <c r="JM180" s="5"/>
      <c r="JN180" s="6"/>
      <c r="JO180" s="4"/>
      <c r="JP180" s="4"/>
      <c r="JQ180" s="5">
        <v>0</v>
      </c>
      <c r="JR180" s="5">
        <v>0</v>
      </c>
      <c r="JS180" s="5"/>
      <c r="JT180" s="4"/>
      <c r="JU180" s="5">
        <v>0</v>
      </c>
      <c r="JV180" s="4"/>
      <c r="JW180" s="4"/>
      <c r="JX180" s="4"/>
      <c r="JY180" s="4"/>
      <c r="JZ180" s="6"/>
      <c r="KA180" s="6"/>
      <c r="KB180" s="6"/>
      <c r="KC180" s="9"/>
      <c r="KD180"/>
      <c r="KE180"/>
      <c r="KF180"/>
      <c r="KG180"/>
      <c r="KH180"/>
      <c r="KI180"/>
      <c r="KJ180" s="4"/>
      <c r="KK180" s="4"/>
      <c r="KL180" s="6"/>
      <c r="KM180" s="4"/>
      <c r="KN180" s="5">
        <v>0</v>
      </c>
      <c r="KO180" s="5"/>
      <c r="KP180" s="6"/>
      <c r="KQ180" s="4"/>
      <c r="KR180" s="4"/>
      <c r="KS180" s="5">
        <v>0</v>
      </c>
      <c r="KT180" s="5">
        <v>0</v>
      </c>
      <c r="KU180" s="5"/>
      <c r="KV180" s="4"/>
      <c r="KW180" s="5">
        <v>0</v>
      </c>
      <c r="KX180" s="4"/>
      <c r="KY180" s="4"/>
      <c r="KZ180" s="4"/>
      <c r="LA180" s="4"/>
      <c r="LB180" s="6"/>
      <c r="LC180" s="6"/>
      <c r="LD180" s="6"/>
      <c r="LE180" s="9"/>
      <c r="LF180"/>
      <c r="LG180"/>
      <c r="LH180"/>
      <c r="LI180"/>
      <c r="LJ180"/>
      <c r="LK180"/>
      <c r="LL180" s="4"/>
      <c r="LM180" s="4"/>
      <c r="LN180" s="6"/>
      <c r="LO180" s="4"/>
      <c r="LP180" s="5">
        <v>0</v>
      </c>
      <c r="LQ180" s="5"/>
      <c r="LR180" s="6"/>
      <c r="LS180" s="4"/>
      <c r="LT180" s="4"/>
      <c r="LU180" s="5">
        <v>0</v>
      </c>
      <c r="LV180" s="5">
        <v>0</v>
      </c>
      <c r="LW180" s="5"/>
      <c r="LX180" s="4"/>
      <c r="LY180" s="5">
        <v>0</v>
      </c>
      <c r="LZ180" s="4"/>
      <c r="MA180" s="4"/>
      <c r="MB180" s="4"/>
      <c r="MC180" s="4"/>
      <c r="MD180" s="6"/>
      <c r="ME180" s="6"/>
      <c r="MF180" s="6"/>
      <c r="MG180" s="9"/>
      <c r="MH180"/>
    </row>
    <row r="181">
      <c r="A181" s="8">
        <v>25470</v>
      </c>
      <c r="B181" s="8">
        <v>25471</v>
      </c>
      <c r="C181" s="9">
        <f>B181-A181</f>
        <v>1</v>
      </c>
      <c r="D181" s="8">
        <v>25470</v>
      </c>
      <c r="E181" t="inlineStr">
        <is>
          <t xml:space="preserve">neutral</t>
        </is>
      </c>
      <c r="F181" s="4">
        <v>1.8480438543319695</v>
      </c>
      <c r="G181" s="6">
        <v>-0.024332602884608413</v>
      </c>
      <c r="H181" s="7">
        <f>SUM(CP181,DR181,ET181,FV181,GX181,HZ181,JB181,KD181,LF181,MH181)</f>
        <v>-0.024332602884608413</v>
      </c>
      <c r="I181" s="7">
        <f>G181-H181</f>
        <v>0</v>
      </c>
      <c r="J181" s="5">
        <f>F181*(1+H181)</f>
        <v>1.8030761371111685</v>
      </c>
      <c r="K181" s="4">
        <v>1.8030761371111685</v>
      </c>
      <c r="L181" s="5">
        <f>K181-J181</f>
        <v>0</v>
      </c>
      <c r="M181" s="4">
        <v>1.891</v>
      </c>
      <c r="N181" s="4">
        <v>1.845</v>
      </c>
      <c r="O181" s="5">
        <f>M181/$M$3</f>
        <v>0.9657814096016344</v>
      </c>
      <c r="P181" s="5">
        <f>N181/$M$3</f>
        <v>0.942288049029622</v>
      </c>
      <c r="Q181" s="7">
        <f>IFERROR(N181/M181-1,0)</f>
        <v>-0.02432575356953992</v>
      </c>
      <c r="R181" s="5">
        <f>SUM(IF(BQ181="lease",CB181,0),IF(CS181="lease",DD181,0),IF(DU181="lease",EF181,0),IF(EW181="lease",FH181,0),IF(FY181="lease",GJ181,0),IF(HA181="lease",HL181,0),IF(IC181="lease",IN181,0),IF(JE181="lease",JP181,0),IF(KG181="lease",KR181,0),IF(LI181="lease",LT181,0))</f>
        <v>1.8480438543319702</v>
      </c>
      <c r="S181" s="5">
        <f>SUM(IF(BQ181="lease",CI181,0),IF(CS181="lease",DK181,0),IF(DU181="lease",EM181,0),IF(EW181="lease",FO181,0),IF(FY181="lease",GQ181,0),IF(HA181="lease",HS181,0),IF(IC181="lease",IU181,0),IF(JE181="lease",JW181,0),IF(KG181="lease",KY181,0),IF(LI181="lease",MA181,0))</f>
        <v>1.8030761371111692</v>
      </c>
      <c r="T181" s="5">
        <f>SUM(IF(BQ181="keep",CB181,0),IF(CS181="keep",DD181,0),IF(DU181="keep",EF181,0),IF(EW181="keep",FH181,0),IF(FY181="keep",GJ181,0),IF(HA181="keep",HL181,0),IF(IC181="keep",IN181,0),IF(JE181="keep",JP181,0),IF(KG181="keep",KR181,0),IF(LI181="keep",LT181,0))</f>
        <v>0</v>
      </c>
      <c r="U181" s="5">
        <f>SUM(IF(BQ181="keep",CI181,0),IF(CS181="keep",DK181,0),IF(DU181="keep",EM181,0),IF(EW181="keep",FO181,0),IF(FY181="keep",GQ181,0),IF(HA181="keep",HS181,0),IF(IC181="keep",IU181,0),IF(JE181="keep",JW181,0),IF(KG181="keep",KY181,0),IF(LI181="keep",MA181,0))</f>
        <v>0</v>
      </c>
      <c r="V181" s="5">
        <f>R181/O181</f>
        <v>1.9135218756118442</v>
      </c>
      <c r="W181" s="5">
        <f>S181/P181</f>
        <v>1.913508442527734</v>
      </c>
      <c r="X181" s="5">
        <f>T181/O181</f>
        <v>0</v>
      </c>
      <c r="Y181" s="5">
        <f>U181/P181</f>
        <v>0</v>
      </c>
      <c r="Z181" s="5">
        <f>V181+X181</f>
        <v>1.9135218756118442</v>
      </c>
      <c r="AA181" s="7">
        <f>IFERROR(W181/V181-1,0)</f>
        <v>-0.0000070200838994116666</v>
      </c>
      <c r="AB181" s="7">
        <f>IFERROR((W181-V181)/Z181,0)</f>
        <v>-0.000007020083899419867</v>
      </c>
      <c r="AC181" s="7">
        <f>IFERROR(Y181/X181-1,0)</f>
        <v>0</v>
      </c>
      <c r="AD181" s="7">
        <f>IFERROR((Y181-X181)/Z181,0)</f>
        <v>0</v>
      </c>
      <c r="AE181" s="7">
        <f>AB181+AD181</f>
        <v>-0.000007020083899419867</v>
      </c>
      <c r="AF181" s="7">
        <f>(1+Q181)*(1+AE181)-1</f>
        <v>-0.024332602884608368</v>
      </c>
      <c r="AG181" s="7">
        <f>G181-AF181</f>
        <v>-4.5102810375396984e-17</v>
      </c>
      <c r="AH181" s="5">
        <f>SUM(IF(BQ181="lease",CE181,0),IF(CS181="lease",DG181,0),IF(DU181="lease",EI181,0),IF(EW181="lease",FK181,0),IF(FY181="lease",GM181,0),IF(HA181="lease",HO181,0),IF(IC181="lease",IQ181,0),IF(JE181="lease",JS181,0),IF(KG181="lease",KU181,0),IF(LI181="lease",LW181,0))</f>
        <v>-0.04496771722080093</v>
      </c>
      <c r="AI181" s="5">
        <f>SUM(IF(BQ181="keep",CE181,0),IF(CS181="keep",DG181,0),IF(DU181="keep",EI181,0),IF(EW181="keep",FK181,0),IF(FY181="keep",GM181,0),IF(HA181="keep",HO181,0),IF(IC181="keep",IQ181,0),IF(JE181="keep",JS181,0),IF(KG181="keep",KU181,0),IF(LI181="keep",LW181,0))</f>
        <v>0</v>
      </c>
      <c r="AJ181" s="5">
        <f>SUM(IF(BQ181="lease",CH181,0),IF(CS181="lease",DJ181,0),IF(DU181="lease",EL181,0),IF(EW181="lease",FN181,0),IF(FY181="lease",GP181,0),IF(HA181="lease",HR181,0),IF(IC181="lease",IT181,0),IF(JE181="lease",JV181,0),IF(KG181="lease",KX181,0),IF(LI181="lease",LZ181,0))</f>
        <v>0</v>
      </c>
      <c r="AK181" s="5">
        <f>SUM(IF(BQ181="keep",CH181,0),IF(CS181="keep",DJ181,0),IF(DU181="keep",EL181,0),IF(EW181="keep",FN181,0),IF(FY181="keep",GP181,0),IF(HA181="keep",HR181,0),IF(IC181="keep",IT181,0),IF(JE181="keep",JV181,0),IF(KG181="keep",KX181,0),IF(LI181="keep",LZ181,0))</f>
        <v>0</v>
      </c>
      <c r="AL181" s="5">
        <f>R181-S180</f>
        <v>0</v>
      </c>
      <c r="AM181" s="5">
        <f>T181-U180</f>
        <v>0</v>
      </c>
      <c r="AN181" s="5">
        <f>AN180</f>
        <v>1</v>
      </c>
      <c r="AO181" s="5">
        <f>AO180+AH181</f>
        <v>0.8030761371111695</v>
      </c>
      <c r="AP181" s="5">
        <f>AP180+AL181</f>
        <v>-8.881784197001252e-16</v>
      </c>
      <c r="AQ181" s="5">
        <f>AN181+AO181+AP181</f>
        <v>1.8030761371111685</v>
      </c>
      <c r="AR181" s="5">
        <f>S181-AQ181</f>
        <v>6.661338147750939e-16</v>
      </c>
      <c r="AS181" s="5">
        <f>AS180</f>
        <v>0</v>
      </c>
      <c r="AT181" s="5">
        <f>AT180+AI181</f>
        <v>0</v>
      </c>
      <c r="AU181" s="5">
        <f>AU180+AM181</f>
        <v>0</v>
      </c>
      <c r="AV181" s="5">
        <f>AS181+AT181+AU181</f>
        <v>0</v>
      </c>
      <c r="AW181" s="5">
        <f>U181-AV181</f>
        <v>0</v>
      </c>
      <c r="AX181" s="4">
        <v>1.8480438543319702</v>
      </c>
      <c r="AY181" s="4">
        <v>1.8030761371111692</v>
      </c>
      <c r="AZ181" s="5">
        <f>S181-AY181</f>
        <v>0</v>
      </c>
      <c r="BA181" s="4">
        <v>0</v>
      </c>
      <c r="BB181" s="4">
        <v>0</v>
      </c>
      <c r="BC181" s="5">
        <f>U181-BB181</f>
        <v>0</v>
      </c>
      <c r="BD181" s="7">
        <f>SUM(IF(BP181="direct",CC181/F181,0),IF(CR181="direct",DE181/F181,0),IF(DT181="direct",EG181/F181,0),IF(EV181="direct",FI181/F181,0),IF(FX181="direct",GK181/F181,0),IF(GZ181="direct",HM181/F181,0),IF(IB181="direct",IO181/F181,0),IF(JD181="direct",JQ181/F181,0),IF(KF181="direct",KS181/F181,0),IF(LH181="direct",LU181/F181,0))</f>
        <v>-0.02432575356953995</v>
      </c>
      <c r="BE181" s="7">
        <f>-SUM(IF(BP181="direct",CD181/F181,0),IF(CR181="direct",DF181/F181,0),IF(DT181="direct",EH181/F181,0),IF(EV181="direct",FJ181/F181,0),IF(FX181="direct",GL181/F181,0),IF(GZ181="direct",HN181/F181,0),IF(IB181="direct",IP181/F181,0),IF(JD181="direct",JR181/F181,0),IF(KF181="direct",KT181/F181,0),IF(LH181="direct",LV181/F181,0))</f>
        <v>-0.000006849315068493151</v>
      </c>
      <c r="BF181" s="7">
        <f>BD181+BE181</f>
        <v>-0.02433260288460844</v>
      </c>
      <c r="BG181" s="7">
        <f>BF181-SUM(IF(BP181="direct",CP181,0),IF(CR181="direct",DR181,0),IF(DT181="direct",ET181,0),IF(EV181="direct",FV181,0),IF(FX181="direct",GX181,0),IF(GZ181="direct",HZ181,0),IF(IB181="direct",JB181,0),IF(JD181="direct",KD181,0),IF(KF181="direct",LF181,0),IF(LH181="direct",MH181,0))</f>
        <v>-2.7755575615628914e-17</v>
      </c>
      <c r="BH181" s="7">
        <f>SUM(IF(BP181="treasury",CP181,0),IF(CR181="treasury",DR181,0),IF(DT181="treasury",ET181,0),IF(EV181="treasury",FV181,0),IF(FX181="treasury",GX181,0),IF(GZ181="treasury",HZ181,0),IF(IB181="treasury",JB181,0),IF(JD181="treasury",KD181,0),IF(KF181="treasury",LF181,0),IF(LH181="treasury",MH181,0))</f>
        <v>0</v>
      </c>
      <c r="BI181" s="7">
        <f>SUM(IF(BP181="future",CP181,0),IF(CR181="future",DR181,0),IF(DT181="future",ET181,0),IF(EV181="future",FV181,0),IF(FX181="future",GX181,0),IF(GZ181="future",HZ181,0),IF(IB181="future",JB181,0),IF(JD181="future",KD181,0),IF(KF181="future",LF181,0),IF(LH181="future",MH181,0))</f>
        <v>0</v>
      </c>
      <c r="BJ181" s="7">
        <f>SUM(IF(BP181="cash",CP181,0),IF(CR181="cash",DR181,0),IF(DT181="cash",ET181,0),IF(EV181="cash",FV181,0),IF(FX181="cash",GX181,0),IF(GZ181="cash",HZ181,0),IF(IB181="cash",JB181,0),IF(JD181="cash",KD181,0),IF(KF181="cash",LF181,0),IF(LH181="cash",MH181,0))</f>
        <v>0</v>
      </c>
      <c r="BK181" s="7">
        <f>SUM(BF181,BH181,BI181,BJ181)</f>
        <v>-0.024332602884608413</v>
      </c>
      <c r="BL181" s="7">
        <f>G181-BK181</f>
        <v>0</v>
      </c>
      <c r="BM181" s="5">
        <f>MAX(ABS(CG181),ABS(DI181),ABS(EK181),ABS(FM181),ABS(GO181),ABS(HQ181),ABS(IS181),ABS(JU181),ABS(KW181),ABS(LY181))</f>
        <v>5.396108093778246e-17</v>
      </c>
      <c r="BN181" s="9">
        <f>COUNTA(BO181,CQ181,DS181,EU181,FW181,GY181,IA181,JC181,KE181,LG181)</f>
        <v>3</v>
      </c>
      <c r="BO181" t="inlineStr">
        <is>
          <t xml:space="preserve">Direct commodity holding</t>
        </is>
      </c>
      <c r="BP181" t="inlineStr">
        <is>
          <t xml:space="preserve">direct</t>
        </is>
      </c>
      <c r="BQ181" t="inlineStr">
        <is>
          <t xml:space="preserve">lease</t>
        </is>
      </c>
      <c r="BR181" t="inlineStr">
        <is>
          <t xml:space="preserve">long</t>
        </is>
      </c>
      <c r="BS181"/>
      <c r="BT181" s="4">
        <v>1.891</v>
      </c>
      <c r="BU181" s="4">
        <v>1.845</v>
      </c>
      <c r="BV181" s="6">
        <v>0.0025</v>
      </c>
      <c r="BW181" s="4">
        <v>0.9772838996996137</v>
      </c>
      <c r="BX181" s="5">
        <f>IF(BP181="direct",IFERROR(CD181/BU181,0),0)</f>
        <v>0.000006860614969491664</v>
      </c>
      <c r="BY181" s="5">
        <f>IF(BP181="direct",BW181-BX181,IF(BP181="cash",CI181,BW181))</f>
        <v>0.9772770390846443</v>
      </c>
      <c r="BZ181" s="6">
        <v>1</v>
      </c>
      <c r="CA181" s="4">
        <v>1.8480438543319695</v>
      </c>
      <c r="CB181" s="4">
        <v>1.8480438543319695</v>
      </c>
      <c r="CC181" s="5">
        <f>IF(BP181="direct",BW181*(BU181-BT181),CF181)</f>
        <v>-0.04495505938618227</v>
      </c>
      <c r="CD181" s="5">
        <f>IF(BP181="direct",CB181*BV181*C181/365,0)</f>
        <v>0.00001265783461871212</v>
      </c>
      <c r="CE181" s="5">
        <f>CC181-CD181</f>
        <v>-0.04496771722080093</v>
      </c>
      <c r="CF181" s="4">
        <v>-0.04496771722080093</v>
      </c>
      <c r="CG181" s="5">
        <f>CF181-CE181</f>
        <v>5.396108093778246e-17</v>
      </c>
      <c r="CH181" s="4">
        <v>0</v>
      </c>
      <c r="CI181" s="4">
        <v>1.8030761371111685</v>
      </c>
      <c r="CJ181" s="4">
        <v>1.891</v>
      </c>
      <c r="CK181" s="4">
        <v>1.845</v>
      </c>
      <c r="CL181" s="6"/>
      <c r="CM181" s="6"/>
      <c r="CN181" s="6"/>
      <c r="CO181" s="9"/>
      <c r="CP181" s="7">
        <f>IFERROR(CE181/F181,0)</f>
        <v>-0.024332602884608413</v>
      </c>
      <c r="CQ181" t="inlineStr">
        <is>
          <t xml:space="preserve">Lease cash / margin / financing</t>
        </is>
      </c>
      <c r="CR181" t="inlineStr">
        <is>
          <t xml:space="preserve">cash</t>
        </is>
      </c>
      <c r="CS181" t="inlineStr">
        <is>
          <t xml:space="preserve">lease</t>
        </is>
      </c>
      <c r="CT181" t="inlineStr">
        <is>
          <t xml:space="preserve">cash</t>
        </is>
      </c>
      <c r="CU181"/>
      <c r="CV181" s="4">
        <v>1</v>
      </c>
      <c r="CW181" s="4">
        <v>1</v>
      </c>
      <c r="CX181" s="6"/>
      <c r="CY181" s="4">
        <v>6.661338147750939e-16</v>
      </c>
      <c r="CZ181" s="5">
        <f>IF(CR181="direct",IFERROR(DF181/CW181,0),0)</f>
        <v>0</v>
      </c>
      <c r="DA181" s="5">
        <f>IF(CR181="direct",CY181-CZ181,IF(CR181="cash",DK181,CY181))</f>
        <v>6.661338147750939e-16</v>
      </c>
      <c r="DB181" s="6"/>
      <c r="DC181" s="4">
        <v>6.661338147750939e-16</v>
      </c>
      <c r="DD181" s="4">
        <v>6.661338147750939e-16</v>
      </c>
      <c r="DE181" s="5">
        <f>IF(CR181="direct",CY181*(CW181-CV181),DH181)</f>
        <v>0</v>
      </c>
      <c r="DF181" s="5">
        <f>IF(CR181="direct",DD181*CX181*C181/365,0)</f>
        <v>0</v>
      </c>
      <c r="DG181" s="5">
        <f>DE181-DF181</f>
        <v>0</v>
      </c>
      <c r="DH181" s="4">
        <v>0</v>
      </c>
      <c r="DI181" s="5">
        <f>DH181-DG181</f>
        <v>0</v>
      </c>
      <c r="DJ181" s="4">
        <v>0</v>
      </c>
      <c r="DK181" s="4">
        <v>6.661338147750939e-16</v>
      </c>
      <c r="DL181" s="4">
        <v>1.891</v>
      </c>
      <c r="DM181" s="4">
        <v>1.845</v>
      </c>
      <c r="DN181" s="6"/>
      <c r="DO181" s="6"/>
      <c r="DP181" s="6"/>
      <c r="DQ181" s="9"/>
      <c r="DR181" s="7">
        <f>IFERROR(DG181/F181,0)</f>
        <v>0</v>
      </c>
      <c r="DS181" t="inlineStr">
        <is>
          <t xml:space="preserve">Keep cash / margin / financing</t>
        </is>
      </c>
      <c r="DT181" t="inlineStr">
        <is>
          <t xml:space="preserve">cash</t>
        </is>
      </c>
      <c r="DU181" t="inlineStr">
        <is>
          <t xml:space="preserve">keep</t>
        </is>
      </c>
      <c r="DV181" t="inlineStr">
        <is>
          <t xml:space="preserve">cash</t>
        </is>
      </c>
      <c r="DW181"/>
      <c r="DX181" s="4">
        <v>1</v>
      </c>
      <c r="DY181" s="4">
        <v>1</v>
      </c>
      <c r="DZ181" s="6"/>
      <c r="EA181" s="4">
        <v>0</v>
      </c>
      <c r="EB181" s="5">
        <f>IF(DT181="direct",IFERROR(EH181/DY181,0),0)</f>
        <v>0</v>
      </c>
      <c r="EC181" s="5">
        <f>IF(DT181="direct",EA181-EB181,IF(DT181="cash",EM181,EA181))</f>
        <v>0</v>
      </c>
      <c r="ED181" s="6"/>
      <c r="EE181" s="4">
        <v>0</v>
      </c>
      <c r="EF181" s="4">
        <v>0</v>
      </c>
      <c r="EG181" s="5">
        <f>IF(DT181="direct",EA181*(DY181-DX181),EJ181)</f>
        <v>0</v>
      </c>
      <c r="EH181" s="5">
        <f>IF(DT181="direct",EF181*DZ181*C181/365,0)</f>
        <v>0</v>
      </c>
      <c r="EI181" s="5">
        <f>EG181-EH181</f>
        <v>0</v>
      </c>
      <c r="EJ181" s="4">
        <v>0</v>
      </c>
      <c r="EK181" s="5">
        <f>EJ181-EI181</f>
        <v>0</v>
      </c>
      <c r="EL181" s="4">
        <v>0</v>
      </c>
      <c r="EM181" s="4">
        <v>0</v>
      </c>
      <c r="EN181" s="4">
        <v>1.891</v>
      </c>
      <c r="EO181" s="4">
        <v>1.845</v>
      </c>
      <c r="EP181" s="6"/>
      <c r="EQ181" s="6"/>
      <c r="ER181" s="6"/>
      <c r="ES181" s="9"/>
      <c r="ET181" s="7">
        <f>IFERROR(EI181/F181,0)</f>
        <v>0</v>
      </c>
      <c r="EU181"/>
      <c r="EV181"/>
      <c r="EW181"/>
      <c r="EX181"/>
      <c r="EY181"/>
      <c r="EZ181" s="4"/>
      <c r="FA181" s="4"/>
      <c r="FB181" s="6"/>
      <c r="FC181" s="4"/>
      <c r="FD181" s="5">
        <v>0</v>
      </c>
      <c r="FE181" s="5"/>
      <c r="FF181" s="6"/>
      <c r="FG181" s="4"/>
      <c r="FH181" s="4"/>
      <c r="FI181" s="5">
        <v>0</v>
      </c>
      <c r="FJ181" s="5">
        <v>0</v>
      </c>
      <c r="FK181" s="5"/>
      <c r="FL181" s="4"/>
      <c r="FM181" s="5">
        <v>0</v>
      </c>
      <c r="FN181" s="4"/>
      <c r="FO181" s="4"/>
      <c r="FP181" s="4"/>
      <c r="FQ181" s="4"/>
      <c r="FR181" s="6"/>
      <c r="FS181" s="6"/>
      <c r="FT181" s="6"/>
      <c r="FU181" s="9"/>
      <c r="FV181"/>
      <c r="FW181"/>
      <c r="FX181"/>
      <c r="FY181"/>
      <c r="FZ181"/>
      <c r="GA181"/>
      <c r="GB181" s="4"/>
      <c r="GC181" s="4"/>
      <c r="GD181" s="6"/>
      <c r="GE181" s="4"/>
      <c r="GF181" s="5">
        <v>0</v>
      </c>
      <c r="GG181" s="5"/>
      <c r="GH181" s="6"/>
      <c r="GI181" s="4"/>
      <c r="GJ181" s="4"/>
      <c r="GK181" s="5">
        <v>0</v>
      </c>
      <c r="GL181" s="5">
        <v>0</v>
      </c>
      <c r="GM181" s="5"/>
      <c r="GN181" s="4"/>
      <c r="GO181" s="5">
        <v>0</v>
      </c>
      <c r="GP181" s="4"/>
      <c r="GQ181" s="4"/>
      <c r="GR181" s="4"/>
      <c r="GS181" s="4"/>
      <c r="GT181" s="6"/>
      <c r="GU181" s="6"/>
      <c r="GV181" s="6"/>
      <c r="GW181" s="9"/>
      <c r="GX181"/>
      <c r="GY181"/>
      <c r="GZ181"/>
      <c r="HA181"/>
      <c r="HB181"/>
      <c r="HC181"/>
      <c r="HD181" s="4"/>
      <c r="HE181" s="4"/>
      <c r="HF181" s="6"/>
      <c r="HG181" s="4"/>
      <c r="HH181" s="5">
        <v>0</v>
      </c>
      <c r="HI181" s="5"/>
      <c r="HJ181" s="6"/>
      <c r="HK181" s="4"/>
      <c r="HL181" s="4"/>
      <c r="HM181" s="5">
        <v>0</v>
      </c>
      <c r="HN181" s="5">
        <v>0</v>
      </c>
      <c r="HO181" s="5"/>
      <c r="HP181" s="4"/>
      <c r="HQ181" s="5">
        <v>0</v>
      </c>
      <c r="HR181" s="4"/>
      <c r="HS181" s="4"/>
      <c r="HT181" s="4"/>
      <c r="HU181" s="4"/>
      <c r="HV181" s="6"/>
      <c r="HW181" s="6"/>
      <c r="HX181" s="6"/>
      <c r="HY181" s="9"/>
      <c r="HZ181"/>
      <c r="IA181"/>
      <c r="IB181"/>
      <c r="IC181"/>
      <c r="ID181"/>
      <c r="IE181"/>
      <c r="IF181" s="4"/>
      <c r="IG181" s="4"/>
      <c r="IH181" s="6"/>
      <c r="II181" s="4"/>
      <c r="IJ181" s="5">
        <v>0</v>
      </c>
      <c r="IK181" s="5"/>
      <c r="IL181" s="6"/>
      <c r="IM181" s="4"/>
      <c r="IN181" s="4"/>
      <c r="IO181" s="5">
        <v>0</v>
      </c>
      <c r="IP181" s="5">
        <v>0</v>
      </c>
      <c r="IQ181" s="5"/>
      <c r="IR181" s="4"/>
      <c r="IS181" s="5">
        <v>0</v>
      </c>
      <c r="IT181" s="4"/>
      <c r="IU181" s="4"/>
      <c r="IV181" s="4"/>
      <c r="IW181" s="4"/>
      <c r="IX181" s="6"/>
      <c r="IY181" s="6"/>
      <c r="IZ181" s="6"/>
      <c r="JA181" s="9"/>
      <c r="JB181"/>
      <c r="JC181"/>
      <c r="JD181"/>
      <c r="JE181"/>
      <c r="JF181"/>
      <c r="JG181"/>
      <c r="JH181" s="4"/>
      <c r="JI181" s="4"/>
      <c r="JJ181" s="6"/>
      <c r="JK181" s="4"/>
      <c r="JL181" s="5">
        <v>0</v>
      </c>
      <c r="JM181" s="5"/>
      <c r="JN181" s="6"/>
      <c r="JO181" s="4"/>
      <c r="JP181" s="4"/>
      <c r="JQ181" s="5">
        <v>0</v>
      </c>
      <c r="JR181" s="5">
        <v>0</v>
      </c>
      <c r="JS181" s="5"/>
      <c r="JT181" s="4"/>
      <c r="JU181" s="5">
        <v>0</v>
      </c>
      <c r="JV181" s="4"/>
      <c r="JW181" s="4"/>
      <c r="JX181" s="4"/>
      <c r="JY181" s="4"/>
      <c r="JZ181" s="6"/>
      <c r="KA181" s="6"/>
      <c r="KB181" s="6"/>
      <c r="KC181" s="9"/>
      <c r="KD181"/>
      <c r="KE181"/>
      <c r="KF181"/>
      <c r="KG181"/>
      <c r="KH181"/>
      <c r="KI181"/>
      <c r="KJ181" s="4"/>
      <c r="KK181" s="4"/>
      <c r="KL181" s="6"/>
      <c r="KM181" s="4"/>
      <c r="KN181" s="5">
        <v>0</v>
      </c>
      <c r="KO181" s="5"/>
      <c r="KP181" s="6"/>
      <c r="KQ181" s="4"/>
      <c r="KR181" s="4"/>
      <c r="KS181" s="5">
        <v>0</v>
      </c>
      <c r="KT181" s="5">
        <v>0</v>
      </c>
      <c r="KU181" s="5"/>
      <c r="KV181" s="4"/>
      <c r="KW181" s="5">
        <v>0</v>
      </c>
      <c r="KX181" s="4"/>
      <c r="KY181" s="4"/>
      <c r="KZ181" s="4"/>
      <c r="LA181" s="4"/>
      <c r="LB181" s="6"/>
      <c r="LC181" s="6"/>
      <c r="LD181" s="6"/>
      <c r="LE181" s="9"/>
      <c r="LF181"/>
      <c r="LG181"/>
      <c r="LH181"/>
      <c r="LI181"/>
      <c r="LJ181"/>
      <c r="LK181"/>
      <c r="LL181" s="4"/>
      <c r="LM181" s="4"/>
      <c r="LN181" s="6"/>
      <c r="LO181" s="4"/>
      <c r="LP181" s="5">
        <v>0</v>
      </c>
      <c r="LQ181" s="5"/>
      <c r="LR181" s="6"/>
      <c r="LS181" s="4"/>
      <c r="LT181" s="4"/>
      <c r="LU181" s="5">
        <v>0</v>
      </c>
      <c r="LV181" s="5">
        <v>0</v>
      </c>
      <c r="LW181" s="5"/>
      <c r="LX181" s="4"/>
      <c r="LY181" s="5">
        <v>0</v>
      </c>
      <c r="LZ181" s="4"/>
      <c r="MA181" s="4"/>
      <c r="MB181" s="4"/>
      <c r="MC181" s="4"/>
      <c r="MD181" s="6"/>
      <c r="ME181" s="6"/>
      <c r="MF181" s="6"/>
      <c r="MG181" s="9"/>
      <c r="MH181"/>
    </row>
    <row r="182">
      <c r="A182" s="8">
        <v>25471</v>
      </c>
      <c r="B182" s="8">
        <v>25472</v>
      </c>
      <c r="C182" s="9">
        <f>B182-A182</f>
        <v>1</v>
      </c>
      <c r="D182" s="8">
        <v>25471</v>
      </c>
      <c r="E182" t="inlineStr">
        <is>
          <t xml:space="preserve">neutral</t>
        </is>
      </c>
      <c r="F182" s="4">
        <v>1.8030761371111685</v>
      </c>
      <c r="G182" s="6">
        <v>-0.0075949251958273185</v>
      </c>
      <c r="H182" s="7">
        <f>SUM(CP182,DR182,ET182,FV182,GX182,HZ182,JB182,KD182,LF182,MH182)</f>
        <v>-0.007594925195827319</v>
      </c>
      <c r="I182" s="7">
        <f>G182-H182</f>
        <v>8.673617379884035e-19</v>
      </c>
      <c r="J182" s="5">
        <f>F182*(1+H182)</f>
        <v>1.789381908727428</v>
      </c>
      <c r="K182" s="4">
        <v>1.789381908727428</v>
      </c>
      <c r="L182" s="5">
        <f>K182-J182</f>
        <v>0</v>
      </c>
      <c r="M182" s="4">
        <v>1.845</v>
      </c>
      <c r="N182" s="4">
        <v>1.831</v>
      </c>
      <c r="O182" s="5">
        <f>M182/$M$3</f>
        <v>0.942288049029622</v>
      </c>
      <c r="P182" s="5">
        <f>N182/$M$3</f>
        <v>0.9351378958120531</v>
      </c>
      <c r="Q182" s="7">
        <f>IFERROR(N182/M182-1,0)</f>
        <v>-0.007588075880758827</v>
      </c>
      <c r="R182" s="5">
        <f>SUM(IF(BQ182="lease",CB182,0),IF(CS182="lease",DD182,0),IF(DU182="lease",EF182,0),IF(EW182="lease",FH182,0),IF(FY182="lease",GJ182,0),IF(HA182="lease",HL182,0),IF(IC182="lease",IN182,0),IF(JE182="lease",JP182,0),IF(KG182="lease",KR182,0),IF(LI182="lease",LT182,0))</f>
        <v>1.8030761371111692</v>
      </c>
      <c r="S182" s="5">
        <f>SUM(IF(BQ182="lease",CI182,0),IF(CS182="lease",DK182,0),IF(DU182="lease",EM182,0),IF(EW182="lease",FO182,0),IF(FY182="lease",GQ182,0),IF(HA182="lease",HS182,0),IF(IC182="lease",IU182,0),IF(JE182="lease",JW182,0),IF(KG182="lease",KY182,0),IF(LI182="lease",MA182,0))</f>
        <v>1.7893819087274287</v>
      </c>
      <c r="T182" s="5">
        <f>SUM(IF(BQ182="keep",CB182,0),IF(CS182="keep",DD182,0),IF(DU182="keep",EF182,0),IF(EW182="keep",FH182,0),IF(FY182="keep",GJ182,0),IF(HA182="keep",HL182,0),IF(IC182="keep",IN182,0),IF(JE182="keep",JP182,0),IF(KG182="keep",KR182,0),IF(LI182="keep",LT182,0))</f>
        <v>0</v>
      </c>
      <c r="U182" s="5">
        <f>SUM(IF(BQ182="keep",CI182,0),IF(CS182="keep",DK182,0),IF(DU182="keep",EM182,0),IF(EW182="keep",FO182,0),IF(FY182="keep",GQ182,0),IF(HA182="keep",HS182,0),IF(IC182="keep",IU182,0),IF(JE182="keep",JW182,0),IF(KG182="keep",KY182,0),IF(LI182="keep",MA182,0))</f>
        <v>0</v>
      </c>
      <c r="V182" s="5">
        <f>R182/O182</f>
        <v>1.913508442527734</v>
      </c>
      <c r="W182" s="5">
        <f>S182/P182</f>
        <v>1.9134952360941047</v>
      </c>
      <c r="X182" s="5">
        <f>T182/O182</f>
        <v>0</v>
      </c>
      <c r="Y182" s="5">
        <f>U182/P182</f>
        <v>0</v>
      </c>
      <c r="Z182" s="5">
        <f>V182+X182</f>
        <v>1.913508442527734</v>
      </c>
      <c r="AA182" s="7">
        <f>IFERROR(W182/V182-1,0)</f>
        <v>-0.00000690168558226123</v>
      </c>
      <c r="AB182" s="7">
        <f>IFERROR((W182-V182)/Z182,0)</f>
        <v>-0.00000690168558226838</v>
      </c>
      <c r="AC182" s="7">
        <f>IFERROR(Y182/X182-1,0)</f>
        <v>0</v>
      </c>
      <c r="AD182" s="7">
        <f>IFERROR((Y182-X182)/Z182,0)</f>
        <v>0</v>
      </c>
      <c r="AE182" s="7">
        <f>AB182+AD182</f>
        <v>-0.00000690168558226838</v>
      </c>
      <c r="AF182" s="7">
        <f>(1+Q182)*(1+AE182)-1</f>
        <v>-0.007594925195827162</v>
      </c>
      <c r="AG182" s="7">
        <f>G182-AF182</f>
        <v>-1.5612511283791264e-16</v>
      </c>
      <c r="AH182" s="5">
        <f>SUM(IF(BQ182="lease",CE182,0),IF(CS182="lease",DG182,0),IF(DU182="lease",EI182,0),IF(EW182="lease",FK182,0),IF(FY182="lease",GM182,0),IF(HA182="lease",HO182,0),IF(IC182="lease",IQ182,0),IF(JE182="lease",JS182,0),IF(KG182="lease",KU182,0),IF(LI182="lease",LW182,0))</f>
        <v>-0.013694228383740608</v>
      </c>
      <c r="AI182" s="5">
        <f>SUM(IF(BQ182="keep",CE182,0),IF(CS182="keep",DG182,0),IF(DU182="keep",EI182,0),IF(EW182="keep",FK182,0),IF(FY182="keep",GM182,0),IF(HA182="keep",HO182,0),IF(IC182="keep",IQ182,0),IF(JE182="keep",JS182,0),IF(KG182="keep",KU182,0),IF(LI182="keep",LW182,0))</f>
        <v>0</v>
      </c>
      <c r="AJ182" s="5">
        <f>SUM(IF(BQ182="lease",CH182,0),IF(CS182="lease",DJ182,0),IF(DU182="lease",EL182,0),IF(EW182="lease",FN182,0),IF(FY182="lease",GP182,0),IF(HA182="lease",HR182,0),IF(IC182="lease",IT182,0),IF(JE182="lease",JV182,0),IF(KG182="lease",KX182,0),IF(LI182="lease",LZ182,0))</f>
        <v>0</v>
      </c>
      <c r="AK182" s="5">
        <f>SUM(IF(BQ182="keep",CH182,0),IF(CS182="keep",DJ182,0),IF(DU182="keep",EL182,0),IF(EW182="keep",FN182,0),IF(FY182="keep",GP182,0),IF(HA182="keep",HR182,0),IF(IC182="keep",IT182,0),IF(JE182="keep",JV182,0),IF(KG182="keep",KX182,0),IF(LI182="keep",LZ182,0))</f>
        <v>0</v>
      </c>
      <c r="AL182" s="5">
        <f>R182-S181</f>
        <v>0</v>
      </c>
      <c r="AM182" s="5">
        <f>T182-U181</f>
        <v>0</v>
      </c>
      <c r="AN182" s="5">
        <f>AN181</f>
        <v>1</v>
      </c>
      <c r="AO182" s="5">
        <f>AO181+AH182</f>
        <v>0.789381908727429</v>
      </c>
      <c r="AP182" s="5">
        <f>AP181+AL182</f>
        <v>-8.881784197001252e-16</v>
      </c>
      <c r="AQ182" s="5">
        <f>AN182+AO182+AP182</f>
        <v>1.789381908727428</v>
      </c>
      <c r="AR182" s="5">
        <f>S182-AQ182</f>
        <v>6.661338147750939e-16</v>
      </c>
      <c r="AS182" s="5">
        <f>AS181</f>
        <v>0</v>
      </c>
      <c r="AT182" s="5">
        <f>AT181+AI182</f>
        <v>0</v>
      </c>
      <c r="AU182" s="5">
        <f>AU181+AM182</f>
        <v>0</v>
      </c>
      <c r="AV182" s="5">
        <f>AS182+AT182+AU182</f>
        <v>0</v>
      </c>
      <c r="AW182" s="5">
        <f>U182-AV182</f>
        <v>0</v>
      </c>
      <c r="AX182" s="4">
        <v>1.8030761371111692</v>
      </c>
      <c r="AY182" s="4">
        <v>1.7893819087274285</v>
      </c>
      <c r="AZ182" s="5">
        <f>S182-AY182</f>
        <v>2.220446049250313e-16</v>
      </c>
      <c r="BA182" s="4">
        <v>0</v>
      </c>
      <c r="BB182" s="4">
        <v>0</v>
      </c>
      <c r="BC182" s="5">
        <f>U182-BB182</f>
        <v>0</v>
      </c>
      <c r="BD182" s="7">
        <f>SUM(IF(BP182="direct",CC182/F182,0),IF(CR182="direct",DE182/F182,0),IF(DT182="direct",EG182/F182,0),IF(EV182="direct",FI182/F182,0),IF(FX182="direct",GK182/F182,0),IF(GZ182="direct",HM182/F182,0),IF(IB182="direct",IO182/F182,0),IF(JD182="direct",JQ182/F182,0),IF(KF182="direct",KS182/F182,0),IF(LH182="direct",LU182/F182,0))</f>
        <v>-0.0075880758807588145</v>
      </c>
      <c r="BE182" s="7">
        <f>-SUM(IF(BP182="direct",CD182/F182,0),IF(CR182="direct",DF182/F182,0),IF(DT182="direct",EH182/F182,0),IF(EV182="direct",FJ182/F182,0),IF(FX182="direct",GL182/F182,0),IF(GZ182="direct",HN182/F182,0),IF(IB182="direct",IP182/F182,0),IF(JD182="direct",JR182/F182,0),IF(KF182="direct",KT182/F182,0),IF(LH182="direct",LV182/F182,0))</f>
        <v>-0.000006849315068493151</v>
      </c>
      <c r="BF182" s="7">
        <f>BD182+BE182</f>
        <v>-0.007594925195827307</v>
      </c>
      <c r="BG182" s="7">
        <f>BF182-SUM(IF(BP182="direct",CP182,0),IF(CR182="direct",DR182,0),IF(DT182="direct",ET182,0),IF(EV182="direct",FV182,0),IF(FX182="direct",GX182,0),IF(GZ182="direct",HZ182,0),IF(IB182="direct",JB182,0),IF(JD182="direct",KD182,0),IF(KF182="direct",LF182,0),IF(LH182="direct",MH182,0))</f>
        <v>1.214306433183765e-17</v>
      </c>
      <c r="BH182" s="7">
        <f>SUM(IF(BP182="treasury",CP182,0),IF(CR182="treasury",DR182,0),IF(DT182="treasury",ET182,0),IF(EV182="treasury",FV182,0),IF(FX182="treasury",GX182,0),IF(GZ182="treasury",HZ182,0),IF(IB182="treasury",JB182,0),IF(JD182="treasury",KD182,0),IF(KF182="treasury",LF182,0),IF(LH182="treasury",MH182,0))</f>
        <v>0</v>
      </c>
      <c r="BI182" s="7">
        <f>SUM(IF(BP182="future",CP182,0),IF(CR182="future",DR182,0),IF(DT182="future",ET182,0),IF(EV182="future",FV182,0),IF(FX182="future",GX182,0),IF(GZ182="future",HZ182,0),IF(IB182="future",JB182,0),IF(JD182="future",KD182,0),IF(KF182="future",LF182,0),IF(LH182="future",MH182,0))</f>
        <v>0</v>
      </c>
      <c r="BJ182" s="7">
        <f>SUM(IF(BP182="cash",CP182,0),IF(CR182="cash",DR182,0),IF(DT182="cash",ET182,0),IF(EV182="cash",FV182,0),IF(FX182="cash",GX182,0),IF(GZ182="cash",HZ182,0),IF(IB182="cash",JB182,0),IF(JD182="cash",KD182,0),IF(KF182="cash",LF182,0),IF(LH182="cash",MH182,0))</f>
        <v>0</v>
      </c>
      <c r="BK182" s="7">
        <f>SUM(BF182,BH182,BI182,BJ182)</f>
        <v>-0.007594925195827319</v>
      </c>
      <c r="BL182" s="7">
        <f>G182-BK182</f>
        <v>8.673617379884035e-19</v>
      </c>
      <c r="BM182" s="5">
        <f>MAX(ABS(CG182),ABS(DI182),ABS(EK182),ABS(FM182),ABS(GO182),ABS(HQ182),ABS(IS182),ABS(JU182),ABS(KW182),ABS(LY182))</f>
        <v>2.0638804792798282e-17</v>
      </c>
      <c r="BN182" s="9">
        <f>COUNTA(BO182,CQ182,DS182,EU182,FW182,GY182,IA182,JC182,KE182,LG182)</f>
        <v>3</v>
      </c>
      <c r="BO182" t="inlineStr">
        <is>
          <t xml:space="preserve">Direct commodity holding</t>
        </is>
      </c>
      <c r="BP182" t="inlineStr">
        <is>
          <t xml:space="preserve">direct</t>
        </is>
      </c>
      <c r="BQ182" t="inlineStr">
        <is>
          <t xml:space="preserve">lease</t>
        </is>
      </c>
      <c r="BR182" t="inlineStr">
        <is>
          <t xml:space="preserve">long</t>
        </is>
      </c>
      <c r="BS182"/>
      <c r="BT182" s="4">
        <v>1.845</v>
      </c>
      <c r="BU182" s="4">
        <v>1.831</v>
      </c>
      <c r="BV182" s="6">
        <v>0.0025</v>
      </c>
      <c r="BW182" s="4">
        <v>0.9772770390846443</v>
      </c>
      <c r="BX182" s="5">
        <f>IF(BP182="direct",IFERROR(CD182/BU182,0),0)</f>
        <v>0.000006744858850658628</v>
      </c>
      <c r="BY182" s="5">
        <f>IF(BP182="direct",BW182-BX182,IF(BP182="cash",CI182,BW182))</f>
        <v>0.9772702942257936</v>
      </c>
      <c r="BZ182" s="6">
        <v>1</v>
      </c>
      <c r="CA182" s="4">
        <v>1.8030761371111685</v>
      </c>
      <c r="CB182" s="4">
        <v>1.8030761371111685</v>
      </c>
      <c r="CC182" s="5">
        <f>IF(BP182="direct",BW182*(BU182-BT182),CF182)</f>
        <v>-0.013681878547185031</v>
      </c>
      <c r="CD182" s="5">
        <f>IF(BP182="direct",CB182*BV182*C182/365,0)</f>
        <v>0.000012349836555555949</v>
      </c>
      <c r="CE182" s="5">
        <f>CC182-CD182</f>
        <v>-0.013694228383740608</v>
      </c>
      <c r="CF182" s="4">
        <v>-0.013694228383740608</v>
      </c>
      <c r="CG182" s="5">
        <f>CF182-CE182</f>
        <v>-2.0638804792798282e-17</v>
      </c>
      <c r="CH182" s="4">
        <v>0</v>
      </c>
      <c r="CI182" s="4">
        <v>1.789381908727428</v>
      </c>
      <c r="CJ182" s="4">
        <v>1.845</v>
      </c>
      <c r="CK182" s="4">
        <v>1.831</v>
      </c>
      <c r="CL182" s="6"/>
      <c r="CM182" s="6"/>
      <c r="CN182" s="6"/>
      <c r="CO182" s="9"/>
      <c r="CP182" s="7">
        <f>IFERROR(CE182/F182,0)</f>
        <v>-0.007594925195827319</v>
      </c>
      <c r="CQ182" t="inlineStr">
        <is>
          <t xml:space="preserve">Lease cash / margin / financing</t>
        </is>
      </c>
      <c r="CR182" t="inlineStr">
        <is>
          <t xml:space="preserve">cash</t>
        </is>
      </c>
      <c r="CS182" t="inlineStr">
        <is>
          <t xml:space="preserve">lease</t>
        </is>
      </c>
      <c r="CT182" t="inlineStr">
        <is>
          <t xml:space="preserve">cash</t>
        </is>
      </c>
      <c r="CU182"/>
      <c r="CV182" s="4">
        <v>1</v>
      </c>
      <c r="CW182" s="4">
        <v>1</v>
      </c>
      <c r="CX182" s="6"/>
      <c r="CY182" s="4">
        <v>6.661338147750939e-16</v>
      </c>
      <c r="CZ182" s="5">
        <f>IF(CR182="direct",IFERROR(DF182/CW182,0),0)</f>
        <v>0</v>
      </c>
      <c r="DA182" s="5">
        <f>IF(CR182="direct",CY182-CZ182,IF(CR182="cash",DK182,CY182))</f>
        <v>6.661338147750939e-16</v>
      </c>
      <c r="DB182" s="6"/>
      <c r="DC182" s="4">
        <v>6.661338147750939e-16</v>
      </c>
      <c r="DD182" s="4">
        <v>6.661338147750939e-16</v>
      </c>
      <c r="DE182" s="5">
        <f>IF(CR182="direct",CY182*(CW182-CV182),DH182)</f>
        <v>0</v>
      </c>
      <c r="DF182" s="5">
        <f>IF(CR182="direct",DD182*CX182*C182/365,0)</f>
        <v>0</v>
      </c>
      <c r="DG182" s="5">
        <f>DE182-DF182</f>
        <v>0</v>
      </c>
      <c r="DH182" s="4">
        <v>0</v>
      </c>
      <c r="DI182" s="5">
        <f>DH182-DG182</f>
        <v>0</v>
      </c>
      <c r="DJ182" s="4">
        <v>0</v>
      </c>
      <c r="DK182" s="4">
        <v>6.661338147750939e-16</v>
      </c>
      <c r="DL182" s="4">
        <v>1.845</v>
      </c>
      <c r="DM182" s="4">
        <v>1.831</v>
      </c>
      <c r="DN182" s="6"/>
      <c r="DO182" s="6"/>
      <c r="DP182" s="6"/>
      <c r="DQ182" s="9"/>
      <c r="DR182" s="7">
        <f>IFERROR(DG182/F182,0)</f>
        <v>0</v>
      </c>
      <c r="DS182" t="inlineStr">
        <is>
          <t xml:space="preserve">Keep cash / margin / financing</t>
        </is>
      </c>
      <c r="DT182" t="inlineStr">
        <is>
          <t xml:space="preserve">cash</t>
        </is>
      </c>
      <c r="DU182" t="inlineStr">
        <is>
          <t xml:space="preserve">keep</t>
        </is>
      </c>
      <c r="DV182" t="inlineStr">
        <is>
          <t xml:space="preserve">cash</t>
        </is>
      </c>
      <c r="DW182"/>
      <c r="DX182" s="4">
        <v>1</v>
      </c>
      <c r="DY182" s="4">
        <v>1</v>
      </c>
      <c r="DZ182" s="6"/>
      <c r="EA182" s="4">
        <v>0</v>
      </c>
      <c r="EB182" s="5">
        <f>IF(DT182="direct",IFERROR(EH182/DY182,0),0)</f>
        <v>0</v>
      </c>
      <c r="EC182" s="5">
        <f>IF(DT182="direct",EA182-EB182,IF(DT182="cash",EM182,EA182))</f>
        <v>0</v>
      </c>
      <c r="ED182" s="6"/>
      <c r="EE182" s="4">
        <v>0</v>
      </c>
      <c r="EF182" s="4">
        <v>0</v>
      </c>
      <c r="EG182" s="5">
        <f>IF(DT182="direct",EA182*(DY182-DX182),EJ182)</f>
        <v>0</v>
      </c>
      <c r="EH182" s="5">
        <f>IF(DT182="direct",EF182*DZ182*C182/365,0)</f>
        <v>0</v>
      </c>
      <c r="EI182" s="5">
        <f>EG182-EH182</f>
        <v>0</v>
      </c>
      <c r="EJ182" s="4">
        <v>0</v>
      </c>
      <c r="EK182" s="5">
        <f>EJ182-EI182</f>
        <v>0</v>
      </c>
      <c r="EL182" s="4">
        <v>0</v>
      </c>
      <c r="EM182" s="4">
        <v>0</v>
      </c>
      <c r="EN182" s="4">
        <v>1.845</v>
      </c>
      <c r="EO182" s="4">
        <v>1.831</v>
      </c>
      <c r="EP182" s="6"/>
      <c r="EQ182" s="6"/>
      <c r="ER182" s="6"/>
      <c r="ES182" s="9"/>
      <c r="ET182" s="7">
        <f>IFERROR(EI182/F182,0)</f>
        <v>0</v>
      </c>
      <c r="EU182"/>
      <c r="EV182"/>
      <c r="EW182"/>
      <c r="EX182"/>
      <c r="EY182"/>
      <c r="EZ182" s="4"/>
      <c r="FA182" s="4"/>
      <c r="FB182" s="6"/>
      <c r="FC182" s="4"/>
      <c r="FD182" s="5">
        <v>0</v>
      </c>
      <c r="FE182" s="5"/>
      <c r="FF182" s="6"/>
      <c r="FG182" s="4"/>
      <c r="FH182" s="4"/>
      <c r="FI182" s="5">
        <v>0</v>
      </c>
      <c r="FJ182" s="5">
        <v>0</v>
      </c>
      <c r="FK182" s="5"/>
      <c r="FL182" s="4"/>
      <c r="FM182" s="5">
        <v>0</v>
      </c>
      <c r="FN182" s="4"/>
      <c r="FO182" s="4"/>
      <c r="FP182" s="4"/>
      <c r="FQ182" s="4"/>
      <c r="FR182" s="6"/>
      <c r="FS182" s="6"/>
      <c r="FT182" s="6"/>
      <c r="FU182" s="9"/>
      <c r="FV182"/>
      <c r="FW182"/>
      <c r="FX182"/>
      <c r="FY182"/>
      <c r="FZ182"/>
      <c r="GA182"/>
      <c r="GB182" s="4"/>
      <c r="GC182" s="4"/>
      <c r="GD182" s="6"/>
      <c r="GE182" s="4"/>
      <c r="GF182" s="5">
        <v>0</v>
      </c>
      <c r="GG182" s="5"/>
      <c r="GH182" s="6"/>
      <c r="GI182" s="4"/>
      <c r="GJ182" s="4"/>
      <c r="GK182" s="5">
        <v>0</v>
      </c>
      <c r="GL182" s="5">
        <v>0</v>
      </c>
      <c r="GM182" s="5"/>
      <c r="GN182" s="4"/>
      <c r="GO182" s="5">
        <v>0</v>
      </c>
      <c r="GP182" s="4"/>
      <c r="GQ182" s="4"/>
      <c r="GR182" s="4"/>
      <c r="GS182" s="4"/>
      <c r="GT182" s="6"/>
      <c r="GU182" s="6"/>
      <c r="GV182" s="6"/>
      <c r="GW182" s="9"/>
      <c r="GX182"/>
      <c r="GY182"/>
      <c r="GZ182"/>
      <c r="HA182"/>
      <c r="HB182"/>
      <c r="HC182"/>
      <c r="HD182" s="4"/>
      <c r="HE182" s="4"/>
      <c r="HF182" s="6"/>
      <c r="HG182" s="4"/>
      <c r="HH182" s="5">
        <v>0</v>
      </c>
      <c r="HI182" s="5"/>
      <c r="HJ182" s="6"/>
      <c r="HK182" s="4"/>
      <c r="HL182" s="4"/>
      <c r="HM182" s="5">
        <v>0</v>
      </c>
      <c r="HN182" s="5">
        <v>0</v>
      </c>
      <c r="HO182" s="5"/>
      <c r="HP182" s="4"/>
      <c r="HQ182" s="5">
        <v>0</v>
      </c>
      <c r="HR182" s="4"/>
      <c r="HS182" s="4"/>
      <c r="HT182" s="4"/>
      <c r="HU182" s="4"/>
      <c r="HV182" s="6"/>
      <c r="HW182" s="6"/>
      <c r="HX182" s="6"/>
      <c r="HY182" s="9"/>
      <c r="HZ182"/>
      <c r="IA182"/>
      <c r="IB182"/>
      <c r="IC182"/>
      <c r="ID182"/>
      <c r="IE182"/>
      <c r="IF182" s="4"/>
      <c r="IG182" s="4"/>
      <c r="IH182" s="6"/>
      <c r="II182" s="4"/>
      <c r="IJ182" s="5">
        <v>0</v>
      </c>
      <c r="IK182" s="5"/>
      <c r="IL182" s="6"/>
      <c r="IM182" s="4"/>
      <c r="IN182" s="4"/>
      <c r="IO182" s="5">
        <v>0</v>
      </c>
      <c r="IP182" s="5">
        <v>0</v>
      </c>
      <c r="IQ182" s="5"/>
      <c r="IR182" s="4"/>
      <c r="IS182" s="5">
        <v>0</v>
      </c>
      <c r="IT182" s="4"/>
      <c r="IU182" s="4"/>
      <c r="IV182" s="4"/>
      <c r="IW182" s="4"/>
      <c r="IX182" s="6"/>
      <c r="IY182" s="6"/>
      <c r="IZ182" s="6"/>
      <c r="JA182" s="9"/>
      <c r="JB182"/>
      <c r="JC182"/>
      <c r="JD182"/>
      <c r="JE182"/>
      <c r="JF182"/>
      <c r="JG182"/>
      <c r="JH182" s="4"/>
      <c r="JI182" s="4"/>
      <c r="JJ182" s="6"/>
      <c r="JK182" s="4"/>
      <c r="JL182" s="5">
        <v>0</v>
      </c>
      <c r="JM182" s="5"/>
      <c r="JN182" s="6"/>
      <c r="JO182" s="4"/>
      <c r="JP182" s="4"/>
      <c r="JQ182" s="5">
        <v>0</v>
      </c>
      <c r="JR182" s="5">
        <v>0</v>
      </c>
      <c r="JS182" s="5"/>
      <c r="JT182" s="4"/>
      <c r="JU182" s="5">
        <v>0</v>
      </c>
      <c r="JV182" s="4"/>
      <c r="JW182" s="4"/>
      <c r="JX182" s="4"/>
      <c r="JY182" s="4"/>
      <c r="JZ182" s="6"/>
      <c r="KA182" s="6"/>
      <c r="KB182" s="6"/>
      <c r="KC182" s="9"/>
      <c r="KD182"/>
      <c r="KE182"/>
      <c r="KF182"/>
      <c r="KG182"/>
      <c r="KH182"/>
      <c r="KI182"/>
      <c r="KJ182" s="4"/>
      <c r="KK182" s="4"/>
      <c r="KL182" s="6"/>
      <c r="KM182" s="4"/>
      <c r="KN182" s="5">
        <v>0</v>
      </c>
      <c r="KO182" s="5"/>
      <c r="KP182" s="6"/>
      <c r="KQ182" s="4"/>
      <c r="KR182" s="4"/>
      <c r="KS182" s="5">
        <v>0</v>
      </c>
      <c r="KT182" s="5">
        <v>0</v>
      </c>
      <c r="KU182" s="5"/>
      <c r="KV182" s="4"/>
      <c r="KW182" s="5">
        <v>0</v>
      </c>
      <c r="KX182" s="4"/>
      <c r="KY182" s="4"/>
      <c r="KZ182" s="4"/>
      <c r="LA182" s="4"/>
      <c r="LB182" s="6"/>
      <c r="LC182" s="6"/>
      <c r="LD182" s="6"/>
      <c r="LE182" s="9"/>
      <c r="LF182"/>
      <c r="LG182"/>
      <c r="LH182"/>
      <c r="LI182"/>
      <c r="LJ182"/>
      <c r="LK182"/>
      <c r="LL182" s="4"/>
      <c r="LM182" s="4"/>
      <c r="LN182" s="6"/>
      <c r="LO182" s="4"/>
      <c r="LP182" s="5">
        <v>0</v>
      </c>
      <c r="LQ182" s="5"/>
      <c r="LR182" s="6"/>
      <c r="LS182" s="4"/>
      <c r="LT182" s="4"/>
      <c r="LU182" s="5">
        <v>0</v>
      </c>
      <c r="LV182" s="5">
        <v>0</v>
      </c>
      <c r="LW182" s="5"/>
      <c r="LX182" s="4"/>
      <c r="LY182" s="5">
        <v>0</v>
      </c>
      <c r="LZ182" s="4"/>
      <c r="MA182" s="4"/>
      <c r="MB182" s="4"/>
      <c r="MC182" s="4"/>
      <c r="MD182" s="6"/>
      <c r="ME182" s="6"/>
      <c r="MF182" s="6"/>
      <c r="MG182" s="9"/>
      <c r="MH182"/>
    </row>
    <row r="183">
      <c r="A183" s="8">
        <v>25472</v>
      </c>
      <c r="B183" s="8">
        <v>25475</v>
      </c>
      <c r="C183" s="9">
        <f>B183-A183</f>
        <v>3</v>
      </c>
      <c r="D183" s="8">
        <v>25472</v>
      </c>
      <c r="E183" t="inlineStr">
        <is>
          <t xml:space="preserve">neutral</t>
        </is>
      </c>
      <c r="F183" s="4">
        <v>1.789381908727428</v>
      </c>
      <c r="G183" s="6">
        <v>0.004348649214816452</v>
      </c>
      <c r="H183" s="7">
        <f>SUM(CP183,DR183,ET183,FV183,GX183,HZ183,JB183,KD183,LF183,MH183)</f>
        <v>0.004348649214816452</v>
      </c>
      <c r="I183" s="7">
        <f>G183-H183</f>
        <v>0</v>
      </c>
      <c r="J183" s="5">
        <f>F183*(1+H183)</f>
        <v>1.7971633029598222</v>
      </c>
      <c r="K183" s="4">
        <v>1.7971633029598222</v>
      </c>
      <c r="L183" s="5">
        <f>K183-J183</f>
        <v>0</v>
      </c>
      <c r="M183" s="4">
        <v>1.831</v>
      </c>
      <c r="N183" s="4">
        <v>1.839</v>
      </c>
      <c r="O183" s="5">
        <f>M183/$M$3</f>
        <v>0.9351378958120531</v>
      </c>
      <c r="P183" s="5">
        <f>N183/$M$3</f>
        <v>0.9392236976506639</v>
      </c>
      <c r="Q183" s="7">
        <f>IFERROR(N183/M183-1,0)</f>
        <v>0.0043691971600219315</v>
      </c>
      <c r="R183" s="5">
        <f>SUM(IF(BQ183="lease",CB183,0),IF(CS183="lease",DD183,0),IF(DU183="lease",EF183,0),IF(EW183="lease",FH183,0),IF(FY183="lease",GJ183,0),IF(HA183="lease",HL183,0),IF(IC183="lease",IN183,0),IF(JE183="lease",JP183,0),IF(KG183="lease",KR183,0),IF(LI183="lease",LT183,0))</f>
        <v>1.7893819087274285</v>
      </c>
      <c r="S183" s="5">
        <f>SUM(IF(BQ183="lease",CI183,0),IF(CS183="lease",DK183,0),IF(DU183="lease",EM183,0),IF(EW183="lease",FO183,0),IF(FY183="lease",GQ183,0),IF(HA183="lease",HS183,0),IF(IC183="lease",IU183,0),IF(JE183="lease",JW183,0),IF(KG183="lease",KY183,0),IF(LI183="lease",MA183,0))</f>
        <v>1.7971633029598226</v>
      </c>
      <c r="T183" s="5">
        <f>SUM(IF(BQ183="keep",CB183,0),IF(CS183="keep",DD183,0),IF(DU183="keep",EF183,0),IF(EW183="keep",FH183,0),IF(FY183="keep",GJ183,0),IF(HA183="keep",HL183,0),IF(IC183="keep",IN183,0),IF(JE183="keep",JP183,0),IF(KG183="keep",KR183,0),IF(LI183="keep",LT183,0))</f>
        <v>0</v>
      </c>
      <c r="U183" s="5">
        <f>SUM(IF(BQ183="keep",CI183,0),IF(CS183="keep",DK183,0),IF(DU183="keep",EM183,0),IF(EW183="keep",FO183,0),IF(FY183="keep",GQ183,0),IF(HA183="keep",HS183,0),IF(IC183="keep",IU183,0),IF(JE183="keep",JW183,0),IF(KG183="keep",KY183,0),IF(LI183="keep",MA183,0))</f>
        <v>0</v>
      </c>
      <c r="V183" s="5">
        <f>R183/O183</f>
        <v>1.9134952360941044</v>
      </c>
      <c r="W183" s="5">
        <f>S183/P183</f>
        <v>1.9134560887413445</v>
      </c>
      <c r="X183" s="5">
        <f>T183/O183</f>
        <v>0</v>
      </c>
      <c r="Y183" s="5">
        <f>U183/P183</f>
        <v>0</v>
      </c>
      <c r="Z183" s="5">
        <f>V183+X183</f>
        <v>1.9134952360941044</v>
      </c>
      <c r="AA183" s="7">
        <f>IFERROR(W183/V183-1,0)</f>
        <v>-0.00002045855773324945</v>
      </c>
      <c r="AB183" s="7">
        <f>IFERROR((W183-V183)/Z183,0)</f>
        <v>-0.00002045855773323115</v>
      </c>
      <c r="AC183" s="7">
        <f>IFERROR(Y183/X183-1,0)</f>
        <v>0</v>
      </c>
      <c r="AD183" s="7">
        <f>IFERROR((Y183-X183)/Z183,0)</f>
        <v>0</v>
      </c>
      <c r="AE183" s="7">
        <f>AB183+AD183</f>
        <v>-0.00002045855773323115</v>
      </c>
      <c r="AF183" s="7">
        <f>(1+Q183)*(1+AE183)-1</f>
        <v>0.004348649214816369</v>
      </c>
      <c r="AG183" s="7">
        <f>G183-AF183</f>
        <v>8.326672684688674e-17</v>
      </c>
      <c r="AH183" s="5">
        <f>SUM(IF(BQ183="lease",CE183,0),IF(CS183="lease",DG183,0),IF(DU183="lease",EI183,0),IF(EW183="lease",FK183,0),IF(FY183="lease",GM183,0),IF(HA183="lease",HO183,0),IF(IC183="lease",IQ183,0),IF(JE183="lease",JS183,0),IF(KG183="lease",KU183,0),IF(LI183="lease",LW183,0))</f>
        <v>0.007781394232394295</v>
      </c>
      <c r="AI183" s="5">
        <f>SUM(IF(BQ183="keep",CE183,0),IF(CS183="keep",DG183,0),IF(DU183="keep",EI183,0),IF(EW183="keep",FK183,0),IF(FY183="keep",GM183,0),IF(HA183="keep",HO183,0),IF(IC183="keep",IQ183,0),IF(JE183="keep",JS183,0),IF(KG183="keep",KU183,0),IF(LI183="keep",LW183,0))</f>
        <v>0</v>
      </c>
      <c r="AJ183" s="5">
        <f>SUM(IF(BQ183="lease",CH183,0),IF(CS183="lease",DJ183,0),IF(DU183="lease",EL183,0),IF(EW183="lease",FN183,0),IF(FY183="lease",GP183,0),IF(HA183="lease",HR183,0),IF(IC183="lease",IT183,0),IF(JE183="lease",JV183,0),IF(KG183="lease",KX183,0),IF(LI183="lease",LZ183,0))</f>
        <v>0</v>
      </c>
      <c r="AK183" s="5">
        <f>SUM(IF(BQ183="keep",CH183,0),IF(CS183="keep",DJ183,0),IF(DU183="keep",EL183,0),IF(EW183="keep",FN183,0),IF(FY183="keep",GP183,0),IF(HA183="keep",HR183,0),IF(IC183="keep",IT183,0),IF(JE183="keep",JV183,0),IF(KG183="keep",KX183,0),IF(LI183="keep",LZ183,0))</f>
        <v>0</v>
      </c>
      <c r="AL183" s="5">
        <f>R183-S182</f>
        <v>-2.220446049250313e-16</v>
      </c>
      <c r="AM183" s="5">
        <f>T183-U182</f>
        <v>0</v>
      </c>
      <c r="AN183" s="5">
        <f>AN182</f>
        <v>1</v>
      </c>
      <c r="AO183" s="5">
        <f>AO182+AH183</f>
        <v>0.7971633029598233</v>
      </c>
      <c r="AP183" s="5">
        <f>AP182+AL183</f>
        <v>-1.1102230246251565e-15</v>
      </c>
      <c r="AQ183" s="5">
        <f>AN183+AO183+AP183</f>
        <v>1.7971633029598222</v>
      </c>
      <c r="AR183" s="5">
        <f>S183-AQ183</f>
        <v>4.440892098500626e-16</v>
      </c>
      <c r="AS183" s="5">
        <f>AS182</f>
        <v>0</v>
      </c>
      <c r="AT183" s="5">
        <f>AT182+AI183</f>
        <v>0</v>
      </c>
      <c r="AU183" s="5">
        <f>AU182+AM183</f>
        <v>0</v>
      </c>
      <c r="AV183" s="5">
        <f>AS183+AT183+AU183</f>
        <v>0</v>
      </c>
      <c r="AW183" s="5">
        <f>U183-AV183</f>
        <v>0</v>
      </c>
      <c r="AX183" s="4">
        <v>1.7893819087274285</v>
      </c>
      <c r="AY183" s="4">
        <v>1.7971633029598229</v>
      </c>
      <c r="AZ183" s="5">
        <f>S183-AY183</f>
        <v>-2.220446049250313e-16</v>
      </c>
      <c r="BA183" s="4">
        <v>0</v>
      </c>
      <c r="BB183" s="4">
        <v>0</v>
      </c>
      <c r="BC183" s="5">
        <f>U183-BB183</f>
        <v>0</v>
      </c>
      <c r="BD183" s="7">
        <f>SUM(IF(BP183="direct",CC183/F183,0),IF(CR183="direct",DE183/F183,0),IF(DT183="direct",EG183/F183,0),IF(EV183="direct",FI183/F183,0),IF(FX183="direct",GK183/F183,0),IF(GZ183="direct",HM183/F183,0),IF(IB183="direct",IO183/F183,0),IF(JD183="direct",JQ183/F183,0),IF(KF183="direct",KS183/F183,0),IF(LH183="direct",LU183/F183,0))</f>
        <v>0.00436919716002185</v>
      </c>
      <c r="BE183" s="7">
        <f>-SUM(IF(BP183="direct",CD183/F183,0),IF(CR183="direct",DF183/F183,0),IF(DT183="direct",EH183/F183,0),IF(EV183="direct",FJ183/F183,0),IF(FX183="direct",GL183/F183,0),IF(GZ183="direct",HN183/F183,0),IF(IB183="direct",IP183/F183,0),IF(JD183="direct",JR183/F183,0),IF(KF183="direct",KT183/F183,0),IF(LH183="direct",LV183/F183,0))</f>
        <v>-0.000020547945205479453</v>
      </c>
      <c r="BF183" s="7">
        <f>BD183+BE183</f>
        <v>0.004348649214816371</v>
      </c>
      <c r="BG183" s="7">
        <f>BF183-SUM(IF(BP183="direct",CP183,0),IF(CR183="direct",DR183,0),IF(DT183="direct",ET183,0),IF(EV183="direct",FV183,0),IF(FX183="direct",GX183,0),IF(GZ183="direct",HZ183,0),IF(IB183="direct",JB183,0),IF(JD183="direct",KD183,0),IF(KF183="direct",LF183,0),IF(LH183="direct",MH183,0))</f>
        <v>-8.153200337090993e-17</v>
      </c>
      <c r="BH183" s="7">
        <f>SUM(IF(BP183="treasury",CP183,0),IF(CR183="treasury",DR183,0),IF(DT183="treasury",ET183,0),IF(EV183="treasury",FV183,0),IF(FX183="treasury",GX183,0),IF(GZ183="treasury",HZ183,0),IF(IB183="treasury",JB183,0),IF(JD183="treasury",KD183,0),IF(KF183="treasury",LF183,0),IF(LH183="treasury",MH183,0))</f>
        <v>0</v>
      </c>
      <c r="BI183" s="7">
        <f>SUM(IF(BP183="future",CP183,0),IF(CR183="future",DR183,0),IF(DT183="future",ET183,0),IF(EV183="future",FV183,0),IF(FX183="future",GX183,0),IF(GZ183="future",HZ183,0),IF(IB183="future",JB183,0),IF(JD183="future",KD183,0),IF(KF183="future",LF183,0),IF(LH183="future",MH183,0))</f>
        <v>0</v>
      </c>
      <c r="BJ183" s="7">
        <f>SUM(IF(BP183="cash",CP183,0),IF(CR183="cash",DR183,0),IF(DT183="cash",ET183,0),IF(EV183="cash",FV183,0),IF(FX183="cash",GX183,0),IF(GZ183="cash",HZ183,0),IF(IB183="cash",JB183,0),IF(JD183="cash",KD183,0),IF(KF183="cash",LF183,0),IF(LH183="cash",MH183,0))</f>
        <v>0</v>
      </c>
      <c r="BK183" s="7">
        <f>SUM(BF183,BH183,BI183,BJ183)</f>
        <v>0.004348649214816452</v>
      </c>
      <c r="BL183" s="7">
        <f>G183-BK183</f>
        <v>0</v>
      </c>
      <c r="BM183" s="5">
        <f>MAX(ABS(CG183),ABS(DI183),ABS(EK183),ABS(FM183),ABS(GO183),ABS(HQ183),ABS(IS183),ABS(JU183),ABS(KW183),ABS(LY183))</f>
        <v>1.4694327568967602e-16</v>
      </c>
      <c r="BN183" s="9">
        <f>COUNTA(BO183,CQ183,DS183,EU183,FW183,GY183,IA183,JC183,KE183,LG183)</f>
        <v>3</v>
      </c>
      <c r="BO183" t="inlineStr">
        <is>
          <t xml:space="preserve">Direct commodity holding</t>
        </is>
      </c>
      <c r="BP183" t="inlineStr">
        <is>
          <t xml:space="preserve">direct</t>
        </is>
      </c>
      <c r="BQ183" t="inlineStr">
        <is>
          <t xml:space="preserve">lease</t>
        </is>
      </c>
      <c r="BR183" t="inlineStr">
        <is>
          <t xml:space="preserve">long</t>
        </is>
      </c>
      <c r="BS183"/>
      <c r="BT183" s="4">
        <v>1.831</v>
      </c>
      <c r="BU183" s="4">
        <v>1.839</v>
      </c>
      <c r="BV183" s="6">
        <v>0.0025</v>
      </c>
      <c r="BW183" s="4">
        <v>0.9772702942257936</v>
      </c>
      <c r="BX183" s="5">
        <f>IF(BP183="direct",IFERROR(CD183/BU183,0),0)</f>
        <v>0.000019993540735294957</v>
      </c>
      <c r="BY183" s="5">
        <f>IF(BP183="direct",BW183-BX183,IF(BP183="cash",CI183,BW183))</f>
        <v>0.9772503006850582</v>
      </c>
      <c r="BZ183" s="6">
        <v>1</v>
      </c>
      <c r="CA183" s="4">
        <v>1.789381908727428</v>
      </c>
      <c r="CB183" s="4">
        <v>1.789381908727428</v>
      </c>
      <c r="CC183" s="5">
        <f>IF(BP183="direct",BW183*(BU183-BT183),CF183)</f>
        <v>0.007818162353806356</v>
      </c>
      <c r="CD183" s="5">
        <f>IF(BP183="direct",CB183*BV183*C183/365,0)</f>
        <v>0.00003676812141220743</v>
      </c>
      <c r="CE183" s="5">
        <f>CC183-CD183</f>
        <v>0.007781394232394295</v>
      </c>
      <c r="CF183" s="4">
        <v>0.007781394232394295</v>
      </c>
      <c r="CG183" s="5">
        <f>CF183-CE183</f>
        <v>1.4694327568967602e-16</v>
      </c>
      <c r="CH183" s="4">
        <v>0</v>
      </c>
      <c r="CI183" s="4">
        <v>1.7971633029598222</v>
      </c>
      <c r="CJ183" s="4">
        <v>1.831</v>
      </c>
      <c r="CK183" s="4">
        <v>1.839</v>
      </c>
      <c r="CL183" s="6"/>
      <c r="CM183" s="6"/>
      <c r="CN183" s="6"/>
      <c r="CO183" s="9"/>
      <c r="CP183" s="7">
        <f>IFERROR(CE183/F183,0)</f>
        <v>0.004348649214816452</v>
      </c>
      <c r="CQ183" t="inlineStr">
        <is>
          <t xml:space="preserve">Lease cash / margin / financing</t>
        </is>
      </c>
      <c r="CR183" t="inlineStr">
        <is>
          <t xml:space="preserve">cash</t>
        </is>
      </c>
      <c r="CS183" t="inlineStr">
        <is>
          <t xml:space="preserve">lease</t>
        </is>
      </c>
      <c r="CT183" t="inlineStr">
        <is>
          <t xml:space="preserve">cash</t>
        </is>
      </c>
      <c r="CU183"/>
      <c r="CV183" s="4">
        <v>1</v>
      </c>
      <c r="CW183" s="4">
        <v>1</v>
      </c>
      <c r="CX183" s="6"/>
      <c r="CY183" s="4">
        <v>4.440892098500626e-16</v>
      </c>
      <c r="CZ183" s="5">
        <f>IF(CR183="direct",IFERROR(DF183/CW183,0),0)</f>
        <v>0</v>
      </c>
      <c r="DA183" s="5">
        <f>IF(CR183="direct",CY183-CZ183,IF(CR183="cash",DK183,CY183))</f>
        <v>4.440892098500626e-16</v>
      </c>
      <c r="DB183" s="6"/>
      <c r="DC183" s="4">
        <v>4.440892098500626e-16</v>
      </c>
      <c r="DD183" s="4">
        <v>4.440892098500626e-16</v>
      </c>
      <c r="DE183" s="5">
        <f>IF(CR183="direct",CY183*(CW183-CV183),DH183)</f>
        <v>0</v>
      </c>
      <c r="DF183" s="5">
        <f>IF(CR183="direct",DD183*CX183*C183/365,0)</f>
        <v>0</v>
      </c>
      <c r="DG183" s="5">
        <f>DE183-DF183</f>
        <v>0</v>
      </c>
      <c r="DH183" s="4">
        <v>0</v>
      </c>
      <c r="DI183" s="5">
        <f>DH183-DG183</f>
        <v>0</v>
      </c>
      <c r="DJ183" s="4">
        <v>0</v>
      </c>
      <c r="DK183" s="4">
        <v>4.440892098500626e-16</v>
      </c>
      <c r="DL183" s="4">
        <v>1.831</v>
      </c>
      <c r="DM183" s="4">
        <v>1.839</v>
      </c>
      <c r="DN183" s="6"/>
      <c r="DO183" s="6"/>
      <c r="DP183" s="6"/>
      <c r="DQ183" s="9"/>
      <c r="DR183" s="7">
        <f>IFERROR(DG183/F183,0)</f>
        <v>0</v>
      </c>
      <c r="DS183" t="inlineStr">
        <is>
          <t xml:space="preserve">Keep cash / margin / financing</t>
        </is>
      </c>
      <c r="DT183" t="inlineStr">
        <is>
          <t xml:space="preserve">cash</t>
        </is>
      </c>
      <c r="DU183" t="inlineStr">
        <is>
          <t xml:space="preserve">keep</t>
        </is>
      </c>
      <c r="DV183" t="inlineStr">
        <is>
          <t xml:space="preserve">cash</t>
        </is>
      </c>
      <c r="DW183"/>
      <c r="DX183" s="4">
        <v>1</v>
      </c>
      <c r="DY183" s="4">
        <v>1</v>
      </c>
      <c r="DZ183" s="6"/>
      <c r="EA183" s="4">
        <v>0</v>
      </c>
      <c r="EB183" s="5">
        <f>IF(DT183="direct",IFERROR(EH183/DY183,0),0)</f>
        <v>0</v>
      </c>
      <c r="EC183" s="5">
        <f>IF(DT183="direct",EA183-EB183,IF(DT183="cash",EM183,EA183))</f>
        <v>0</v>
      </c>
      <c r="ED183" s="6"/>
      <c r="EE183" s="4">
        <v>0</v>
      </c>
      <c r="EF183" s="4">
        <v>0</v>
      </c>
      <c r="EG183" s="5">
        <f>IF(DT183="direct",EA183*(DY183-DX183),EJ183)</f>
        <v>0</v>
      </c>
      <c r="EH183" s="5">
        <f>IF(DT183="direct",EF183*DZ183*C183/365,0)</f>
        <v>0</v>
      </c>
      <c r="EI183" s="5">
        <f>EG183-EH183</f>
        <v>0</v>
      </c>
      <c r="EJ183" s="4">
        <v>0</v>
      </c>
      <c r="EK183" s="5">
        <f>EJ183-EI183</f>
        <v>0</v>
      </c>
      <c r="EL183" s="4">
        <v>0</v>
      </c>
      <c r="EM183" s="4">
        <v>0</v>
      </c>
      <c r="EN183" s="4">
        <v>1.831</v>
      </c>
      <c r="EO183" s="4">
        <v>1.839</v>
      </c>
      <c r="EP183" s="6"/>
      <c r="EQ183" s="6"/>
      <c r="ER183" s="6"/>
      <c r="ES183" s="9"/>
      <c r="ET183" s="7">
        <f>IFERROR(EI183/F183,0)</f>
        <v>0</v>
      </c>
      <c r="EU183"/>
      <c r="EV183"/>
      <c r="EW183"/>
      <c r="EX183"/>
      <c r="EY183"/>
      <c r="EZ183" s="4"/>
      <c r="FA183" s="4"/>
      <c r="FB183" s="6"/>
      <c r="FC183" s="4"/>
      <c r="FD183" s="5">
        <v>0</v>
      </c>
      <c r="FE183" s="5"/>
      <c r="FF183" s="6"/>
      <c r="FG183" s="4"/>
      <c r="FH183" s="4"/>
      <c r="FI183" s="5">
        <v>0</v>
      </c>
      <c r="FJ183" s="5">
        <v>0</v>
      </c>
      <c r="FK183" s="5"/>
      <c r="FL183" s="4"/>
      <c r="FM183" s="5">
        <v>0</v>
      </c>
      <c r="FN183" s="4"/>
      <c r="FO183" s="4"/>
      <c r="FP183" s="4"/>
      <c r="FQ183" s="4"/>
      <c r="FR183" s="6"/>
      <c r="FS183" s="6"/>
      <c r="FT183" s="6"/>
      <c r="FU183" s="9"/>
      <c r="FV183"/>
      <c r="FW183"/>
      <c r="FX183"/>
      <c r="FY183"/>
      <c r="FZ183"/>
      <c r="GA183"/>
      <c r="GB183" s="4"/>
      <c r="GC183" s="4"/>
      <c r="GD183" s="6"/>
      <c r="GE183" s="4"/>
      <c r="GF183" s="5">
        <v>0</v>
      </c>
      <c r="GG183" s="5"/>
      <c r="GH183" s="6"/>
      <c r="GI183" s="4"/>
      <c r="GJ183" s="4"/>
      <c r="GK183" s="5">
        <v>0</v>
      </c>
      <c r="GL183" s="5">
        <v>0</v>
      </c>
      <c r="GM183" s="5"/>
      <c r="GN183" s="4"/>
      <c r="GO183" s="5">
        <v>0</v>
      </c>
      <c r="GP183" s="4"/>
      <c r="GQ183" s="4"/>
      <c r="GR183" s="4"/>
      <c r="GS183" s="4"/>
      <c r="GT183" s="6"/>
      <c r="GU183" s="6"/>
      <c r="GV183" s="6"/>
      <c r="GW183" s="9"/>
      <c r="GX183"/>
      <c r="GY183"/>
      <c r="GZ183"/>
      <c r="HA183"/>
      <c r="HB183"/>
      <c r="HC183"/>
      <c r="HD183" s="4"/>
      <c r="HE183" s="4"/>
      <c r="HF183" s="6"/>
      <c r="HG183" s="4"/>
      <c r="HH183" s="5">
        <v>0</v>
      </c>
      <c r="HI183" s="5"/>
      <c r="HJ183" s="6"/>
      <c r="HK183" s="4"/>
      <c r="HL183" s="4"/>
      <c r="HM183" s="5">
        <v>0</v>
      </c>
      <c r="HN183" s="5">
        <v>0</v>
      </c>
      <c r="HO183" s="5"/>
      <c r="HP183" s="4"/>
      <c r="HQ183" s="5">
        <v>0</v>
      </c>
      <c r="HR183" s="4"/>
      <c r="HS183" s="4"/>
      <c r="HT183" s="4"/>
      <c r="HU183" s="4"/>
      <c r="HV183" s="6"/>
      <c r="HW183" s="6"/>
      <c r="HX183" s="6"/>
      <c r="HY183" s="9"/>
      <c r="HZ183"/>
      <c r="IA183"/>
      <c r="IB183"/>
      <c r="IC183"/>
      <c r="ID183"/>
      <c r="IE183"/>
      <c r="IF183" s="4"/>
      <c r="IG183" s="4"/>
      <c r="IH183" s="6"/>
      <c r="II183" s="4"/>
      <c r="IJ183" s="5">
        <v>0</v>
      </c>
      <c r="IK183" s="5"/>
      <c r="IL183" s="6"/>
      <c r="IM183" s="4"/>
      <c r="IN183" s="4"/>
      <c r="IO183" s="5">
        <v>0</v>
      </c>
      <c r="IP183" s="5">
        <v>0</v>
      </c>
      <c r="IQ183" s="5"/>
      <c r="IR183" s="4"/>
      <c r="IS183" s="5">
        <v>0</v>
      </c>
      <c r="IT183" s="4"/>
      <c r="IU183" s="4"/>
      <c r="IV183" s="4"/>
      <c r="IW183" s="4"/>
      <c r="IX183" s="6"/>
      <c r="IY183" s="6"/>
      <c r="IZ183" s="6"/>
      <c r="JA183" s="9"/>
      <c r="JB183"/>
      <c r="JC183"/>
      <c r="JD183"/>
      <c r="JE183"/>
      <c r="JF183"/>
      <c r="JG183"/>
      <c r="JH183" s="4"/>
      <c r="JI183" s="4"/>
      <c r="JJ183" s="6"/>
      <c r="JK183" s="4"/>
      <c r="JL183" s="5">
        <v>0</v>
      </c>
      <c r="JM183" s="5"/>
      <c r="JN183" s="6"/>
      <c r="JO183" s="4"/>
      <c r="JP183" s="4"/>
      <c r="JQ183" s="5">
        <v>0</v>
      </c>
      <c r="JR183" s="5">
        <v>0</v>
      </c>
      <c r="JS183" s="5"/>
      <c r="JT183" s="4"/>
      <c r="JU183" s="5">
        <v>0</v>
      </c>
      <c r="JV183" s="4"/>
      <c r="JW183" s="4"/>
      <c r="JX183" s="4"/>
      <c r="JY183" s="4"/>
      <c r="JZ183" s="6"/>
      <c r="KA183" s="6"/>
      <c r="KB183" s="6"/>
      <c r="KC183" s="9"/>
      <c r="KD183"/>
      <c r="KE183"/>
      <c r="KF183"/>
      <c r="KG183"/>
      <c r="KH183"/>
      <c r="KI183"/>
      <c r="KJ183" s="4"/>
      <c r="KK183" s="4"/>
      <c r="KL183" s="6"/>
      <c r="KM183" s="4"/>
      <c r="KN183" s="5">
        <v>0</v>
      </c>
      <c r="KO183" s="5"/>
      <c r="KP183" s="6"/>
      <c r="KQ183" s="4"/>
      <c r="KR183" s="4"/>
      <c r="KS183" s="5">
        <v>0</v>
      </c>
      <c r="KT183" s="5">
        <v>0</v>
      </c>
      <c r="KU183" s="5"/>
      <c r="KV183" s="4"/>
      <c r="KW183" s="5">
        <v>0</v>
      </c>
      <c r="KX183" s="4"/>
      <c r="KY183" s="4"/>
      <c r="KZ183" s="4"/>
      <c r="LA183" s="4"/>
      <c r="LB183" s="6"/>
      <c r="LC183" s="6"/>
      <c r="LD183" s="6"/>
      <c r="LE183" s="9"/>
      <c r="LF183"/>
      <c r="LG183"/>
      <c r="LH183"/>
      <c r="LI183"/>
      <c r="LJ183"/>
      <c r="LK183"/>
      <c r="LL183" s="4"/>
      <c r="LM183" s="4"/>
      <c r="LN183" s="6"/>
      <c r="LO183" s="4"/>
      <c r="LP183" s="5">
        <v>0</v>
      </c>
      <c r="LQ183" s="5"/>
      <c r="LR183" s="6"/>
      <c r="LS183" s="4"/>
      <c r="LT183" s="4"/>
      <c r="LU183" s="5">
        <v>0</v>
      </c>
      <c r="LV183" s="5">
        <v>0</v>
      </c>
      <c r="LW183" s="5"/>
      <c r="LX183" s="4"/>
      <c r="LY183" s="5">
        <v>0</v>
      </c>
      <c r="LZ183" s="4"/>
      <c r="MA183" s="4"/>
      <c r="MB183" s="4"/>
      <c r="MC183" s="4"/>
      <c r="MD183" s="6"/>
      <c r="ME183" s="6"/>
      <c r="MF183" s="6"/>
      <c r="MG183" s="9"/>
      <c r="MH183"/>
    </row>
    <row r="184">
      <c r="A184" s="8">
        <v>25475</v>
      </c>
      <c r="B184" s="8">
        <v>25476</v>
      </c>
      <c r="C184" s="9">
        <f>B184-A184</f>
        <v>1</v>
      </c>
      <c r="D184" s="8">
        <v>25475</v>
      </c>
      <c r="E184" t="inlineStr">
        <is>
          <t xml:space="preserve">neutral</t>
        </is>
      </c>
      <c r="F184" s="4">
        <v>1.7971633029598222</v>
      </c>
      <c r="G184" s="6">
        <v>0.02011278091875419</v>
      </c>
      <c r="H184" s="7">
        <f>SUM(CP184,DR184,ET184,FV184,GX184,HZ184,JB184,KD184,LF184,MH184)</f>
        <v>0.02011278091875419</v>
      </c>
      <c r="I184" s="7">
        <f>G184-H184</f>
        <v>0</v>
      </c>
      <c r="J184" s="5">
        <f>F184*(1+H184)</f>
        <v>1.8333092547474779</v>
      </c>
      <c r="K184" s="4">
        <v>1.8333092547474779</v>
      </c>
      <c r="L184" s="5">
        <f>K184-J184</f>
        <v>0</v>
      </c>
      <c r="M184" s="4">
        <v>1.839</v>
      </c>
      <c r="N184" s="4">
        <v>1.876</v>
      </c>
      <c r="O184" s="5">
        <f>M184/$M$3</f>
        <v>0.9392236976506639</v>
      </c>
      <c r="P184" s="5">
        <f>N184/$M$3</f>
        <v>0.958120531154239</v>
      </c>
      <c r="Q184" s="7">
        <f>IFERROR(N184/M184-1,0)</f>
        <v>0.020119630233822683</v>
      </c>
      <c r="R184" s="5">
        <f>SUM(IF(BQ184="lease",CB184,0),IF(CS184="lease",DD184,0),IF(DU184="lease",EF184,0),IF(EW184="lease",FH184,0),IF(FY184="lease",GJ184,0),IF(HA184="lease",HL184,0),IF(IC184="lease",IN184,0),IF(JE184="lease",JP184,0),IF(KG184="lease",KR184,0),IF(LI184="lease",LT184,0))</f>
        <v>1.7971633029598229</v>
      </c>
      <c r="S184" s="5">
        <f>SUM(IF(BQ184="lease",CI184,0),IF(CS184="lease",DK184,0),IF(DU184="lease",EM184,0),IF(EW184="lease",FO184,0),IF(FY184="lease",GQ184,0),IF(HA184="lease",HS184,0),IF(IC184="lease",IU184,0),IF(JE184="lease",JW184,0),IF(KG184="lease",KY184,0),IF(LI184="lease",MA184,0))</f>
        <v>1.8333092547474783</v>
      </c>
      <c r="T184" s="5">
        <f>SUM(IF(BQ184="keep",CB184,0),IF(CS184="keep",DD184,0),IF(DU184="keep",EF184,0),IF(EW184="keep",FH184,0),IF(FY184="keep",GJ184,0),IF(HA184="keep",HL184,0),IF(IC184="keep",IN184,0),IF(JE184="keep",JP184,0),IF(KG184="keep",KR184,0),IF(LI184="keep",LT184,0))</f>
        <v>0</v>
      </c>
      <c r="U184" s="5">
        <f>SUM(IF(BQ184="keep",CI184,0),IF(CS184="keep",DK184,0),IF(DU184="keep",EM184,0),IF(EW184="keep",FO184,0),IF(FY184="keep",GQ184,0),IF(HA184="keep",HS184,0),IF(IC184="keep",IU184,0),IF(JE184="keep",JW184,0),IF(KG184="keep",KY184,0),IF(LI184="keep",MA184,0))</f>
        <v>0</v>
      </c>
      <c r="V184" s="5">
        <f>R184/O184</f>
        <v>1.9134560887413448</v>
      </c>
      <c r="W184" s="5">
        <f>S184/P184</f>
        <v>1.9134432413622402</v>
      </c>
      <c r="X184" s="5">
        <f>T184/O184</f>
        <v>0</v>
      </c>
      <c r="Y184" s="5">
        <f>U184/P184</f>
        <v>0</v>
      </c>
      <c r="Z184" s="5">
        <f>V184+X184</f>
        <v>1.9134560887413448</v>
      </c>
      <c r="AA184" s="7">
        <f>IFERROR(W184/V184-1,0)</f>
        <v>-0.000006714227298032505</v>
      </c>
      <c r="AB184" s="7">
        <f>IFERROR((W184-V184)/Z184,0)</f>
        <v>-0.000006714227298006336</v>
      </c>
      <c r="AC184" s="7">
        <f>IFERROR(Y184/X184-1,0)</f>
        <v>0</v>
      </c>
      <c r="AD184" s="7">
        <f>IFERROR((Y184-X184)/Z184,0)</f>
        <v>0</v>
      </c>
      <c r="AE184" s="7">
        <f>AB184+AD184</f>
        <v>-0.000006714227298006336</v>
      </c>
      <c r="AF184" s="7">
        <f>(1+Q184)*(1+AE184)-1</f>
        <v>0.020112780918754014</v>
      </c>
      <c r="AG184" s="7">
        <f>G184-AF184</f>
        <v>1.7694179454963432e-16</v>
      </c>
      <c r="AH184" s="5">
        <f>SUM(IF(BQ184="lease",CE184,0),IF(CS184="lease",DG184,0),IF(DU184="lease",EI184,0),IF(EW184="lease",FK184,0),IF(FY184="lease",GM184,0),IF(HA184="lease",HO184,0),IF(IC184="lease",IQ184,0),IF(JE184="lease",JS184,0),IF(KG184="lease",KU184,0),IF(LI184="lease",LW184,0))</f>
        <v>0.03614595178765557</v>
      </c>
      <c r="AI184" s="5">
        <f>SUM(IF(BQ184="keep",CE184,0),IF(CS184="keep",DG184,0),IF(DU184="keep",EI184,0),IF(EW184="keep",FK184,0),IF(FY184="keep",GM184,0),IF(HA184="keep",HO184,0),IF(IC184="keep",IQ184,0),IF(JE184="keep",JS184,0),IF(KG184="keep",KU184,0),IF(LI184="keep",LW184,0))</f>
        <v>0</v>
      </c>
      <c r="AJ184" s="5">
        <f>SUM(IF(BQ184="lease",CH184,0),IF(CS184="lease",DJ184,0),IF(DU184="lease",EL184,0),IF(EW184="lease",FN184,0),IF(FY184="lease",GP184,0),IF(HA184="lease",HR184,0),IF(IC184="lease",IT184,0),IF(JE184="lease",JV184,0),IF(KG184="lease",KX184,0),IF(LI184="lease",LZ184,0))</f>
        <v>0</v>
      </c>
      <c r="AK184" s="5">
        <f>SUM(IF(BQ184="keep",CH184,0),IF(CS184="keep",DJ184,0),IF(DU184="keep",EL184,0),IF(EW184="keep",FN184,0),IF(FY184="keep",GP184,0),IF(HA184="keep",HR184,0),IF(IC184="keep",IT184,0),IF(JE184="keep",JV184,0),IF(KG184="keep",KX184,0),IF(LI184="keep",LZ184,0))</f>
        <v>0</v>
      </c>
      <c r="AL184" s="5">
        <f>R184-S183</f>
        <v>2.220446049250313e-16</v>
      </c>
      <c r="AM184" s="5">
        <f>T184-U183</f>
        <v>0</v>
      </c>
      <c r="AN184" s="5">
        <f>AN183</f>
        <v>1</v>
      </c>
      <c r="AO184" s="5">
        <f>AO183+AH184</f>
        <v>0.8333092547474789</v>
      </c>
      <c r="AP184" s="5">
        <f>AP183+AL184</f>
        <v>-8.881784197001252e-16</v>
      </c>
      <c r="AQ184" s="5">
        <f>AN184+AO184+AP184</f>
        <v>1.833309254747478</v>
      </c>
      <c r="AR184" s="5">
        <f>S184-AQ184</f>
        <v>2.220446049250313e-16</v>
      </c>
      <c r="AS184" s="5">
        <f>AS183</f>
        <v>0</v>
      </c>
      <c r="AT184" s="5">
        <f>AT183+AI184</f>
        <v>0</v>
      </c>
      <c r="AU184" s="5">
        <f>AU183+AM184</f>
        <v>0</v>
      </c>
      <c r="AV184" s="5">
        <f>AS184+AT184+AU184</f>
        <v>0</v>
      </c>
      <c r="AW184" s="5">
        <f>U184-AV184</f>
        <v>0</v>
      </c>
      <c r="AX184" s="4">
        <v>1.7971633029598229</v>
      </c>
      <c r="AY184" s="4">
        <v>1.8333092547474785</v>
      </c>
      <c r="AZ184" s="5">
        <f>S184-AY184</f>
        <v>-2.220446049250313e-16</v>
      </c>
      <c r="BA184" s="4">
        <v>0</v>
      </c>
      <c r="BB184" s="4">
        <v>0</v>
      </c>
      <c r="BC184" s="5">
        <f>U184-BB184</f>
        <v>0</v>
      </c>
      <c r="BD184" s="7">
        <f>SUM(IF(BP184="direct",CC184/F184,0),IF(CR184="direct",DE184/F184,0),IF(DT184="direct",EG184/F184,0),IF(EV184="direct",FI184/F184,0),IF(FX184="direct",GK184/F184,0),IF(GZ184="direct",HM184/F184,0),IF(IB184="direct",IO184/F184,0),IF(JD184="direct",JQ184/F184,0),IF(KF184="direct",KS184/F184,0),IF(LH184="direct",LU184/F184,0))</f>
        <v>0.020119630233822686</v>
      </c>
      <c r="BE184" s="7">
        <f>-SUM(IF(BP184="direct",CD184/F184,0),IF(CR184="direct",DF184/F184,0),IF(DT184="direct",EH184/F184,0),IF(EV184="direct",FJ184/F184,0),IF(FX184="direct",GL184/F184,0),IF(GZ184="direct",HN184/F184,0),IF(IB184="direct",IP184/F184,0),IF(JD184="direct",JR184/F184,0),IF(KF184="direct",KT184/F184,0),IF(LH184="direct",LV184/F184,0))</f>
        <v>-0.000006849315068493152</v>
      </c>
      <c r="BF184" s="7">
        <f>BD184+BE184</f>
        <v>0.020112780918754194</v>
      </c>
      <c r="BG184" s="7">
        <f>BF184-SUM(IF(BP184="direct",CP184,0),IF(CR184="direct",DR184,0),IF(DT184="direct",ET184,0),IF(EV184="direct",FV184,0),IF(FX184="direct",GX184,0),IF(GZ184="direct",HZ184,0),IF(IB184="direct",JB184,0),IF(JD184="direct",KD184,0),IF(KF184="direct",LF184,0),IF(LH184="direct",MH184,0))</f>
        <v>3.469446951953614e-18</v>
      </c>
      <c r="BH184" s="7">
        <f>SUM(IF(BP184="treasury",CP184,0),IF(CR184="treasury",DR184,0),IF(DT184="treasury",ET184,0),IF(EV184="treasury",FV184,0),IF(FX184="treasury",GX184,0),IF(GZ184="treasury",HZ184,0),IF(IB184="treasury",JB184,0),IF(JD184="treasury",KD184,0),IF(KF184="treasury",LF184,0),IF(LH184="treasury",MH184,0))</f>
        <v>0</v>
      </c>
      <c r="BI184" s="7">
        <f>SUM(IF(BP184="future",CP184,0),IF(CR184="future",DR184,0),IF(DT184="future",ET184,0),IF(EV184="future",FV184,0),IF(FX184="future",GX184,0),IF(GZ184="future",HZ184,0),IF(IB184="future",JB184,0),IF(JD184="future",KD184,0),IF(KF184="future",LF184,0),IF(LH184="future",MH184,0))</f>
        <v>0</v>
      </c>
      <c r="BJ184" s="7">
        <f>SUM(IF(BP184="cash",CP184,0),IF(CR184="cash",DR184,0),IF(DT184="cash",ET184,0),IF(EV184="cash",FV184,0),IF(FX184="cash",GX184,0),IF(GZ184="cash",HZ184,0),IF(IB184="cash",JB184,0),IF(JD184="cash",KD184,0),IF(KF184="cash",LF184,0),IF(LH184="cash",MH184,0))</f>
        <v>0</v>
      </c>
      <c r="BK184" s="7">
        <f>SUM(BF184,BH184,BI184,BJ184)</f>
        <v>0.02011278091875419</v>
      </c>
      <c r="BL184" s="7">
        <f>G184-BK184</f>
        <v>0</v>
      </c>
      <c r="BM184" s="5">
        <f>MAX(ABS(CG184),ABS(DI184),ABS(EK184),ABS(FM184),ABS(GO184),ABS(HQ184),ABS(IS184),ABS(JU184),ABS(KW184),ABS(LY184))</f>
        <v>3.0815058621111446e-18</v>
      </c>
      <c r="BN184" s="9">
        <f>COUNTA(BO184,CQ184,DS184,EU184,FW184,GY184,IA184,JC184,KE184,LG184)</f>
        <v>3</v>
      </c>
      <c r="BO184" t="inlineStr">
        <is>
          <t xml:space="preserve">Direct commodity holding</t>
        </is>
      </c>
      <c r="BP184" t="inlineStr">
        <is>
          <t xml:space="preserve">direct</t>
        </is>
      </c>
      <c r="BQ184" t="inlineStr">
        <is>
          <t xml:space="preserve">lease</t>
        </is>
      </c>
      <c r="BR184" t="inlineStr">
        <is>
          <t xml:space="preserve">long</t>
        </is>
      </c>
      <c r="BS184"/>
      <c r="BT184" s="4">
        <v>1.839</v>
      </c>
      <c r="BU184" s="4">
        <v>1.876</v>
      </c>
      <c r="BV184" s="6">
        <v>0.0025</v>
      </c>
      <c r="BW184" s="4">
        <v>0.9772503006850582</v>
      </c>
      <c r="BX184" s="5">
        <f>IF(BP184="direct",IFERROR(CD184/BU184,0),0)</f>
        <v>0.000006561480645791916</v>
      </c>
      <c r="BY184" s="5">
        <f>IF(BP184="direct",BW184-BX184,IF(BP184="cash",CI184,BW184))</f>
        <v>0.9772437392044124</v>
      </c>
      <c r="BZ184" s="6">
        <v>1</v>
      </c>
      <c r="CA184" s="4">
        <v>1.7971633029598222</v>
      </c>
      <c r="CB184" s="4">
        <v>1.7971633029598222</v>
      </c>
      <c r="CC184" s="5">
        <f>IF(BP184="direct",BW184*(BU184-BT184),CF184)</f>
        <v>0.03615826112534708</v>
      </c>
      <c r="CD184" s="5">
        <f>IF(BP184="direct",CB184*BV184*C184/365,0)</f>
        <v>0.000012309337691505633</v>
      </c>
      <c r="CE184" s="5">
        <f>CC184-CD184</f>
        <v>0.03614595178765557</v>
      </c>
      <c r="CF184" s="4">
        <v>0.03614595178765557</v>
      </c>
      <c r="CG184" s="5">
        <f>CF184-CE184</f>
        <v>-3.0815058621111446e-18</v>
      </c>
      <c r="CH184" s="4">
        <v>0</v>
      </c>
      <c r="CI184" s="4">
        <v>1.8333092547474776</v>
      </c>
      <c r="CJ184" s="4">
        <v>1.839</v>
      </c>
      <c r="CK184" s="4">
        <v>1.876</v>
      </c>
      <c r="CL184" s="6"/>
      <c r="CM184" s="6"/>
      <c r="CN184" s="6"/>
      <c r="CO184" s="9"/>
      <c r="CP184" s="7">
        <f>IFERROR(CE184/F184,0)</f>
        <v>0.02011278091875419</v>
      </c>
      <c r="CQ184" t="inlineStr">
        <is>
          <t xml:space="preserve">Lease cash / margin / financing</t>
        </is>
      </c>
      <c r="CR184" t="inlineStr">
        <is>
          <t xml:space="preserve">cash</t>
        </is>
      </c>
      <c r="CS184" t="inlineStr">
        <is>
          <t xml:space="preserve">lease</t>
        </is>
      </c>
      <c r="CT184" t="inlineStr">
        <is>
          <t xml:space="preserve">cash</t>
        </is>
      </c>
      <c r="CU184"/>
      <c r="CV184" s="4">
        <v>1</v>
      </c>
      <c r="CW184" s="4">
        <v>1</v>
      </c>
      <c r="CX184" s="6"/>
      <c r="CY184" s="4">
        <v>6.661338147750939e-16</v>
      </c>
      <c r="CZ184" s="5">
        <f>IF(CR184="direct",IFERROR(DF184/CW184,0),0)</f>
        <v>0</v>
      </c>
      <c r="DA184" s="5">
        <f>IF(CR184="direct",CY184-CZ184,IF(CR184="cash",DK184,CY184))</f>
        <v>6.661338147750939e-16</v>
      </c>
      <c r="DB184" s="6"/>
      <c r="DC184" s="4">
        <v>6.661338147750939e-16</v>
      </c>
      <c r="DD184" s="4">
        <v>6.661338147750939e-16</v>
      </c>
      <c r="DE184" s="5">
        <f>IF(CR184="direct",CY184*(CW184-CV184),DH184)</f>
        <v>0</v>
      </c>
      <c r="DF184" s="5">
        <f>IF(CR184="direct",DD184*CX184*C184/365,0)</f>
        <v>0</v>
      </c>
      <c r="DG184" s="5">
        <f>DE184-DF184</f>
        <v>0</v>
      </c>
      <c r="DH184" s="4">
        <v>0</v>
      </c>
      <c r="DI184" s="5">
        <f>DH184-DG184</f>
        <v>0</v>
      </c>
      <c r="DJ184" s="4">
        <v>0</v>
      </c>
      <c r="DK184" s="4">
        <v>6.661338147750939e-16</v>
      </c>
      <c r="DL184" s="4">
        <v>1.839</v>
      </c>
      <c r="DM184" s="4">
        <v>1.876</v>
      </c>
      <c r="DN184" s="6"/>
      <c r="DO184" s="6"/>
      <c r="DP184" s="6"/>
      <c r="DQ184" s="9"/>
      <c r="DR184" s="7">
        <f>IFERROR(DG184/F184,0)</f>
        <v>0</v>
      </c>
      <c r="DS184" t="inlineStr">
        <is>
          <t xml:space="preserve">Keep cash / margin / financing</t>
        </is>
      </c>
      <c r="DT184" t="inlineStr">
        <is>
          <t xml:space="preserve">cash</t>
        </is>
      </c>
      <c r="DU184" t="inlineStr">
        <is>
          <t xml:space="preserve">keep</t>
        </is>
      </c>
      <c r="DV184" t="inlineStr">
        <is>
          <t xml:space="preserve">cash</t>
        </is>
      </c>
      <c r="DW184"/>
      <c r="DX184" s="4">
        <v>1</v>
      </c>
      <c r="DY184" s="4">
        <v>1</v>
      </c>
      <c r="DZ184" s="6"/>
      <c r="EA184" s="4">
        <v>0</v>
      </c>
      <c r="EB184" s="5">
        <f>IF(DT184="direct",IFERROR(EH184/DY184,0),0)</f>
        <v>0</v>
      </c>
      <c r="EC184" s="5">
        <f>IF(DT184="direct",EA184-EB184,IF(DT184="cash",EM184,EA184))</f>
        <v>0</v>
      </c>
      <c r="ED184" s="6"/>
      <c r="EE184" s="4">
        <v>0</v>
      </c>
      <c r="EF184" s="4">
        <v>0</v>
      </c>
      <c r="EG184" s="5">
        <f>IF(DT184="direct",EA184*(DY184-DX184),EJ184)</f>
        <v>0</v>
      </c>
      <c r="EH184" s="5">
        <f>IF(DT184="direct",EF184*DZ184*C184/365,0)</f>
        <v>0</v>
      </c>
      <c r="EI184" s="5">
        <f>EG184-EH184</f>
        <v>0</v>
      </c>
      <c r="EJ184" s="4">
        <v>0</v>
      </c>
      <c r="EK184" s="5">
        <f>EJ184-EI184</f>
        <v>0</v>
      </c>
      <c r="EL184" s="4">
        <v>0</v>
      </c>
      <c r="EM184" s="4">
        <v>0</v>
      </c>
      <c r="EN184" s="4">
        <v>1.839</v>
      </c>
      <c r="EO184" s="4">
        <v>1.876</v>
      </c>
      <c r="EP184" s="6"/>
      <c r="EQ184" s="6"/>
      <c r="ER184" s="6"/>
      <c r="ES184" s="9"/>
      <c r="ET184" s="7">
        <f>IFERROR(EI184/F184,0)</f>
        <v>0</v>
      </c>
      <c r="EU184"/>
      <c r="EV184"/>
      <c r="EW184"/>
      <c r="EX184"/>
      <c r="EY184"/>
      <c r="EZ184" s="4"/>
      <c r="FA184" s="4"/>
      <c r="FB184" s="6"/>
      <c r="FC184" s="4"/>
      <c r="FD184" s="5">
        <v>0</v>
      </c>
      <c r="FE184" s="5"/>
      <c r="FF184" s="6"/>
      <c r="FG184" s="4"/>
      <c r="FH184" s="4"/>
      <c r="FI184" s="5">
        <v>0</v>
      </c>
      <c r="FJ184" s="5">
        <v>0</v>
      </c>
      <c r="FK184" s="5"/>
      <c r="FL184" s="4"/>
      <c r="FM184" s="5">
        <v>0</v>
      </c>
      <c r="FN184" s="4"/>
      <c r="FO184" s="4"/>
      <c r="FP184" s="4"/>
      <c r="FQ184" s="4"/>
      <c r="FR184" s="6"/>
      <c r="FS184" s="6"/>
      <c r="FT184" s="6"/>
      <c r="FU184" s="9"/>
      <c r="FV184"/>
      <c r="FW184"/>
      <c r="FX184"/>
      <c r="FY184"/>
      <c r="FZ184"/>
      <c r="GA184"/>
      <c r="GB184" s="4"/>
      <c r="GC184" s="4"/>
      <c r="GD184" s="6"/>
      <c r="GE184" s="4"/>
      <c r="GF184" s="5">
        <v>0</v>
      </c>
      <c r="GG184" s="5"/>
      <c r="GH184" s="6"/>
      <c r="GI184" s="4"/>
      <c r="GJ184" s="4"/>
      <c r="GK184" s="5">
        <v>0</v>
      </c>
      <c r="GL184" s="5">
        <v>0</v>
      </c>
      <c r="GM184" s="5"/>
      <c r="GN184" s="4"/>
      <c r="GO184" s="5">
        <v>0</v>
      </c>
      <c r="GP184" s="4"/>
      <c r="GQ184" s="4"/>
      <c r="GR184" s="4"/>
      <c r="GS184" s="4"/>
      <c r="GT184" s="6"/>
      <c r="GU184" s="6"/>
      <c r="GV184" s="6"/>
      <c r="GW184" s="9"/>
      <c r="GX184"/>
      <c r="GY184"/>
      <c r="GZ184"/>
      <c r="HA184"/>
      <c r="HB184"/>
      <c r="HC184"/>
      <c r="HD184" s="4"/>
      <c r="HE184" s="4"/>
      <c r="HF184" s="6"/>
      <c r="HG184" s="4"/>
      <c r="HH184" s="5">
        <v>0</v>
      </c>
      <c r="HI184" s="5"/>
      <c r="HJ184" s="6"/>
      <c r="HK184" s="4"/>
      <c r="HL184" s="4"/>
      <c r="HM184" s="5">
        <v>0</v>
      </c>
      <c r="HN184" s="5">
        <v>0</v>
      </c>
      <c r="HO184" s="5"/>
      <c r="HP184" s="4"/>
      <c r="HQ184" s="5">
        <v>0</v>
      </c>
      <c r="HR184" s="4"/>
      <c r="HS184" s="4"/>
      <c r="HT184" s="4"/>
      <c r="HU184" s="4"/>
      <c r="HV184" s="6"/>
      <c r="HW184" s="6"/>
      <c r="HX184" s="6"/>
      <c r="HY184" s="9"/>
      <c r="HZ184"/>
      <c r="IA184"/>
      <c r="IB184"/>
      <c r="IC184"/>
      <c r="ID184"/>
      <c r="IE184"/>
      <c r="IF184" s="4"/>
      <c r="IG184" s="4"/>
      <c r="IH184" s="6"/>
      <c r="II184" s="4"/>
      <c r="IJ184" s="5">
        <v>0</v>
      </c>
      <c r="IK184" s="5"/>
      <c r="IL184" s="6"/>
      <c r="IM184" s="4"/>
      <c r="IN184" s="4"/>
      <c r="IO184" s="5">
        <v>0</v>
      </c>
      <c r="IP184" s="5">
        <v>0</v>
      </c>
      <c r="IQ184" s="5"/>
      <c r="IR184" s="4"/>
      <c r="IS184" s="5">
        <v>0</v>
      </c>
      <c r="IT184" s="4"/>
      <c r="IU184" s="4"/>
      <c r="IV184" s="4"/>
      <c r="IW184" s="4"/>
      <c r="IX184" s="6"/>
      <c r="IY184" s="6"/>
      <c r="IZ184" s="6"/>
      <c r="JA184" s="9"/>
      <c r="JB184"/>
      <c r="JC184"/>
      <c r="JD184"/>
      <c r="JE184"/>
      <c r="JF184"/>
      <c r="JG184"/>
      <c r="JH184" s="4"/>
      <c r="JI184" s="4"/>
      <c r="JJ184" s="6"/>
      <c r="JK184" s="4"/>
      <c r="JL184" s="5">
        <v>0</v>
      </c>
      <c r="JM184" s="5"/>
      <c r="JN184" s="6"/>
      <c r="JO184" s="4"/>
      <c r="JP184" s="4"/>
      <c r="JQ184" s="5">
        <v>0</v>
      </c>
      <c r="JR184" s="5">
        <v>0</v>
      </c>
      <c r="JS184" s="5"/>
      <c r="JT184" s="4"/>
      <c r="JU184" s="5">
        <v>0</v>
      </c>
      <c r="JV184" s="4"/>
      <c r="JW184" s="4"/>
      <c r="JX184" s="4"/>
      <c r="JY184" s="4"/>
      <c r="JZ184" s="6"/>
      <c r="KA184" s="6"/>
      <c r="KB184" s="6"/>
      <c r="KC184" s="9"/>
      <c r="KD184"/>
      <c r="KE184"/>
      <c r="KF184"/>
      <c r="KG184"/>
      <c r="KH184"/>
      <c r="KI184"/>
      <c r="KJ184" s="4"/>
      <c r="KK184" s="4"/>
      <c r="KL184" s="6"/>
      <c r="KM184" s="4"/>
      <c r="KN184" s="5">
        <v>0</v>
      </c>
      <c r="KO184" s="5"/>
      <c r="KP184" s="6"/>
      <c r="KQ184" s="4"/>
      <c r="KR184" s="4"/>
      <c r="KS184" s="5">
        <v>0</v>
      </c>
      <c r="KT184" s="5">
        <v>0</v>
      </c>
      <c r="KU184" s="5"/>
      <c r="KV184" s="4"/>
      <c r="KW184" s="5">
        <v>0</v>
      </c>
      <c r="KX184" s="4"/>
      <c r="KY184" s="4"/>
      <c r="KZ184" s="4"/>
      <c r="LA184" s="4"/>
      <c r="LB184" s="6"/>
      <c r="LC184" s="6"/>
      <c r="LD184" s="6"/>
      <c r="LE184" s="9"/>
      <c r="LF184"/>
      <c r="LG184"/>
      <c r="LH184"/>
      <c r="LI184"/>
      <c r="LJ184"/>
      <c r="LK184"/>
      <c r="LL184" s="4"/>
      <c r="LM184" s="4"/>
      <c r="LN184" s="6"/>
      <c r="LO184" s="4"/>
      <c r="LP184" s="5">
        <v>0</v>
      </c>
      <c r="LQ184" s="5"/>
      <c r="LR184" s="6"/>
      <c r="LS184" s="4"/>
      <c r="LT184" s="4"/>
      <c r="LU184" s="5">
        <v>0</v>
      </c>
      <c r="LV184" s="5">
        <v>0</v>
      </c>
      <c r="LW184" s="5"/>
      <c r="LX184" s="4"/>
      <c r="LY184" s="5">
        <v>0</v>
      </c>
      <c r="LZ184" s="4"/>
      <c r="MA184" s="4"/>
      <c r="MB184" s="4"/>
      <c r="MC184" s="4"/>
      <c r="MD184" s="6"/>
      <c r="ME184" s="6"/>
      <c r="MF184" s="6"/>
      <c r="MG184" s="9"/>
      <c r="MH184"/>
    </row>
    <row r="185">
      <c r="A185" s="8">
        <v>25476</v>
      </c>
      <c r="B185" s="8">
        <v>25477</v>
      </c>
      <c r="C185" s="9">
        <f>B185-A185</f>
        <v>1</v>
      </c>
      <c r="D185" s="8">
        <v>25476</v>
      </c>
      <c r="E185" t="inlineStr">
        <is>
          <t xml:space="preserve">positive</t>
        </is>
      </c>
      <c r="F185" s="4">
        <v>1.8333092547474779</v>
      </c>
      <c r="G185" s="6">
        <v>-0.004786510714631686</v>
      </c>
      <c r="H185" s="7">
        <f>SUM(CP185,DR185,ET185,FV185,GX185,HZ185,JB185,KD185,LF185,MH185)</f>
        <v>-0.004786510714631685</v>
      </c>
      <c r="I185" s="7">
        <f>G185-H185</f>
        <v>-8.673617379884035e-19</v>
      </c>
      <c r="J185" s="5">
        <f>F185*(1+H185)</f>
        <v>1.8245341003563957</v>
      </c>
      <c r="K185" s="4">
        <v>1.8245341003563957</v>
      </c>
      <c r="L185" s="5">
        <f>K185-J185</f>
        <v>0</v>
      </c>
      <c r="M185" s="4">
        <v>1.876</v>
      </c>
      <c r="N185" s="4">
        <v>1.863</v>
      </c>
      <c r="O185" s="5">
        <f>M185/$M$3</f>
        <v>0.958120531154239</v>
      </c>
      <c r="P185" s="5">
        <f>N185/$M$3</f>
        <v>0.9514811031664965</v>
      </c>
      <c r="Q185" s="7">
        <f>IFERROR(N185/M185-1,0)</f>
        <v>-0.006929637526652432</v>
      </c>
      <c r="R185" s="5">
        <f>SUM(IF(BQ185="lease",CB185,0),IF(CS185="lease",DD185,0),IF(DU185="lease",EF185,0),IF(EW185="lease",FH185,0),IF(FY185="lease",GJ185,0),IF(HA185="lease",HL185,0),IF(IC185="lease",IN185,0),IF(JE185="lease",JP185,0),IF(KG185="lease",KR185,0),IF(LI185="lease",LT185,0))</f>
        <v>1.8333092547474785</v>
      </c>
      <c r="S185" s="5">
        <f>SUM(IF(BQ185="lease",CI185,0),IF(CS185="lease",DK185,0),IF(DU185="lease",EM185,0),IF(EW185="lease",FO185,0),IF(FY185="lease",GQ185,0),IF(HA185="lease",HS185,0),IF(IC185="lease",IU185,0),IF(JE185="lease",JW185,0),IF(KG185="lease",KY185,0),IF(LI185="lease",MA185,0))</f>
        <v>1.8245341003563962</v>
      </c>
      <c r="T185" s="5">
        <f>SUM(IF(BQ185="keep",CB185,0),IF(CS185="keep",DD185,0),IF(DU185="keep",EF185,0),IF(EW185="keep",FH185,0),IF(FY185="keep",GJ185,0),IF(HA185="keep",HL185,0),IF(IC185="keep",IN185,0),IF(JE185="keep",JP185,0),IF(KG185="keep",KR185,0),IF(LI185="keep",LT185,0))</f>
        <v>0</v>
      </c>
      <c r="U185" s="5">
        <f>SUM(IF(BQ185="keep",CI185,0),IF(CS185="keep",DK185,0),IF(DU185="keep",EM185,0),IF(EW185="keep",FO185,0),IF(FY185="keep",GQ185,0),IF(HA185="keep",HS185,0),IF(IC185="keep",IU185,0),IF(JE185="keep",JW185,0),IF(KG185="keep",KY185,0),IF(LI185="keep",MA185,0))</f>
        <v>0</v>
      </c>
      <c r="V185" s="5">
        <f>R185/O185</f>
        <v>1.9134432413622404</v>
      </c>
      <c r="W185" s="5">
        <f>S185/P185</f>
        <v>1.917572607889331</v>
      </c>
      <c r="X185" s="5">
        <f>T185/O185</f>
        <v>0</v>
      </c>
      <c r="Y185" s="5">
        <f>U185/P185</f>
        <v>0</v>
      </c>
      <c r="Z185" s="5">
        <f>V185+X185</f>
        <v>1.9134432413622404</v>
      </c>
      <c r="AA185" s="7">
        <f>IFERROR(W185/V185-1,0)</f>
        <v>0.002158081534809897</v>
      </c>
      <c r="AB185" s="7">
        <f>IFERROR((W185-V185)/Z185,0)</f>
        <v>0.0021580815348098224</v>
      </c>
      <c r="AC185" s="7">
        <f>IFERROR(Y185/X185-1,0)</f>
        <v>0</v>
      </c>
      <c r="AD185" s="7">
        <f>IFERROR((Y185-X185)/Z185,0)</f>
        <v>0</v>
      </c>
      <c r="AE185" s="7">
        <f>AB185+AD185</f>
        <v>0.0021580815348098224</v>
      </c>
      <c r="AF185" s="7">
        <f>(1+Q185)*(1+AE185)-1</f>
        <v>-0.004786510714631764</v>
      </c>
      <c r="AG185" s="7">
        <f>G185-AF185</f>
        <v>7.806255641895632e-17</v>
      </c>
      <c r="AH185" s="5">
        <f>SUM(IF(BQ185="lease",CE185,0),IF(CS185="lease",DG185,0),IF(DU185="lease",EI185,0),IF(EW185="lease",FK185,0),IF(FY185="lease",GM185,0),IF(HA185="lease",HO185,0),IF(IC185="lease",IQ185,0),IF(JE185="lease",JS185,0),IF(KG185="lease",KU185,0),IF(LI185="lease",LW185,0))</f>
        <v>-0.008775154391082233</v>
      </c>
      <c r="AI185" s="5">
        <f>SUM(IF(BQ185="keep",CE185,0),IF(CS185="keep",DG185,0),IF(DU185="keep",EI185,0),IF(EW185="keep",FK185,0),IF(FY185="keep",GM185,0),IF(HA185="keep",HO185,0),IF(IC185="keep",IQ185,0),IF(JE185="keep",JS185,0),IF(KG185="keep",KU185,0),IF(LI185="keep",LW185,0))</f>
        <v>0</v>
      </c>
      <c r="AJ185" s="5">
        <f>SUM(IF(BQ185="lease",CH185,0),IF(CS185="lease",DJ185,0),IF(DU185="lease",EL185,0),IF(EW185="lease",FN185,0),IF(FY185="lease",GP185,0),IF(HA185="lease",HR185,0),IF(IC185="lease",IT185,0),IF(JE185="lease",JV185,0),IF(KG185="lease",KX185,0),IF(LI185="lease",LZ185,0))</f>
        <v>0</v>
      </c>
      <c r="AK185" s="5">
        <f>SUM(IF(BQ185="keep",CH185,0),IF(CS185="keep",DJ185,0),IF(DU185="keep",EL185,0),IF(EW185="keep",FN185,0),IF(FY185="keep",GP185,0),IF(HA185="keep",HR185,0),IF(IC185="keep",IT185,0),IF(JE185="keep",JV185,0),IF(KG185="keep",KX185,0),IF(LI185="keep",LZ185,0))</f>
        <v>0</v>
      </c>
      <c r="AL185" s="5">
        <f>R185-S184</f>
        <v>2.220446049250313e-16</v>
      </c>
      <c r="AM185" s="5">
        <f>T185-U184</f>
        <v>0</v>
      </c>
      <c r="AN185" s="5">
        <f>AN184</f>
        <v>1</v>
      </c>
      <c r="AO185" s="5">
        <f>AO184+AH185</f>
        <v>0.8245341003563966</v>
      </c>
      <c r="AP185" s="5">
        <f>AP184+AL185</f>
        <v>-6.661338147750939e-16</v>
      </c>
      <c r="AQ185" s="5">
        <f>AN185+AO185+AP185</f>
        <v>1.824534100356396</v>
      </c>
      <c r="AR185" s="5">
        <f>S185-AQ185</f>
        <v>2.220446049250313e-16</v>
      </c>
      <c r="AS185" s="5">
        <f>AS184</f>
        <v>0</v>
      </c>
      <c r="AT185" s="5">
        <f>AT184+AI185</f>
        <v>0</v>
      </c>
      <c r="AU185" s="5">
        <f>AU184+AM185</f>
        <v>0</v>
      </c>
      <c r="AV185" s="5">
        <f>AS185+AT185+AU185</f>
        <v>0</v>
      </c>
      <c r="AW185" s="5">
        <f>U185-AV185</f>
        <v>0</v>
      </c>
      <c r="AX185" s="4">
        <v>1.8333092547474785</v>
      </c>
      <c r="AY185" s="4">
        <v>1.8245341003563962</v>
      </c>
      <c r="AZ185" s="5">
        <f>S185-AY185</f>
        <v>0</v>
      </c>
      <c r="BA185" s="4">
        <v>0</v>
      </c>
      <c r="BB185" s="4">
        <v>0</v>
      </c>
      <c r="BC185" s="5">
        <f>U185-BB185</f>
        <v>0</v>
      </c>
      <c r="BD185" s="7">
        <f>SUM(IF(BP185="direct",CC185/F185,0),IF(CR185="direct",DE185/F185,0),IF(DT185="direct",EG185/F185,0),IF(EV185="direct",FI185/F185,0),IF(FX185="direct",GK185/F185,0),IF(GZ185="direct",HM185/F185,0),IF(IB185="direct",IO185/F185,0),IF(JD185="direct",JQ185/F185,0),IF(KF185="direct",KS185/F185,0),IF(LH185="direct",LU185/F185,0))</f>
        <v>-0.005728408419876405</v>
      </c>
      <c r="BE185" s="7">
        <f>-SUM(IF(BP185="direct",CD185/F185,0),IF(CR185="direct",DF185/F185,0),IF(DT185="direct",EH185/F185,0),IF(EV185="direct",FJ185/F185,0),IF(FX185="direct",GL185/F185,0),IF(GZ185="direct",HN185/F185,0),IF(IB185="direct",IP185/F185,0),IF(JD185="direct",JR185/F185,0),IF(KF185="direct",KT185/F185,0),IF(LH185="direct",LV185/F185,0))</f>
        <v>-0.0000056620095867693465</v>
      </c>
      <c r="BF185" s="7">
        <f>BD185+BE185</f>
        <v>-0.005734070429463175</v>
      </c>
      <c r="BG185" s="7">
        <f>BF185-SUM(IF(BP185="direct",CP185,0),IF(CR185="direct",DR185,0),IF(DT185="direct",ET185,0),IF(EV185="direct",FV185,0),IF(FX185="direct",GX185,0),IF(GZ185="direct",HZ185,0),IF(IB185="direct",JB185,0),IF(JD185="direct",KD185,0),IF(KF185="direct",LF185,0),IF(LH185="direct",MH185,0))</f>
        <v>2.688821387764051e-17</v>
      </c>
      <c r="BH185" s="7">
        <f>SUM(IF(BP185="treasury",CP185,0),IF(CR185="treasury",DR185,0),IF(DT185="treasury",ET185,0),IF(EV185="treasury",FV185,0),IF(FX185="treasury",GX185,0),IF(GZ185="treasury",HZ185,0),IF(IB185="treasury",JB185,0),IF(JD185="treasury",KD185,0),IF(KF185="treasury",LF185,0),IF(LH185="treasury",MH185,0))</f>
        <v>0.000033909444558031856</v>
      </c>
      <c r="BI185" s="7">
        <f>SUM(IF(BP185="future",CP185,0),IF(CR185="future",DR185,0),IF(DT185="future",ET185,0),IF(EV185="future",FV185,0),IF(FX185="future",GX185,0),IF(GZ185="future",HZ185,0),IF(IB185="future",JB185,0),IF(JD185="future",KD185,0),IF(KF185="future",LF185,0),IF(LH185="future",MH185,0))</f>
        <v>0.0009136502702734833</v>
      </c>
      <c r="BJ185" s="7">
        <f>SUM(IF(BP185="cash",CP185,0),IF(CR185="cash",DR185,0),IF(DT185="cash",ET185,0),IF(EV185="cash",FV185,0),IF(FX185="cash",GX185,0),IF(GZ185="cash",HZ185,0),IF(IB185="cash",JB185,0),IF(JD185="cash",KD185,0),IF(KF185="cash",LF185,0),IF(LH185="cash",MH185,0))</f>
        <v>0</v>
      </c>
      <c r="BK185" s="7">
        <f>SUM(BF185,BH185,BI185,BJ185)</f>
        <v>-0.004786510714631686</v>
      </c>
      <c r="BL185" s="7">
        <f>G185-BK185</f>
        <v>0</v>
      </c>
      <c r="BM185" s="5">
        <f>MAX(ABS(CG185),ABS(DI185),ABS(EK185),ABS(FM185),ABS(GO185),ABS(HQ185),ABS(IS185),ABS(JU185),ABS(KW185),ABS(LY185))</f>
        <v>4.9703893344882344e-17</v>
      </c>
      <c r="BN185" s="9">
        <f>COUNTA(BO185,CQ185,DS185,EU185,FW185,GY185,IA185,JC185,KE185,LG185)</f>
        <v>6</v>
      </c>
      <c r="BO185" t="inlineStr">
        <is>
          <t xml:space="preserve">Direct commodity holding</t>
        </is>
      </c>
      <c r="BP185" t="inlineStr">
        <is>
          <t xml:space="preserve">direct</t>
        </is>
      </c>
      <c r="BQ185" t="inlineStr">
        <is>
          <t xml:space="preserve">lease</t>
        </is>
      </c>
      <c r="BR185" t="inlineStr">
        <is>
          <t xml:space="preserve">long</t>
        </is>
      </c>
      <c r="BS185"/>
      <c r="BT185" s="4">
        <v>1.876</v>
      </c>
      <c r="BU185" s="4">
        <v>1.863</v>
      </c>
      <c r="BV185" s="6">
        <v>0.0025</v>
      </c>
      <c r="BW185" s="4">
        <v>0.8078418593179131</v>
      </c>
      <c r="BX185" s="5">
        <f>IF(BP185="direct",IFERROR(CD185/BU185,0),0)</f>
        <v>0.000005571773792749965</v>
      </c>
      <c r="BY185" s="5">
        <f>IF(BP185="direct",BW185-BX185,IF(BP185="cash",CI185,BW185))</f>
        <v>0.8078362875441203</v>
      </c>
      <c r="BZ185" s="6">
        <v>0.8266533996683245</v>
      </c>
      <c r="CA185" s="4">
        <v>1.515511328080405</v>
      </c>
      <c r="CB185" s="4">
        <v>1.515511328080405</v>
      </c>
      <c r="CC185" s="5">
        <f>IF(BP185="direct",BW185*(BU185-BT185),CF185)</f>
        <v>-0.01050194417113279</v>
      </c>
      <c r="CD185" s="5">
        <f>IF(BP185="direct",CB185*BV185*C185/365,0)</f>
        <v>0.000010380214575893185</v>
      </c>
      <c r="CE185" s="5">
        <f>CC185-CD185</f>
        <v>-0.010512324385708732</v>
      </c>
      <c r="CF185" s="4">
        <v>-0.010512324385708732</v>
      </c>
      <c r="CG185" s="5">
        <f>CF185-CE185</f>
        <v>-4.9703893344882344e-17</v>
      </c>
      <c r="CH185" s="4">
        <v>0</v>
      </c>
      <c r="CI185" s="4">
        <v>1.504999003694696</v>
      </c>
      <c r="CJ185" s="4">
        <v>1.876</v>
      </c>
      <c r="CK185" s="4">
        <v>1.863</v>
      </c>
      <c r="CL185" s="6"/>
      <c r="CM185" s="6"/>
      <c r="CN185" s="6"/>
      <c r="CO185" s="9"/>
      <c r="CP185" s="7">
        <f>IFERROR(CE185/F185,0)</f>
        <v>-0.005734070429463202</v>
      </c>
      <c r="CQ185" t="inlineStr">
        <is>
          <t xml:space="preserve">Treasury collateral</t>
        </is>
      </c>
      <c r="CR185" t="inlineStr">
        <is>
          <t xml:space="preserve">treasury</t>
        </is>
      </c>
      <c r="CS185" t="inlineStr">
        <is>
          <t xml:space="preserve">lease</t>
        </is>
      </c>
      <c r="CT185" t="inlineStr">
        <is>
          <t xml:space="preserve">long</t>
        </is>
      </c>
      <c r="CU185"/>
      <c r="CV185" s="4">
        <v>104.8925713302952</v>
      </c>
      <c r="CW185" s="4">
        <v>104.91309004150884</v>
      </c>
      <c r="CX185" s="6"/>
      <c r="CY185" s="4">
        <v>0.0030297467459955967</v>
      </c>
      <c r="CZ185" s="5">
        <f>IF(CR185="direct",IFERROR(DF185/CW185,0),0)</f>
        <v>0</v>
      </c>
      <c r="DA185" s="5">
        <f>IF(CR185="direct",CY185-CZ185,IF(CR185="cash",DK185,CY185))</f>
        <v>0.0030297467459955967</v>
      </c>
      <c r="DB185" s="6">
        <v>0.1733466003316755</v>
      </c>
      <c r="DC185" s="4">
        <v>0.3177979266670729</v>
      </c>
      <c r="DD185" s="4">
        <v>0.3177979266670729</v>
      </c>
      <c r="DE185" s="5">
        <f>IF(CR185="direct",CY185*(CW185-CV185),DH185)</f>
        <v>0.0000621664985315492</v>
      </c>
      <c r="DF185" s="5">
        <f>IF(CR185="direct",DD185*CX185*C185/365,0)</f>
        <v>0</v>
      </c>
      <c r="DG185" s="5">
        <f>DE185-DF185</f>
        <v>0.00006216649853158631</v>
      </c>
      <c r="DH185" s="4">
        <v>0.00006216649853158631</v>
      </c>
      <c r="DI185" s="5">
        <f>DH185-DG185</f>
        <v>3.710681935331639e-17</v>
      </c>
      <c r="DJ185" s="4">
        <v>-6.23009673364483e-17</v>
      </c>
      <c r="DK185" s="4">
        <v>0.31786009316560443</v>
      </c>
      <c r="DL185" s="4">
        <v>1.876</v>
      </c>
      <c r="DM185" s="4">
        <v>1.863</v>
      </c>
      <c r="DN185" s="6"/>
      <c r="DO185" s="6"/>
      <c r="DP185" s="6"/>
      <c r="DQ185" s="9">
        <v>90</v>
      </c>
      <c r="DR185" s="7">
        <f>IFERROR(DG185/F185,0)</f>
        <v>0.000033909444558031856</v>
      </c>
      <c r="DS185" t="inlineStr">
        <is>
          <t xml:space="preserve">SI69Z</t>
        </is>
      </c>
      <c r="DT185" t="inlineStr">
        <is>
          <t xml:space="preserve">future</t>
        </is>
      </c>
      <c r="DU185" t="inlineStr">
        <is>
          <t xml:space="preserve">lease</t>
        </is>
      </c>
      <c r="DV185" t="inlineStr">
        <is>
          <t xml:space="preserve">long</t>
        </is>
      </c>
      <c r="DW185" t="inlineStr">
        <is>
          <t xml:space="preserve">regular</t>
        </is>
      </c>
      <c r="DX185" s="4">
        <v>1.8969999999999998</v>
      </c>
      <c r="DY185" s="4">
        <v>1.9069999999999998</v>
      </c>
      <c r="DZ185" s="6"/>
      <c r="EA185" s="4">
        <v>0.16501217671638824</v>
      </c>
      <c r="EB185" s="5">
        <f>IF(DT185="direct",IFERROR(EH185/DY185,0),0)</f>
        <v>0</v>
      </c>
      <c r="EC185" s="5">
        <f>IF(DT185="direct",EA185-EB185,IF(DT185="cash",EM185,EA185))</f>
        <v>0.16501217671638824</v>
      </c>
      <c r="ED185" s="6">
        <v>0.1707448421047246</v>
      </c>
      <c r="EE185" s="4">
        <v>0.31302809923098845</v>
      </c>
      <c r="EF185" s="4">
        <v>0</v>
      </c>
      <c r="EG185" s="5">
        <f>IF(DT185="direct",EA185*(DY185-DX185),EJ185)</f>
        <v>0.0016501217671638499</v>
      </c>
      <c r="EH185" s="5">
        <f>IF(DT185="direct",EF185*DZ185*C185/365,0)</f>
        <v>0</v>
      </c>
      <c r="EI185" s="5">
        <f>EG185-EH185</f>
        <v>0.0016501217671638499</v>
      </c>
      <c r="EJ185" s="4">
        <v>0.0016501217671638499</v>
      </c>
      <c r="EK185" s="5">
        <f>EJ185-EI185</f>
        <v>0</v>
      </c>
      <c r="EL185" s="4">
        <v>-0.0016501217671638499</v>
      </c>
      <c r="EM185" s="4">
        <v>0</v>
      </c>
      <c r="EN185" s="4">
        <v>1.876</v>
      </c>
      <c r="EO185" s="4">
        <v>1.863</v>
      </c>
      <c r="EP185" s="6">
        <v>0.011194029850746245</v>
      </c>
      <c r="EQ185" s="6">
        <v>0.07139999999999999</v>
      </c>
      <c r="ER185" s="6">
        <v>0.026001990049751324</v>
      </c>
      <c r="ES185" s="9">
        <v>90</v>
      </c>
      <c r="ET185" s="7">
        <f>IFERROR(EI185/F185,0)</f>
        <v>0.0009000782398772866</v>
      </c>
      <c r="EU185" t="inlineStr">
        <is>
          <t xml:space="preserve">SI70F</t>
        </is>
      </c>
      <c r="EV185" t="inlineStr">
        <is>
          <t xml:space="preserve">future</t>
        </is>
      </c>
      <c r="EW185" t="inlineStr">
        <is>
          <t xml:space="preserve">lease</t>
        </is>
      </c>
      <c r="EX185" t="inlineStr">
        <is>
          <t xml:space="preserve">long</t>
        </is>
      </c>
      <c r="EY185" t="inlineStr">
        <is>
          <t xml:space="preserve">regular</t>
        </is>
      </c>
      <c r="EZ185" s="4">
        <v>1.9169999999999998</v>
      </c>
      <c r="FA185" s="4">
        <v>1.9269999999999998</v>
      </c>
      <c r="FB185" s="6"/>
      <c r="FC185" s="4">
        <v>0.0024881728931061635</v>
      </c>
      <c r="FD185" s="5">
        <f>IF(EV185="direct",IFERROR(FJ185/FA185,0),0)</f>
        <v>0</v>
      </c>
      <c r="FE185" s="5">
        <f>IF(EV185="direct",FC185-FD185,IF(EV185="cash",FO185,FC185))</f>
        <v>0.0024881728931061635</v>
      </c>
      <c r="FF185" s="6">
        <v>0.0026017582269509225</v>
      </c>
      <c r="FG185" s="4">
        <v>0.004769827436084515</v>
      </c>
      <c r="FH185" s="4">
        <v>0</v>
      </c>
      <c r="FI185" s="5">
        <f>IF(EV185="direct",FC185*(FA185-EZ185),FL185)</f>
        <v>0.000024881728931061637</v>
      </c>
      <c r="FJ185" s="5">
        <f>IF(EV185="direct",FH185*FB185*C185/365,0)</f>
        <v>0</v>
      </c>
      <c r="FK185" s="5">
        <f>FI185-FJ185</f>
        <v>0.000024881728931061637</v>
      </c>
      <c r="FL185" s="4">
        <v>0.000024881728931061637</v>
      </c>
      <c r="FM185" s="5">
        <f>FL185-FK185</f>
        <v>0</v>
      </c>
      <c r="FN185" s="4">
        <v>-0.000024881728931061637</v>
      </c>
      <c r="FO185" s="4">
        <v>0</v>
      </c>
      <c r="FP185" s="4">
        <v>1.876</v>
      </c>
      <c r="FQ185" s="4">
        <v>1.863</v>
      </c>
      <c r="FR185" s="6">
        <v>0.021855010660980723</v>
      </c>
      <c r="FS185" s="6">
        <v>0.0720054945054945</v>
      </c>
      <c r="FT185" s="6">
        <v>0.0055298370783447995</v>
      </c>
      <c r="FU185" s="9">
        <v>120</v>
      </c>
      <c r="FV185" s="7">
        <f>IFERROR(FK185/F185,0)</f>
        <v>0.000013572030396196781</v>
      </c>
      <c r="FW185" t="inlineStr">
        <is>
          <t xml:space="preserve">Lease cash / margin / financing</t>
        </is>
      </c>
      <c r="FX185" t="inlineStr">
        <is>
          <t xml:space="preserve">cash</t>
        </is>
      </c>
      <c r="FY185" t="inlineStr">
        <is>
          <t xml:space="preserve">lease</t>
        </is>
      </c>
      <c r="FZ185" t="inlineStr">
        <is>
          <t xml:space="preserve">cash</t>
        </is>
      </c>
      <c r="GA185"/>
      <c r="GB185" s="4">
        <v>1</v>
      </c>
      <c r="GC185" s="4">
        <v>1</v>
      </c>
      <c r="GD185" s="6"/>
      <c r="GE185" s="4">
        <v>6.661338147750939e-16</v>
      </c>
      <c r="GF185" s="5">
        <f>IF(FX185="direct",IFERROR(GL185/GC185,0),0)</f>
        <v>0</v>
      </c>
      <c r="GG185" s="5">
        <f>IF(FX185="direct",GE185-GF185,IF(FX185="cash",GQ185,GE185))</f>
        <v>0.0016750034960956398</v>
      </c>
      <c r="GH185" s="6"/>
      <c r="GI185" s="4">
        <v>6.661338147750939e-16</v>
      </c>
      <c r="GJ185" s="4">
        <v>6.661338147750939e-16</v>
      </c>
      <c r="GK185" s="5">
        <f>IF(FX185="direct",GE185*(GC185-GB185),GN185)</f>
        <v>0</v>
      </c>
      <c r="GL185" s="5">
        <f>IF(FX185="direct",GJ185*GD185*C185/365,0)</f>
        <v>0</v>
      </c>
      <c r="GM185" s="5">
        <f>GK185-GL185</f>
        <v>0</v>
      </c>
      <c r="GN185" s="4">
        <v>0</v>
      </c>
      <c r="GO185" s="5">
        <f>GN185-GM185</f>
        <v>0</v>
      </c>
      <c r="GP185" s="4">
        <v>0.0016750034960949737</v>
      </c>
      <c r="GQ185" s="4">
        <v>0.0016750034960956398</v>
      </c>
      <c r="GR185" s="4">
        <v>1.876</v>
      </c>
      <c r="GS185" s="4">
        <v>1.863</v>
      </c>
      <c r="GT185" s="6"/>
      <c r="GU185" s="6"/>
      <c r="GV185" s="6"/>
      <c r="GW185" s="9"/>
      <c r="GX185" s="7">
        <f>IFERROR(GM185/F185,0)</f>
        <v>0</v>
      </c>
      <c r="GY185" t="inlineStr">
        <is>
          <t xml:space="preserve">Keep cash / margin / financing</t>
        </is>
      </c>
      <c r="GZ185" t="inlineStr">
        <is>
          <t xml:space="preserve">cash</t>
        </is>
      </c>
      <c r="HA185" t="inlineStr">
        <is>
          <t xml:space="preserve">keep</t>
        </is>
      </c>
      <c r="HB185" t="inlineStr">
        <is>
          <t xml:space="preserve">cash</t>
        </is>
      </c>
      <c r="HC185"/>
      <c r="HD185" s="4">
        <v>1</v>
      </c>
      <c r="HE185" s="4">
        <v>1</v>
      </c>
      <c r="HF185" s="6"/>
      <c r="HG185" s="4">
        <v>0</v>
      </c>
      <c r="HH185" s="5">
        <f>IF(GZ185="direct",IFERROR(HN185/HE185,0),0)</f>
        <v>0</v>
      </c>
      <c r="HI185" s="5">
        <f>IF(GZ185="direct",HG185-HH185,IF(GZ185="cash",HS185,HG185))</f>
        <v>0</v>
      </c>
      <c r="HJ185" s="6"/>
      <c r="HK185" s="4">
        <v>0</v>
      </c>
      <c r="HL185" s="4">
        <v>0</v>
      </c>
      <c r="HM185" s="5">
        <f>IF(GZ185="direct",HG185*(HE185-HD185),HP185)</f>
        <v>0</v>
      </c>
      <c r="HN185" s="5">
        <f>IF(GZ185="direct",HL185*HF185*C185/365,0)</f>
        <v>0</v>
      </c>
      <c r="HO185" s="5">
        <f>HM185-HN185</f>
        <v>0</v>
      </c>
      <c r="HP185" s="4">
        <v>0</v>
      </c>
      <c r="HQ185" s="5">
        <f>HP185-HO185</f>
        <v>0</v>
      </c>
      <c r="HR185" s="4">
        <v>0</v>
      </c>
      <c r="HS185" s="4">
        <v>0</v>
      </c>
      <c r="HT185" s="4">
        <v>1.876</v>
      </c>
      <c r="HU185" s="4">
        <v>1.863</v>
      </c>
      <c r="HV185" s="6"/>
      <c r="HW185" s="6"/>
      <c r="HX185" s="6"/>
      <c r="HY185" s="9"/>
      <c r="HZ185" s="7">
        <f>IFERROR(HO185/F185,0)</f>
        <v>0</v>
      </c>
      <c r="IA185"/>
      <c r="IB185"/>
      <c r="IC185"/>
      <c r="ID185"/>
      <c r="IE185"/>
      <c r="IF185" s="4"/>
      <c r="IG185" s="4"/>
      <c r="IH185" s="6"/>
      <c r="II185" s="4"/>
      <c r="IJ185" s="5">
        <v>0</v>
      </c>
      <c r="IK185" s="5"/>
      <c r="IL185" s="6"/>
      <c r="IM185" s="4"/>
      <c r="IN185" s="4"/>
      <c r="IO185" s="5">
        <v>0</v>
      </c>
      <c r="IP185" s="5">
        <v>0</v>
      </c>
      <c r="IQ185" s="5"/>
      <c r="IR185" s="4"/>
      <c r="IS185" s="5">
        <v>0</v>
      </c>
      <c r="IT185" s="4"/>
      <c r="IU185" s="4"/>
      <c r="IV185" s="4"/>
      <c r="IW185" s="4"/>
      <c r="IX185" s="6"/>
      <c r="IY185" s="6"/>
      <c r="IZ185" s="6"/>
      <c r="JA185" s="9"/>
      <c r="JB185"/>
      <c r="JC185"/>
      <c r="JD185"/>
      <c r="JE185"/>
      <c r="JF185"/>
      <c r="JG185"/>
      <c r="JH185" s="4"/>
      <c r="JI185" s="4"/>
      <c r="JJ185" s="6"/>
      <c r="JK185" s="4"/>
      <c r="JL185" s="5">
        <v>0</v>
      </c>
      <c r="JM185" s="5"/>
      <c r="JN185" s="6"/>
      <c r="JO185" s="4"/>
      <c r="JP185" s="4"/>
      <c r="JQ185" s="5">
        <v>0</v>
      </c>
      <c r="JR185" s="5">
        <v>0</v>
      </c>
      <c r="JS185" s="5"/>
      <c r="JT185" s="4"/>
      <c r="JU185" s="5">
        <v>0</v>
      </c>
      <c r="JV185" s="4"/>
      <c r="JW185" s="4"/>
      <c r="JX185" s="4"/>
      <c r="JY185" s="4"/>
      <c r="JZ185" s="6"/>
      <c r="KA185" s="6"/>
      <c r="KB185" s="6"/>
      <c r="KC185" s="9"/>
      <c r="KD185"/>
      <c r="KE185"/>
      <c r="KF185"/>
      <c r="KG185"/>
      <c r="KH185"/>
      <c r="KI185"/>
      <c r="KJ185" s="4"/>
      <c r="KK185" s="4"/>
      <c r="KL185" s="6"/>
      <c r="KM185" s="4"/>
      <c r="KN185" s="5">
        <v>0</v>
      </c>
      <c r="KO185" s="5"/>
      <c r="KP185" s="6"/>
      <c r="KQ185" s="4"/>
      <c r="KR185" s="4"/>
      <c r="KS185" s="5">
        <v>0</v>
      </c>
      <c r="KT185" s="5">
        <v>0</v>
      </c>
      <c r="KU185" s="5"/>
      <c r="KV185" s="4"/>
      <c r="KW185" s="5">
        <v>0</v>
      </c>
      <c r="KX185" s="4"/>
      <c r="KY185" s="4"/>
      <c r="KZ185" s="4"/>
      <c r="LA185" s="4"/>
      <c r="LB185" s="6"/>
      <c r="LC185" s="6"/>
      <c r="LD185" s="6"/>
      <c r="LE185" s="9"/>
      <c r="LF185"/>
      <c r="LG185"/>
      <c r="LH185"/>
      <c r="LI185"/>
      <c r="LJ185"/>
      <c r="LK185"/>
      <c r="LL185" s="4"/>
      <c r="LM185" s="4"/>
      <c r="LN185" s="6"/>
      <c r="LO185" s="4"/>
      <c r="LP185" s="5">
        <v>0</v>
      </c>
      <c r="LQ185" s="5"/>
      <c r="LR185" s="6"/>
      <c r="LS185" s="4"/>
      <c r="LT185" s="4"/>
      <c r="LU185" s="5">
        <v>0</v>
      </c>
      <c r="LV185" s="5">
        <v>0</v>
      </c>
      <c r="LW185" s="5"/>
      <c r="LX185" s="4"/>
      <c r="LY185" s="5">
        <v>0</v>
      </c>
      <c r="LZ185" s="4"/>
      <c r="MA185" s="4"/>
      <c r="MB185" s="4"/>
      <c r="MC185" s="4"/>
      <c r="MD185" s="6"/>
      <c r="ME185" s="6"/>
      <c r="MF185" s="6"/>
      <c r="MG185" s="9"/>
      <c r="MH185"/>
    </row>
    <row r="186">
      <c r="A186" s="8">
        <v>25477</v>
      </c>
      <c r="B186" s="8">
        <v>25478</v>
      </c>
      <c r="C186" s="9">
        <f>B186-A186</f>
        <v>1</v>
      </c>
      <c r="D186" s="8">
        <v>25477</v>
      </c>
      <c r="E186" t="inlineStr">
        <is>
          <t xml:space="preserve">neutral</t>
        </is>
      </c>
      <c r="F186" s="4">
        <v>1.8245341003563957</v>
      </c>
      <c r="G186" s="6">
        <v>0.016632978918962493</v>
      </c>
      <c r="H186" s="7">
        <f>SUM(CP186,DR186,ET186,FV186,GX186,HZ186,JB186,KD186,LF186,MH186)</f>
        <v>0.016632978918962493</v>
      </c>
      <c r="I186" s="7">
        <f>G186-H186</f>
        <v>0</v>
      </c>
      <c r="J186" s="5">
        <f>F186*(1+H186)</f>
        <v>1.854881537584552</v>
      </c>
      <c r="K186" s="4">
        <v>1.854881537584552</v>
      </c>
      <c r="L186" s="5">
        <f>K186-J186</f>
        <v>0</v>
      </c>
      <c r="M186" s="4">
        <v>1.863</v>
      </c>
      <c r="N186" s="4">
        <v>1.894</v>
      </c>
      <c r="O186" s="5">
        <f>M186/$M$3</f>
        <v>0.9514811031664965</v>
      </c>
      <c r="P186" s="5">
        <f>N186/$M$3</f>
        <v>0.9673135852911133</v>
      </c>
      <c r="Q186" s="7">
        <f>IFERROR(N186/M186-1,0)</f>
        <v>0.016639828234030984</v>
      </c>
      <c r="R186" s="5">
        <f>SUM(IF(BQ186="lease",CB186,0),IF(CS186="lease",DD186,0),IF(DU186="lease",EF186,0),IF(EW186="lease",FH186,0),IF(FY186="lease",GJ186,0),IF(HA186="lease",HL186,0),IF(IC186="lease",IN186,0),IF(JE186="lease",JP186,0),IF(KG186="lease",KR186,0),IF(LI186="lease",LT186,0))</f>
        <v>1.8245341003563962</v>
      </c>
      <c r="S186" s="5">
        <f>SUM(IF(BQ186="lease",CI186,0),IF(CS186="lease",DK186,0),IF(DU186="lease",EM186,0),IF(EW186="lease",FO186,0),IF(FY186="lease",GQ186,0),IF(HA186="lease",HS186,0),IF(IC186="lease",IU186,0),IF(JE186="lease",JW186,0),IF(KG186="lease",KY186,0),IF(LI186="lease",MA186,0))</f>
        <v>1.8548815375845524</v>
      </c>
      <c r="T186" s="5">
        <f>SUM(IF(BQ186="keep",CB186,0),IF(CS186="keep",DD186,0),IF(DU186="keep",EF186,0),IF(EW186="keep",FH186,0),IF(FY186="keep",GJ186,0),IF(HA186="keep",HL186,0),IF(IC186="keep",IN186,0),IF(JE186="keep",JP186,0),IF(KG186="keep",KR186,0),IF(LI186="keep",LT186,0))</f>
        <v>0</v>
      </c>
      <c r="U186" s="5">
        <f>SUM(IF(BQ186="keep",CI186,0),IF(CS186="keep",DK186,0),IF(DU186="keep",EM186,0),IF(EW186="keep",FO186,0),IF(FY186="keep",GQ186,0),IF(HA186="keep",HS186,0),IF(IC186="keep",IU186,0),IF(JE186="keep",JW186,0),IF(KG186="keep",KY186,0),IF(LI186="keep",MA186,0))</f>
        <v>0</v>
      </c>
      <c r="V186" s="5">
        <f>R186/O186</f>
        <v>1.917572607889331</v>
      </c>
      <c r="W186" s="5">
        <f>S186/P186</f>
        <v>1.9175596888017707</v>
      </c>
      <c r="X186" s="5">
        <f>T186/O186</f>
        <v>0</v>
      </c>
      <c r="Y186" s="5">
        <f>U186/P186</f>
        <v>0</v>
      </c>
      <c r="Z186" s="5">
        <f>V186+X186</f>
        <v>1.917572607889331</v>
      </c>
      <c r="AA186" s="7">
        <f>IFERROR(W186/V186-1,0)</f>
        <v>-0.000006737209066853822</v>
      </c>
      <c r="AB186" s="7">
        <f>IFERROR((W186-V186)/Z186,0)</f>
        <v>-0.0000067372090668324006</v>
      </c>
      <c r="AC186" s="7">
        <f>IFERROR(Y186/X186-1,0)</f>
        <v>0</v>
      </c>
      <c r="AD186" s="7">
        <f>IFERROR((Y186-X186)/Z186,0)</f>
        <v>0</v>
      </c>
      <c r="AE186" s="7">
        <f>AB186+AD186</f>
        <v>-0.0000067372090668324006</v>
      </c>
      <c r="AF186" s="7">
        <f>(1+Q186)*(1+AE186)-1</f>
        <v>0.016632978918962538</v>
      </c>
      <c r="AG186" s="7">
        <f>G186-AF186</f>
        <v>-4.5102810375396984e-17</v>
      </c>
      <c r="AH186" s="5">
        <f>SUM(IF(BQ186="lease",CE186,0),IF(CS186="lease",DG186,0),IF(DU186="lease",EI186,0),IF(EW186="lease",FK186,0),IF(FY186="lease",GM186,0),IF(HA186="lease",HO186,0),IF(IC186="lease",IQ186,0),IF(JE186="lease",JS186,0),IF(KG186="lease",KU186,0),IF(LI186="lease",LW186,0))</f>
        <v>0.030347437228156127</v>
      </c>
      <c r="AI186" s="5">
        <f>SUM(IF(BQ186="keep",CE186,0),IF(CS186="keep",DG186,0),IF(DU186="keep",EI186,0),IF(EW186="keep",FK186,0),IF(FY186="keep",GM186,0),IF(HA186="keep",HO186,0),IF(IC186="keep",IQ186,0),IF(JE186="keep",JS186,0),IF(KG186="keep",KU186,0),IF(LI186="keep",LW186,0))</f>
        <v>0</v>
      </c>
      <c r="AJ186" s="5">
        <f>SUM(IF(BQ186="lease",CH186,0),IF(CS186="lease",DJ186,0),IF(DU186="lease",EL186,0),IF(EW186="lease",FN186,0),IF(FY186="lease",GP186,0),IF(HA186="lease",HR186,0),IF(IC186="lease",IT186,0),IF(JE186="lease",JV186,0),IF(KG186="lease",KX186,0),IF(LI186="lease",LZ186,0))</f>
        <v>0</v>
      </c>
      <c r="AK186" s="5">
        <f>SUM(IF(BQ186="keep",CH186,0),IF(CS186="keep",DJ186,0),IF(DU186="keep",EL186,0),IF(EW186="keep",FN186,0),IF(FY186="keep",GP186,0),IF(HA186="keep",HR186,0),IF(IC186="keep",IT186,0),IF(JE186="keep",JV186,0),IF(KG186="keep",KX186,0),IF(LI186="keep",LZ186,0))</f>
        <v>0</v>
      </c>
      <c r="AL186" s="5">
        <f>R186-S185</f>
        <v>0</v>
      </c>
      <c r="AM186" s="5">
        <f>T186-U185</f>
        <v>0</v>
      </c>
      <c r="AN186" s="5">
        <f>AN185</f>
        <v>1</v>
      </c>
      <c r="AO186" s="5">
        <f>AO185+AH186</f>
        <v>0.8548815375845528</v>
      </c>
      <c r="AP186" s="5">
        <f>AP185+AL186</f>
        <v>-6.661338147750939e-16</v>
      </c>
      <c r="AQ186" s="5">
        <f>AN186+AO186+AP186</f>
        <v>1.854881537584552</v>
      </c>
      <c r="AR186" s="5">
        <f>S186-AQ186</f>
        <v>4.440892098500626e-16</v>
      </c>
      <c r="AS186" s="5">
        <f>AS185</f>
        <v>0</v>
      </c>
      <c r="AT186" s="5">
        <f>AT185+AI186</f>
        <v>0</v>
      </c>
      <c r="AU186" s="5">
        <f>AU185+AM186</f>
        <v>0</v>
      </c>
      <c r="AV186" s="5">
        <f>AS186+AT186+AU186</f>
        <v>0</v>
      </c>
      <c r="AW186" s="5">
        <f>U186-AV186</f>
        <v>0</v>
      </c>
      <c r="AX186" s="4">
        <v>1.8245341003563962</v>
      </c>
      <c r="AY186" s="4">
        <v>1.8548815375845522</v>
      </c>
      <c r="AZ186" s="5">
        <f>S186-AY186</f>
        <v>2.220446049250313e-16</v>
      </c>
      <c r="BA186" s="4">
        <v>0</v>
      </c>
      <c r="BB186" s="4">
        <v>0</v>
      </c>
      <c r="BC186" s="5">
        <f>U186-BB186</f>
        <v>0</v>
      </c>
      <c r="BD186" s="7">
        <f>SUM(IF(BP186="direct",CC186/F186,0),IF(CR186="direct",DE186/F186,0),IF(DT186="direct",EG186/F186,0),IF(EV186="direct",FI186/F186,0),IF(FX186="direct",GK186/F186,0),IF(GZ186="direct",HM186/F186,0),IF(IB186="direct",IO186/F186,0),IF(JD186="direct",JQ186/F186,0),IF(KF186="direct",KS186/F186,0),IF(LH186="direct",LU186/F186,0))</f>
        <v>0.01663982823403109</v>
      </c>
      <c r="BE186" s="7">
        <f>-SUM(IF(BP186="direct",CD186/F186,0),IF(CR186="direct",DF186/F186,0),IF(DT186="direct",EH186/F186,0),IF(EV186="direct",FJ186/F186,0),IF(FX186="direct",GL186/F186,0),IF(GZ186="direct",HN186/F186,0),IF(IB186="direct",IP186/F186,0),IF(JD186="direct",JR186/F186,0),IF(KF186="direct",KT186/F186,0),IF(LH186="direct",LV186/F186,0))</f>
        <v>-0.00000684931506849315</v>
      </c>
      <c r="BF186" s="7">
        <f>BD186+BE186</f>
        <v>0.016632978918962597</v>
      </c>
      <c r="BG186" s="7">
        <f>BF186-SUM(IF(BP186="direct",CP186,0),IF(CR186="direct",DR186,0),IF(DT186="direct",ET186,0),IF(EV186="direct",FV186,0),IF(FX186="direct",GX186,0),IF(GZ186="direct",HZ186,0),IF(IB186="direct",JB186,0),IF(JD186="direct",KD186,0),IF(KF186="direct",LF186,0),IF(LH186="direct",MH186,0))</f>
        <v>1.0408340855860843e-16</v>
      </c>
      <c r="BH186" s="7">
        <f>SUM(IF(BP186="treasury",CP186,0),IF(CR186="treasury",DR186,0),IF(DT186="treasury",ET186,0),IF(EV186="treasury",FV186,0),IF(FX186="treasury",GX186,0),IF(GZ186="treasury",HZ186,0),IF(IB186="treasury",JB186,0),IF(JD186="treasury",KD186,0),IF(KF186="treasury",LF186,0),IF(LH186="treasury",MH186,0))</f>
        <v>0</v>
      </c>
      <c r="BI186" s="7">
        <f>SUM(IF(BP186="future",CP186,0),IF(CR186="future",DR186,0),IF(DT186="future",ET186,0),IF(EV186="future",FV186,0),IF(FX186="future",GX186,0),IF(GZ186="future",HZ186,0),IF(IB186="future",JB186,0),IF(JD186="future",KD186,0),IF(KF186="future",LF186,0),IF(LH186="future",MH186,0))</f>
        <v>0</v>
      </c>
      <c r="BJ186" s="7">
        <f>SUM(IF(BP186="cash",CP186,0),IF(CR186="cash",DR186,0),IF(DT186="cash",ET186,0),IF(EV186="cash",FV186,0),IF(FX186="cash",GX186,0),IF(GZ186="cash",HZ186,0),IF(IB186="cash",JB186,0),IF(JD186="cash",KD186,0),IF(KF186="cash",LF186,0),IF(LH186="cash",MH186,0))</f>
        <v>0</v>
      </c>
      <c r="BK186" s="7">
        <f>SUM(BF186,BH186,BI186,BJ186)</f>
        <v>0.016632978918962493</v>
      </c>
      <c r="BL186" s="7">
        <f>G186-BK186</f>
        <v>0</v>
      </c>
      <c r="BM186" s="5">
        <f>MAX(ABS(CG186),ABS(DI186),ABS(EK186),ABS(FM186),ABS(GO186),ABS(HQ186),ABS(IS186),ABS(JU186),ABS(KW186),ABS(LY186))</f>
        <v>1.868063402533579e-16</v>
      </c>
      <c r="BN186" s="9">
        <f>COUNTA(BO186,CQ186,DS186,EU186,FW186,GY186,IA186,JC186,KE186,LG186)</f>
        <v>3</v>
      </c>
      <c r="BO186" t="inlineStr">
        <is>
          <t xml:space="preserve">Direct commodity holding</t>
        </is>
      </c>
      <c r="BP186" t="inlineStr">
        <is>
          <t xml:space="preserve">direct</t>
        </is>
      </c>
      <c r="BQ186" t="inlineStr">
        <is>
          <t xml:space="preserve">lease</t>
        </is>
      </c>
      <c r="BR186" t="inlineStr">
        <is>
          <t xml:space="preserve">long</t>
        </is>
      </c>
      <c r="BS186"/>
      <c r="BT186" s="4">
        <v>1.863</v>
      </c>
      <c r="BU186" s="4">
        <v>1.894</v>
      </c>
      <c r="BV186" s="6">
        <v>0.0025</v>
      </c>
      <c r="BW186" s="4">
        <v>0.9793527108729982</v>
      </c>
      <c r="BX186" s="5">
        <f>IF(BP186="direct",IFERROR(CD186/BU186,0),0)</f>
        <v>0.00000659810396333192</v>
      </c>
      <c r="BY186" s="5">
        <f>IF(BP186="direct",BW186-BX186,IF(BP186="cash",CI186,BW186))</f>
        <v>0.9793461127690349</v>
      </c>
      <c r="BZ186" s="6">
        <v>1</v>
      </c>
      <c r="CA186" s="4">
        <v>1.8245341003563957</v>
      </c>
      <c r="CB186" s="4">
        <v>1.8245341003563957</v>
      </c>
      <c r="CC186" s="5">
        <f>IF(BP186="direct",BW186*(BU186-BT186),CF186)</f>
        <v>0.030359934037062865</v>
      </c>
      <c r="CD186" s="5">
        <f>IF(BP186="direct",CB186*BV186*C186/365,0)</f>
        <v>0.000012496808906550655</v>
      </c>
      <c r="CE186" s="5">
        <f>CC186-CD186</f>
        <v>0.030347437228156127</v>
      </c>
      <c r="CF186" s="4">
        <v>0.030347437228156127</v>
      </c>
      <c r="CG186" s="5">
        <f>CF186-CE186</f>
        <v>-1.868063402533579e-16</v>
      </c>
      <c r="CH186" s="4">
        <v>0</v>
      </c>
      <c r="CI186" s="4">
        <v>1.854881537584552</v>
      </c>
      <c r="CJ186" s="4">
        <v>1.863</v>
      </c>
      <c r="CK186" s="4">
        <v>1.894</v>
      </c>
      <c r="CL186" s="6"/>
      <c r="CM186" s="6"/>
      <c r="CN186" s="6"/>
      <c r="CO186" s="9"/>
      <c r="CP186" s="7">
        <f>IFERROR(CE186/F186,0)</f>
        <v>0.016632978918962493</v>
      </c>
      <c r="CQ186" t="inlineStr">
        <is>
          <t xml:space="preserve">Lease cash / margin / financing</t>
        </is>
      </c>
      <c r="CR186" t="inlineStr">
        <is>
          <t xml:space="preserve">cash</t>
        </is>
      </c>
      <c r="CS186" t="inlineStr">
        <is>
          <t xml:space="preserve">lease</t>
        </is>
      </c>
      <c r="CT186" t="inlineStr">
        <is>
          <t xml:space="preserve">cash</t>
        </is>
      </c>
      <c r="CU186"/>
      <c r="CV186" s="4">
        <v>1</v>
      </c>
      <c r="CW186" s="4">
        <v>1</v>
      </c>
      <c r="CX186" s="6"/>
      <c r="CY186" s="4">
        <v>4.440892098500626e-16</v>
      </c>
      <c r="CZ186" s="5">
        <f>IF(CR186="direct",IFERROR(DF186/CW186,0),0)</f>
        <v>0</v>
      </c>
      <c r="DA186" s="5">
        <f>IF(CR186="direct",CY186-CZ186,IF(CR186="cash",DK186,CY186))</f>
        <v>4.440892098500626e-16</v>
      </c>
      <c r="DB186" s="6"/>
      <c r="DC186" s="4">
        <v>4.440892098500626e-16</v>
      </c>
      <c r="DD186" s="4">
        <v>4.440892098500626e-16</v>
      </c>
      <c r="DE186" s="5">
        <f>IF(CR186="direct",CY186*(CW186-CV186),DH186)</f>
        <v>0</v>
      </c>
      <c r="DF186" s="5">
        <f>IF(CR186="direct",DD186*CX186*C186/365,0)</f>
        <v>0</v>
      </c>
      <c r="DG186" s="5">
        <f>DE186-DF186</f>
        <v>0</v>
      </c>
      <c r="DH186" s="4">
        <v>0</v>
      </c>
      <c r="DI186" s="5">
        <f>DH186-DG186</f>
        <v>0</v>
      </c>
      <c r="DJ186" s="4">
        <v>0</v>
      </c>
      <c r="DK186" s="4">
        <v>4.440892098500626e-16</v>
      </c>
      <c r="DL186" s="4">
        <v>1.863</v>
      </c>
      <c r="DM186" s="4">
        <v>1.894</v>
      </c>
      <c r="DN186" s="6"/>
      <c r="DO186" s="6"/>
      <c r="DP186" s="6"/>
      <c r="DQ186" s="9"/>
      <c r="DR186" s="7">
        <f>IFERROR(DG186/F186,0)</f>
        <v>0</v>
      </c>
      <c r="DS186" t="inlineStr">
        <is>
          <t xml:space="preserve">Keep cash / margin / financing</t>
        </is>
      </c>
      <c r="DT186" t="inlineStr">
        <is>
          <t xml:space="preserve">cash</t>
        </is>
      </c>
      <c r="DU186" t="inlineStr">
        <is>
          <t xml:space="preserve">keep</t>
        </is>
      </c>
      <c r="DV186" t="inlineStr">
        <is>
          <t xml:space="preserve">cash</t>
        </is>
      </c>
      <c r="DW186"/>
      <c r="DX186" s="4">
        <v>1</v>
      </c>
      <c r="DY186" s="4">
        <v>1</v>
      </c>
      <c r="DZ186" s="6"/>
      <c r="EA186" s="4">
        <v>0</v>
      </c>
      <c r="EB186" s="5">
        <f>IF(DT186="direct",IFERROR(EH186/DY186,0),0)</f>
        <v>0</v>
      </c>
      <c r="EC186" s="5">
        <f>IF(DT186="direct",EA186-EB186,IF(DT186="cash",EM186,EA186))</f>
        <v>0</v>
      </c>
      <c r="ED186" s="6"/>
      <c r="EE186" s="4">
        <v>0</v>
      </c>
      <c r="EF186" s="4">
        <v>0</v>
      </c>
      <c r="EG186" s="5">
        <f>IF(DT186="direct",EA186*(DY186-DX186),EJ186)</f>
        <v>0</v>
      </c>
      <c r="EH186" s="5">
        <f>IF(DT186="direct",EF186*DZ186*C186/365,0)</f>
        <v>0</v>
      </c>
      <c r="EI186" s="5">
        <f>EG186-EH186</f>
        <v>0</v>
      </c>
      <c r="EJ186" s="4">
        <v>0</v>
      </c>
      <c r="EK186" s="5">
        <f>EJ186-EI186</f>
        <v>0</v>
      </c>
      <c r="EL186" s="4">
        <v>0</v>
      </c>
      <c r="EM186" s="4">
        <v>0</v>
      </c>
      <c r="EN186" s="4">
        <v>1.863</v>
      </c>
      <c r="EO186" s="4">
        <v>1.894</v>
      </c>
      <c r="EP186" s="6"/>
      <c r="EQ186" s="6"/>
      <c r="ER186" s="6"/>
      <c r="ES186" s="9"/>
      <c r="ET186" s="7">
        <f>IFERROR(EI186/F186,0)</f>
        <v>0</v>
      </c>
      <c r="EU186"/>
      <c r="EV186"/>
      <c r="EW186"/>
      <c r="EX186"/>
      <c r="EY186"/>
      <c r="EZ186" s="4"/>
      <c r="FA186" s="4"/>
      <c r="FB186" s="6"/>
      <c r="FC186" s="4"/>
      <c r="FD186" s="5">
        <v>0</v>
      </c>
      <c r="FE186" s="5"/>
      <c r="FF186" s="6"/>
      <c r="FG186" s="4"/>
      <c r="FH186" s="4"/>
      <c r="FI186" s="5">
        <v>0</v>
      </c>
      <c r="FJ186" s="5">
        <v>0</v>
      </c>
      <c r="FK186" s="5"/>
      <c r="FL186" s="4"/>
      <c r="FM186" s="5">
        <v>0</v>
      </c>
      <c r="FN186" s="4"/>
      <c r="FO186" s="4"/>
      <c r="FP186" s="4"/>
      <c r="FQ186" s="4"/>
      <c r="FR186" s="6"/>
      <c r="FS186" s="6"/>
      <c r="FT186" s="6"/>
      <c r="FU186" s="9"/>
      <c r="FV186"/>
      <c r="FW186"/>
      <c r="FX186"/>
      <c r="FY186"/>
      <c r="FZ186"/>
      <c r="GA186"/>
      <c r="GB186" s="4"/>
      <c r="GC186" s="4"/>
      <c r="GD186" s="6"/>
      <c r="GE186" s="4"/>
      <c r="GF186" s="5">
        <v>0</v>
      </c>
      <c r="GG186" s="5"/>
      <c r="GH186" s="6"/>
      <c r="GI186" s="4"/>
      <c r="GJ186" s="4"/>
      <c r="GK186" s="5">
        <v>0</v>
      </c>
      <c r="GL186" s="5">
        <v>0</v>
      </c>
      <c r="GM186" s="5"/>
      <c r="GN186" s="4"/>
      <c r="GO186" s="5">
        <v>0</v>
      </c>
      <c r="GP186" s="4"/>
      <c r="GQ186" s="4"/>
      <c r="GR186" s="4"/>
      <c r="GS186" s="4"/>
      <c r="GT186" s="6"/>
      <c r="GU186" s="6"/>
      <c r="GV186" s="6"/>
      <c r="GW186" s="9"/>
      <c r="GX186"/>
      <c r="GY186"/>
      <c r="GZ186"/>
      <c r="HA186"/>
      <c r="HB186"/>
      <c r="HC186"/>
      <c r="HD186" s="4"/>
      <c r="HE186" s="4"/>
      <c r="HF186" s="6"/>
      <c r="HG186" s="4"/>
      <c r="HH186" s="5">
        <v>0</v>
      </c>
      <c r="HI186" s="5"/>
      <c r="HJ186" s="6"/>
      <c r="HK186" s="4"/>
      <c r="HL186" s="4"/>
      <c r="HM186" s="5">
        <v>0</v>
      </c>
      <c r="HN186" s="5">
        <v>0</v>
      </c>
      <c r="HO186" s="5"/>
      <c r="HP186" s="4"/>
      <c r="HQ186" s="5">
        <v>0</v>
      </c>
      <c r="HR186" s="4"/>
      <c r="HS186" s="4"/>
      <c r="HT186" s="4"/>
      <c r="HU186" s="4"/>
      <c r="HV186" s="6"/>
      <c r="HW186" s="6"/>
      <c r="HX186" s="6"/>
      <c r="HY186" s="9"/>
      <c r="HZ186"/>
      <c r="IA186"/>
      <c r="IB186"/>
      <c r="IC186"/>
      <c r="ID186"/>
      <c r="IE186"/>
      <c r="IF186" s="4"/>
      <c r="IG186" s="4"/>
      <c r="IH186" s="6"/>
      <c r="II186" s="4"/>
      <c r="IJ186" s="5">
        <v>0</v>
      </c>
      <c r="IK186" s="5"/>
      <c r="IL186" s="6"/>
      <c r="IM186" s="4"/>
      <c r="IN186" s="4"/>
      <c r="IO186" s="5">
        <v>0</v>
      </c>
      <c r="IP186" s="5">
        <v>0</v>
      </c>
      <c r="IQ186" s="5"/>
      <c r="IR186" s="4"/>
      <c r="IS186" s="5">
        <v>0</v>
      </c>
      <c r="IT186" s="4"/>
      <c r="IU186" s="4"/>
      <c r="IV186" s="4"/>
      <c r="IW186" s="4"/>
      <c r="IX186" s="6"/>
      <c r="IY186" s="6"/>
      <c r="IZ186" s="6"/>
      <c r="JA186" s="9"/>
      <c r="JB186"/>
      <c r="JC186"/>
      <c r="JD186"/>
      <c r="JE186"/>
      <c r="JF186"/>
      <c r="JG186"/>
      <c r="JH186" s="4"/>
      <c r="JI186" s="4"/>
      <c r="JJ186" s="6"/>
      <c r="JK186" s="4"/>
      <c r="JL186" s="5">
        <v>0</v>
      </c>
      <c r="JM186" s="5"/>
      <c r="JN186" s="6"/>
      <c r="JO186" s="4"/>
      <c r="JP186" s="4"/>
      <c r="JQ186" s="5">
        <v>0</v>
      </c>
      <c r="JR186" s="5">
        <v>0</v>
      </c>
      <c r="JS186" s="5"/>
      <c r="JT186" s="4"/>
      <c r="JU186" s="5">
        <v>0</v>
      </c>
      <c r="JV186" s="4"/>
      <c r="JW186" s="4"/>
      <c r="JX186" s="4"/>
      <c r="JY186" s="4"/>
      <c r="JZ186" s="6"/>
      <c r="KA186" s="6"/>
      <c r="KB186" s="6"/>
      <c r="KC186" s="9"/>
      <c r="KD186"/>
      <c r="KE186"/>
      <c r="KF186"/>
      <c r="KG186"/>
      <c r="KH186"/>
      <c r="KI186"/>
      <c r="KJ186" s="4"/>
      <c r="KK186" s="4"/>
      <c r="KL186" s="6"/>
      <c r="KM186" s="4"/>
      <c r="KN186" s="5">
        <v>0</v>
      </c>
      <c r="KO186" s="5"/>
      <c r="KP186" s="6"/>
      <c r="KQ186" s="4"/>
      <c r="KR186" s="4"/>
      <c r="KS186" s="5">
        <v>0</v>
      </c>
      <c r="KT186" s="5">
        <v>0</v>
      </c>
      <c r="KU186" s="5"/>
      <c r="KV186" s="4"/>
      <c r="KW186" s="5">
        <v>0</v>
      </c>
      <c r="KX186" s="4"/>
      <c r="KY186" s="4"/>
      <c r="KZ186" s="4"/>
      <c r="LA186" s="4"/>
      <c r="LB186" s="6"/>
      <c r="LC186" s="6"/>
      <c r="LD186" s="6"/>
      <c r="LE186" s="9"/>
      <c r="LF186"/>
      <c r="LG186"/>
      <c r="LH186"/>
      <c r="LI186"/>
      <c r="LJ186"/>
      <c r="LK186"/>
      <c r="LL186" s="4"/>
      <c r="LM186" s="4"/>
      <c r="LN186" s="6"/>
      <c r="LO186" s="4"/>
      <c r="LP186" s="5">
        <v>0</v>
      </c>
      <c r="LQ186" s="5"/>
      <c r="LR186" s="6"/>
      <c r="LS186" s="4"/>
      <c r="LT186" s="4"/>
      <c r="LU186" s="5">
        <v>0</v>
      </c>
      <c r="LV186" s="5">
        <v>0</v>
      </c>
      <c r="LW186" s="5"/>
      <c r="LX186" s="4"/>
      <c r="LY186" s="5">
        <v>0</v>
      </c>
      <c r="LZ186" s="4"/>
      <c r="MA186" s="4"/>
      <c r="MB186" s="4"/>
      <c r="MC186" s="4"/>
      <c r="MD186" s="6"/>
      <c r="ME186" s="6"/>
      <c r="MF186" s="6"/>
      <c r="MG186" s="9"/>
      <c r="MH186"/>
    </row>
    <row r="187">
      <c r="A187" s="8">
        <v>25478</v>
      </c>
      <c r="B187" s="8">
        <v>25479</v>
      </c>
      <c r="C187" s="9">
        <f>B187-A187</f>
        <v>1</v>
      </c>
      <c r="D187" s="8">
        <v>25478</v>
      </c>
      <c r="E187" t="inlineStr">
        <is>
          <t xml:space="preserve">positive</t>
        </is>
      </c>
      <c r="F187" s="4">
        <v>1.854881537584552</v>
      </c>
      <c r="G187" s="6">
        <v>-0.01348641877453021</v>
      </c>
      <c r="H187" s="7">
        <f>SUM(CP187,DR187,ET187,FV187,GX187,HZ187,JB187,KD187,LF187,MH187)</f>
        <v>-0.013486418774530213</v>
      </c>
      <c r="I187" s="7">
        <f>G187-H187</f>
        <v>1.734723475976807e-18</v>
      </c>
      <c r="J187" s="5">
        <f>F187*(1+H187)</f>
        <v>1.8298658283915423</v>
      </c>
      <c r="K187" s="4">
        <v>1.8298658283915423</v>
      </c>
      <c r="L187" s="5">
        <f>K187-J187</f>
        <v>0</v>
      </c>
      <c r="M187" s="4">
        <v>1.894</v>
      </c>
      <c r="N187" s="4">
        <v>1.87</v>
      </c>
      <c r="O187" s="5">
        <f>M187/$M$3</f>
        <v>0.9673135852911133</v>
      </c>
      <c r="P187" s="5">
        <f>N187/$M$3</f>
        <v>0.955056179775281</v>
      </c>
      <c r="Q187" s="7">
        <f>IFERROR(N187/M187-1,0)</f>
        <v>-0.012671594508975592</v>
      </c>
      <c r="R187" s="5">
        <f>SUM(IF(BQ187="lease",CB187,0),IF(CS187="lease",DD187,0),IF(DU187="lease",EF187,0),IF(EW187="lease",FH187,0),IF(FY187="lease",GJ187,0),IF(HA187="lease",HL187,0),IF(IC187="lease",IN187,0),IF(JE187="lease",JP187,0),IF(KG187="lease",KR187,0),IF(LI187="lease",LT187,0))</f>
        <v>1.8548815375845522</v>
      </c>
      <c r="S187" s="5">
        <f>SUM(IF(BQ187="lease",CI187,0),IF(CS187="lease",DK187,0),IF(DU187="lease",EM187,0),IF(EW187="lease",FO187,0),IF(FY187="lease",GQ187,0),IF(HA187="lease",HS187,0),IF(IC187="lease",IU187,0),IF(JE187="lease",JW187,0),IF(KG187="lease",KY187,0),IF(LI187="lease",MA187,0))</f>
        <v>1.8298658283915423</v>
      </c>
      <c r="T187" s="5">
        <f>SUM(IF(BQ187="keep",CB187,0),IF(CS187="keep",DD187,0),IF(DU187="keep",EF187,0),IF(EW187="keep",FH187,0),IF(FY187="keep",GJ187,0),IF(HA187="keep",HL187,0),IF(IC187="keep",IN187,0),IF(JE187="keep",JP187,0),IF(KG187="keep",KR187,0),IF(LI187="keep",LT187,0))</f>
        <v>0</v>
      </c>
      <c r="U187" s="5">
        <f>SUM(IF(BQ187="keep",CI187,0),IF(CS187="keep",DK187,0),IF(DU187="keep",EM187,0),IF(EW187="keep",FO187,0),IF(FY187="keep",GQ187,0),IF(HA187="keep",HS187,0),IF(IC187="keep",IU187,0),IF(JE187="keep",JW187,0),IF(KG187="keep",KY187,0),IF(LI187="keep",MA187,0))</f>
        <v>0</v>
      </c>
      <c r="V187" s="5">
        <f>R187/O187</f>
        <v>1.9175596888017705</v>
      </c>
      <c r="W187" s="5">
        <f>S187/P187</f>
        <v>1.9159771614923207</v>
      </c>
      <c r="X187" s="5">
        <f>T187/O187</f>
        <v>0</v>
      </c>
      <c r="Y187" s="5">
        <f>U187/P187</f>
        <v>0</v>
      </c>
      <c r="Z187" s="5">
        <f>V187+X187</f>
        <v>1.9175596888017705</v>
      </c>
      <c r="AA187" s="7">
        <f>IFERROR(W187/V187-1,0)</f>
        <v>-0.0008252819031874248</v>
      </c>
      <c r="AB187" s="7">
        <f>IFERROR((W187-V187)/Z187,0)</f>
        <v>-0.0008252819031874475</v>
      </c>
      <c r="AC187" s="7">
        <f>IFERROR(Y187/X187-1,0)</f>
        <v>0</v>
      </c>
      <c r="AD187" s="7">
        <f>IFERROR((Y187-X187)/Z187,0)</f>
        <v>0</v>
      </c>
      <c r="AE187" s="7">
        <f>AB187+AD187</f>
        <v>-0.0008252819031874475</v>
      </c>
      <c r="AF187" s="7">
        <f>(1+Q187)*(1+AE187)-1</f>
        <v>-0.013486418774530273</v>
      </c>
      <c r="AG187" s="7">
        <f>G187-AF187</f>
        <v>6.245004513516506e-17</v>
      </c>
      <c r="AH187" s="5">
        <f>SUM(IF(BQ187="lease",CE187,0),IF(CS187="lease",DG187,0),IF(DU187="lease",EI187,0),IF(EW187="lease",FK187,0),IF(FY187="lease",GM187,0),IF(HA187="lease",HO187,0),IF(IC187="lease",IQ187,0),IF(JE187="lease",JS187,0),IF(KG187="lease",KU187,0),IF(LI187="lease",LW187,0))</f>
        <v>-0.02501570919300977</v>
      </c>
      <c r="AI187" s="5">
        <f>SUM(IF(BQ187="keep",CE187,0),IF(CS187="keep",DG187,0),IF(DU187="keep",EI187,0),IF(EW187="keep",FK187,0),IF(FY187="keep",GM187,0),IF(HA187="keep",HO187,0),IF(IC187="keep",IQ187,0),IF(JE187="keep",JS187,0),IF(KG187="keep",KU187,0),IF(LI187="keep",LW187,0))</f>
        <v>0</v>
      </c>
      <c r="AJ187" s="5">
        <f>SUM(IF(BQ187="lease",CH187,0),IF(CS187="lease",DJ187,0),IF(DU187="lease",EL187,0),IF(EW187="lease",FN187,0),IF(FY187="lease",GP187,0),IF(HA187="lease",HR187,0),IF(IC187="lease",IT187,0),IF(JE187="lease",JV187,0),IF(KG187="lease",KX187,0),IF(LI187="lease",LZ187,0))</f>
        <v>0</v>
      </c>
      <c r="AK187" s="5">
        <f>SUM(IF(BQ187="keep",CH187,0),IF(CS187="keep",DJ187,0),IF(DU187="keep",EL187,0),IF(EW187="keep",FN187,0),IF(FY187="keep",GP187,0),IF(HA187="keep",HR187,0),IF(IC187="keep",IT187,0),IF(JE187="keep",JV187,0),IF(KG187="keep",KX187,0),IF(LI187="keep",LZ187,0))</f>
        <v>0</v>
      </c>
      <c r="AL187" s="5">
        <f>R187-S186</f>
        <v>-2.220446049250313e-16</v>
      </c>
      <c r="AM187" s="5">
        <f>T187-U186</f>
        <v>0</v>
      </c>
      <c r="AN187" s="5">
        <f>AN186</f>
        <v>1</v>
      </c>
      <c r="AO187" s="5">
        <f>AO186+AH187</f>
        <v>0.829865828391543</v>
      </c>
      <c r="AP187" s="5">
        <f>AP186+AL187</f>
        <v>-8.881784197001252e-16</v>
      </c>
      <c r="AQ187" s="5">
        <f>AN187+AO187+AP187</f>
        <v>1.829865828391542</v>
      </c>
      <c r="AR187" s="5">
        <f>S187-AQ187</f>
        <v>2.220446049250313e-16</v>
      </c>
      <c r="AS187" s="5">
        <f>AS186</f>
        <v>0</v>
      </c>
      <c r="AT187" s="5">
        <f>AT186+AI187</f>
        <v>0</v>
      </c>
      <c r="AU187" s="5">
        <f>AU186+AM187</f>
        <v>0</v>
      </c>
      <c r="AV187" s="5">
        <f>AS187+AT187+AU187</f>
        <v>0</v>
      </c>
      <c r="AW187" s="5">
        <f>U187-AV187</f>
        <v>0</v>
      </c>
      <c r="AX187" s="4">
        <v>1.8548815375845522</v>
      </c>
      <c r="AY187" s="4">
        <v>1.8298658283915425</v>
      </c>
      <c r="AZ187" s="5">
        <f>S187-AY187</f>
        <v>-2.220446049250313e-16</v>
      </c>
      <c r="BA187" s="4">
        <v>0</v>
      </c>
      <c r="BB187" s="4">
        <v>0</v>
      </c>
      <c r="BC187" s="5">
        <f>U187-BB187</f>
        <v>0</v>
      </c>
      <c r="BD187" s="7">
        <f>SUM(IF(BP187="direct",CC187/F187,0),IF(CR187="direct",DE187/F187,0),IF(DT187="direct",EG187/F187,0),IF(EV187="direct",FI187/F187,0),IF(FX187="direct",GK187/F187,0),IF(GZ187="direct",HM187/F187,0),IF(IB187="direct",IO187/F187,0),IF(JD187="direct",JQ187/F187,0),IF(KF187="direct",KS187/F187,0),IF(LH187="direct",LU187/F187,0))</f>
        <v>-0.010020590378066652</v>
      </c>
      <c r="BE187" s="7">
        <f>-SUM(IF(BP187="direct",CD187/F187,0),IF(CR187="direct",DF187/F187,0),IF(DT187="direct",EH187/F187,0),IF(EV187="direct",FJ187/F187,0),IF(FX187="direct",GL187/F187,0),IF(GZ187="direct",HN187/F187,0),IF(IB187="direct",IP187/F187,0),IF(JD187="direct",JR187/F187,0),IF(KF187="direct",KT187/F187,0),IF(LH187="direct",LV187/F187,0))</f>
        <v>-0.000005416380758007533</v>
      </c>
      <c r="BF187" s="7">
        <f>BD187+BE187</f>
        <v>-0.01002600675882466</v>
      </c>
      <c r="BG187" s="7">
        <f>BF187-SUM(IF(BP187="direct",CP187,0),IF(CR187="direct",DR187,0),IF(DT187="direct",ET187,0),IF(EV187="direct",FV187,0),IF(FX187="direct",GX187,0),IF(GZ187="direct",HZ187,0),IF(IB187="direct",JB187,0),IF(JD187="direct",KD187,0),IF(KF187="direct",LF187,0),IF(LH187="direct",MH187,0))</f>
        <v>-1.214306433183765e-17</v>
      </c>
      <c r="BH187" s="7">
        <f>SUM(IF(BP187="treasury",CP187,0),IF(CR187="treasury",DR187,0),IF(DT187="treasury",ET187,0),IF(EV187="treasury",FV187,0),IF(FX187="treasury",GX187,0),IF(GZ187="treasury",HZ187,0),IF(IB187="treasury",JB187,0),IF(JD187="treasury",KD187,0),IF(KF187="treasury",LF187,0),IF(LH187="treasury",MH187,0))</f>
        <v>0.00004058069967295269</v>
      </c>
      <c r="BI187" s="7">
        <f>SUM(IF(BP187="future",CP187,0),IF(CR187="future",DR187,0),IF(DT187="future",ET187,0),IF(EV187="future",FV187,0),IF(FX187="future",GX187,0),IF(GZ187="future",HZ187,0),IF(IB187="future",JB187,0),IF(JD187="future",KD187,0),IF(KF187="future",LF187,0),IF(LH187="future",MH187,0))</f>
        <v>-0.0035009927153785156</v>
      </c>
      <c r="BJ187" s="7">
        <f>SUM(IF(BP187="cash",CP187,0),IF(CR187="cash",DR187,0),IF(DT187="cash",ET187,0),IF(EV187="cash",FV187,0),IF(FX187="cash",GX187,0),IF(GZ187="cash",HZ187,0),IF(IB187="cash",JB187,0),IF(JD187="cash",KD187,0),IF(KF187="cash",LF187,0),IF(LH187="cash",MH187,0))</f>
        <v>0</v>
      </c>
      <c r="BK187" s="7">
        <f>SUM(BF187,BH187,BI187,BJ187)</f>
        <v>-0.01348641877453021</v>
      </c>
      <c r="BL187" s="7">
        <f>G187-BK187</f>
        <v>0</v>
      </c>
      <c r="BM187" s="5">
        <f>MAX(ABS(CG187),ABS(DI187),ABS(EK187),ABS(FM187),ABS(GO187),ABS(HQ187),ABS(IS187),ABS(JU187),ABS(KW187),ABS(LY187))</f>
        <v>4.041363597939718e-17</v>
      </c>
      <c r="BN187" s="9">
        <f>COUNTA(BO187,CQ187,DS187,EU187,FW187,GY187,IA187,JC187,KE187,LG187)</f>
        <v>6</v>
      </c>
      <c r="BO187" t="inlineStr">
        <is>
          <t xml:space="preserve">Direct commodity holding</t>
        </is>
      </c>
      <c r="BP187" t="inlineStr">
        <is>
          <t xml:space="preserve">direct</t>
        </is>
      </c>
      <c r="BQ187" t="inlineStr">
        <is>
          <t xml:space="preserve">lease</t>
        </is>
      </c>
      <c r="BR187" t="inlineStr">
        <is>
          <t xml:space="preserve">long</t>
        </is>
      </c>
      <c r="BS187"/>
      <c r="BT187" s="4">
        <v>1.894</v>
      </c>
      <c r="BU187" s="4">
        <v>1.87</v>
      </c>
      <c r="BV187" s="6">
        <v>0.0025</v>
      </c>
      <c r="BW187" s="4">
        <v>0.7744586703322247</v>
      </c>
      <c r="BX187" s="5">
        <f>IF(BP187="direct",IFERROR(CD187/BU187,0),0)</f>
        <v>0.000005372590731848339</v>
      </c>
      <c r="BY187" s="5">
        <f>IF(BP187="direct",BW187-BX187,IF(BP187="cash",CI187,BW187))</f>
        <v>0.7744532977414929</v>
      </c>
      <c r="BZ187" s="6">
        <v>0.7907915906691</v>
      </c>
      <c r="CA187" s="4">
        <v>1.4668247216092336</v>
      </c>
      <c r="CB187" s="4">
        <v>1.4668247216092336</v>
      </c>
      <c r="CC187" s="5">
        <f>IF(BP187="direct",BW187*(BU187-BT187),CF187)</f>
        <v>-0.01858700808797324</v>
      </c>
      <c r="CD187" s="5">
        <f>IF(BP187="direct",CB187*BV187*C187/365,0)</f>
        <v>0.000010046744668556394</v>
      </c>
      <c r="CE187" s="5">
        <f>CC187-CD187</f>
        <v>-0.018597054832641773</v>
      </c>
      <c r="CF187" s="4">
        <v>-0.018597054832641773</v>
      </c>
      <c r="CG187" s="5">
        <f>CF187-CE187</f>
        <v>2.1558682573516452e-17</v>
      </c>
      <c r="CH187" s="4">
        <v>0</v>
      </c>
      <c r="CI187" s="4">
        <v>1.4482276667765916</v>
      </c>
      <c r="CJ187" s="4">
        <v>1.894</v>
      </c>
      <c r="CK187" s="4">
        <v>1.87</v>
      </c>
      <c r="CL187" s="6"/>
      <c r="CM187" s="6"/>
      <c r="CN187" s="6"/>
      <c r="CO187" s="9"/>
      <c r="CP187" s="7">
        <f>IFERROR(CE187/F187,0)</f>
        <v>-0.010026006758824648</v>
      </c>
      <c r="CQ187" t="inlineStr">
        <is>
          <t xml:space="preserve">Treasury collateral</t>
        </is>
      </c>
      <c r="CR187" t="inlineStr">
        <is>
          <t xml:space="preserve">treasury</t>
        </is>
      </c>
      <c r="CS187" t="inlineStr">
        <is>
          <t xml:space="preserve">lease</t>
        </is>
      </c>
      <c r="CT187" t="inlineStr">
        <is>
          <t xml:space="preserve">long</t>
        </is>
      </c>
      <c r="CU187"/>
      <c r="CV187" s="4">
        <v>104.9336989964567</v>
      </c>
      <c r="CW187" s="4">
        <v>104.95405325916616</v>
      </c>
      <c r="CX187" s="6"/>
      <c r="CY187" s="4">
        <v>0.00369811433015834</v>
      </c>
      <c r="CZ187" s="5">
        <f>IF(CR187="direct",IFERROR(DF187/CW187,0),0)</f>
        <v>0</v>
      </c>
      <c r="DA187" s="5">
        <f>IF(CR187="direct",CY187-CZ187,IF(CR187="cash",DK187,CY187))</f>
        <v>0.00369811433015834</v>
      </c>
      <c r="DB187" s="6">
        <v>0.2092084093309001</v>
      </c>
      <c r="DC187" s="4">
        <v>0.3880568159753183</v>
      </c>
      <c r="DD187" s="4">
        <v>0.3880568159753183</v>
      </c>
      <c r="DE187" s="5">
        <f>IF(CR187="direct",CY187*(CW187-CV187),DH187)</f>
        <v>0.00007527239060566381</v>
      </c>
      <c r="DF187" s="5">
        <f>IF(CR187="direct",DD187*CX187*C187/365,0)</f>
        <v>0</v>
      </c>
      <c r="DG187" s="5">
        <f>DE187-DF187</f>
        <v>0.0000752723906056234</v>
      </c>
      <c r="DH187" s="4">
        <v>0.0000752723906056234</v>
      </c>
      <c r="DI187" s="5">
        <f>DH187-DG187</f>
        <v>-4.041363597939718e-17</v>
      </c>
      <c r="DJ187" s="4">
        <v>5.063224145507306e-17</v>
      </c>
      <c r="DK187" s="4">
        <v>0.388132088365924</v>
      </c>
      <c r="DL187" s="4">
        <v>1.894</v>
      </c>
      <c r="DM187" s="4">
        <v>1.87</v>
      </c>
      <c r="DN187" s="6"/>
      <c r="DO187" s="6"/>
      <c r="DP187" s="6"/>
      <c r="DQ187" s="9">
        <v>88</v>
      </c>
      <c r="DR187" s="7">
        <f>IFERROR(DG187/F187,0)</f>
        <v>0.00004058069967295269</v>
      </c>
      <c r="DS187" t="inlineStr">
        <is>
          <t xml:space="preserve">SI69Z</t>
        </is>
      </c>
      <c r="DT187" t="inlineStr">
        <is>
          <t xml:space="preserve">future</t>
        </is>
      </c>
      <c r="DU187" t="inlineStr">
        <is>
          <t xml:space="preserve">lease</t>
        </is>
      </c>
      <c r="DV187" t="inlineStr">
        <is>
          <t xml:space="preserve">long</t>
        </is>
      </c>
      <c r="DW187" t="inlineStr">
        <is>
          <t xml:space="preserve">regular</t>
        </is>
      </c>
      <c r="DX187" s="4">
        <v>1.912</v>
      </c>
      <c r="DY187" s="4">
        <v>1.88</v>
      </c>
      <c r="DZ187" s="6"/>
      <c r="EA187" s="4">
        <v>0.20070058073564184</v>
      </c>
      <c r="EB187" s="5">
        <f>IF(DT187="direct",IFERROR(EH187/DY187,0),0)</f>
        <v>0</v>
      </c>
      <c r="EC187" s="5">
        <f>IF(DT187="direct",EA187-EB187,IF(DT187="cash",EM187,EA187))</f>
        <v>0.20070058073564184</v>
      </c>
      <c r="ED187" s="6">
        <v>0.20688087222338583</v>
      </c>
      <c r="EE187" s="4">
        <v>0.3837395103665472</v>
      </c>
      <c r="EF187" s="4">
        <v>0</v>
      </c>
      <c r="EG187" s="5">
        <f>IF(DT187="direct",EA187*(DY187-DX187),EJ187)</f>
        <v>-0.006422418583540555</v>
      </c>
      <c r="EH187" s="5">
        <f>IF(DT187="direct",EF187*DZ187*C187/365,0)</f>
        <v>0</v>
      </c>
      <c r="EI187" s="5">
        <f>EG187-EH187</f>
        <v>-0.006422418583540555</v>
      </c>
      <c r="EJ187" s="4">
        <v>-0.006422418583540555</v>
      </c>
      <c r="EK187" s="5">
        <f>EJ187-EI187</f>
        <v>0</v>
      </c>
      <c r="EL187" s="4">
        <v>0.006422418583540555</v>
      </c>
      <c r="EM187" s="4">
        <v>0</v>
      </c>
      <c r="EN187" s="4">
        <v>1.894</v>
      </c>
      <c r="EO187" s="4">
        <v>1.87</v>
      </c>
      <c r="EP187" s="6">
        <v>0.009503695881731833</v>
      </c>
      <c r="EQ187" s="6">
        <v>0.0708</v>
      </c>
      <c r="ER187" s="6">
        <v>0.03138126139963501</v>
      </c>
      <c r="ES187" s="9">
        <v>88</v>
      </c>
      <c r="ET187" s="7">
        <f>IFERROR(EI187/F187,0)</f>
        <v>-0.0034624413761236215</v>
      </c>
      <c r="EU187" t="inlineStr">
        <is>
          <t xml:space="preserve">SI70F</t>
        </is>
      </c>
      <c r="EV187" t="inlineStr">
        <is>
          <t xml:space="preserve">future</t>
        </is>
      </c>
      <c r="EW187" t="inlineStr">
        <is>
          <t xml:space="preserve">lease</t>
        </is>
      </c>
      <c r="EX187" t="inlineStr">
        <is>
          <t xml:space="preserve">long</t>
        </is>
      </c>
      <c r="EY187" t="inlineStr">
        <is>
          <t xml:space="preserve">regular</t>
        </is>
      </c>
      <c r="EZ187" s="4">
        <v>1.932</v>
      </c>
      <c r="FA187" s="4">
        <v>1.9</v>
      </c>
      <c r="FB187" s="6"/>
      <c r="FC187" s="4">
        <v>0.0022346302322831767</v>
      </c>
      <c r="FD187" s="5">
        <f>IF(EV187="direct",IFERROR(FJ187/FA187,0),0)</f>
        <v>0</v>
      </c>
      <c r="FE187" s="5">
        <f>IF(EV187="direct",FC187-FD187,IF(EV187="cash",FO187,FC187))</f>
        <v>0.0022346302322831767</v>
      </c>
      <c r="FF187" s="6">
        <v>0.0023275371075142308</v>
      </c>
      <c r="FG187" s="4">
        <v>0.004317305608771097</v>
      </c>
      <c r="FH187" s="4">
        <v>0</v>
      </c>
      <c r="FI187" s="5">
        <f>IF(EV187="direct",FC187*(FA187-EZ187),FL187)</f>
        <v>-0.00007150816743306163</v>
      </c>
      <c r="FJ187" s="5">
        <f>IF(EV187="direct",FH187*FB187*C187/365,0)</f>
        <v>0</v>
      </c>
      <c r="FK187" s="5">
        <f>FI187-FJ187</f>
        <v>-0.00007150816743306163</v>
      </c>
      <c r="FL187" s="4">
        <v>-0.00007150816743306163</v>
      </c>
      <c r="FM187" s="5">
        <f>FL187-FK187</f>
        <v>0</v>
      </c>
      <c r="FN187" s="4">
        <v>0.00007150816743306163</v>
      </c>
      <c r="FO187" s="4">
        <v>0</v>
      </c>
      <c r="FP187" s="4">
        <v>1.894</v>
      </c>
      <c r="FQ187" s="4">
        <v>1.87</v>
      </c>
      <c r="FR187" s="6">
        <v>0.020063357972544882</v>
      </c>
      <c r="FS187" s="6">
        <v>0.07145274725274725</v>
      </c>
      <c r="FT187" s="6">
        <v>0.009392360303773682</v>
      </c>
      <c r="FU187" s="9">
        <v>118</v>
      </c>
      <c r="FV187" s="7">
        <f>IFERROR(FK187/F187,0)</f>
        <v>-0.00003855133925489408</v>
      </c>
      <c r="FW187" t="inlineStr">
        <is>
          <t xml:space="preserve">Lease cash / margin / financing</t>
        </is>
      </c>
      <c r="FX187" t="inlineStr">
        <is>
          <t xml:space="preserve">cash</t>
        </is>
      </c>
      <c r="FY187" t="inlineStr">
        <is>
          <t xml:space="preserve">lease</t>
        </is>
      </c>
      <c r="FZ187" t="inlineStr">
        <is>
          <t xml:space="preserve">cash</t>
        </is>
      </c>
      <c r="GA187"/>
      <c r="GB187" s="4">
        <v>1</v>
      </c>
      <c r="GC187" s="4">
        <v>1</v>
      </c>
      <c r="GD187" s="6"/>
      <c r="GE187" s="4">
        <v>2.220446049250313e-16</v>
      </c>
      <c r="GF187" s="5">
        <f>IF(FX187="direct",IFERROR(GL187/GC187,0),0)</f>
        <v>0</v>
      </c>
      <c r="GG187" s="5">
        <f>IF(FX187="direct",GE187-GF187,IF(FX187="cash",GQ187,GE187))</f>
        <v>-0.0064939267509734454</v>
      </c>
      <c r="GH187" s="6"/>
      <c r="GI187" s="4">
        <v>2.220446049250313e-16</v>
      </c>
      <c r="GJ187" s="4">
        <v>2.220446049250313e-16</v>
      </c>
      <c r="GK187" s="5">
        <f>IF(FX187="direct",GE187*(GC187-GB187),GN187)</f>
        <v>0</v>
      </c>
      <c r="GL187" s="5">
        <f>IF(FX187="direct",GJ187*GD187*C187/365,0)</f>
        <v>0</v>
      </c>
      <c r="GM187" s="5">
        <f>GK187-GL187</f>
        <v>0</v>
      </c>
      <c r="GN187" s="4">
        <v>0</v>
      </c>
      <c r="GO187" s="5">
        <f>GN187-GM187</f>
        <v>0</v>
      </c>
      <c r="GP187" s="4">
        <v>-0.0064939267509736675</v>
      </c>
      <c r="GQ187" s="4">
        <v>-0.0064939267509734454</v>
      </c>
      <c r="GR187" s="4">
        <v>1.894</v>
      </c>
      <c r="GS187" s="4">
        <v>1.87</v>
      </c>
      <c r="GT187" s="6"/>
      <c r="GU187" s="6"/>
      <c r="GV187" s="6"/>
      <c r="GW187" s="9"/>
      <c r="GX187" s="7">
        <f>IFERROR(GM187/F187,0)</f>
        <v>0</v>
      </c>
      <c r="GY187" t="inlineStr">
        <is>
          <t xml:space="preserve">Keep cash / margin / financing</t>
        </is>
      </c>
      <c r="GZ187" t="inlineStr">
        <is>
          <t xml:space="preserve">cash</t>
        </is>
      </c>
      <c r="HA187" t="inlineStr">
        <is>
          <t xml:space="preserve">keep</t>
        </is>
      </c>
      <c r="HB187" t="inlineStr">
        <is>
          <t xml:space="preserve">cash</t>
        </is>
      </c>
      <c r="HC187"/>
      <c r="HD187" s="4">
        <v>1</v>
      </c>
      <c r="HE187" s="4">
        <v>1</v>
      </c>
      <c r="HF187" s="6"/>
      <c r="HG187" s="4">
        <v>0</v>
      </c>
      <c r="HH187" s="5">
        <f>IF(GZ187="direct",IFERROR(HN187/HE187,0),0)</f>
        <v>0</v>
      </c>
      <c r="HI187" s="5">
        <f>IF(GZ187="direct",HG187-HH187,IF(GZ187="cash",HS187,HG187))</f>
        <v>0</v>
      </c>
      <c r="HJ187" s="6"/>
      <c r="HK187" s="4">
        <v>0</v>
      </c>
      <c r="HL187" s="4">
        <v>0</v>
      </c>
      <c r="HM187" s="5">
        <f>IF(GZ187="direct",HG187*(HE187-HD187),HP187)</f>
        <v>0</v>
      </c>
      <c r="HN187" s="5">
        <f>IF(GZ187="direct",HL187*HF187*C187/365,0)</f>
        <v>0</v>
      </c>
      <c r="HO187" s="5">
        <f>HM187-HN187</f>
        <v>0</v>
      </c>
      <c r="HP187" s="4">
        <v>0</v>
      </c>
      <c r="HQ187" s="5">
        <f>HP187-HO187</f>
        <v>0</v>
      </c>
      <c r="HR187" s="4">
        <v>0</v>
      </c>
      <c r="HS187" s="4">
        <v>0</v>
      </c>
      <c r="HT187" s="4">
        <v>1.894</v>
      </c>
      <c r="HU187" s="4">
        <v>1.87</v>
      </c>
      <c r="HV187" s="6"/>
      <c r="HW187" s="6"/>
      <c r="HX187" s="6"/>
      <c r="HY187" s="9"/>
      <c r="HZ187" s="7">
        <f>IFERROR(HO187/F187,0)</f>
        <v>0</v>
      </c>
      <c r="IA187"/>
      <c r="IB187"/>
      <c r="IC187"/>
      <c r="ID187"/>
      <c r="IE187"/>
      <c r="IF187" s="4"/>
      <c r="IG187" s="4"/>
      <c r="IH187" s="6"/>
      <c r="II187" s="4"/>
      <c r="IJ187" s="5">
        <v>0</v>
      </c>
      <c r="IK187" s="5"/>
      <c r="IL187" s="6"/>
      <c r="IM187" s="4"/>
      <c r="IN187" s="4"/>
      <c r="IO187" s="5">
        <v>0</v>
      </c>
      <c r="IP187" s="5">
        <v>0</v>
      </c>
      <c r="IQ187" s="5"/>
      <c r="IR187" s="4"/>
      <c r="IS187" s="5">
        <v>0</v>
      </c>
      <c r="IT187" s="4"/>
      <c r="IU187" s="4"/>
      <c r="IV187" s="4"/>
      <c r="IW187" s="4"/>
      <c r="IX187" s="6"/>
      <c r="IY187" s="6"/>
      <c r="IZ187" s="6"/>
      <c r="JA187" s="9"/>
      <c r="JB187"/>
      <c r="JC187"/>
      <c r="JD187"/>
      <c r="JE187"/>
      <c r="JF187"/>
      <c r="JG187"/>
      <c r="JH187" s="4"/>
      <c r="JI187" s="4"/>
      <c r="JJ187" s="6"/>
      <c r="JK187" s="4"/>
      <c r="JL187" s="5">
        <v>0</v>
      </c>
      <c r="JM187" s="5"/>
      <c r="JN187" s="6"/>
      <c r="JO187" s="4"/>
      <c r="JP187" s="4"/>
      <c r="JQ187" s="5">
        <v>0</v>
      </c>
      <c r="JR187" s="5">
        <v>0</v>
      </c>
      <c r="JS187" s="5"/>
      <c r="JT187" s="4"/>
      <c r="JU187" s="5">
        <v>0</v>
      </c>
      <c r="JV187" s="4"/>
      <c r="JW187" s="4"/>
      <c r="JX187" s="4"/>
      <c r="JY187" s="4"/>
      <c r="JZ187" s="6"/>
      <c r="KA187" s="6"/>
      <c r="KB187" s="6"/>
      <c r="KC187" s="9"/>
      <c r="KD187"/>
      <c r="KE187"/>
      <c r="KF187"/>
      <c r="KG187"/>
      <c r="KH187"/>
      <c r="KI187"/>
      <c r="KJ187" s="4"/>
      <c r="KK187" s="4"/>
      <c r="KL187" s="6"/>
      <c r="KM187" s="4"/>
      <c r="KN187" s="5">
        <v>0</v>
      </c>
      <c r="KO187" s="5"/>
      <c r="KP187" s="6"/>
      <c r="KQ187" s="4"/>
      <c r="KR187" s="4"/>
      <c r="KS187" s="5">
        <v>0</v>
      </c>
      <c r="KT187" s="5">
        <v>0</v>
      </c>
      <c r="KU187" s="5"/>
      <c r="KV187" s="4"/>
      <c r="KW187" s="5">
        <v>0</v>
      </c>
      <c r="KX187" s="4"/>
      <c r="KY187" s="4"/>
      <c r="KZ187" s="4"/>
      <c r="LA187" s="4"/>
      <c r="LB187" s="6"/>
      <c r="LC187" s="6"/>
      <c r="LD187" s="6"/>
      <c r="LE187" s="9"/>
      <c r="LF187"/>
      <c r="LG187"/>
      <c r="LH187"/>
      <c r="LI187"/>
      <c r="LJ187"/>
      <c r="LK187"/>
      <c r="LL187" s="4"/>
      <c r="LM187" s="4"/>
      <c r="LN187" s="6"/>
      <c r="LO187" s="4"/>
      <c r="LP187" s="5">
        <v>0</v>
      </c>
      <c r="LQ187" s="5"/>
      <c r="LR187" s="6"/>
      <c r="LS187" s="4"/>
      <c r="LT187" s="4"/>
      <c r="LU187" s="5">
        <v>0</v>
      </c>
      <c r="LV187" s="5">
        <v>0</v>
      </c>
      <c r="LW187" s="5"/>
      <c r="LX187" s="4"/>
      <c r="LY187" s="5">
        <v>0</v>
      </c>
      <c r="LZ187" s="4"/>
      <c r="MA187" s="4"/>
      <c r="MB187" s="4"/>
      <c r="MC187" s="4"/>
      <c r="MD187" s="6"/>
      <c r="ME187" s="6"/>
      <c r="MF187" s="6"/>
      <c r="MG187" s="9"/>
      <c r="MH187"/>
    </row>
    <row r="188">
      <c r="A188" s="8">
        <v>25479</v>
      </c>
      <c r="B188" s="8">
        <v>25482</v>
      </c>
      <c r="C188" s="9">
        <f>B188-A188</f>
        <v>3</v>
      </c>
      <c r="D188" s="8">
        <v>25479</v>
      </c>
      <c r="E188" t="inlineStr">
        <is>
          <t xml:space="preserve">positive</t>
        </is>
      </c>
      <c r="F188" s="4">
        <v>1.8298658283915423</v>
      </c>
      <c r="G188" s="6">
        <v>-0.023687188189487954</v>
      </c>
      <c r="H188" s="7">
        <f>SUM(CP188,DR188,ET188,FV188,GX188,HZ188,JB188,KD188,LF188,MH188)</f>
        <v>-0.02368718818948795</v>
      </c>
      <c r="I188" s="7">
        <f>G188-H188</f>
        <v>-3.469446951953614e-18</v>
      </c>
      <c r="J188" s="5">
        <f>F188*(1+H188)</f>
        <v>1.7865214521529185</v>
      </c>
      <c r="K188" s="4">
        <v>1.7865214521529185</v>
      </c>
      <c r="L188" s="5">
        <f>K188-J188</f>
        <v>0</v>
      </c>
      <c r="M188" s="4">
        <v>1.87</v>
      </c>
      <c r="N188" s="4">
        <v>1.825</v>
      </c>
      <c r="O188" s="5">
        <f>M188/$M$3</f>
        <v>0.955056179775281</v>
      </c>
      <c r="P188" s="5">
        <f>N188/$M$3</f>
        <v>0.932073544433095</v>
      </c>
      <c r="Q188" s="7">
        <f>IFERROR(N188/M188-1,0)</f>
        <v>-0.02406417112299475</v>
      </c>
      <c r="R188" s="5">
        <f>SUM(IF(BQ188="lease",CB188,0),IF(CS188="lease",DD188,0),IF(DU188="lease",EF188,0),IF(EW188="lease",FH188,0),IF(FY188="lease",GJ188,0),IF(HA188="lease",HL188,0),IF(IC188="lease",IN188,0),IF(JE188="lease",JP188,0),IF(KG188="lease",KR188,0),IF(LI188="lease",LT188,0))</f>
        <v>1.8298658283915425</v>
      </c>
      <c r="S188" s="5">
        <f>SUM(IF(BQ188="lease",CI188,0),IF(CS188="lease",DK188,0),IF(DU188="lease",EM188,0),IF(EW188="lease",FO188,0),IF(FY188="lease",GQ188,0),IF(HA188="lease",HS188,0),IF(IC188="lease",IU188,0),IF(JE188="lease",JW188,0),IF(KG188="lease",KY188,0),IF(LI188="lease",MA188,0))</f>
        <v>1.7865214521529191</v>
      </c>
      <c r="T188" s="5">
        <f>SUM(IF(BQ188="keep",CB188,0),IF(CS188="keep",DD188,0),IF(DU188="keep",EF188,0),IF(EW188="keep",FH188,0),IF(FY188="keep",GJ188,0),IF(HA188="keep",HL188,0),IF(IC188="keep",IN188,0),IF(JE188="keep",JP188,0),IF(KG188="keep",KR188,0),IF(LI188="keep",LT188,0))</f>
        <v>0</v>
      </c>
      <c r="U188" s="5">
        <f>SUM(IF(BQ188="keep",CI188,0),IF(CS188="keep",DK188,0),IF(DU188="keep",EM188,0),IF(EW188="keep",FO188,0),IF(FY188="keep",GQ188,0),IF(HA188="keep",HS188,0),IF(IC188="keep",IU188,0),IF(JE188="keep",JW188,0),IF(KG188="keep",KY188,0),IF(LI188="keep",MA188,0))</f>
        <v>0</v>
      </c>
      <c r="V188" s="5">
        <f>R188/O188</f>
        <v>1.915977161492321</v>
      </c>
      <c r="W188" s="5">
        <f>S188/P188</f>
        <v>1.9167172620906388</v>
      </c>
      <c r="X188" s="5">
        <f>T188/O188</f>
        <v>0</v>
      </c>
      <c r="Y188" s="5">
        <f>U188/P188</f>
        <v>0</v>
      </c>
      <c r="Z188" s="5">
        <f>V188+X188</f>
        <v>1.915977161492321</v>
      </c>
      <c r="AA188" s="7">
        <f>IFERROR(W188/V188-1,0)</f>
        <v>0.00038627840310034856</v>
      </c>
      <c r="AB188" s="7">
        <f>IFERROR((W188-V188)/Z188,0)</f>
        <v>0.00038627840310028003</v>
      </c>
      <c r="AC188" s="7">
        <f>IFERROR(Y188/X188-1,0)</f>
        <v>0</v>
      </c>
      <c r="AD188" s="7">
        <f>IFERROR((Y188-X188)/Z188,0)</f>
        <v>0</v>
      </c>
      <c r="AE188" s="7">
        <f>AB188+AD188</f>
        <v>0.00038627840310028003</v>
      </c>
      <c r="AF188" s="7">
        <f>(1+Q188)*(1+AE188)-1</f>
        <v>-0.023687188189487673</v>
      </c>
      <c r="AG188" s="7">
        <f>G188-AF188</f>
        <v>-2.8102520310824275e-16</v>
      </c>
      <c r="AH188" s="5">
        <f>SUM(IF(BQ188="lease",CE188,0),IF(CS188="lease",DG188,0),IF(DU188="lease",EI188,0),IF(EW188="lease",FK188,0),IF(FY188="lease",GM188,0),IF(HA188="lease",HO188,0),IF(IC188="lease",IQ188,0),IF(JE188="lease",JS188,0),IF(KG188="lease",KU188,0),IF(LI188="lease",LW188,0))</f>
        <v>-0.04334437623862373</v>
      </c>
      <c r="AI188" s="5">
        <f>SUM(IF(BQ188="keep",CE188,0),IF(CS188="keep",DG188,0),IF(DU188="keep",EI188,0),IF(EW188="keep",FK188,0),IF(FY188="keep",GM188,0),IF(HA188="keep",HO188,0),IF(IC188="keep",IQ188,0),IF(JE188="keep",JS188,0),IF(KG188="keep",KU188,0),IF(LI188="keep",LW188,0))</f>
        <v>0</v>
      </c>
      <c r="AJ188" s="5">
        <f>SUM(IF(BQ188="lease",CH188,0),IF(CS188="lease",DJ188,0),IF(DU188="lease",EL188,0),IF(EW188="lease",FN188,0),IF(FY188="lease",GP188,0),IF(HA188="lease",HR188,0),IF(IC188="lease",IT188,0),IF(JE188="lease",JV188,0),IF(KG188="lease",KX188,0),IF(LI188="lease",LZ188,0))</f>
        <v>0</v>
      </c>
      <c r="AK188" s="5">
        <f>SUM(IF(BQ188="keep",CH188,0),IF(CS188="keep",DJ188,0),IF(DU188="keep",EL188,0),IF(EW188="keep",FN188,0),IF(FY188="keep",GP188,0),IF(HA188="keep",HR188,0),IF(IC188="keep",IT188,0),IF(JE188="keep",JV188,0),IF(KG188="keep",KX188,0),IF(LI188="keep",LZ188,0))</f>
        <v>0</v>
      </c>
      <c r="AL188" s="5">
        <f>R188-S187</f>
        <v>2.220446049250313e-16</v>
      </c>
      <c r="AM188" s="5">
        <f>T188-U187</f>
        <v>0</v>
      </c>
      <c r="AN188" s="5">
        <f>AN187</f>
        <v>1</v>
      </c>
      <c r="AO188" s="5">
        <f>AO187+AH188</f>
        <v>0.7865214521529192</v>
      </c>
      <c r="AP188" s="5">
        <f>AP187+AL188</f>
        <v>-6.661338147750939e-16</v>
      </c>
      <c r="AQ188" s="5">
        <f>AN188+AO188+AP188</f>
        <v>1.7865214521529185</v>
      </c>
      <c r="AR188" s="5">
        <f>S188-AQ188</f>
        <v>6.661338147750939e-16</v>
      </c>
      <c r="AS188" s="5">
        <f>AS187</f>
        <v>0</v>
      </c>
      <c r="AT188" s="5">
        <f>AT187+AI188</f>
        <v>0</v>
      </c>
      <c r="AU188" s="5">
        <f>AU187+AM188</f>
        <v>0</v>
      </c>
      <c r="AV188" s="5">
        <f>AS188+AT188+AU188</f>
        <v>0</v>
      </c>
      <c r="AW188" s="5">
        <f>U188-AV188</f>
        <v>0</v>
      </c>
      <c r="AX188" s="4">
        <v>1.8298658283915425</v>
      </c>
      <c r="AY188" s="4">
        <v>1.786521452152919</v>
      </c>
      <c r="AZ188" s="5">
        <f>S188-AY188</f>
        <v>2.220446049250313e-16</v>
      </c>
      <c r="BA188" s="4">
        <v>0</v>
      </c>
      <c r="BB188" s="4">
        <v>0</v>
      </c>
      <c r="BC188" s="5">
        <f>U188-BB188</f>
        <v>0</v>
      </c>
      <c r="BD188" s="7">
        <f>SUM(IF(BP188="direct",CC188/F188,0),IF(CR188="direct",DE188/F188,0),IF(DT188="direct",EG188/F188,0),IF(EV188="direct",FI188/F188,0),IF(FX188="direct",GK188/F188,0),IF(GZ188="direct",HM188/F188,0),IF(IB188="direct",IO188/F188,0),IF(JD188="direct",JQ188/F188,0),IF(KF188="direct",KS188/F188,0),IF(LH188="direct",LU188/F188,0))</f>
        <v>-0.016433471616732375</v>
      </c>
      <c r="BE188" s="7">
        <f>-SUM(IF(BP188="direct",CD188/F188,0),IF(CR188="direct",DF188/F188,0),IF(DT188="direct",EH188/F188,0),IF(EV188="direct",FJ188/F188,0),IF(FX188="direct",GL188/F188,0),IF(GZ188="direct",HN188/F188,0),IF(IB188="direct",IP188/F188,0),IF(JD188="direct",JR188/F188,0),IF(KF188="direct",KT188/F188,0),IF(LH188="direct",LV188/F188,0))</f>
        <v>-0.000014032233754926686</v>
      </c>
      <c r="BF188" s="7">
        <f>BD188+BE188</f>
        <v>-0.0164475038504873</v>
      </c>
      <c r="BG188" s="7">
        <f>BF188-SUM(IF(BP188="direct",CP188,0),IF(CR188="direct",DR188,0),IF(DT188="direct",ET188,0),IF(EV188="direct",FV188,0),IF(FX188="direct",GX188,0),IF(GZ188="direct",HZ188,0),IF(IB188="direct",JB188,0),IF(JD188="direct",KD188,0),IF(KF188="direct",LF188,0),IF(LH188="direct",MH188,0))</f>
        <v>1.0408340855860843e-17</v>
      </c>
      <c r="BH188" s="7">
        <f>SUM(IF(BP188="treasury",CP188,0),IF(CR188="treasury",DR188,0),IF(DT188="treasury",ET188,0),IF(EV188="treasury",FV188,0),IF(FX188="treasury",GX188,0),IF(GZ188="treasury",HZ188,0),IF(IB188="treasury",JB188,0),IF(JD188="treasury",KD188,0),IF(KF188="treasury",LF188,0),IF(LH188="treasury",MH188,0))</f>
        <v>0.00018243992061547755</v>
      </c>
      <c r="BI188" s="7">
        <f>SUM(IF(BP188="future",CP188,0),IF(CR188="future",DR188,0),IF(DT188="future",ET188,0),IF(EV188="future",FV188,0),IF(FX188="future",GX188,0),IF(GZ188="future",HZ188,0),IF(IB188="future",JB188,0),IF(JD188="future",KD188,0),IF(KF188="future",LF188,0),IF(LH188="future",MH188,0))</f>
        <v>-0.0074221242596161216</v>
      </c>
      <c r="BJ188" s="7">
        <f>SUM(IF(BP188="cash",CP188,0),IF(CR188="cash",DR188,0),IF(DT188="cash",ET188,0),IF(EV188="cash",FV188,0),IF(FX188="cash",GX188,0),IF(GZ188="cash",HZ188,0),IF(IB188="cash",JB188,0),IF(JD188="cash",KD188,0),IF(KF188="cash",LF188,0),IF(LH188="cash",MH188,0))</f>
        <v>0</v>
      </c>
      <c r="BK188" s="7">
        <f>SUM(BF188,BH188,BI188,BJ188)</f>
        <v>-0.023687188189487954</v>
      </c>
      <c r="BL188" s="7">
        <f>G188-BK188</f>
        <v>0</v>
      </c>
      <c r="BM188" s="5">
        <f>MAX(ABS(CG188),ABS(DI188),ABS(EK188),ABS(FM188),ABS(GO188),ABS(HQ188),ABS(IS188),ABS(JU188),ABS(KW188),ABS(LY188))</f>
        <v>1.9912050524054092e-17</v>
      </c>
      <c r="BN188" s="9">
        <f>COUNTA(BO188,CQ188,DS188,EU188,FW188,GY188,IA188,JC188,KE188,LG188)</f>
        <v>6</v>
      </c>
      <c r="BO188" t="inlineStr">
        <is>
          <t xml:space="preserve">Direct commodity holding</t>
        </is>
      </c>
      <c r="BP188" t="inlineStr">
        <is>
          <t xml:space="preserve">direct</t>
        </is>
      </c>
      <c r="BQ188" t="inlineStr">
        <is>
          <t xml:space="preserve">lease</t>
        </is>
      </c>
      <c r="BR188" t="inlineStr">
        <is>
          <t xml:space="preserve">long</t>
        </is>
      </c>
      <c r="BS188"/>
      <c r="BT188" s="4">
        <v>1.87</v>
      </c>
      <c r="BU188" s="4">
        <v>1.825</v>
      </c>
      <c r="BV188" s="6">
        <v>0.0025</v>
      </c>
      <c r="BW188" s="4">
        <v>0.6682455145177952</v>
      </c>
      <c r="BX188" s="5">
        <f>IF(BP188="direct",IFERROR(CD188/BU188,0),0)</f>
        <v>0.000014069646599530238</v>
      </c>
      <c r="BY188" s="5">
        <f>IF(BP188="direct",BW188-BX188,IF(BP188="cash",CI188,BW188))</f>
        <v>0.6682314448711957</v>
      </c>
      <c r="BZ188" s="6">
        <v>0.6829020427397653</v>
      </c>
      <c r="CA188" s="4">
        <v>1.2496191121482771</v>
      </c>
      <c r="CB188" s="4">
        <v>1.2496191121482771</v>
      </c>
      <c r="CC188" s="5">
        <f>IF(BP188="direct",BW188*(BU188-BT188),CF188)</f>
        <v>-0.030071048153300885</v>
      </c>
      <c r="CD188" s="5">
        <f>IF(BP188="direct",CB188*BV188*C188/365,0)</f>
        <v>0.000025677105044142684</v>
      </c>
      <c r="CE188" s="5">
        <f>CC188-CD188</f>
        <v>-0.030096725258345048</v>
      </c>
      <c r="CF188" s="4">
        <v>-0.030096725258345048</v>
      </c>
      <c r="CG188" s="5">
        <f>CF188-CE188</f>
        <v>-1.9912050524054092e-17</v>
      </c>
      <c r="CH188" s="4">
        <v>0</v>
      </c>
      <c r="CI188" s="4">
        <v>1.219522386889932</v>
      </c>
      <c r="CJ188" s="4">
        <v>1.87</v>
      </c>
      <c r="CK188" s="4">
        <v>1.825</v>
      </c>
      <c r="CL188" s="6"/>
      <c r="CM188" s="6"/>
      <c r="CN188" s="6"/>
      <c r="CO188" s="9"/>
      <c r="CP188" s="7">
        <f>IFERROR(CE188/F188,0)</f>
        <v>-0.01644750385048731</v>
      </c>
      <c r="CQ188" t="inlineStr">
        <is>
          <t xml:space="preserve">Treasury collateral</t>
        </is>
      </c>
      <c r="CR188" t="inlineStr">
        <is>
          <t xml:space="preserve">treasury</t>
        </is>
      </c>
      <c r="CS188" t="inlineStr">
        <is>
          <t xml:space="preserve">lease</t>
        </is>
      </c>
      <c r="CT188" t="inlineStr">
        <is>
          <t xml:space="preserve">long</t>
        </is>
      </c>
      <c r="CU188"/>
      <c r="CV188" s="4">
        <v>104.95405325916616</v>
      </c>
      <c r="CW188" s="4">
        <v>105.0144377829591</v>
      </c>
      <c r="CX188" s="6"/>
      <c r="CY188" s="4">
        <v>0.00552857844194397</v>
      </c>
      <c r="CZ188" s="5">
        <f>IF(CR188="direct",IFERROR(DF188/CW188,0),0)</f>
        <v>0</v>
      </c>
      <c r="DA188" s="5">
        <f>IF(CR188="direct",CY188-CZ188,IF(CR188="cash",DK188,CY188))</f>
        <v>0.00552857844194397</v>
      </c>
      <c r="DB188" s="6">
        <v>0.3170979572602347</v>
      </c>
      <c r="DC188" s="4">
        <v>0.5802467162432653</v>
      </c>
      <c r="DD188" s="4">
        <v>0.5802467162432653</v>
      </c>
      <c r="DE188" s="5">
        <f>IF(CR188="direct",CY188*(CW188-CV188),DH188)</f>
        <v>0.00033384057646874325</v>
      </c>
      <c r="DF188" s="5">
        <f>IF(CR188="direct",DD188*CX188*C188/365,0)</f>
        <v>0</v>
      </c>
      <c r="DG188" s="5">
        <f>DE188-DF188</f>
        <v>0.000333840576468728</v>
      </c>
      <c r="DH188" s="4">
        <v>0.000333840576468728</v>
      </c>
      <c r="DI188" s="5">
        <f>DH188-DG188</f>
        <v>-1.5233040523421337e-17</v>
      </c>
      <c r="DJ188" s="4">
        <v>6.326319676452918e-17</v>
      </c>
      <c r="DK188" s="4">
        <v>0.5805805568197341</v>
      </c>
      <c r="DL188" s="4">
        <v>1.87</v>
      </c>
      <c r="DM188" s="4">
        <v>1.825</v>
      </c>
      <c r="DN188" s="6"/>
      <c r="DO188" s="6"/>
      <c r="DP188" s="6"/>
      <c r="DQ188" s="9">
        <v>87</v>
      </c>
      <c r="DR188" s="7">
        <f>IFERROR(DG188/F188,0)</f>
        <v>0.00018243992061547755</v>
      </c>
      <c r="DS188" t="inlineStr">
        <is>
          <t xml:space="preserve">SI69Z</t>
        </is>
      </c>
      <c r="DT188" t="inlineStr">
        <is>
          <t xml:space="preserve">future</t>
        </is>
      </c>
      <c r="DU188" t="inlineStr">
        <is>
          <t xml:space="preserve">lease</t>
        </is>
      </c>
      <c r="DV188" t="inlineStr">
        <is>
          <t xml:space="preserve">long</t>
        </is>
      </c>
      <c r="DW188" t="inlineStr">
        <is>
          <t xml:space="preserve">regular</t>
        </is>
      </c>
      <c r="DX188" s="4">
        <v>1.88</v>
      </c>
      <c r="DY188" s="4">
        <v>1.8359999999999999</v>
      </c>
      <c r="DZ188" s="6"/>
      <c r="EA188" s="4">
        <v>0.3062682731268243</v>
      </c>
      <c r="EB188" s="5">
        <f>IF(DT188="direct",IFERROR(EH188/DY188,0),0)</f>
        <v>0</v>
      </c>
      <c r="EC188" s="5">
        <f>IF(DT188="direct",EA188-EB188,IF(DT188="cash",EM188,EA188))</f>
        <v>0.3062682731268243</v>
      </c>
      <c r="ED188" s="6">
        <v>0.31465932886704917</v>
      </c>
      <c r="EE188" s="4">
        <v>0.5757843534784297</v>
      </c>
      <c r="EF188" s="4">
        <v>0</v>
      </c>
      <c r="EG188" s="5">
        <f>IF(DT188="direct",EA188*(DY188-DX188),EJ188)</f>
        <v>-0.013475804017580258</v>
      </c>
      <c r="EH188" s="5">
        <f>IF(DT188="direct",EF188*DZ188*C188/365,0)</f>
        <v>0</v>
      </c>
      <c r="EI188" s="5">
        <f>EG188-EH188</f>
        <v>-0.013475804017580258</v>
      </c>
      <c r="EJ188" s="4">
        <v>-0.013475804017580258</v>
      </c>
      <c r="EK188" s="5">
        <f>EJ188-EI188</f>
        <v>0</v>
      </c>
      <c r="EL188" s="4">
        <v>0.013475804017580258</v>
      </c>
      <c r="EM188" s="4">
        <v>0</v>
      </c>
      <c r="EN188" s="4">
        <v>1.87</v>
      </c>
      <c r="EO188" s="4">
        <v>1.825</v>
      </c>
      <c r="EP188" s="6">
        <v>0.0053475935828875</v>
      </c>
      <c r="EQ188" s="6">
        <v>0.07</v>
      </c>
      <c r="ER188" s="6">
        <v>0.047564693589035215</v>
      </c>
      <c r="ES188" s="9">
        <v>87</v>
      </c>
      <c r="ET188" s="7">
        <f>IFERROR(EI188/F188,0)</f>
        <v>-0.0073643672713564635</v>
      </c>
      <c r="EU188" t="inlineStr">
        <is>
          <t xml:space="preserve">SI70F</t>
        </is>
      </c>
      <c r="EV188" t="inlineStr">
        <is>
          <t xml:space="preserve">future</t>
        </is>
      </c>
      <c r="EW188" t="inlineStr">
        <is>
          <t xml:space="preserve">lease</t>
        </is>
      </c>
      <c r="EX188" t="inlineStr">
        <is>
          <t xml:space="preserve">long</t>
        </is>
      </c>
      <c r="EY188" t="inlineStr">
        <is>
          <t xml:space="preserve">regular</t>
        </is>
      </c>
      <c r="EZ188" s="4">
        <v>1.9</v>
      </c>
      <c r="FA188" s="4">
        <v>1.855</v>
      </c>
      <c r="FB188" s="6"/>
      <c r="FC188" s="4">
        <v>0.0023486119814924104</v>
      </c>
      <c r="FD188" s="5">
        <f>IF(EV188="direct",IFERROR(FJ188/FA188,0),0)</f>
        <v>0</v>
      </c>
      <c r="FE188" s="5">
        <f>IF(EV188="direct",FC188-FD188,IF(EV188="cash",FO188,FC188))</f>
        <v>0.0023486119814924104</v>
      </c>
      <c r="FF188" s="6">
        <v>0.0024386283931855323</v>
      </c>
      <c r="FG188" s="4">
        <v>0.0044623627648355795</v>
      </c>
      <c r="FH188" s="4">
        <v>0</v>
      </c>
      <c r="FI188" s="5">
        <f>IF(EV188="direct",FC188*(FA188-EZ188),FL188)</f>
        <v>-0.00010568753916715831</v>
      </c>
      <c r="FJ188" s="5">
        <f>IF(EV188="direct",FH188*FB188*C188/365,0)</f>
        <v>0</v>
      </c>
      <c r="FK188" s="5">
        <f>FI188-FJ188</f>
        <v>-0.00010568753916715831</v>
      </c>
      <c r="FL188" s="4">
        <v>-0.00010568753916715831</v>
      </c>
      <c r="FM188" s="5">
        <f>FL188-FK188</f>
        <v>0</v>
      </c>
      <c r="FN188" s="4">
        <v>0.00010568753916715831</v>
      </c>
      <c r="FO188" s="4">
        <v>0</v>
      </c>
      <c r="FP188" s="4">
        <v>1.87</v>
      </c>
      <c r="FQ188" s="4">
        <v>1.825</v>
      </c>
      <c r="FR188" s="6">
        <v>0.016042780748662944</v>
      </c>
      <c r="FS188" s="6">
        <v>0.07082857142857142</v>
      </c>
      <c r="FT188" s="6">
        <v>0.02078058020411012</v>
      </c>
      <c r="FU188" s="9">
        <v>117</v>
      </c>
      <c r="FV188" s="7">
        <f>IFERROR(FK188/F188,0)</f>
        <v>-0.000057756988259657255</v>
      </c>
      <c r="FW188" t="inlineStr">
        <is>
          <t xml:space="preserve">Lease cash / margin / financing</t>
        </is>
      </c>
      <c r="FX188" t="inlineStr">
        <is>
          <t xml:space="preserve">cash</t>
        </is>
      </c>
      <c r="FY188" t="inlineStr">
        <is>
          <t xml:space="preserve">lease</t>
        </is>
      </c>
      <c r="FZ188" t="inlineStr">
        <is>
          <t xml:space="preserve">cash</t>
        </is>
      </c>
      <c r="GA188"/>
      <c r="GB188" s="4">
        <v>1</v>
      </c>
      <c r="GC188" s="4">
        <v>1</v>
      </c>
      <c r="GD188" s="6"/>
      <c r="GE188" s="4">
        <v>2.220446049250313e-16</v>
      </c>
      <c r="GF188" s="5">
        <f>IF(FX188="direct",IFERROR(GL188/GC188,0),0)</f>
        <v>0</v>
      </c>
      <c r="GG188" s="5">
        <f>IF(FX188="direct",GE188-GF188,IF(FX188="cash",GQ188,GE188))</f>
        <v>-0.013581491556747257</v>
      </c>
      <c r="GH188" s="6"/>
      <c r="GI188" s="4">
        <v>2.220446049250313e-16</v>
      </c>
      <c r="GJ188" s="4">
        <v>2.220446049250313e-16</v>
      </c>
      <c r="GK188" s="5">
        <f>IF(FX188="direct",GE188*(GC188-GB188),GN188)</f>
        <v>0</v>
      </c>
      <c r="GL188" s="5">
        <f>IF(FX188="direct",GJ188*GD188*C188/365,0)</f>
        <v>0</v>
      </c>
      <c r="GM188" s="5">
        <f>GK188-GL188</f>
        <v>0</v>
      </c>
      <c r="GN188" s="4">
        <v>0</v>
      </c>
      <c r="GO188" s="5">
        <f>GN188-GM188</f>
        <v>0</v>
      </c>
      <c r="GP188" s="4">
        <v>-0.013581491556747479</v>
      </c>
      <c r="GQ188" s="4">
        <v>-0.013581491556747257</v>
      </c>
      <c r="GR188" s="4">
        <v>1.87</v>
      </c>
      <c r="GS188" s="4">
        <v>1.825</v>
      </c>
      <c r="GT188" s="6"/>
      <c r="GU188" s="6"/>
      <c r="GV188" s="6"/>
      <c r="GW188" s="9"/>
      <c r="GX188" s="7">
        <f>IFERROR(GM188/F188,0)</f>
        <v>0</v>
      </c>
      <c r="GY188" t="inlineStr">
        <is>
          <t xml:space="preserve">Keep cash / margin / financing</t>
        </is>
      </c>
      <c r="GZ188" t="inlineStr">
        <is>
          <t xml:space="preserve">cash</t>
        </is>
      </c>
      <c r="HA188" t="inlineStr">
        <is>
          <t xml:space="preserve">keep</t>
        </is>
      </c>
      <c r="HB188" t="inlineStr">
        <is>
          <t xml:space="preserve">cash</t>
        </is>
      </c>
      <c r="HC188"/>
      <c r="HD188" s="4">
        <v>1</v>
      </c>
      <c r="HE188" s="4">
        <v>1</v>
      </c>
      <c r="HF188" s="6"/>
      <c r="HG188" s="4">
        <v>0</v>
      </c>
      <c r="HH188" s="5">
        <f>IF(GZ188="direct",IFERROR(HN188/HE188,0),0)</f>
        <v>0</v>
      </c>
      <c r="HI188" s="5">
        <f>IF(GZ188="direct",HG188-HH188,IF(GZ188="cash",HS188,HG188))</f>
        <v>0</v>
      </c>
      <c r="HJ188" s="6"/>
      <c r="HK188" s="4">
        <v>0</v>
      </c>
      <c r="HL188" s="4">
        <v>0</v>
      </c>
      <c r="HM188" s="5">
        <f>IF(GZ188="direct",HG188*(HE188-HD188),HP188)</f>
        <v>0</v>
      </c>
      <c r="HN188" s="5">
        <f>IF(GZ188="direct",HL188*HF188*C188/365,0)</f>
        <v>0</v>
      </c>
      <c r="HO188" s="5">
        <f>HM188-HN188</f>
        <v>0</v>
      </c>
      <c r="HP188" s="4">
        <v>0</v>
      </c>
      <c r="HQ188" s="5">
        <f>HP188-HO188</f>
        <v>0</v>
      </c>
      <c r="HR188" s="4">
        <v>0</v>
      </c>
      <c r="HS188" s="4">
        <v>0</v>
      </c>
      <c r="HT188" s="4">
        <v>1.87</v>
      </c>
      <c r="HU188" s="4">
        <v>1.825</v>
      </c>
      <c r="HV188" s="6"/>
      <c r="HW188" s="6"/>
      <c r="HX188" s="6"/>
      <c r="HY188" s="9"/>
      <c r="HZ188" s="7">
        <f>IFERROR(HO188/F188,0)</f>
        <v>0</v>
      </c>
      <c r="IA188"/>
      <c r="IB188"/>
      <c r="IC188"/>
      <c r="ID188"/>
      <c r="IE188"/>
      <c r="IF188" s="4"/>
      <c r="IG188" s="4"/>
      <c r="IH188" s="6"/>
      <c r="II188" s="4"/>
      <c r="IJ188" s="5">
        <v>0</v>
      </c>
      <c r="IK188" s="5"/>
      <c r="IL188" s="6"/>
      <c r="IM188" s="4"/>
      <c r="IN188" s="4"/>
      <c r="IO188" s="5">
        <v>0</v>
      </c>
      <c r="IP188" s="5">
        <v>0</v>
      </c>
      <c r="IQ188" s="5"/>
      <c r="IR188" s="4"/>
      <c r="IS188" s="5">
        <v>0</v>
      </c>
      <c r="IT188" s="4"/>
      <c r="IU188" s="4"/>
      <c r="IV188" s="4"/>
      <c r="IW188" s="4"/>
      <c r="IX188" s="6"/>
      <c r="IY188" s="6"/>
      <c r="IZ188" s="6"/>
      <c r="JA188" s="9"/>
      <c r="JB188"/>
      <c r="JC188"/>
      <c r="JD188"/>
      <c r="JE188"/>
      <c r="JF188"/>
      <c r="JG188"/>
      <c r="JH188" s="4"/>
      <c r="JI188" s="4"/>
      <c r="JJ188" s="6"/>
      <c r="JK188" s="4"/>
      <c r="JL188" s="5">
        <v>0</v>
      </c>
      <c r="JM188" s="5"/>
      <c r="JN188" s="6"/>
      <c r="JO188" s="4"/>
      <c r="JP188" s="4"/>
      <c r="JQ188" s="5">
        <v>0</v>
      </c>
      <c r="JR188" s="5">
        <v>0</v>
      </c>
      <c r="JS188" s="5"/>
      <c r="JT188" s="4"/>
      <c r="JU188" s="5">
        <v>0</v>
      </c>
      <c r="JV188" s="4"/>
      <c r="JW188" s="4"/>
      <c r="JX188" s="4"/>
      <c r="JY188" s="4"/>
      <c r="JZ188" s="6"/>
      <c r="KA188" s="6"/>
      <c r="KB188" s="6"/>
      <c r="KC188" s="9"/>
      <c r="KD188"/>
      <c r="KE188"/>
      <c r="KF188"/>
      <c r="KG188"/>
      <c r="KH188"/>
      <c r="KI188"/>
      <c r="KJ188" s="4"/>
      <c r="KK188" s="4"/>
      <c r="KL188" s="6"/>
      <c r="KM188" s="4"/>
      <c r="KN188" s="5">
        <v>0</v>
      </c>
      <c r="KO188" s="5"/>
      <c r="KP188" s="6"/>
      <c r="KQ188" s="4"/>
      <c r="KR188" s="4"/>
      <c r="KS188" s="5">
        <v>0</v>
      </c>
      <c r="KT188" s="5">
        <v>0</v>
      </c>
      <c r="KU188" s="5"/>
      <c r="KV188" s="4"/>
      <c r="KW188" s="5">
        <v>0</v>
      </c>
      <c r="KX188" s="4"/>
      <c r="KY188" s="4"/>
      <c r="KZ188" s="4"/>
      <c r="LA188" s="4"/>
      <c r="LB188" s="6"/>
      <c r="LC188" s="6"/>
      <c r="LD188" s="6"/>
      <c r="LE188" s="9"/>
      <c r="LF188"/>
      <c r="LG188"/>
      <c r="LH188"/>
      <c r="LI188"/>
      <c r="LJ188"/>
      <c r="LK188"/>
      <c r="LL188" s="4"/>
      <c r="LM188" s="4"/>
      <c r="LN188" s="6"/>
      <c r="LO188" s="4"/>
      <c r="LP188" s="5">
        <v>0</v>
      </c>
      <c r="LQ188" s="5"/>
      <c r="LR188" s="6"/>
      <c r="LS188" s="4"/>
      <c r="LT188" s="4"/>
      <c r="LU188" s="5">
        <v>0</v>
      </c>
      <c r="LV188" s="5">
        <v>0</v>
      </c>
      <c r="LW188" s="5"/>
      <c r="LX188" s="4"/>
      <c r="LY188" s="5">
        <v>0</v>
      </c>
      <c r="LZ188" s="4"/>
      <c r="MA188" s="4"/>
      <c r="MB188" s="4"/>
      <c r="MC188" s="4"/>
      <c r="MD188" s="6"/>
      <c r="ME188" s="6"/>
      <c r="MF188" s="6"/>
      <c r="MG188" s="9"/>
      <c r="MH188"/>
    </row>
    <row r="189">
      <c r="A189" s="8">
        <v>25482</v>
      </c>
      <c r="B189" s="8">
        <v>25483</v>
      </c>
      <c r="C189" s="9">
        <f>B189-A189</f>
        <v>1</v>
      </c>
      <c r="D189" s="8">
        <v>25482</v>
      </c>
      <c r="E189" t="inlineStr">
        <is>
          <t xml:space="preserve">positive</t>
        </is>
      </c>
      <c r="F189" s="4">
        <v>1.7865214521529185</v>
      </c>
      <c r="G189" s="6">
        <v>0.017147513940134116</v>
      </c>
      <c r="H189" s="7">
        <f>SUM(CP189,DR189,ET189,FV189,GX189,HZ189,JB189,KD189,LF189,MH189)</f>
        <v>0.017147513940134116</v>
      </c>
      <c r="I189" s="7">
        <f>G189-H189</f>
        <v>0</v>
      </c>
      <c r="J189" s="5">
        <f>F189*(1+H189)</f>
        <v>1.8171558536580592</v>
      </c>
      <c r="K189" s="4">
        <v>1.8171558536580592</v>
      </c>
      <c r="L189" s="5">
        <f>K189-J189</f>
        <v>0</v>
      </c>
      <c r="M189" s="4">
        <v>1.825</v>
      </c>
      <c r="N189" s="4">
        <v>1.864</v>
      </c>
      <c r="O189" s="5">
        <f>M189/$M$3</f>
        <v>0.932073544433095</v>
      </c>
      <c r="P189" s="5">
        <f>N189/$M$3</f>
        <v>0.9519918283963229</v>
      </c>
      <c r="Q189" s="7">
        <f>IFERROR(N189/M189-1,0)</f>
        <v>0.021369863013698698</v>
      </c>
      <c r="R189" s="5">
        <f>SUM(IF(BQ189="lease",CB189,0),IF(CS189="lease",DD189,0),IF(DU189="lease",EF189,0),IF(EW189="lease",FH189,0),IF(FY189="lease",GJ189,0),IF(HA189="lease",HL189,0),IF(IC189="lease",IN189,0),IF(JE189="lease",JP189,0),IF(KG189="lease",KR189,0),IF(LI189="lease",LT189,0))</f>
        <v>1.786521452152919</v>
      </c>
      <c r="S189" s="5">
        <f>SUM(IF(BQ189="lease",CI189,0),IF(CS189="lease",DK189,0),IF(DU189="lease",EM189,0),IF(EW189="lease",FO189,0),IF(FY189="lease",GQ189,0),IF(HA189="lease",HS189,0),IF(IC189="lease",IU189,0),IF(JE189="lease",JW189,0),IF(KG189="lease",KY189,0),IF(LI189="lease",MA189,0))</f>
        <v>1.8171558536580594</v>
      </c>
      <c r="T189" s="5">
        <f>SUM(IF(BQ189="keep",CB189,0),IF(CS189="keep",DD189,0),IF(DU189="keep",EF189,0),IF(EW189="keep",FH189,0),IF(FY189="keep",GJ189,0),IF(HA189="keep",HL189,0),IF(IC189="keep",IN189,0),IF(JE189="keep",JP189,0),IF(KG189="keep",KR189,0),IF(LI189="keep",LT189,0))</f>
        <v>0</v>
      </c>
      <c r="U189" s="5">
        <f>SUM(IF(BQ189="keep",CI189,0),IF(CS189="keep",DK189,0),IF(DU189="keep",EM189,0),IF(EW189="keep",FO189,0),IF(FY189="keep",GQ189,0),IF(HA189="keep",HS189,0),IF(IC189="keep",IU189,0),IF(JE189="keep",JW189,0),IF(KG189="keep",KY189,0),IF(LI189="keep",MA189,0))</f>
        <v>0</v>
      </c>
      <c r="V189" s="5">
        <f>R189/O189</f>
        <v>1.9167172620906385</v>
      </c>
      <c r="W189" s="5">
        <f>S189/P189</f>
        <v>1.9087935415571244</v>
      </c>
      <c r="X189" s="5">
        <f>T189/O189</f>
        <v>0</v>
      </c>
      <c r="Y189" s="5">
        <f>U189/P189</f>
        <v>0</v>
      </c>
      <c r="Z189" s="5">
        <f>V189+X189</f>
        <v>1.9167172620906385</v>
      </c>
      <c r="AA189" s="7">
        <f>IFERROR(W189/V189-1,0)</f>
        <v>-0.004134005933077112</v>
      </c>
      <c r="AB189" s="7">
        <f>IFERROR((W189-V189)/Z189,0)</f>
        <v>-0.004134005933077149</v>
      </c>
      <c r="AC189" s="7">
        <f>IFERROR(Y189/X189-1,0)</f>
        <v>0</v>
      </c>
      <c r="AD189" s="7">
        <f>IFERROR((Y189-X189)/Z189,0)</f>
        <v>0</v>
      </c>
      <c r="AE189" s="7">
        <f>AB189+AD189</f>
        <v>-0.004134005933077149</v>
      </c>
      <c r="AF189" s="7">
        <f>(1+Q189)*(1+AE189)-1</f>
        <v>0.017147513940133807</v>
      </c>
      <c r="AG189" s="7">
        <f>G189-AF189</f>
        <v>3.0878077872387166e-16</v>
      </c>
      <c r="AH189" s="5">
        <f>SUM(IF(BQ189="lease",CE189,0),IF(CS189="lease",DG189,0),IF(DU189="lease",EI189,0),IF(EW189="lease",FK189,0),IF(FY189="lease",GM189,0),IF(HA189="lease",HO189,0),IF(IC189="lease",IQ189,0),IF(JE189="lease",JS189,0),IF(KG189="lease",KU189,0),IF(LI189="lease",LW189,0))</f>
        <v>0.030634401505140813</v>
      </c>
      <c r="AI189" s="5">
        <f>SUM(IF(BQ189="keep",CE189,0),IF(CS189="keep",DG189,0),IF(DU189="keep",EI189,0),IF(EW189="keep",FK189,0),IF(FY189="keep",GM189,0),IF(HA189="keep",HO189,0),IF(IC189="keep",IQ189,0),IF(JE189="keep",JS189,0),IF(KG189="keep",KU189,0),IF(LI189="keep",LW189,0))</f>
        <v>0</v>
      </c>
      <c r="AJ189" s="5">
        <f>SUM(IF(BQ189="lease",CH189,0),IF(CS189="lease",DJ189,0),IF(DU189="lease",EL189,0),IF(EW189="lease",FN189,0),IF(FY189="lease",GP189,0),IF(HA189="lease",HR189,0),IF(IC189="lease",IT189,0),IF(JE189="lease",JV189,0),IF(KG189="lease",KX189,0),IF(LI189="lease",LZ189,0))</f>
        <v>0</v>
      </c>
      <c r="AK189" s="5">
        <f>SUM(IF(BQ189="keep",CH189,0),IF(CS189="keep",DJ189,0),IF(DU189="keep",EL189,0),IF(EW189="keep",FN189,0),IF(FY189="keep",GP189,0),IF(HA189="keep",HR189,0),IF(IC189="keep",IT189,0),IF(JE189="keep",JV189,0),IF(KG189="keep",KX189,0),IF(LI189="keep",LZ189,0))</f>
        <v>0</v>
      </c>
      <c r="AL189" s="5">
        <f>R189-S188</f>
        <v>-2.220446049250313e-16</v>
      </c>
      <c r="AM189" s="5">
        <f>T189-U188</f>
        <v>0</v>
      </c>
      <c r="AN189" s="5">
        <f>AN188</f>
        <v>1</v>
      </c>
      <c r="AO189" s="5">
        <f>AO188+AH189</f>
        <v>0.8171558536580601</v>
      </c>
      <c r="AP189" s="5">
        <f>AP188+AL189</f>
        <v>-8.881784197001252e-16</v>
      </c>
      <c r="AQ189" s="5">
        <f>AN189+AO189+AP189</f>
        <v>1.8171558536580592</v>
      </c>
      <c r="AR189" s="5">
        <f>S189-AQ189</f>
        <v>2.220446049250313e-16</v>
      </c>
      <c r="AS189" s="5">
        <f>AS188</f>
        <v>0</v>
      </c>
      <c r="AT189" s="5">
        <f>AT188+AI189</f>
        <v>0</v>
      </c>
      <c r="AU189" s="5">
        <f>AU188+AM189</f>
        <v>0</v>
      </c>
      <c r="AV189" s="5">
        <f>AS189+AT189+AU189</f>
        <v>0</v>
      </c>
      <c r="AW189" s="5">
        <f>U189-AV189</f>
        <v>0</v>
      </c>
      <c r="AX189" s="4">
        <v>1.786521452152919</v>
      </c>
      <c r="AY189" s="4">
        <v>1.8171558536580596</v>
      </c>
      <c r="AZ189" s="5">
        <f>S189-AY189</f>
        <v>-2.220446049250313e-16</v>
      </c>
      <c r="BA189" s="4">
        <v>0</v>
      </c>
      <c r="BB189" s="4">
        <v>0</v>
      </c>
      <c r="BC189" s="5">
        <f>U189-BB189</f>
        <v>0</v>
      </c>
      <c r="BD189" s="7">
        <f>SUM(IF(BP189="direct",CC189/F189,0),IF(CR189="direct",DE189/F189,0),IF(DT189="direct",EG189/F189,0),IF(EV189="direct",FI189/F189,0),IF(FX189="direct",GK189/F189,0),IF(GZ189="direct",HM189/F189,0),IF(IB189="direct",IO189/F189,0),IF(JD189="direct",JQ189/F189,0),IF(KF189="direct",KS189/F189,0),IF(LH189="direct",LU189/F189,0))</f>
        <v>0.015213985649054225</v>
      </c>
      <c r="BE189" s="7">
        <f>-SUM(IF(BP189="direct",CD189/F189,0),IF(CR189="direct",DF189/F189,0),IF(DT189="direct",EH189/F189,0),IF(EV189="direct",FJ189/F189,0),IF(FX189="direct",GL189/F189,0),IF(GZ189="direct",HN189/F189,0),IF(IB189="direct",IP189/F189,0),IF(JD189="direct",JR189/F189,0),IF(KF189="direct",KT189/F189,0),IF(LH189="direct",LV189/F189,0))</f>
        <v>-0.000004876277451619926</v>
      </c>
      <c r="BF189" s="7">
        <f>BD189+BE189</f>
        <v>0.015209109371602605</v>
      </c>
      <c r="BG189" s="7">
        <f>BF189-SUM(IF(BP189="direct",CP189,0),IF(CR189="direct",DR189,0),IF(DT189="direct",ET189,0),IF(EV189="direct",FV189,0),IF(FX189="direct",GX189,0),IF(GZ189="direct",HZ189,0),IF(IB189="direct",JB189,0),IF(JD189="direct",KD189,0),IF(KF189="direct",LF189,0),IF(LH189="direct",MH189,0))</f>
        <v>6.938893903907228e-18</v>
      </c>
      <c r="BH189" s="7">
        <f>SUM(IF(BP189="treasury",CP189,0),IF(CR189="treasury",DR189,0),IF(DT189="treasury",ET189,0),IF(EV189="treasury",FV189,0),IF(FX189="treasury",GX189,0),IF(GZ189="treasury",HZ189,0),IF(IB189="treasury",JB189,0),IF(JD189="treasury",KD189,0),IF(KF189="treasury",LF189,0),IF(LH189="treasury",MH189,0))</f>
        <v>0.00005477152424440073</v>
      </c>
      <c r="BI189" s="7">
        <f>SUM(IF(BP189="future",CP189,0),IF(CR189="future",DR189,0),IF(DT189="future",ET189,0),IF(EV189="future",FV189,0),IF(FX189="future",GX189,0),IF(GZ189="future",HZ189,0),IF(IB189="future",JB189,0),IF(JD189="future",KD189,0),IF(KF189="future",LF189,0),IF(LH189="future",MH189,0))</f>
        <v>0.0018836330442871178</v>
      </c>
      <c r="BJ189" s="7">
        <f>SUM(IF(BP189="cash",CP189,0),IF(CR189="cash",DR189,0),IF(DT189="cash",ET189,0),IF(EV189="cash",FV189,0),IF(FX189="cash",GX189,0),IF(GZ189="cash",HZ189,0),IF(IB189="cash",JB189,0),IF(JD189="cash",KD189,0),IF(KF189="cash",LF189,0),IF(LH189="cash",MH189,0))</f>
        <v>0</v>
      </c>
      <c r="BK189" s="7">
        <f>SUM(BF189,BH189,BI189,BJ189)</f>
        <v>0.017147513940134116</v>
      </c>
      <c r="BL189" s="7">
        <f>G189-BK189</f>
        <v>0</v>
      </c>
      <c r="BM189" s="5">
        <f>MAX(ABS(CG189),ABS(DI189),ABS(EK189),ABS(FM189),ABS(GO189),ABS(HQ189),ABS(IS189),ABS(JU189),ABS(KW189),ABS(LY189))</f>
        <v>4.060337135958214e-17</v>
      </c>
      <c r="BN189" s="9">
        <f>COUNTA(BO189,CQ189,DS189,EU189,FW189,GY189,IA189,JC189,KE189,LG189)</f>
        <v>6</v>
      </c>
      <c r="BO189" t="inlineStr">
        <is>
          <t xml:space="preserve">Direct commodity holding</t>
        </is>
      </c>
      <c r="BP189" t="inlineStr">
        <is>
          <t xml:space="preserve">direct</t>
        </is>
      </c>
      <c r="BQ189" t="inlineStr">
        <is>
          <t xml:space="preserve">lease</t>
        </is>
      </c>
      <c r="BR189" t="inlineStr">
        <is>
          <t xml:space="preserve">long</t>
        </is>
      </c>
      <c r="BS189"/>
      <c r="BT189" s="4">
        <v>1.825</v>
      </c>
      <c r="BU189" s="4">
        <v>1.864</v>
      </c>
      <c r="BV189" s="6">
        <v>0.0025</v>
      </c>
      <c r="BW189" s="4">
        <v>0.696925941917485</v>
      </c>
      <c r="BX189" s="5">
        <f>IF(BP189="direct",IFERROR(CD189/BU189,0),0)</f>
        <v>0.000004673591348695581</v>
      </c>
      <c r="BY189" s="5">
        <f>IF(BP189="direct",BW189-BX189,IF(BP189="cash",CI189,BW189))</f>
        <v>0.6969212683261363</v>
      </c>
      <c r="BZ189" s="6">
        <v>0.7119365079365092</v>
      </c>
      <c r="CA189" s="4">
        <v>1.2718898439994102</v>
      </c>
      <c r="CB189" s="4">
        <v>1.2718898439994102</v>
      </c>
      <c r="CC189" s="5">
        <f>IF(BP189="direct",BW189*(BU189-BT189),CF189)</f>
        <v>0.027180111734782016</v>
      </c>
      <c r="CD189" s="5">
        <f>IF(BP189="direct",CB189*BV189*C189/365,0)</f>
        <v>0.000008711574273968563</v>
      </c>
      <c r="CE189" s="5">
        <f>CC189-CD189</f>
        <v>0.027171400160508036</v>
      </c>
      <c r="CF189" s="4">
        <v>0.027171400160508036</v>
      </c>
      <c r="CG189" s="5">
        <f>CF189-CE189</f>
        <v>-1.2024479719222048e-17</v>
      </c>
      <c r="CH189" s="4">
        <v>0</v>
      </c>
      <c r="CI189" s="4">
        <v>1.299061244159918</v>
      </c>
      <c r="CJ189" s="4">
        <v>1.825</v>
      </c>
      <c r="CK189" s="4">
        <v>1.864</v>
      </c>
      <c r="CL189" s="6"/>
      <c r="CM189" s="6"/>
      <c r="CN189" s="6"/>
      <c r="CO189" s="9"/>
      <c r="CP189" s="7">
        <f>IFERROR(CE189/F189,0)</f>
        <v>0.015209109371602598</v>
      </c>
      <c r="CQ189" t="inlineStr">
        <is>
          <t xml:space="preserve">Treasury collateral</t>
        </is>
      </c>
      <c r="CR189" t="inlineStr">
        <is>
          <t xml:space="preserve">treasury</t>
        </is>
      </c>
      <c r="CS189" t="inlineStr">
        <is>
          <t xml:space="preserve">lease</t>
        </is>
      </c>
      <c r="CT189" t="inlineStr">
        <is>
          <t xml:space="preserve">long</t>
        </is>
      </c>
      <c r="CU189"/>
      <c r="CV189" s="4">
        <v>105.0144377829591</v>
      </c>
      <c r="CW189" s="4">
        <v>105.0344049116773</v>
      </c>
      <c r="CX189" s="6"/>
      <c r="CY189" s="4">
        <v>0.004900579568088862</v>
      </c>
      <c r="CZ189" s="5">
        <f>IF(CR189="direct",IFERROR(DF189/CW189,0),0)</f>
        <v>0</v>
      </c>
      <c r="DA189" s="5">
        <f>IF(CR189="direct",CY189-CZ189,IF(CR189="cash",DK189,CY189))</f>
        <v>0.004900579568088862</v>
      </c>
      <c r="DB189" s="6">
        <v>0.28806349206349086</v>
      </c>
      <c r="DC189" s="4">
        <v>0.5146316081535084</v>
      </c>
      <c r="DD189" s="4">
        <v>0.5146316081535084</v>
      </c>
      <c r="DE189" s="5">
        <f>IF(CR189="direct",CY189*(CW189-CV189),DH189)</f>
        <v>0.00009785050302977618</v>
      </c>
      <c r="DF189" s="5">
        <f>IF(CR189="direct",DD189*CX189*C189/365,0)</f>
        <v>0</v>
      </c>
      <c r="DG189" s="5">
        <f>DE189-DF189</f>
        <v>0.00009785050302973558</v>
      </c>
      <c r="DH189" s="4">
        <v>0.00009785050302973558</v>
      </c>
      <c r="DI189" s="5">
        <f>DH189-DG189</f>
        <v>-4.060337135958214e-17</v>
      </c>
      <c r="DJ189" s="4">
        <v>5.93465164164253e-17</v>
      </c>
      <c r="DK189" s="4">
        <v>0.5147294586565382</v>
      </c>
      <c r="DL189" s="4">
        <v>1.825</v>
      </c>
      <c r="DM189" s="4">
        <v>1.864</v>
      </c>
      <c r="DN189" s="6"/>
      <c r="DO189" s="6"/>
      <c r="DP189" s="6"/>
      <c r="DQ189" s="9">
        <v>84</v>
      </c>
      <c r="DR189" s="7">
        <f>IFERROR(DG189/F189,0)</f>
        <v>0.00005477152424440073</v>
      </c>
      <c r="DS189" t="inlineStr">
        <is>
          <t xml:space="preserve">SI69Z</t>
        </is>
      </c>
      <c r="DT189" t="inlineStr">
        <is>
          <t xml:space="preserve">future</t>
        </is>
      </c>
      <c r="DU189" t="inlineStr">
        <is>
          <t xml:space="preserve">lease</t>
        </is>
      </c>
      <c r="DV189" t="inlineStr">
        <is>
          <t xml:space="preserve">long</t>
        </is>
      </c>
      <c r="DW189" t="inlineStr">
        <is>
          <t xml:space="preserve">regular</t>
        </is>
      </c>
      <c r="DX189" s="4">
        <v>1.8359999999999999</v>
      </c>
      <c r="DY189" s="4">
        <v>1.848</v>
      </c>
      <c r="DZ189" s="6"/>
      <c r="EA189" s="4">
        <v>0.2785174719043228</v>
      </c>
      <c r="EB189" s="5">
        <f>IF(DT189="direct",IFERROR(EH189/DY189,0),0)</f>
        <v>0</v>
      </c>
      <c r="EC189" s="5">
        <f>IF(DT189="direct",EA189-EB189,IF(DT189="cash",EM189,EA189))</f>
        <v>0.2785174719043228</v>
      </c>
      <c r="ED189" s="6">
        <v>0.286231143656352</v>
      </c>
      <c r="EE189" s="4">
        <v>0.5113580784163366</v>
      </c>
      <c r="EF189" s="4">
        <v>0</v>
      </c>
      <c r="EG189" s="5">
        <f>IF(DT189="direct",EA189*(DY189-DX189),EJ189)</f>
        <v>0.0033422096628519748</v>
      </c>
      <c r="EH189" s="5">
        <f>IF(DT189="direct",EF189*DZ189*C189/365,0)</f>
        <v>0</v>
      </c>
      <c r="EI189" s="5">
        <f>EG189-EH189</f>
        <v>0.0033422096628519748</v>
      </c>
      <c r="EJ189" s="4">
        <v>0.0033422096628519748</v>
      </c>
      <c r="EK189" s="5">
        <f>EJ189-EI189</f>
        <v>0</v>
      </c>
      <c r="EL189" s="4">
        <v>-0.0033422096628519748</v>
      </c>
      <c r="EM189" s="4">
        <v>0</v>
      </c>
      <c r="EN189" s="4">
        <v>1.825</v>
      </c>
      <c r="EO189" s="4">
        <v>1.864</v>
      </c>
      <c r="EP189" s="6">
        <v>0.0060273972602740145</v>
      </c>
      <c r="EQ189" s="6">
        <v>0.0694</v>
      </c>
      <c r="ER189" s="6">
        <v>0.04320952380952363</v>
      </c>
      <c r="ES189" s="9">
        <v>84</v>
      </c>
      <c r="ET189" s="7">
        <f>IFERROR(EI189/F189,0)</f>
        <v>0.0018707917886036647</v>
      </c>
      <c r="EU189" t="inlineStr">
        <is>
          <t xml:space="preserve">SI70F</t>
        </is>
      </c>
      <c r="EV189" t="inlineStr">
        <is>
          <t xml:space="preserve">future</t>
        </is>
      </c>
      <c r="EW189" t="inlineStr">
        <is>
          <t xml:space="preserve">lease</t>
        </is>
      </c>
      <c r="EX189" t="inlineStr">
        <is>
          <t xml:space="preserve">long</t>
        </is>
      </c>
      <c r="EY189" t="inlineStr">
        <is>
          <t xml:space="preserve">regular</t>
        </is>
      </c>
      <c r="EZ189" s="4">
        <v>1.855</v>
      </c>
      <c r="FA189" s="4">
        <v>1.868</v>
      </c>
      <c r="FB189" s="6"/>
      <c r="FC189" s="4">
        <v>0.0017647060577745833</v>
      </c>
      <c r="FD189" s="5">
        <f>IF(EV189="direct",IFERROR(FJ189/FA189,0),0)</f>
        <v>0</v>
      </c>
      <c r="FE189" s="5">
        <f>IF(EV189="direct",FC189-FD189,IF(EV189="cash",FO189,FC189))</f>
        <v>0.0017647060577745833</v>
      </c>
      <c r="FF189" s="6">
        <v>0.0018323484071388874</v>
      </c>
      <c r="FG189" s="4">
        <v>0.003273529737171852</v>
      </c>
      <c r="FH189" s="4">
        <v>0</v>
      </c>
      <c r="FI189" s="5">
        <f>IF(EV189="direct",FC189*(FA189-EZ189),FL189)</f>
        <v>0.000022941178751069477</v>
      </c>
      <c r="FJ189" s="5">
        <f>IF(EV189="direct",FH189*FB189*C189/365,0)</f>
        <v>0</v>
      </c>
      <c r="FK189" s="5">
        <f>FI189-FJ189</f>
        <v>0.000022941178751069477</v>
      </c>
      <c r="FL189" s="4">
        <v>0.000022941178751069477</v>
      </c>
      <c r="FM189" s="5">
        <f>FL189-FK189</f>
        <v>0</v>
      </c>
      <c r="FN189" s="4">
        <v>-0.000022941178751069477</v>
      </c>
      <c r="FO189" s="4">
        <v>0</v>
      </c>
      <c r="FP189" s="4">
        <v>1.825</v>
      </c>
      <c r="FQ189" s="4">
        <v>1.864</v>
      </c>
      <c r="FR189" s="6">
        <v>0.016438356164383494</v>
      </c>
      <c r="FS189" s="6">
        <v>0.07023406593406593</v>
      </c>
      <c r="FT189" s="6">
        <v>0.01760248698669773</v>
      </c>
      <c r="FU189" s="9">
        <v>114</v>
      </c>
      <c r="FV189" s="7">
        <f>IFERROR(FK189/F189,0)</f>
        <v>0.000012841255683453059</v>
      </c>
      <c r="FW189" t="inlineStr">
        <is>
          <t xml:space="preserve">Lease cash / margin / financing</t>
        </is>
      </c>
      <c r="FX189" t="inlineStr">
        <is>
          <t xml:space="preserve">cash</t>
        </is>
      </c>
      <c r="FY189" t="inlineStr">
        <is>
          <t xml:space="preserve">lease</t>
        </is>
      </c>
      <c r="FZ189" t="inlineStr">
        <is>
          <t xml:space="preserve">cash</t>
        </is>
      </c>
      <c r="GA189"/>
      <c r="GB189" s="4">
        <v>1</v>
      </c>
      <c r="GC189" s="4">
        <v>1</v>
      </c>
      <c r="GD189" s="6"/>
      <c r="GE189" s="4">
        <v>2.220446049250313e-16</v>
      </c>
      <c r="GF189" s="5">
        <f>IF(FX189="direct",IFERROR(GL189/GC189,0),0)</f>
        <v>0</v>
      </c>
      <c r="GG189" s="5">
        <f>IF(FX189="direct",GE189-GF189,IF(FX189="cash",GQ189,GE189))</f>
        <v>0.0033651508416032067</v>
      </c>
      <c r="GH189" s="6"/>
      <c r="GI189" s="4">
        <v>2.220446049250313e-16</v>
      </c>
      <c r="GJ189" s="4">
        <v>2.220446049250313e-16</v>
      </c>
      <c r="GK189" s="5">
        <f>IF(FX189="direct",GE189*(GC189-GB189),GN189)</f>
        <v>0</v>
      </c>
      <c r="GL189" s="5">
        <f>IF(FX189="direct",GJ189*GD189*C189/365,0)</f>
        <v>0</v>
      </c>
      <c r="GM189" s="5">
        <f>GK189-GL189</f>
        <v>0</v>
      </c>
      <c r="GN189" s="4">
        <v>0</v>
      </c>
      <c r="GO189" s="5">
        <f>GN189-GM189</f>
        <v>0</v>
      </c>
      <c r="GP189" s="4">
        <v>0.0033651508416029847</v>
      </c>
      <c r="GQ189" s="4">
        <v>0.0033651508416032067</v>
      </c>
      <c r="GR189" s="4">
        <v>1.825</v>
      </c>
      <c r="GS189" s="4">
        <v>1.864</v>
      </c>
      <c r="GT189" s="6"/>
      <c r="GU189" s="6"/>
      <c r="GV189" s="6"/>
      <c r="GW189" s="9"/>
      <c r="GX189" s="7">
        <f>IFERROR(GM189/F189,0)</f>
        <v>0</v>
      </c>
      <c r="GY189" t="inlineStr">
        <is>
          <t xml:space="preserve">Keep cash / margin / financing</t>
        </is>
      </c>
      <c r="GZ189" t="inlineStr">
        <is>
          <t xml:space="preserve">cash</t>
        </is>
      </c>
      <c r="HA189" t="inlineStr">
        <is>
          <t xml:space="preserve">keep</t>
        </is>
      </c>
      <c r="HB189" t="inlineStr">
        <is>
          <t xml:space="preserve">cash</t>
        </is>
      </c>
      <c r="HC189"/>
      <c r="HD189" s="4">
        <v>1</v>
      </c>
      <c r="HE189" s="4">
        <v>1</v>
      </c>
      <c r="HF189" s="6"/>
      <c r="HG189" s="4">
        <v>0</v>
      </c>
      <c r="HH189" s="5">
        <f>IF(GZ189="direct",IFERROR(HN189/HE189,0),0)</f>
        <v>0</v>
      </c>
      <c r="HI189" s="5">
        <f>IF(GZ189="direct",HG189-HH189,IF(GZ189="cash",HS189,HG189))</f>
        <v>0</v>
      </c>
      <c r="HJ189" s="6"/>
      <c r="HK189" s="4">
        <v>0</v>
      </c>
      <c r="HL189" s="4">
        <v>0</v>
      </c>
      <c r="HM189" s="5">
        <f>IF(GZ189="direct",HG189*(HE189-HD189),HP189)</f>
        <v>0</v>
      </c>
      <c r="HN189" s="5">
        <f>IF(GZ189="direct",HL189*HF189*C189/365,0)</f>
        <v>0</v>
      </c>
      <c r="HO189" s="5">
        <f>HM189-HN189</f>
        <v>0</v>
      </c>
      <c r="HP189" s="4">
        <v>0</v>
      </c>
      <c r="HQ189" s="5">
        <f>HP189-HO189</f>
        <v>0</v>
      </c>
      <c r="HR189" s="4">
        <v>0</v>
      </c>
      <c r="HS189" s="4">
        <v>0</v>
      </c>
      <c r="HT189" s="4">
        <v>1.825</v>
      </c>
      <c r="HU189" s="4">
        <v>1.864</v>
      </c>
      <c r="HV189" s="6"/>
      <c r="HW189" s="6"/>
      <c r="HX189" s="6"/>
      <c r="HY189" s="9"/>
      <c r="HZ189" s="7">
        <f>IFERROR(HO189/F189,0)</f>
        <v>0</v>
      </c>
      <c r="IA189"/>
      <c r="IB189"/>
      <c r="IC189"/>
      <c r="ID189"/>
      <c r="IE189"/>
      <c r="IF189" s="4"/>
      <c r="IG189" s="4"/>
      <c r="IH189" s="6"/>
      <c r="II189" s="4"/>
      <c r="IJ189" s="5">
        <v>0</v>
      </c>
      <c r="IK189" s="5"/>
      <c r="IL189" s="6"/>
      <c r="IM189" s="4"/>
      <c r="IN189" s="4"/>
      <c r="IO189" s="5">
        <v>0</v>
      </c>
      <c r="IP189" s="5">
        <v>0</v>
      </c>
      <c r="IQ189" s="5"/>
      <c r="IR189" s="4"/>
      <c r="IS189" s="5">
        <v>0</v>
      </c>
      <c r="IT189" s="4"/>
      <c r="IU189" s="4"/>
      <c r="IV189" s="4"/>
      <c r="IW189" s="4"/>
      <c r="IX189" s="6"/>
      <c r="IY189" s="6"/>
      <c r="IZ189" s="6"/>
      <c r="JA189" s="9"/>
      <c r="JB189"/>
      <c r="JC189"/>
      <c r="JD189"/>
      <c r="JE189"/>
      <c r="JF189"/>
      <c r="JG189"/>
      <c r="JH189" s="4"/>
      <c r="JI189" s="4"/>
      <c r="JJ189" s="6"/>
      <c r="JK189" s="4"/>
      <c r="JL189" s="5">
        <v>0</v>
      </c>
      <c r="JM189" s="5"/>
      <c r="JN189" s="6"/>
      <c r="JO189" s="4"/>
      <c r="JP189" s="4"/>
      <c r="JQ189" s="5">
        <v>0</v>
      </c>
      <c r="JR189" s="5">
        <v>0</v>
      </c>
      <c r="JS189" s="5"/>
      <c r="JT189" s="4"/>
      <c r="JU189" s="5">
        <v>0</v>
      </c>
      <c r="JV189" s="4"/>
      <c r="JW189" s="4"/>
      <c r="JX189" s="4"/>
      <c r="JY189" s="4"/>
      <c r="JZ189" s="6"/>
      <c r="KA189" s="6"/>
      <c r="KB189" s="6"/>
      <c r="KC189" s="9"/>
      <c r="KD189"/>
      <c r="KE189"/>
      <c r="KF189"/>
      <c r="KG189"/>
      <c r="KH189"/>
      <c r="KI189"/>
      <c r="KJ189" s="4"/>
      <c r="KK189" s="4"/>
      <c r="KL189" s="6"/>
      <c r="KM189" s="4"/>
      <c r="KN189" s="5">
        <v>0</v>
      </c>
      <c r="KO189" s="5"/>
      <c r="KP189" s="6"/>
      <c r="KQ189" s="4"/>
      <c r="KR189" s="4"/>
      <c r="KS189" s="5">
        <v>0</v>
      </c>
      <c r="KT189" s="5">
        <v>0</v>
      </c>
      <c r="KU189" s="5"/>
      <c r="KV189" s="4"/>
      <c r="KW189" s="5">
        <v>0</v>
      </c>
      <c r="KX189" s="4"/>
      <c r="KY189" s="4"/>
      <c r="KZ189" s="4"/>
      <c r="LA189" s="4"/>
      <c r="LB189" s="6"/>
      <c r="LC189" s="6"/>
      <c r="LD189" s="6"/>
      <c r="LE189" s="9"/>
      <c r="LF189"/>
      <c r="LG189"/>
      <c r="LH189"/>
      <c r="LI189"/>
      <c r="LJ189"/>
      <c r="LK189"/>
      <c r="LL189" s="4"/>
      <c r="LM189" s="4"/>
      <c r="LN189" s="6"/>
      <c r="LO189" s="4"/>
      <c r="LP189" s="5">
        <v>0</v>
      </c>
      <c r="LQ189" s="5"/>
      <c r="LR189" s="6"/>
      <c r="LS189" s="4"/>
      <c r="LT189" s="4"/>
      <c r="LU189" s="5">
        <v>0</v>
      </c>
      <c r="LV189" s="5">
        <v>0</v>
      </c>
      <c r="LW189" s="5"/>
      <c r="LX189" s="4"/>
      <c r="LY189" s="5">
        <v>0</v>
      </c>
      <c r="LZ189" s="4"/>
      <c r="MA189" s="4"/>
      <c r="MB189" s="4"/>
      <c r="MC189" s="4"/>
      <c r="MD189" s="6"/>
      <c r="ME189" s="6"/>
      <c r="MF189" s="6"/>
      <c r="MG189" s="9"/>
      <c r="MH189"/>
    </row>
    <row r="190">
      <c r="A190" s="8">
        <v>25483</v>
      </c>
      <c r="B190" s="8">
        <v>25484</v>
      </c>
      <c r="C190" s="9">
        <f>B190-A190</f>
        <v>1</v>
      </c>
      <c r="D190" s="8">
        <v>25483</v>
      </c>
      <c r="E190" t="inlineStr">
        <is>
          <t xml:space="preserve">positive</t>
        </is>
      </c>
      <c r="F190" s="4">
        <v>1.8171558536580592</v>
      </c>
      <c r="G190" s="6">
        <v>-0.001415228791954096</v>
      </c>
      <c r="H190" s="7">
        <f>SUM(CP190,DR190,ET190,FV190,GX190,HZ190,JB190,KD190,LF190,MH190)</f>
        <v>-0.0014152287919540962</v>
      </c>
      <c r="I190" s="7">
        <f>G190-H190</f>
        <v>2.168404344971009e-19</v>
      </c>
      <c r="J190" s="5">
        <f>F190*(1+H190)</f>
        <v>1.8145841623744945</v>
      </c>
      <c r="K190" s="4">
        <v>1.8145841623744945</v>
      </c>
      <c r="L190" s="5">
        <f>K190-J190</f>
        <v>0</v>
      </c>
      <c r="M190" s="4">
        <v>1.864</v>
      </c>
      <c r="N190" s="4">
        <v>1.823</v>
      </c>
      <c r="O190" s="5">
        <f>M190/$M$3</f>
        <v>0.9519918283963229</v>
      </c>
      <c r="P190" s="5">
        <f>N190/$M$3</f>
        <v>0.9310520939734422</v>
      </c>
      <c r="Q190" s="7">
        <f>IFERROR(N190/M190-1,0)</f>
        <v>-0.021995708154506466</v>
      </c>
      <c r="R190" s="5">
        <f>SUM(IF(BQ190="lease",CB190,0),IF(CS190="lease",DD190,0),IF(DU190="lease",EF190,0),IF(EW190="lease",FH190,0),IF(FY190="lease",GJ190,0),IF(HA190="lease",HL190,0),IF(IC190="lease",IN190,0),IF(JE190="lease",JP190,0),IF(KG190="lease",KR190,0),IF(LI190="lease",LT190,0))</f>
        <v>1.8171558536580596</v>
      </c>
      <c r="S190" s="5">
        <f>SUM(IF(BQ190="lease",CI190,0),IF(CS190="lease",DK190,0),IF(DU190="lease",EM190,0),IF(EW190="lease",FO190,0),IF(FY190="lease",GQ190,0),IF(HA190="lease",HS190,0),IF(IC190="lease",IU190,0),IF(JE190="lease",JW190,0),IF(KG190="lease",KY190,0),IF(LI190="lease",MA190,0))</f>
        <v>1.814584162374495</v>
      </c>
      <c r="T190" s="5">
        <f>SUM(IF(BQ190="keep",CB190,0),IF(CS190="keep",DD190,0),IF(DU190="keep",EF190,0),IF(EW190="keep",FH190,0),IF(FY190="keep",GJ190,0),IF(HA190="keep",HL190,0),IF(IC190="keep",IN190,0),IF(JE190="keep",JP190,0),IF(KG190="keep",KR190,0),IF(LI190="keep",LT190,0))</f>
        <v>0</v>
      </c>
      <c r="U190" s="5">
        <f>SUM(IF(BQ190="keep",CI190,0),IF(CS190="keep",DK190,0),IF(DU190="keep",EM190,0),IF(EW190="keep",FO190,0),IF(FY190="keep",GQ190,0),IF(HA190="keep",HS190,0),IF(IC190="keep",IU190,0),IF(JE190="keep",JW190,0),IF(KG190="keep",KY190,0),IF(LI190="keep",MA190,0))</f>
        <v>0</v>
      </c>
      <c r="V190" s="5">
        <f>R190/O190</f>
        <v>1.9087935415571247</v>
      </c>
      <c r="W190" s="5">
        <f>S190/P190</f>
        <v>1.9489609379754587</v>
      </c>
      <c r="X190" s="5">
        <f>T190/O190</f>
        <v>0</v>
      </c>
      <c r="Y190" s="5">
        <f>U190/P190</f>
        <v>0</v>
      </c>
      <c r="Z190" s="5">
        <f>V190+X190</f>
        <v>1.9087935415571247</v>
      </c>
      <c r="AA190" s="7">
        <f>IFERROR(W190/V190-1,0)</f>
        <v>0.02104334258463947</v>
      </c>
      <c r="AB190" s="7">
        <f>IFERROR((W190-V190)/Z190,0)</f>
        <v>0.02104334258463956</v>
      </c>
      <c r="AC190" s="7">
        <f>IFERROR(Y190/X190-1,0)</f>
        <v>0</v>
      </c>
      <c r="AD190" s="7">
        <f>IFERROR((Y190-X190)/Z190,0)</f>
        <v>0</v>
      </c>
      <c r="AE190" s="7">
        <f>AB190+AD190</f>
        <v>0.02104334258463956</v>
      </c>
      <c r="AF190" s="7">
        <f>(1+Q190)*(1+AE190)-1</f>
        <v>-0.001415228791953993</v>
      </c>
      <c r="AG190" s="7">
        <f>G190-AF190</f>
        <v>-1.0299920638612292e-16</v>
      </c>
      <c r="AH190" s="5">
        <f>SUM(IF(BQ190="lease",CE190,0),IF(CS190="lease",DG190,0),IF(DU190="lease",EI190,0),IF(EW190="lease",FK190,0),IF(FY190="lease",GM190,0),IF(HA190="lease",HO190,0),IF(IC190="lease",IQ190,0),IF(JE190="lease",JS190,0),IF(KG190="lease",KU190,0),IF(LI190="lease",LW190,0))</f>
        <v>-0.0025716912835648097</v>
      </c>
      <c r="AI190" s="5">
        <f>SUM(IF(BQ190="keep",CE190,0),IF(CS190="keep",DG190,0),IF(DU190="keep",EI190,0),IF(EW190="keep",FK190,0),IF(FY190="keep",GM190,0),IF(HA190="keep",HO190,0),IF(IC190="keep",IQ190,0),IF(JE190="keep",JS190,0),IF(KG190="keep",KU190,0),IF(LI190="keep",LW190,0))</f>
        <v>0</v>
      </c>
      <c r="AJ190" s="5">
        <f>SUM(IF(BQ190="lease",CH190,0),IF(CS190="lease",DJ190,0),IF(DU190="lease",EL190,0),IF(EW190="lease",FN190,0),IF(FY190="lease",GP190,0),IF(HA190="lease",HR190,0),IF(IC190="lease",IT190,0),IF(JE190="lease",JV190,0),IF(KG190="lease",KX190,0),IF(LI190="lease",LZ190,0))</f>
        <v>0</v>
      </c>
      <c r="AK190" s="5">
        <f>SUM(IF(BQ190="keep",CH190,0),IF(CS190="keep",DJ190,0),IF(DU190="keep",EL190,0),IF(EW190="keep",FN190,0),IF(FY190="keep",GP190,0),IF(HA190="keep",HR190,0),IF(IC190="keep",IT190,0),IF(JE190="keep",JV190,0),IF(KG190="keep",KX190,0),IF(LI190="keep",LZ190,0))</f>
        <v>0</v>
      </c>
      <c r="AL190" s="5">
        <f>R190-S189</f>
        <v>2.220446049250313e-16</v>
      </c>
      <c r="AM190" s="5">
        <f>T190-U189</f>
        <v>0</v>
      </c>
      <c r="AN190" s="5">
        <f>AN189</f>
        <v>1</v>
      </c>
      <c r="AO190" s="5">
        <f>AO189+AH190</f>
        <v>0.8145841623744953</v>
      </c>
      <c r="AP190" s="5">
        <f>AP189+AL190</f>
        <v>-6.661338147750939e-16</v>
      </c>
      <c r="AQ190" s="5">
        <f>AN190+AO190+AP190</f>
        <v>1.8145841623744945</v>
      </c>
      <c r="AR190" s="5">
        <f>S190-AQ190</f>
        <v>4.440892098500626e-16</v>
      </c>
      <c r="AS190" s="5">
        <f>AS189</f>
        <v>0</v>
      </c>
      <c r="AT190" s="5">
        <f>AT189+AI190</f>
        <v>0</v>
      </c>
      <c r="AU190" s="5">
        <f>AU189+AM190</f>
        <v>0</v>
      </c>
      <c r="AV190" s="5">
        <f>AS190+AT190+AU190</f>
        <v>0</v>
      </c>
      <c r="AW190" s="5">
        <f>U190-AV190</f>
        <v>0</v>
      </c>
      <c r="AX190" s="4">
        <v>1.8171558536580596</v>
      </c>
      <c r="AY190" s="4">
        <v>1.814584162374495</v>
      </c>
      <c r="AZ190" s="5">
        <f>S190-AY190</f>
        <v>0</v>
      </c>
      <c r="BA190" s="4">
        <v>0</v>
      </c>
      <c r="BB190" s="4">
        <v>0</v>
      </c>
      <c r="BC190" s="5">
        <f>U190-BB190</f>
        <v>0</v>
      </c>
      <c r="BD190" s="7">
        <f>SUM(IF(BP190="direct",CC190/F190,0),IF(CR190="direct",DE190/F190,0),IF(DT190="direct",EG190/F190,0),IF(EV190="direct",FI190/F190,0),IF(FX190="direct",GK190/F190,0),IF(GZ190="direct",HM190/F190,0),IF(IB190="direct",IO190/F190,0),IF(JD190="direct",JQ190/F190,0),IF(KF190="direct",KS190/F190,0),IF(LH190="direct",LU190/F190,0))</f>
        <v>-0.006210479875626194</v>
      </c>
      <c r="BE190" s="7">
        <f>-SUM(IF(BP190="direct",CD190/F190,0),IF(CR190="direct",DF190/F190,0),IF(DT190="direct",EH190/F190,0),IF(EV190="direct",FJ190/F190,0),IF(FX190="direct",GL190/F190,0),IF(GZ190="direct",HN190/F190,0),IF(IB190="direct",IP190/F190,0),IF(JD190="direct",JR190/F190,0),IF(KF190="direct",KT190/F190,0),IF(LH190="direct",LV190/F190,0))</f>
        <v>-0.0000019339015182370837</v>
      </c>
      <c r="BF190" s="7">
        <f>BD190+BE190</f>
        <v>-0.00621241377714443</v>
      </c>
      <c r="BG190" s="7">
        <f>BF190-SUM(IF(BP190="direct",CP190,0),IF(CR190="direct",DR190,0),IF(DT190="direct",ET190,0),IF(EV190="direct",FV190,0),IF(FX190="direct",GX190,0),IF(GZ190="direct",HZ190,0),IF(IB190="direct",JB190,0),IF(JD190="direct",KD190,0),IF(KF190="direct",LF190,0),IF(LH190="direct",MH190,0))</f>
        <v>-1.3877787807814457e-17</v>
      </c>
      <c r="BH190" s="7">
        <f>SUM(IF(BP190="treasury",CP190,0),IF(CR190="treasury",DR190,0),IF(DT190="treasury",ET190,0),IF(EV190="treasury",FV190,0),IF(FX190="treasury",GX190,0),IF(GZ190="treasury",HZ190,0),IF(IB190="treasury",JB190,0),IF(JD190="treasury",KD190,0),IF(KF190="treasury",LF190,0),IF(LH190="treasury",MH190,0))</f>
        <v>0.00013743496286515965</v>
      </c>
      <c r="BI190" s="7">
        <f>SUM(IF(BP190="future",CP190,0),IF(CR190="future",DR190,0),IF(DT190="future",ET190,0),IF(EV190="future",FV190,0),IF(FX190="future",GX190,0),IF(GZ190="future",HZ190,0),IF(IB190="future",JB190,0),IF(JD190="future",KD190,0),IF(KF190="future",LF190,0),IF(LH190="future",MH190,0))</f>
        <v>0.004659750022325161</v>
      </c>
      <c r="BJ190" s="7">
        <f>SUM(IF(BP190="cash",CP190,0),IF(CR190="cash",DR190,0),IF(DT190="cash",ET190,0),IF(EV190="cash",FV190,0),IF(FX190="cash",GX190,0),IF(GZ190="cash",HZ190,0),IF(IB190="cash",JB190,0),IF(JD190="cash",KD190,0),IF(KF190="cash",LF190,0),IF(LH190="cash",MH190,0))</f>
        <v>0</v>
      </c>
      <c r="BK190" s="7">
        <f>SUM(BF190,BH190,BI190,BJ190)</f>
        <v>-0.0014152287919540962</v>
      </c>
      <c r="BL190" s="7">
        <f>G190-BK190</f>
        <v>2.168404344971009e-19</v>
      </c>
      <c r="BM190" s="5">
        <f>MAX(ABS(CG190),ABS(DI190),ABS(EK190),ABS(FM190),ABS(GO190),ABS(HQ190),ABS(IS190),ABS(JU190),ABS(KW190),ABS(LY190))</f>
        <v>1.2744796537567105e-16</v>
      </c>
      <c r="BN190" s="9">
        <f>COUNTA(BO190,CQ190,DS190,EU190,FW190,GY190,IA190,JC190,KE190,LG190)</f>
        <v>6</v>
      </c>
      <c r="BO190" t="inlineStr">
        <is>
          <t xml:space="preserve">Direct commodity holding</t>
        </is>
      </c>
      <c r="BP190" t="inlineStr">
        <is>
          <t xml:space="preserve">direct</t>
        </is>
      </c>
      <c r="BQ190" t="inlineStr">
        <is>
          <t xml:space="preserve">lease</t>
        </is>
      </c>
      <c r="BR190" t="inlineStr">
        <is>
          <t xml:space="preserve">long</t>
        </is>
      </c>
      <c r="BS190"/>
      <c r="BT190" s="4">
        <v>1.864</v>
      </c>
      <c r="BU190" s="4">
        <v>1.823</v>
      </c>
      <c r="BV190" s="6">
        <v>0.0025</v>
      </c>
      <c r="BW190" s="4">
        <v>0.2752538990248701</v>
      </c>
      <c r="BX190" s="5">
        <f>IF(BP190="direct",IFERROR(CD190/BU190,0),0)</f>
        <v>0.0000019277018454540457</v>
      </c>
      <c r="BY190" s="5">
        <f>IF(BP190="direct",BW190-BX190,IF(BP190="cash",CI190,BW190))</f>
        <v>0.27525197132302465</v>
      </c>
      <c r="BZ190" s="6">
        <v>0.28234962166261424</v>
      </c>
      <c r="CA190" s="4">
        <v>0.5130732677823578</v>
      </c>
      <c r="CB190" s="4">
        <v>0.5130732677823578</v>
      </c>
      <c r="CC190" s="5">
        <f>IF(BP190="direct",BW190*(BU190-BT190),CF190)</f>
        <v>-0.011285409860019713</v>
      </c>
      <c r="CD190" s="5">
        <f>IF(BP190="direct",CB190*BV190*C190/365,0)</f>
        <v>0.000003514200464262725</v>
      </c>
      <c r="CE190" s="5">
        <f>CC190-CD190</f>
        <v>-0.01128892406048395</v>
      </c>
      <c r="CF190" s="4">
        <v>-0.01128892406048395</v>
      </c>
      <c r="CG190" s="5">
        <f>CF190-CE190</f>
        <v>2.590014994466837e-17</v>
      </c>
      <c r="CH190" s="4">
        <v>0</v>
      </c>
      <c r="CI190" s="4">
        <v>0.501784343721874</v>
      </c>
      <c r="CJ190" s="4">
        <v>1.864</v>
      </c>
      <c r="CK190" s="4">
        <v>1.823</v>
      </c>
      <c r="CL190" s="6"/>
      <c r="CM190" s="6"/>
      <c r="CN190" s="6"/>
      <c r="CO190" s="9"/>
      <c r="CP190" s="7">
        <f>IFERROR(CE190/F190,0)</f>
        <v>-0.0062124137771444165</v>
      </c>
      <c r="CQ190" t="inlineStr">
        <is>
          <t xml:space="preserve">Treasury collateral</t>
        </is>
      </c>
      <c r="CR190" t="inlineStr">
        <is>
          <t xml:space="preserve">treasury</t>
        </is>
      </c>
      <c r="CS190" t="inlineStr">
        <is>
          <t xml:space="preserve">lease</t>
        </is>
      </c>
      <c r="CT190" t="inlineStr">
        <is>
          <t xml:space="preserve">long</t>
        </is>
      </c>
      <c r="CU190"/>
      <c r="CV190" s="4">
        <v>105.0344049116773</v>
      </c>
      <c r="CW190" s="4">
        <v>105.05451971963163</v>
      </c>
      <c r="CX190" s="6"/>
      <c r="CY190" s="4">
        <v>0.012415765929004839</v>
      </c>
      <c r="CZ190" s="5">
        <f>IF(CR190="direct",IFERROR(DF190/CW190,0),0)</f>
        <v>0</v>
      </c>
      <c r="DA190" s="5">
        <f>IF(CR190="direct",CY190-CZ190,IF(CR190="cash",DK190,CY190))</f>
        <v>0.012415765929004839</v>
      </c>
      <c r="DB190" s="6">
        <v>0.7176503783373858</v>
      </c>
      <c r="DC190" s="4">
        <v>1.3040825858757015</v>
      </c>
      <c r="DD190" s="4">
        <v>1.3040825858757015</v>
      </c>
      <c r="DE190" s="5">
        <f>IF(CR190="direct",CY190*(CW190-CV190),DH190)</f>
        <v>0.0002497407472678303</v>
      </c>
      <c r="DF190" s="5">
        <f>IF(CR190="direct",DD190*CX190*C190/365,0)</f>
        <v>0</v>
      </c>
      <c r="DG190" s="5">
        <f>DE190-DF190</f>
        <v>0.0002497407472677028</v>
      </c>
      <c r="DH190" s="4">
        <v>0.0002497407472677028</v>
      </c>
      <c r="DI190" s="5">
        <f>DH190-DG190</f>
        <v>-1.2744796537567105e-16</v>
      </c>
      <c r="DJ190" s="4">
        <v>2.0968470015869656e-16</v>
      </c>
      <c r="DK190" s="4">
        <v>1.3043323266229694</v>
      </c>
      <c r="DL190" s="4">
        <v>1.864</v>
      </c>
      <c r="DM190" s="4">
        <v>1.823</v>
      </c>
      <c r="DN190" s="6"/>
      <c r="DO190" s="6"/>
      <c r="DP190" s="6"/>
      <c r="DQ190" s="9">
        <v>83</v>
      </c>
      <c r="DR190" s="7">
        <f>IFERROR(DG190/F190,0)</f>
        <v>0.00013743496286515965</v>
      </c>
      <c r="DS190" t="inlineStr">
        <is>
          <t xml:space="preserve">SI69Z</t>
        </is>
      </c>
      <c r="DT190" t="inlineStr">
        <is>
          <t xml:space="preserve">future</t>
        </is>
      </c>
      <c r="DU190" t="inlineStr">
        <is>
          <t xml:space="preserve">lease</t>
        </is>
      </c>
      <c r="DV190" t="inlineStr">
        <is>
          <t xml:space="preserve">long</t>
        </is>
      </c>
      <c r="DW190" t="inlineStr">
        <is>
          <t xml:space="preserve">regular</t>
        </is>
      </c>
      <c r="DX190" s="4">
        <v>1.848</v>
      </c>
      <c r="DY190" s="4">
        <v>1.86</v>
      </c>
      <c r="DZ190" s="6"/>
      <c r="EA190" s="4">
        <v>0.7011836703347034</v>
      </c>
      <c r="EB190" s="5">
        <f>IF(DT190="direct",IFERROR(EH190/DY190,0),0)</f>
        <v>0</v>
      </c>
      <c r="EC190" s="5">
        <f>IF(DT190="direct",EA190-EB190,IF(DT190="cash",EM190,EA190))</f>
        <v>0.7011836703347034</v>
      </c>
      <c r="ED190" s="6">
        <v>0.7130854627411419</v>
      </c>
      <c r="EE190" s="4">
        <v>1.295787422778532</v>
      </c>
      <c r="EF190" s="4">
        <v>0</v>
      </c>
      <c r="EG190" s="5">
        <f>IF(DT190="direct",EA190*(DY190-DX190),EJ190)</f>
        <v>0.008414204044016516</v>
      </c>
      <c r="EH190" s="5">
        <f>IF(DT190="direct",EF190*DZ190*C190/365,0)</f>
        <v>0</v>
      </c>
      <c r="EI190" s="5">
        <f>EG190-EH190</f>
        <v>0.008414204044016516</v>
      </c>
      <c r="EJ190" s="4">
        <v>0.008414204044016516</v>
      </c>
      <c r="EK190" s="5">
        <f>EJ190-EI190</f>
        <v>0</v>
      </c>
      <c r="EL190" s="4">
        <v>-0.008414204044016516</v>
      </c>
      <c r="EM190" s="4">
        <v>0</v>
      </c>
      <c r="EN190" s="4">
        <v>1.864</v>
      </c>
      <c r="EO190" s="4">
        <v>1.823</v>
      </c>
      <c r="EP190" s="6">
        <v>-0.008583690987124526</v>
      </c>
      <c r="EQ190" s="6">
        <v>0.0699</v>
      </c>
      <c r="ER190" s="6">
        <v>0.10764755675060785</v>
      </c>
      <c r="ES190" s="9">
        <v>83</v>
      </c>
      <c r="ET190" s="7">
        <f>IFERROR(EI190/F190,0)</f>
        <v>0.004630425082734729</v>
      </c>
      <c r="EU190" t="inlineStr">
        <is>
          <t xml:space="preserve">SI70F</t>
        </is>
      </c>
      <c r="EV190" t="inlineStr">
        <is>
          <t xml:space="preserve">future</t>
        </is>
      </c>
      <c r="EW190" t="inlineStr">
        <is>
          <t xml:space="preserve">lease</t>
        </is>
      </c>
      <c r="EX190" t="inlineStr">
        <is>
          <t xml:space="preserve">long</t>
        </is>
      </c>
      <c r="EY190" t="inlineStr">
        <is>
          <t xml:space="preserve">regular</t>
        </is>
      </c>
      <c r="EZ190" s="4">
        <v>1.868</v>
      </c>
      <c r="FA190" s="4">
        <v>1.88</v>
      </c>
      <c r="FB190" s="6"/>
      <c r="FC190" s="4">
        <v>0.00444066546957692</v>
      </c>
      <c r="FD190" s="5">
        <f>IF(EV190="direct",IFERROR(FJ190/FA190,0),0)</f>
        <v>0</v>
      </c>
      <c r="FE190" s="5">
        <f>IF(EV190="direct",FC190-FD190,IF(EV190="cash",FO190,FC190))</f>
        <v>0.00444066546957692</v>
      </c>
      <c r="FF190" s="6">
        <v>0.004564915596243963</v>
      </c>
      <c r="FG190" s="4">
        <v>0.008295163097169687</v>
      </c>
      <c r="FH190" s="4">
        <v>0</v>
      </c>
      <c r="FI190" s="5">
        <f>IF(EV190="direct",FC190*(FA190-EZ190),FL190)</f>
        <v>0.00005328798563492161</v>
      </c>
      <c r="FJ190" s="5">
        <f>IF(EV190="direct",FH190*FB190*C190/365,0)</f>
        <v>0</v>
      </c>
      <c r="FK190" s="5">
        <f>FI190-FJ190</f>
        <v>0.00005328798563492161</v>
      </c>
      <c r="FL190" s="4">
        <v>0.00005328798563492161</v>
      </c>
      <c r="FM190" s="5">
        <f>FL190-FK190</f>
        <v>0</v>
      </c>
      <c r="FN190" s="4">
        <v>-0.00005328798563492161</v>
      </c>
      <c r="FO190" s="4">
        <v>0</v>
      </c>
      <c r="FP190" s="4">
        <v>1.864</v>
      </c>
      <c r="FQ190" s="4">
        <v>1.823</v>
      </c>
      <c r="FR190" s="6">
        <v>0.0021459227467810482</v>
      </c>
      <c r="FS190" s="6">
        <v>0.07069780219780221</v>
      </c>
      <c r="FT190" s="6">
        <v>0.06376628182103156</v>
      </c>
      <c r="FU190" s="9">
        <v>113</v>
      </c>
      <c r="FV190" s="7">
        <f>IFERROR(FK190/F190,0)</f>
        <v>0.00002932493959043152</v>
      </c>
      <c r="FW190" t="inlineStr">
        <is>
          <t xml:space="preserve">Lease cash / margin / financing</t>
        </is>
      </c>
      <c r="FX190" t="inlineStr">
        <is>
          <t xml:space="preserve">cash</t>
        </is>
      </c>
      <c r="FY190" t="inlineStr">
        <is>
          <t xml:space="preserve">lease</t>
        </is>
      </c>
      <c r="FZ190" t="inlineStr">
        <is>
          <t xml:space="preserve">cash</t>
        </is>
      </c>
      <c r="GA190"/>
      <c r="GB190" s="4">
        <v>1</v>
      </c>
      <c r="GC190" s="4">
        <v>1</v>
      </c>
      <c r="GD190" s="6"/>
      <c r="GE190" s="4">
        <v>2.220446049250313e-16</v>
      </c>
      <c r="GF190" s="5">
        <f>IF(FX190="direct",IFERROR(GL190/GC190,0),0)</f>
        <v>0</v>
      </c>
      <c r="GG190" s="5">
        <f>IF(FX190="direct",GE190-GF190,IF(FX190="cash",GQ190,GE190))</f>
        <v>0.00846749202965145</v>
      </c>
      <c r="GH190" s="6"/>
      <c r="GI190" s="4">
        <v>2.220446049250313e-16</v>
      </c>
      <c r="GJ190" s="4">
        <v>2.220446049250313e-16</v>
      </c>
      <c r="GK190" s="5">
        <f>IF(FX190="direct",GE190*(GC190-GB190),GN190)</f>
        <v>0</v>
      </c>
      <c r="GL190" s="5">
        <f>IF(FX190="direct",GJ190*GD190*C190/365,0)</f>
        <v>0</v>
      </c>
      <c r="GM190" s="5">
        <f>GK190-GL190</f>
        <v>0</v>
      </c>
      <c r="GN190" s="4">
        <v>0</v>
      </c>
      <c r="GO190" s="5">
        <f>GN190-GM190</f>
        <v>0</v>
      </c>
      <c r="GP190" s="4">
        <v>0.008467492029651228</v>
      </c>
      <c r="GQ190" s="4">
        <v>0.00846749202965145</v>
      </c>
      <c r="GR190" s="4">
        <v>1.864</v>
      </c>
      <c r="GS190" s="4">
        <v>1.823</v>
      </c>
      <c r="GT190" s="6"/>
      <c r="GU190" s="6"/>
      <c r="GV190" s="6"/>
      <c r="GW190" s="9"/>
      <c r="GX190" s="7">
        <f>IFERROR(GM190/F190,0)</f>
        <v>0</v>
      </c>
      <c r="GY190" t="inlineStr">
        <is>
          <t xml:space="preserve">Keep cash / margin / financing</t>
        </is>
      </c>
      <c r="GZ190" t="inlineStr">
        <is>
          <t xml:space="preserve">cash</t>
        </is>
      </c>
      <c r="HA190" t="inlineStr">
        <is>
          <t xml:space="preserve">keep</t>
        </is>
      </c>
      <c r="HB190" t="inlineStr">
        <is>
          <t xml:space="preserve">cash</t>
        </is>
      </c>
      <c r="HC190"/>
      <c r="HD190" s="4">
        <v>1</v>
      </c>
      <c r="HE190" s="4">
        <v>1</v>
      </c>
      <c r="HF190" s="6"/>
      <c r="HG190" s="4">
        <v>0</v>
      </c>
      <c r="HH190" s="5">
        <f>IF(GZ190="direct",IFERROR(HN190/HE190,0),0)</f>
        <v>0</v>
      </c>
      <c r="HI190" s="5">
        <f>IF(GZ190="direct",HG190-HH190,IF(GZ190="cash",HS190,HG190))</f>
        <v>0</v>
      </c>
      <c r="HJ190" s="6"/>
      <c r="HK190" s="4">
        <v>0</v>
      </c>
      <c r="HL190" s="4">
        <v>0</v>
      </c>
      <c r="HM190" s="5">
        <f>IF(GZ190="direct",HG190*(HE190-HD190),HP190)</f>
        <v>0</v>
      </c>
      <c r="HN190" s="5">
        <f>IF(GZ190="direct",HL190*HF190*C190/365,0)</f>
        <v>0</v>
      </c>
      <c r="HO190" s="5">
        <f>HM190-HN190</f>
        <v>0</v>
      </c>
      <c r="HP190" s="4">
        <v>0</v>
      </c>
      <c r="HQ190" s="5">
        <f>HP190-HO190</f>
        <v>0</v>
      </c>
      <c r="HR190" s="4">
        <v>0</v>
      </c>
      <c r="HS190" s="4">
        <v>0</v>
      </c>
      <c r="HT190" s="4">
        <v>1.864</v>
      </c>
      <c r="HU190" s="4">
        <v>1.823</v>
      </c>
      <c r="HV190" s="6"/>
      <c r="HW190" s="6"/>
      <c r="HX190" s="6"/>
      <c r="HY190" s="9"/>
      <c r="HZ190" s="7">
        <f>IFERROR(HO190/F190,0)</f>
        <v>0</v>
      </c>
      <c r="IA190"/>
      <c r="IB190"/>
      <c r="IC190"/>
      <c r="ID190"/>
      <c r="IE190"/>
      <c r="IF190" s="4"/>
      <c r="IG190" s="4"/>
      <c r="IH190" s="6"/>
      <c r="II190" s="4"/>
      <c r="IJ190" s="5">
        <v>0</v>
      </c>
      <c r="IK190" s="5"/>
      <c r="IL190" s="6"/>
      <c r="IM190" s="4"/>
      <c r="IN190" s="4"/>
      <c r="IO190" s="5">
        <v>0</v>
      </c>
      <c r="IP190" s="5">
        <v>0</v>
      </c>
      <c r="IQ190" s="5"/>
      <c r="IR190" s="4"/>
      <c r="IS190" s="5">
        <v>0</v>
      </c>
      <c r="IT190" s="4"/>
      <c r="IU190" s="4"/>
      <c r="IV190" s="4"/>
      <c r="IW190" s="4"/>
      <c r="IX190" s="6"/>
      <c r="IY190" s="6"/>
      <c r="IZ190" s="6"/>
      <c r="JA190" s="9"/>
      <c r="JB190"/>
      <c r="JC190"/>
      <c r="JD190"/>
      <c r="JE190"/>
      <c r="JF190"/>
      <c r="JG190"/>
      <c r="JH190" s="4"/>
      <c r="JI190" s="4"/>
      <c r="JJ190" s="6"/>
      <c r="JK190" s="4"/>
      <c r="JL190" s="5">
        <v>0</v>
      </c>
      <c r="JM190" s="5"/>
      <c r="JN190" s="6"/>
      <c r="JO190" s="4"/>
      <c r="JP190" s="4"/>
      <c r="JQ190" s="5">
        <v>0</v>
      </c>
      <c r="JR190" s="5">
        <v>0</v>
      </c>
      <c r="JS190" s="5"/>
      <c r="JT190" s="4"/>
      <c r="JU190" s="5">
        <v>0</v>
      </c>
      <c r="JV190" s="4"/>
      <c r="JW190" s="4"/>
      <c r="JX190" s="4"/>
      <c r="JY190" s="4"/>
      <c r="JZ190" s="6"/>
      <c r="KA190" s="6"/>
      <c r="KB190" s="6"/>
      <c r="KC190" s="9"/>
      <c r="KD190"/>
      <c r="KE190"/>
      <c r="KF190"/>
      <c r="KG190"/>
      <c r="KH190"/>
      <c r="KI190"/>
      <c r="KJ190" s="4"/>
      <c r="KK190" s="4"/>
      <c r="KL190" s="6"/>
      <c r="KM190" s="4"/>
      <c r="KN190" s="5">
        <v>0</v>
      </c>
      <c r="KO190" s="5"/>
      <c r="KP190" s="6"/>
      <c r="KQ190" s="4"/>
      <c r="KR190" s="4"/>
      <c r="KS190" s="5">
        <v>0</v>
      </c>
      <c r="KT190" s="5">
        <v>0</v>
      </c>
      <c r="KU190" s="5"/>
      <c r="KV190" s="4"/>
      <c r="KW190" s="5">
        <v>0</v>
      </c>
      <c r="KX190" s="4"/>
      <c r="KY190" s="4"/>
      <c r="KZ190" s="4"/>
      <c r="LA190" s="4"/>
      <c r="LB190" s="6"/>
      <c r="LC190" s="6"/>
      <c r="LD190" s="6"/>
      <c r="LE190" s="9"/>
      <c r="LF190"/>
      <c r="LG190"/>
      <c r="LH190"/>
      <c r="LI190"/>
      <c r="LJ190"/>
      <c r="LK190"/>
      <c r="LL190" s="4"/>
      <c r="LM190" s="4"/>
      <c r="LN190" s="6"/>
      <c r="LO190" s="4"/>
      <c r="LP190" s="5">
        <v>0</v>
      </c>
      <c r="LQ190" s="5"/>
      <c r="LR190" s="6"/>
      <c r="LS190" s="4"/>
      <c r="LT190" s="4"/>
      <c r="LU190" s="5">
        <v>0</v>
      </c>
      <c r="LV190" s="5">
        <v>0</v>
      </c>
      <c r="LW190" s="5"/>
      <c r="LX190" s="4"/>
      <c r="LY190" s="5">
        <v>0</v>
      </c>
      <c r="LZ190" s="4"/>
      <c r="MA190" s="4"/>
      <c r="MB190" s="4"/>
      <c r="MC190" s="4"/>
      <c r="MD190" s="6"/>
      <c r="ME190" s="6"/>
      <c r="MF190" s="6"/>
      <c r="MG190" s="9"/>
      <c r="MH190"/>
    </row>
    <row r="191">
      <c r="A191" s="8">
        <v>25484</v>
      </c>
      <c r="B191" s="8">
        <v>25485</v>
      </c>
      <c r="C191" s="9">
        <f>B191-A191</f>
        <v>1</v>
      </c>
      <c r="D191" s="8">
        <v>25484</v>
      </c>
      <c r="E191" t="inlineStr">
        <is>
          <t xml:space="preserve">neutral</t>
        </is>
      </c>
      <c r="F191" s="4">
        <v>1.8145841623744945</v>
      </c>
      <c r="G191" s="6">
        <v>0.011512624080433473</v>
      </c>
      <c r="H191" s="7">
        <f>SUM(CP191,DR191,ET191,FV191,GX191,HZ191,JB191,KD191,LF191,MH191)</f>
        <v>0.011512624080433473</v>
      </c>
      <c r="I191" s="7">
        <f>G191-H191</f>
        <v>0</v>
      </c>
      <c r="J191" s="5">
        <f>F191*(1+H191)</f>
        <v>1.8354747876982205</v>
      </c>
      <c r="K191" s="4">
        <v>1.8354747876982205</v>
      </c>
      <c r="L191" s="5">
        <f>K191-J191</f>
        <v>0</v>
      </c>
      <c r="M191" s="4">
        <v>1.823</v>
      </c>
      <c r="N191" s="4">
        <v>1.844</v>
      </c>
      <c r="O191" s="5">
        <f>M191/$M$3</f>
        <v>0.9310520939734422</v>
      </c>
      <c r="P191" s="5">
        <f>N191/$M$3</f>
        <v>0.9417773237997957</v>
      </c>
      <c r="Q191" s="7">
        <f>IFERROR(N191/M191-1,0)</f>
        <v>0.011519473395501967</v>
      </c>
      <c r="R191" s="5">
        <f>SUM(IF(BQ191="lease",CB191,0),IF(CS191="lease",DD191,0),IF(DU191="lease",EF191,0),IF(EW191="lease",FH191,0),IF(FY191="lease",GJ191,0),IF(HA191="lease",HL191,0),IF(IC191="lease",IN191,0),IF(JE191="lease",JP191,0),IF(KG191="lease",KR191,0),IF(LI191="lease",LT191,0))</f>
        <v>1.814584162374495</v>
      </c>
      <c r="S191" s="5">
        <f>SUM(IF(BQ191="lease",CI191,0),IF(CS191="lease",DK191,0),IF(DU191="lease",EM191,0),IF(EW191="lease",FO191,0),IF(FY191="lease",GQ191,0),IF(HA191="lease",HS191,0),IF(IC191="lease",IU191,0),IF(JE191="lease",JW191,0),IF(KG191="lease",KY191,0),IF(LI191="lease",MA191,0))</f>
        <v>1.835474787698221</v>
      </c>
      <c r="T191" s="5">
        <f>SUM(IF(BQ191="keep",CB191,0),IF(CS191="keep",DD191,0),IF(DU191="keep",EF191,0),IF(EW191="keep",FH191,0),IF(FY191="keep",GJ191,0),IF(HA191="keep",HL191,0),IF(IC191="keep",IN191,0),IF(JE191="keep",JP191,0),IF(KG191="keep",KR191,0),IF(LI191="keep",LT191,0))</f>
        <v>0</v>
      </c>
      <c r="U191" s="5">
        <f>SUM(IF(BQ191="keep",CI191,0),IF(CS191="keep",DK191,0),IF(DU191="keep",EM191,0),IF(EW191="keep",FO191,0),IF(FY191="keep",GQ191,0),IF(HA191="keep",HS191,0),IF(IC191="keep",IU191,0),IF(JE191="keep",JW191,0),IF(KG191="keep",KY191,0),IF(LI191="keep",MA191,0))</f>
        <v>0</v>
      </c>
      <c r="V191" s="5">
        <f>R191/O191</f>
        <v>1.9489609379754587</v>
      </c>
      <c r="W191" s="5">
        <f>S191/P191</f>
        <v>1.9489477409507139</v>
      </c>
      <c r="X191" s="5">
        <f>T191/O191</f>
        <v>0</v>
      </c>
      <c r="Y191" s="5">
        <f>U191/P191</f>
        <v>0</v>
      </c>
      <c r="Z191" s="5">
        <f>V191+X191</f>
        <v>1.9489609379754587</v>
      </c>
      <c r="AA191" s="7">
        <f>IFERROR(W191/V191-1,0)</f>
        <v>-0.000006771313107223342</v>
      </c>
      <c r="AB191" s="7">
        <f>IFERROR((W191-V191)/Z191,0)</f>
        <v>-0.000006771313107224678</v>
      </c>
      <c r="AC191" s="7">
        <f>IFERROR(Y191/X191-1,0)</f>
        <v>0</v>
      </c>
      <c r="AD191" s="7">
        <f>IFERROR((Y191-X191)/Z191,0)</f>
        <v>0</v>
      </c>
      <c r="AE191" s="7">
        <f>AB191+AD191</f>
        <v>-0.000006771313107224678</v>
      </c>
      <c r="AF191" s="7">
        <f>(1+Q191)*(1+AE191)-1</f>
        <v>0.01151262408043352</v>
      </c>
      <c r="AG191" s="7">
        <f>G191-AF191</f>
        <v>-4.683753385137379e-17</v>
      </c>
      <c r="AH191" s="5">
        <f>SUM(IF(BQ191="lease",CE191,0),IF(CS191="lease",DG191,0),IF(DU191="lease",EI191,0),IF(EW191="lease",FK191,0),IF(FY191="lease",GM191,0),IF(HA191="lease",HO191,0),IF(IC191="lease",IQ191,0),IF(JE191="lease",JS191,0),IF(KG191="lease",KU191,0),IF(LI191="lease",LW191,0))</f>
        <v>0.02089062532372581</v>
      </c>
      <c r="AI191" s="5">
        <f>SUM(IF(BQ191="keep",CE191,0),IF(CS191="keep",DG191,0),IF(DU191="keep",EI191,0),IF(EW191="keep",FK191,0),IF(FY191="keep",GM191,0),IF(HA191="keep",HO191,0),IF(IC191="keep",IQ191,0),IF(JE191="keep",JS191,0),IF(KG191="keep",KU191,0),IF(LI191="keep",LW191,0))</f>
        <v>0</v>
      </c>
      <c r="AJ191" s="5">
        <f>SUM(IF(BQ191="lease",CH191,0),IF(CS191="lease",DJ191,0),IF(DU191="lease",EL191,0),IF(EW191="lease",FN191,0),IF(FY191="lease",GP191,0),IF(HA191="lease",HR191,0),IF(IC191="lease",IT191,0),IF(JE191="lease",JV191,0),IF(KG191="lease",KX191,0),IF(LI191="lease",LZ191,0))</f>
        <v>0</v>
      </c>
      <c r="AK191" s="5">
        <f>SUM(IF(BQ191="keep",CH191,0),IF(CS191="keep",DJ191,0),IF(DU191="keep",EL191,0),IF(EW191="keep",FN191,0),IF(FY191="keep",GP191,0),IF(HA191="keep",HR191,0),IF(IC191="keep",IT191,0),IF(JE191="keep",JV191,0),IF(KG191="keep",KX191,0),IF(LI191="keep",LZ191,0))</f>
        <v>0</v>
      </c>
      <c r="AL191" s="5">
        <f>R191-S190</f>
        <v>0</v>
      </c>
      <c r="AM191" s="5">
        <f>T191-U190</f>
        <v>0</v>
      </c>
      <c r="AN191" s="5">
        <f>AN190</f>
        <v>1</v>
      </c>
      <c r="AO191" s="5">
        <f>AO190+AH191</f>
        <v>0.835474787698221</v>
      </c>
      <c r="AP191" s="5">
        <f>AP190+AL191</f>
        <v>-6.661338147750939e-16</v>
      </c>
      <c r="AQ191" s="5">
        <f>AN191+AO191+AP191</f>
        <v>1.8354747876982203</v>
      </c>
      <c r="AR191" s="5">
        <f>S191-AQ191</f>
        <v>6.661338147750939e-16</v>
      </c>
      <c r="AS191" s="5">
        <f>AS190</f>
        <v>0</v>
      </c>
      <c r="AT191" s="5">
        <f>AT190+AI191</f>
        <v>0</v>
      </c>
      <c r="AU191" s="5">
        <f>AU190+AM191</f>
        <v>0</v>
      </c>
      <c r="AV191" s="5">
        <f>AS191+AT191+AU191</f>
        <v>0</v>
      </c>
      <c r="AW191" s="5">
        <f>U191-AV191</f>
        <v>0</v>
      </c>
      <c r="AX191" s="4">
        <v>1.814584162374495</v>
      </c>
      <c r="AY191" s="4">
        <v>1.8354747876982207</v>
      </c>
      <c r="AZ191" s="5">
        <f>S191-AY191</f>
        <v>2.220446049250313e-16</v>
      </c>
      <c r="BA191" s="4">
        <v>0</v>
      </c>
      <c r="BB191" s="4">
        <v>0</v>
      </c>
      <c r="BC191" s="5">
        <f>U191-BB191</f>
        <v>0</v>
      </c>
      <c r="BD191" s="7">
        <f>SUM(IF(BP191="direct",CC191/F191,0),IF(CR191="direct",DE191/F191,0),IF(DT191="direct",EG191/F191,0),IF(EV191="direct",FI191/F191,0),IF(FX191="direct",GK191/F191,0),IF(GZ191="direct",HM191/F191,0),IF(IB191="direct",IO191/F191,0),IF(JD191="direct",JQ191/F191,0),IF(KF191="direct",KS191/F191,0),IF(LH191="direct",LU191/F191,0))</f>
        <v>0.011519473395501991</v>
      </c>
      <c r="BE191" s="7">
        <f>-SUM(IF(BP191="direct",CD191/F191,0),IF(CR191="direct",DF191/F191,0),IF(DT191="direct",EH191/F191,0),IF(EV191="direct",FJ191/F191,0),IF(FX191="direct",GL191/F191,0),IF(GZ191="direct",HN191/F191,0),IF(IB191="direct",IP191/F191,0),IF(JD191="direct",JR191/F191,0),IF(KF191="direct",KT191/F191,0),IF(LH191="direct",LV191/F191,0))</f>
        <v>-0.00000684931506849315</v>
      </c>
      <c r="BF191" s="7">
        <f>BD191+BE191</f>
        <v>0.011512624080433497</v>
      </c>
      <c r="BG191" s="7">
        <f>BF191-SUM(IF(BP191="direct",CP191,0),IF(CR191="direct",DR191,0),IF(DT191="direct",ET191,0),IF(EV191="direct",FV191,0),IF(FX191="direct",GX191,0),IF(GZ191="direct",HZ191,0),IF(IB191="direct",JB191,0),IF(JD191="direct",KD191,0),IF(KF191="direct",LF191,0),IF(LH191="direct",MH191,0))</f>
        <v>2.42861286636753e-17</v>
      </c>
      <c r="BH191" s="7">
        <f>SUM(IF(BP191="treasury",CP191,0),IF(CR191="treasury",DR191,0),IF(DT191="treasury",ET191,0),IF(EV191="treasury",FV191,0),IF(FX191="treasury",GX191,0),IF(GZ191="treasury",HZ191,0),IF(IB191="treasury",JB191,0),IF(JD191="treasury",KD191,0),IF(KF191="treasury",LF191,0),IF(LH191="treasury",MH191,0))</f>
        <v>0</v>
      </c>
      <c r="BI191" s="7">
        <f>SUM(IF(BP191="future",CP191,0),IF(CR191="future",DR191,0),IF(DT191="future",ET191,0),IF(EV191="future",FV191,0),IF(FX191="future",GX191,0),IF(GZ191="future",HZ191,0),IF(IB191="future",JB191,0),IF(JD191="future",KD191,0),IF(KF191="future",LF191,0),IF(LH191="future",MH191,0))</f>
        <v>0</v>
      </c>
      <c r="BJ191" s="7">
        <f>SUM(IF(BP191="cash",CP191,0),IF(CR191="cash",DR191,0),IF(DT191="cash",ET191,0),IF(EV191="cash",FV191,0),IF(FX191="cash",GX191,0),IF(GZ191="cash",HZ191,0),IF(IB191="cash",JB191,0),IF(JD191="cash",KD191,0),IF(KF191="cash",LF191,0),IF(LH191="cash",MH191,0))</f>
        <v>0</v>
      </c>
      <c r="BK191" s="7">
        <f>SUM(BF191,BH191,BI191,BJ191)</f>
        <v>0.011512624080433473</v>
      </c>
      <c r="BL191" s="7">
        <f>G191-BK191</f>
        <v>0</v>
      </c>
      <c r="BM191" s="5">
        <f>MAX(ABS(CG191),ABS(DI191),ABS(EK191),ABS(FM191),ABS(GO191),ABS(HQ191),ABS(IS191),ABS(JU191),ABS(KW191),ABS(LY191))</f>
        <v>4.4121946222476505e-17</v>
      </c>
      <c r="BN191" s="9">
        <f>COUNTA(BO191,CQ191,DS191,EU191,FW191,GY191,IA191,JC191,KE191,LG191)</f>
        <v>3</v>
      </c>
      <c r="BO191" t="inlineStr">
        <is>
          <t xml:space="preserve">Direct commodity holding</t>
        </is>
      </c>
      <c r="BP191" t="inlineStr">
        <is>
          <t xml:space="preserve">direct</t>
        </is>
      </c>
      <c r="BQ191" t="inlineStr">
        <is>
          <t xml:space="preserve">lease</t>
        </is>
      </c>
      <c r="BR191" t="inlineStr">
        <is>
          <t xml:space="preserve">long</t>
        </is>
      </c>
      <c r="BS191"/>
      <c r="BT191" s="4">
        <v>1.823</v>
      </c>
      <c r="BU191" s="4">
        <v>1.844</v>
      </c>
      <c r="BV191" s="6">
        <v>0.0025</v>
      </c>
      <c r="BW191" s="4">
        <v>0.9953835229701012</v>
      </c>
      <c r="BX191" s="5">
        <f>IF(BP191="direct",IFERROR(CD191/BU191,0),0)</f>
        <v>0.000006740053495878875</v>
      </c>
      <c r="BY191" s="5">
        <f>IF(BP191="direct",BW191-BX191,IF(BP191="cash",CI191,BW191))</f>
        <v>0.9953767829166054</v>
      </c>
      <c r="BZ191" s="6">
        <v>1</v>
      </c>
      <c r="CA191" s="4">
        <v>1.8145841623744945</v>
      </c>
      <c r="CB191" s="4">
        <v>1.8145841623744945</v>
      </c>
      <c r="CC191" s="5">
        <f>IF(BP191="direct",BW191*(BU191-BT191),CF191)</f>
        <v>0.020903053982372254</v>
      </c>
      <c r="CD191" s="5">
        <f>IF(BP191="direct",CB191*BV191*C191/365,0)</f>
        <v>0.000012428658646400646</v>
      </c>
      <c r="CE191" s="5">
        <f>CC191-CD191</f>
        <v>0.02089062532372581</v>
      </c>
      <c r="CF191" s="4">
        <v>0.02089062532372581</v>
      </c>
      <c r="CG191" s="5">
        <f>CF191-CE191</f>
        <v>-4.4121946222476505e-17</v>
      </c>
      <c r="CH191" s="4">
        <v>0</v>
      </c>
      <c r="CI191" s="4">
        <v>1.8354747876982205</v>
      </c>
      <c r="CJ191" s="4">
        <v>1.823</v>
      </c>
      <c r="CK191" s="4">
        <v>1.844</v>
      </c>
      <c r="CL191" s="6"/>
      <c r="CM191" s="6"/>
      <c r="CN191" s="6"/>
      <c r="CO191" s="9"/>
      <c r="CP191" s="7">
        <f>IFERROR(CE191/F191,0)</f>
        <v>0.011512624080433473</v>
      </c>
      <c r="CQ191" t="inlineStr">
        <is>
          <t xml:space="preserve">Lease cash / margin / financing</t>
        </is>
      </c>
      <c r="CR191" t="inlineStr">
        <is>
          <t xml:space="preserve">cash</t>
        </is>
      </c>
      <c r="CS191" t="inlineStr">
        <is>
          <t xml:space="preserve">lease</t>
        </is>
      </c>
      <c r="CT191" t="inlineStr">
        <is>
          <t xml:space="preserve">cash</t>
        </is>
      </c>
      <c r="CU191"/>
      <c r="CV191" s="4">
        <v>1</v>
      </c>
      <c r="CW191" s="4">
        <v>1</v>
      </c>
      <c r="CX191" s="6"/>
      <c r="CY191" s="4">
        <v>4.440892098500626e-16</v>
      </c>
      <c r="CZ191" s="5">
        <f>IF(CR191="direct",IFERROR(DF191/CW191,0),0)</f>
        <v>0</v>
      </c>
      <c r="DA191" s="5">
        <f>IF(CR191="direct",CY191-CZ191,IF(CR191="cash",DK191,CY191))</f>
        <v>4.440892098500626e-16</v>
      </c>
      <c r="DB191" s="6"/>
      <c r="DC191" s="4">
        <v>4.440892098500626e-16</v>
      </c>
      <c r="DD191" s="4">
        <v>4.440892098500626e-16</v>
      </c>
      <c r="DE191" s="5">
        <f>IF(CR191="direct",CY191*(CW191-CV191),DH191)</f>
        <v>0</v>
      </c>
      <c r="DF191" s="5">
        <f>IF(CR191="direct",DD191*CX191*C191/365,0)</f>
        <v>0</v>
      </c>
      <c r="DG191" s="5">
        <f>DE191-DF191</f>
        <v>0</v>
      </c>
      <c r="DH191" s="4">
        <v>0</v>
      </c>
      <c r="DI191" s="5">
        <f>DH191-DG191</f>
        <v>0</v>
      </c>
      <c r="DJ191" s="4">
        <v>0</v>
      </c>
      <c r="DK191" s="4">
        <v>4.440892098500626e-16</v>
      </c>
      <c r="DL191" s="4">
        <v>1.823</v>
      </c>
      <c r="DM191" s="4">
        <v>1.844</v>
      </c>
      <c r="DN191" s="6"/>
      <c r="DO191" s="6"/>
      <c r="DP191" s="6"/>
      <c r="DQ191" s="9"/>
      <c r="DR191" s="7">
        <f>IFERROR(DG191/F191,0)</f>
        <v>0</v>
      </c>
      <c r="DS191" t="inlineStr">
        <is>
          <t xml:space="preserve">Keep cash / margin / financing</t>
        </is>
      </c>
      <c r="DT191" t="inlineStr">
        <is>
          <t xml:space="preserve">cash</t>
        </is>
      </c>
      <c r="DU191" t="inlineStr">
        <is>
          <t xml:space="preserve">keep</t>
        </is>
      </c>
      <c r="DV191" t="inlineStr">
        <is>
          <t xml:space="preserve">cash</t>
        </is>
      </c>
      <c r="DW191"/>
      <c r="DX191" s="4">
        <v>1</v>
      </c>
      <c r="DY191" s="4">
        <v>1</v>
      </c>
      <c r="DZ191" s="6"/>
      <c r="EA191" s="4">
        <v>0</v>
      </c>
      <c r="EB191" s="5">
        <f>IF(DT191="direct",IFERROR(EH191/DY191,0),0)</f>
        <v>0</v>
      </c>
      <c r="EC191" s="5">
        <f>IF(DT191="direct",EA191-EB191,IF(DT191="cash",EM191,EA191))</f>
        <v>0</v>
      </c>
      <c r="ED191" s="6"/>
      <c r="EE191" s="4">
        <v>0</v>
      </c>
      <c r="EF191" s="4">
        <v>0</v>
      </c>
      <c r="EG191" s="5">
        <f>IF(DT191="direct",EA191*(DY191-DX191),EJ191)</f>
        <v>0</v>
      </c>
      <c r="EH191" s="5">
        <f>IF(DT191="direct",EF191*DZ191*C191/365,0)</f>
        <v>0</v>
      </c>
      <c r="EI191" s="5">
        <f>EG191-EH191</f>
        <v>0</v>
      </c>
      <c r="EJ191" s="4">
        <v>0</v>
      </c>
      <c r="EK191" s="5">
        <f>EJ191-EI191</f>
        <v>0</v>
      </c>
      <c r="EL191" s="4">
        <v>0</v>
      </c>
      <c r="EM191" s="4">
        <v>0</v>
      </c>
      <c r="EN191" s="4">
        <v>1.823</v>
      </c>
      <c r="EO191" s="4">
        <v>1.844</v>
      </c>
      <c r="EP191" s="6"/>
      <c r="EQ191" s="6"/>
      <c r="ER191" s="6"/>
      <c r="ES191" s="9"/>
      <c r="ET191" s="7">
        <f>IFERROR(EI191/F191,0)</f>
        <v>0</v>
      </c>
      <c r="EU191"/>
      <c r="EV191"/>
      <c r="EW191"/>
      <c r="EX191"/>
      <c r="EY191"/>
      <c r="EZ191" s="4"/>
      <c r="FA191" s="4"/>
      <c r="FB191" s="6"/>
      <c r="FC191" s="4"/>
      <c r="FD191" s="5">
        <v>0</v>
      </c>
      <c r="FE191" s="5"/>
      <c r="FF191" s="6"/>
      <c r="FG191" s="4"/>
      <c r="FH191" s="4"/>
      <c r="FI191" s="5">
        <v>0</v>
      </c>
      <c r="FJ191" s="5">
        <v>0</v>
      </c>
      <c r="FK191" s="5"/>
      <c r="FL191" s="4"/>
      <c r="FM191" s="5">
        <v>0</v>
      </c>
      <c r="FN191" s="4"/>
      <c r="FO191" s="4"/>
      <c r="FP191" s="4"/>
      <c r="FQ191" s="4"/>
      <c r="FR191" s="6"/>
      <c r="FS191" s="6"/>
      <c r="FT191" s="6"/>
      <c r="FU191" s="9"/>
      <c r="FV191"/>
      <c r="FW191"/>
      <c r="FX191"/>
      <c r="FY191"/>
      <c r="FZ191"/>
      <c r="GA191"/>
      <c r="GB191" s="4"/>
      <c r="GC191" s="4"/>
      <c r="GD191" s="6"/>
      <c r="GE191" s="4"/>
      <c r="GF191" s="5">
        <v>0</v>
      </c>
      <c r="GG191" s="5"/>
      <c r="GH191" s="6"/>
      <c r="GI191" s="4"/>
      <c r="GJ191" s="4"/>
      <c r="GK191" s="5">
        <v>0</v>
      </c>
      <c r="GL191" s="5">
        <v>0</v>
      </c>
      <c r="GM191" s="5"/>
      <c r="GN191" s="4"/>
      <c r="GO191" s="5">
        <v>0</v>
      </c>
      <c r="GP191" s="4"/>
      <c r="GQ191" s="4"/>
      <c r="GR191" s="4"/>
      <c r="GS191" s="4"/>
      <c r="GT191" s="6"/>
      <c r="GU191" s="6"/>
      <c r="GV191" s="6"/>
      <c r="GW191" s="9"/>
      <c r="GX191"/>
      <c r="GY191"/>
      <c r="GZ191"/>
      <c r="HA191"/>
      <c r="HB191"/>
      <c r="HC191"/>
      <c r="HD191" s="4"/>
      <c r="HE191" s="4"/>
      <c r="HF191" s="6"/>
      <c r="HG191" s="4"/>
      <c r="HH191" s="5">
        <v>0</v>
      </c>
      <c r="HI191" s="5"/>
      <c r="HJ191" s="6"/>
      <c r="HK191" s="4"/>
      <c r="HL191" s="4"/>
      <c r="HM191" s="5">
        <v>0</v>
      </c>
      <c r="HN191" s="5">
        <v>0</v>
      </c>
      <c r="HO191" s="5"/>
      <c r="HP191" s="4"/>
      <c r="HQ191" s="5">
        <v>0</v>
      </c>
      <c r="HR191" s="4"/>
      <c r="HS191" s="4"/>
      <c r="HT191" s="4"/>
      <c r="HU191" s="4"/>
      <c r="HV191" s="6"/>
      <c r="HW191" s="6"/>
      <c r="HX191" s="6"/>
      <c r="HY191" s="9"/>
      <c r="HZ191"/>
      <c r="IA191"/>
      <c r="IB191"/>
      <c r="IC191"/>
      <c r="ID191"/>
      <c r="IE191"/>
      <c r="IF191" s="4"/>
      <c r="IG191" s="4"/>
      <c r="IH191" s="6"/>
      <c r="II191" s="4"/>
      <c r="IJ191" s="5">
        <v>0</v>
      </c>
      <c r="IK191" s="5"/>
      <c r="IL191" s="6"/>
      <c r="IM191" s="4"/>
      <c r="IN191" s="4"/>
      <c r="IO191" s="5">
        <v>0</v>
      </c>
      <c r="IP191" s="5">
        <v>0</v>
      </c>
      <c r="IQ191" s="5"/>
      <c r="IR191" s="4"/>
      <c r="IS191" s="5">
        <v>0</v>
      </c>
      <c r="IT191" s="4"/>
      <c r="IU191" s="4"/>
      <c r="IV191" s="4"/>
      <c r="IW191" s="4"/>
      <c r="IX191" s="6"/>
      <c r="IY191" s="6"/>
      <c r="IZ191" s="6"/>
      <c r="JA191" s="9"/>
      <c r="JB191"/>
      <c r="JC191"/>
      <c r="JD191"/>
      <c r="JE191"/>
      <c r="JF191"/>
      <c r="JG191"/>
      <c r="JH191" s="4"/>
      <c r="JI191" s="4"/>
      <c r="JJ191" s="6"/>
      <c r="JK191" s="4"/>
      <c r="JL191" s="5">
        <v>0</v>
      </c>
      <c r="JM191" s="5"/>
      <c r="JN191" s="6"/>
      <c r="JO191" s="4"/>
      <c r="JP191" s="4"/>
      <c r="JQ191" s="5">
        <v>0</v>
      </c>
      <c r="JR191" s="5">
        <v>0</v>
      </c>
      <c r="JS191" s="5"/>
      <c r="JT191" s="4"/>
      <c r="JU191" s="5">
        <v>0</v>
      </c>
      <c r="JV191" s="4"/>
      <c r="JW191" s="4"/>
      <c r="JX191" s="4"/>
      <c r="JY191" s="4"/>
      <c r="JZ191" s="6"/>
      <c r="KA191" s="6"/>
      <c r="KB191" s="6"/>
      <c r="KC191" s="9"/>
      <c r="KD191"/>
      <c r="KE191"/>
      <c r="KF191"/>
      <c r="KG191"/>
      <c r="KH191"/>
      <c r="KI191"/>
      <c r="KJ191" s="4"/>
      <c r="KK191" s="4"/>
      <c r="KL191" s="6"/>
      <c r="KM191" s="4"/>
      <c r="KN191" s="5">
        <v>0</v>
      </c>
      <c r="KO191" s="5"/>
      <c r="KP191" s="6"/>
      <c r="KQ191" s="4"/>
      <c r="KR191" s="4"/>
      <c r="KS191" s="5">
        <v>0</v>
      </c>
      <c r="KT191" s="5">
        <v>0</v>
      </c>
      <c r="KU191" s="5"/>
      <c r="KV191" s="4"/>
      <c r="KW191" s="5">
        <v>0</v>
      </c>
      <c r="KX191" s="4"/>
      <c r="KY191" s="4"/>
      <c r="KZ191" s="4"/>
      <c r="LA191" s="4"/>
      <c r="LB191" s="6"/>
      <c r="LC191" s="6"/>
      <c r="LD191" s="6"/>
      <c r="LE191" s="9"/>
      <c r="LF191"/>
      <c r="LG191"/>
      <c r="LH191"/>
      <c r="LI191"/>
      <c r="LJ191"/>
      <c r="LK191"/>
      <c r="LL191" s="4"/>
      <c r="LM191" s="4"/>
      <c r="LN191" s="6"/>
      <c r="LO191" s="4"/>
      <c r="LP191" s="5">
        <v>0</v>
      </c>
      <c r="LQ191" s="5"/>
      <c r="LR191" s="6"/>
      <c r="LS191" s="4"/>
      <c r="LT191" s="4"/>
      <c r="LU191" s="5">
        <v>0</v>
      </c>
      <c r="LV191" s="5">
        <v>0</v>
      </c>
      <c r="LW191" s="5"/>
      <c r="LX191" s="4"/>
      <c r="LY191" s="5">
        <v>0</v>
      </c>
      <c r="LZ191" s="4"/>
      <c r="MA191" s="4"/>
      <c r="MB191" s="4"/>
      <c r="MC191" s="4"/>
      <c r="MD191" s="6"/>
      <c r="ME191" s="6"/>
      <c r="MF191" s="6"/>
      <c r="MG191" s="9"/>
      <c r="MH191"/>
    </row>
    <row r="192">
      <c r="A192" s="8">
        <v>25485</v>
      </c>
      <c r="B192" s="8">
        <v>25486</v>
      </c>
      <c r="C192" s="9">
        <f>B192-A192</f>
        <v>1</v>
      </c>
      <c r="D192" s="8">
        <v>25485</v>
      </c>
      <c r="E192" t="inlineStr">
        <is>
          <t xml:space="preserve">positive</t>
        </is>
      </c>
      <c r="F192" s="4">
        <v>1.8354747876982205</v>
      </c>
      <c r="G192" s="6">
        <v>-0.001992060608308249</v>
      </c>
      <c r="H192" s="7">
        <f>SUM(CP192,DR192,ET192,FV192,GX192,HZ192,JB192,KD192,LF192,MH192)</f>
        <v>-0.001992060608308249</v>
      </c>
      <c r="I192" s="7">
        <f>G192-H192</f>
        <v>0</v>
      </c>
      <c r="J192" s="5">
        <f>F192*(1+H192)</f>
        <v>1.831818410676104</v>
      </c>
      <c r="K192" s="4">
        <v>1.831818410676104</v>
      </c>
      <c r="L192" s="5">
        <f>K192-J192</f>
        <v>0</v>
      </c>
      <c r="M192" s="4">
        <v>1.844</v>
      </c>
      <c r="N192" s="4">
        <v>1.84</v>
      </c>
      <c r="O192" s="5">
        <f>M192/$M$3</f>
        <v>0.9417773237997957</v>
      </c>
      <c r="P192" s="5">
        <f>N192/$M$3</f>
        <v>0.9397344228804904</v>
      </c>
      <c r="Q192" s="7">
        <f>IFERROR(N192/M192-1,0)</f>
        <v>-0.002169197396963085</v>
      </c>
      <c r="R192" s="5">
        <f>SUM(IF(BQ192="lease",CB192,0),IF(CS192="lease",DD192,0),IF(DU192="lease",EF192,0),IF(EW192="lease",FH192,0),IF(FY192="lease",GJ192,0),IF(HA192="lease",HL192,0),IF(IC192="lease",IN192,0),IF(JE192="lease",JP192,0),IF(KG192="lease",KR192,0),IF(LI192="lease",LT192,0))</f>
        <v>1.8354747876982207</v>
      </c>
      <c r="S192" s="5">
        <f>SUM(IF(BQ192="lease",CI192,0),IF(CS192="lease",DK192,0),IF(DU192="lease",EM192,0),IF(EW192="lease",FO192,0),IF(FY192="lease",GQ192,0),IF(HA192="lease",HS192,0),IF(IC192="lease",IU192,0),IF(JE192="lease",JW192,0),IF(KG192="lease",KY192,0),IF(LI192="lease",MA192,0))</f>
        <v>1.831818410676104</v>
      </c>
      <c r="T192" s="5">
        <f>SUM(IF(BQ192="keep",CB192,0),IF(CS192="keep",DD192,0),IF(DU192="keep",EF192,0),IF(EW192="keep",FH192,0),IF(FY192="keep",GJ192,0),IF(HA192="keep",HL192,0),IF(IC192="keep",IN192,0),IF(JE192="keep",JP192,0),IF(KG192="keep",KR192,0),IF(LI192="keep",LT192,0))</f>
        <v>0</v>
      </c>
      <c r="U192" s="5">
        <f>SUM(IF(BQ192="keep",CI192,0),IF(CS192="keep",DK192,0),IF(DU192="keep",EM192,0),IF(EW192="keep",FO192,0),IF(FY192="keep",GQ192,0),IF(HA192="keep",HS192,0),IF(IC192="keep",IU192,0),IF(JE192="keep",JW192,0),IF(KG192="keep",KY192,0),IF(LI192="keep",MA192,0))</f>
        <v>0</v>
      </c>
      <c r="V192" s="5">
        <f>R192/O192</f>
        <v>1.9489477409507137</v>
      </c>
      <c r="W192" s="5">
        <f>S192/P192</f>
        <v>1.9492937217955497</v>
      </c>
      <c r="X192" s="5">
        <f>T192/O192</f>
        <v>0</v>
      </c>
      <c r="Y192" s="5">
        <f>U192/P192</f>
        <v>0</v>
      </c>
      <c r="Z192" s="5">
        <f>V192+X192</f>
        <v>1.9489477409507137</v>
      </c>
      <c r="AA192" s="7">
        <f>IFERROR(W192/V192-1,0)</f>
        <v>0.0001775218686301816</v>
      </c>
      <c r="AB192" s="7">
        <f>IFERROR((W192-V192)/Z192,0)</f>
        <v>0.00017752186863013858</v>
      </c>
      <c r="AC192" s="7">
        <f>IFERROR(Y192/X192-1,0)</f>
        <v>0</v>
      </c>
      <c r="AD192" s="7">
        <f>IFERROR((Y192-X192)/Z192,0)</f>
        <v>0</v>
      </c>
      <c r="AE192" s="7">
        <f>AB192+AD192</f>
        <v>0.00017752186863013858</v>
      </c>
      <c r="AF192" s="7">
        <f>(1+Q192)*(1+AE192)-1</f>
        <v>-0.001992060608308255</v>
      </c>
      <c r="AG192" s="7">
        <f>G192-AF192</f>
        <v>5.637851296924623e-18</v>
      </c>
      <c r="AH192" s="5">
        <f>SUM(IF(BQ192="lease",CE192,0),IF(CS192="lease",DG192,0),IF(DU192="lease",EI192,0),IF(EW192="lease",FK192,0),IF(FY192="lease",GM192,0),IF(HA192="lease",HO192,0),IF(IC192="lease",IQ192,0),IF(JE192="lease",JS192,0),IF(KG192="lease",KU192,0),IF(LI192="lease",LW192,0))</f>
        <v>-0.0036563770221165717</v>
      </c>
      <c r="AI192" s="5">
        <f>SUM(IF(BQ192="keep",CE192,0),IF(CS192="keep",DG192,0),IF(DU192="keep",EI192,0),IF(EW192="keep",FK192,0),IF(FY192="keep",GM192,0),IF(HA192="keep",HO192,0),IF(IC192="keep",IQ192,0),IF(JE192="keep",JS192,0),IF(KG192="keep",KU192,0),IF(LI192="keep",LW192,0))</f>
        <v>0</v>
      </c>
      <c r="AJ192" s="5">
        <f>SUM(IF(BQ192="lease",CH192,0),IF(CS192="lease",DJ192,0),IF(DU192="lease",EL192,0),IF(EW192="lease",FN192,0),IF(FY192="lease",GP192,0),IF(HA192="lease",HR192,0),IF(IC192="lease",IT192,0),IF(JE192="lease",JV192,0),IF(KG192="lease",KX192,0),IF(LI192="lease",LZ192,0))</f>
        <v>0</v>
      </c>
      <c r="AK192" s="5">
        <f>SUM(IF(BQ192="keep",CH192,0),IF(CS192="keep",DJ192,0),IF(DU192="keep",EL192,0),IF(EW192="keep",FN192,0),IF(FY192="keep",GP192,0),IF(HA192="keep",HR192,0),IF(IC192="keep",IT192,0),IF(JE192="keep",JV192,0),IF(KG192="keep",KX192,0),IF(LI192="keep",LZ192,0))</f>
        <v>0</v>
      </c>
      <c r="AL192" s="5">
        <f>R192-S191</f>
        <v>-2.220446049250313e-16</v>
      </c>
      <c r="AM192" s="5">
        <f>T192-U191</f>
        <v>0</v>
      </c>
      <c r="AN192" s="5">
        <f>AN191</f>
        <v>1</v>
      </c>
      <c r="AO192" s="5">
        <f>AO191+AH192</f>
        <v>0.8318184106761045</v>
      </c>
      <c r="AP192" s="5">
        <f>AP191+AL192</f>
        <v>-8.881784197001252e-16</v>
      </c>
      <c r="AQ192" s="5">
        <f>AN192+AO192+AP192</f>
        <v>1.8318184106761035</v>
      </c>
      <c r="AR192" s="5">
        <f>S192-AQ192</f>
        <v>4.440892098500626e-16</v>
      </c>
      <c r="AS192" s="5">
        <f>AS191</f>
        <v>0</v>
      </c>
      <c r="AT192" s="5">
        <f>AT191+AI192</f>
        <v>0</v>
      </c>
      <c r="AU192" s="5">
        <f>AU191+AM192</f>
        <v>0</v>
      </c>
      <c r="AV192" s="5">
        <f>AS192+AT192+AU192</f>
        <v>0</v>
      </c>
      <c r="AW192" s="5">
        <f>U192-AV192</f>
        <v>0</v>
      </c>
      <c r="AX192" s="4">
        <v>1.8354747876982207</v>
      </c>
      <c r="AY192" s="4">
        <v>1.8318184106761042</v>
      </c>
      <c r="AZ192" s="5">
        <f>S192-AY192</f>
        <v>-2.220446049250313e-16</v>
      </c>
      <c r="BA192" s="4">
        <v>0</v>
      </c>
      <c r="BB192" s="4">
        <v>0</v>
      </c>
      <c r="BC192" s="5">
        <f>U192-BB192</f>
        <v>0</v>
      </c>
      <c r="BD192" s="7">
        <f>SUM(IF(BP192="direct",CC192/F192,0),IF(CR192="direct",DE192/F192,0),IF(DT192="direct",EG192/F192,0),IF(EV192="direct",FI192/F192,0),IF(FX192="direct",GK192/F192,0),IF(GZ192="direct",HM192/F192,0),IF(IB192="direct",IO192/F192,0),IF(JD192="direct",JQ192/F192,0),IF(KF192="direct",KS192/F192,0),IF(LH192="direct",LU192/F192,0))</f>
        <v>-0.0020007038374885953</v>
      </c>
      <c r="BE192" s="7">
        <f>-SUM(IF(BP192="direct",CD192/F192,0),IF(CR192="direct",DF192/F192,0),IF(DT192="direct",EH192/F192,0),IF(EV192="direct",FJ192/F192,0),IF(FX192="direct",GL192/F192,0),IF(GZ192="direct",HN192/F192,0),IF(IB192="direct",IP192/F192,0),IF(JD192="direct",JR192/F192,0),IF(KF192="direct",KT192/F192,0),IF(LH192="direct",LV192/F192,0))</f>
        <v>-0.000006317290884124943</v>
      </c>
      <c r="BF192" s="7">
        <f>BD192+BE192</f>
        <v>-0.0020070211283727203</v>
      </c>
      <c r="BG192" s="7">
        <f>BF192-SUM(IF(BP192="direct",CP192,0),IF(CR192="direct",DR192,0),IF(DT192="direct",ET192,0),IF(EV192="direct",FV192,0),IF(FX192="direct",GX192,0),IF(GZ192="direct",HZ192,0),IF(IB192="direct",JB192,0),IF(JD192="direct",KD192,0),IF(KF192="direct",LF192,0),IF(LH192="direct",MH192,0))</f>
        <v>-3.729655473350135e-17</v>
      </c>
      <c r="BH192" s="7">
        <f>SUM(IF(BP192="treasury",CP192,0),IF(CR192="treasury",DR192,0),IF(DT192="treasury",ET192,0),IF(EV192="treasury",FV192,0),IF(FX192="treasury",GX192,0),IF(GZ192="treasury",HZ192,0),IF(IB192="treasury",JB192,0),IF(JD192="treasury",KD192,0),IF(KF192="treasury",LF192,0),IF(LH192="treasury",MH192,0))</f>
        <v>0.000014960520064433986</v>
      </c>
      <c r="BI192" s="7">
        <f>SUM(IF(BP192="future",CP192,0),IF(CR192="future",DR192,0),IF(DT192="future",ET192,0),IF(EV192="future",FV192,0),IF(FX192="future",GX192,0),IF(GZ192="future",HZ192,0),IF(IB192="future",JB192,0),IF(JD192="future",KD192,0),IF(KF192="future",LF192,0),IF(LH192="future",MH192,0))</f>
        <v>0</v>
      </c>
      <c r="BJ192" s="7">
        <f>SUM(IF(BP192="cash",CP192,0),IF(CR192="cash",DR192,0),IF(DT192="cash",ET192,0),IF(EV192="cash",FV192,0),IF(FX192="cash",GX192,0),IF(GZ192="cash",HZ192,0),IF(IB192="cash",JB192,0),IF(JD192="cash",KD192,0),IF(KF192="cash",LF192,0),IF(LH192="cash",MH192,0))</f>
        <v>0</v>
      </c>
      <c r="BK192" s="7">
        <f>SUM(BF192,BH192,BI192,BJ192)</f>
        <v>-0.001992060608308249</v>
      </c>
      <c r="BL192" s="7">
        <f>G192-BK192</f>
        <v>0</v>
      </c>
      <c r="BM192" s="5">
        <f>MAX(ABS(CG192),ABS(DI192),ABS(EK192),ABS(FM192),ABS(GO192),ABS(HQ192),ABS(IS192),ABS(JU192),ABS(KW192),ABS(LY192))</f>
        <v>6.80133575327313e-17</v>
      </c>
      <c r="BN192" s="9">
        <f>COUNTA(BO192,CQ192,DS192,EU192,FW192,GY192,IA192,JC192,KE192,LG192)</f>
        <v>5</v>
      </c>
      <c r="BO192" t="inlineStr">
        <is>
          <t xml:space="preserve">Direct commodity holding</t>
        </is>
      </c>
      <c r="BP192" t="inlineStr">
        <is>
          <t xml:space="preserve">direct</t>
        </is>
      </c>
      <c r="BQ192" t="inlineStr">
        <is>
          <t xml:space="preserve">lease</t>
        </is>
      </c>
      <c r="BR192" t="inlineStr">
        <is>
          <t xml:space="preserve">long</t>
        </is>
      </c>
      <c r="BS192"/>
      <c r="BT192" s="4">
        <v>1.844</v>
      </c>
      <c r="BU192" s="4">
        <v>1.84</v>
      </c>
      <c r="BV192" s="6">
        <v>0.0025</v>
      </c>
      <c r="BW192" s="4">
        <v>0.9180603628403479</v>
      </c>
      <c r="BX192" s="5">
        <f>IF(BP192="direct",IFERROR(CD192/BU192,0),0)</f>
        <v>0.000006301754426286485</v>
      </c>
      <c r="BY192" s="5">
        <f>IF(BP192="direct",BW192-BX192,IF(BP192="cash",CI192,BW192))</f>
        <v>0.9180540610859216</v>
      </c>
      <c r="BZ192" s="6">
        <v>0.9223244690822417</v>
      </c>
      <c r="CA192" s="4">
        <v>1.6929033090776016</v>
      </c>
      <c r="CB192" s="4">
        <v>1.6929033090776016</v>
      </c>
      <c r="CC192" s="5">
        <f>IF(BP192="direct",BW192*(BU192-BT192),CF192)</f>
        <v>-0.0036722414513613946</v>
      </c>
      <c r="CD192" s="5">
        <f>IF(BP192="direct",CB192*BV192*C192/365,0)</f>
        <v>0.000011595228144367134</v>
      </c>
      <c r="CE192" s="5">
        <f>CC192-CD192</f>
        <v>-0.0036838366795056937</v>
      </c>
      <c r="CF192" s="4">
        <v>-0.0036838366795056937</v>
      </c>
      <c r="CG192" s="5">
        <f>CF192-CE192</f>
        <v>6.80133575327313e-17</v>
      </c>
      <c r="CH192" s="4">
        <v>0</v>
      </c>
      <c r="CI192" s="4">
        <v>1.6892194723980958</v>
      </c>
      <c r="CJ192" s="4">
        <v>1.844</v>
      </c>
      <c r="CK192" s="4">
        <v>1.84</v>
      </c>
      <c r="CL192" s="6"/>
      <c r="CM192" s="6"/>
      <c r="CN192" s="6"/>
      <c r="CO192" s="9"/>
      <c r="CP192" s="7">
        <f>IFERROR(CE192/F192,0)</f>
        <v>-0.002007021128372683</v>
      </c>
      <c r="CQ192" t="inlineStr">
        <is>
          <t xml:space="preserve">Treasury collateral</t>
        </is>
      </c>
      <c r="CR192" t="inlineStr">
        <is>
          <t xml:space="preserve">treasury</t>
        </is>
      </c>
      <c r="CS192" t="inlineStr">
        <is>
          <t xml:space="preserve">lease</t>
        </is>
      </c>
      <c r="CT192" t="inlineStr">
        <is>
          <t xml:space="preserve">long</t>
        </is>
      </c>
      <c r="CU192"/>
      <c r="CV192" s="4">
        <v>105.07466716176963</v>
      </c>
      <c r="CW192" s="4">
        <v>105.0949048305408</v>
      </c>
      <c r="CX192" s="6"/>
      <c r="CY192" s="4">
        <v>0.0013568587221991421</v>
      </c>
      <c r="CZ192" s="5">
        <f>IF(CR192="direct",IFERROR(DF192/CW192,0),0)</f>
        <v>0</v>
      </c>
      <c r="DA192" s="5">
        <f>IF(CR192="direct",CY192-CZ192,IF(CR192="cash",DK192,CY192))</f>
        <v>0.0013568587221991421</v>
      </c>
      <c r="DB192" s="6">
        <v>0.07767553091775825</v>
      </c>
      <c r="DC192" s="4">
        <v>0.1425714786206189</v>
      </c>
      <c r="DD192" s="4">
        <v>0.1425714786206189</v>
      </c>
      <c r="DE192" s="5">
        <f>IF(CR192="direct",CY192*(CW192-CV192),DH192)</f>
        <v>0.00002745965738914381</v>
      </c>
      <c r="DF192" s="5">
        <f>IF(CR192="direct",DD192*CX192*C192/365,0)</f>
        <v>0</v>
      </c>
      <c r="DG192" s="5">
        <f>DE192-DF192</f>
        <v>0.000027459657389121938</v>
      </c>
      <c r="DH192" s="4">
        <v>0.000027459657389121938</v>
      </c>
      <c r="DI192" s="5">
        <f>DH192-DG192</f>
        <v>-2.1870390698106035e-17</v>
      </c>
      <c r="DJ192" s="4">
        <v>2.863310174898437e-17</v>
      </c>
      <c r="DK192" s="4">
        <v>0.14259893827800804</v>
      </c>
      <c r="DL192" s="4">
        <v>1.844</v>
      </c>
      <c r="DM192" s="4">
        <v>1.84</v>
      </c>
      <c r="DN192" s="6"/>
      <c r="DO192" s="6"/>
      <c r="DP192" s="6"/>
      <c r="DQ192" s="9">
        <v>81</v>
      </c>
      <c r="DR192" s="7">
        <f>IFERROR(DG192/F192,0)</f>
        <v>0.000014960520064433986</v>
      </c>
      <c r="DS192" t="inlineStr">
        <is>
          <t xml:space="preserve">SI69Z</t>
        </is>
      </c>
      <c r="DT192" t="inlineStr">
        <is>
          <t xml:space="preserve">future</t>
        </is>
      </c>
      <c r="DU192" t="inlineStr">
        <is>
          <t xml:space="preserve">lease</t>
        </is>
      </c>
      <c r="DV192" t="inlineStr">
        <is>
          <t xml:space="preserve">long</t>
        </is>
      </c>
      <c r="DW192" t="inlineStr">
        <is>
          <t xml:space="preserve">regular</t>
        </is>
      </c>
      <c r="DX192" s="4">
        <v>1.868</v>
      </c>
      <c r="DY192" s="4">
        <v>1.868</v>
      </c>
      <c r="DZ192" s="6"/>
      <c r="EA192" s="4">
        <v>0.07632306136007434</v>
      </c>
      <c r="EB192" s="5">
        <f>IF(DT192="direct",IFERROR(EH192/DY192,0),0)</f>
        <v>0</v>
      </c>
      <c r="EC192" s="5">
        <f>IF(DT192="direct",EA192-EB192,IF(DT192="cash",EM192,EA192))</f>
        <v>0.07632306136007434</v>
      </c>
      <c r="ED192" s="6">
        <v>0.07767553091775825</v>
      </c>
      <c r="EE192" s="4">
        <v>0.1425714786206189</v>
      </c>
      <c r="EF192" s="4">
        <v>0</v>
      </c>
      <c r="EG192" s="5">
        <f>IF(DT192="direct",EA192*(DY192-DX192),EJ192)</f>
        <v>0</v>
      </c>
      <c r="EH192" s="5">
        <f>IF(DT192="direct",EF192*DZ192*C192/365,0)</f>
        <v>0</v>
      </c>
      <c r="EI192" s="5">
        <f>EG192-EH192</f>
        <v>0</v>
      </c>
      <c r="EJ192" s="4">
        <v>0</v>
      </c>
      <c r="EK192" s="5">
        <f>EJ192-EI192</f>
        <v>0</v>
      </c>
      <c r="EL192" s="4">
        <v>0</v>
      </c>
      <c r="EM192" s="4">
        <v>0</v>
      </c>
      <c r="EN192" s="4">
        <v>1.844</v>
      </c>
      <c r="EO192" s="4">
        <v>1.84</v>
      </c>
      <c r="EP192" s="6">
        <v>0.013015184381778733</v>
      </c>
      <c r="EQ192" s="6">
        <v>0.0703</v>
      </c>
      <c r="ER192" s="6">
        <v>0.011651329637663736</v>
      </c>
      <c r="ES192" s="9">
        <v>81</v>
      </c>
      <c r="ET192" s="7">
        <f>IFERROR(EI192/F192,0)</f>
        <v>0</v>
      </c>
      <c r="EU192" t="inlineStr">
        <is>
          <t xml:space="preserve">Lease cash / margin / financing</t>
        </is>
      </c>
      <c r="EV192" t="inlineStr">
        <is>
          <t xml:space="preserve">cash</t>
        </is>
      </c>
      <c r="EW192" t="inlineStr">
        <is>
          <t xml:space="preserve">lease</t>
        </is>
      </c>
      <c r="EX192" t="inlineStr">
        <is>
          <t xml:space="preserve">cash</t>
        </is>
      </c>
      <c r="EY192"/>
      <c r="EZ192" s="4">
        <v>1</v>
      </c>
      <c r="FA192" s="4">
        <v>1</v>
      </c>
      <c r="FB192" s="6"/>
      <c r="FC192" s="4">
        <v>2.220446049250313e-16</v>
      </c>
      <c r="FD192" s="5">
        <f>IF(EV192="direct",IFERROR(FJ192/FA192,0),0)</f>
        <v>0</v>
      </c>
      <c r="FE192" s="5">
        <f>IF(EV192="direct",FC192-FD192,IF(EV192="cash",FO192,FC192))</f>
        <v>1.9341150317604694e-16</v>
      </c>
      <c r="FF192" s="6"/>
      <c r="FG192" s="4">
        <v>2.220446049250313e-16</v>
      </c>
      <c r="FH192" s="4">
        <v>2.220446049250313e-16</v>
      </c>
      <c r="FI192" s="5">
        <f>IF(EV192="direct",FC192*(FA192-EZ192),FL192)</f>
        <v>0</v>
      </c>
      <c r="FJ192" s="5">
        <f>IF(EV192="direct",FH192*FB192*C192/365,0)</f>
        <v>0</v>
      </c>
      <c r="FK192" s="5">
        <f>FI192-FJ192</f>
        <v>0</v>
      </c>
      <c r="FL192" s="4">
        <v>0</v>
      </c>
      <c r="FM192" s="5">
        <f>FL192-FK192</f>
        <v>0</v>
      </c>
      <c r="FN192" s="4">
        <v>-2.863310174898437e-17</v>
      </c>
      <c r="FO192" s="4">
        <v>1.9341150317604694e-16</v>
      </c>
      <c r="FP192" s="4">
        <v>1.844</v>
      </c>
      <c r="FQ192" s="4">
        <v>1.84</v>
      </c>
      <c r="FR192" s="6"/>
      <c r="FS192" s="6"/>
      <c r="FT192" s="6"/>
      <c r="FU192" s="9"/>
      <c r="FV192" s="7">
        <f>IFERROR(FK192/F192,0)</f>
        <v>0</v>
      </c>
      <c r="FW192" t="inlineStr">
        <is>
          <t xml:space="preserve">Keep cash / margin / financing</t>
        </is>
      </c>
      <c r="FX192" t="inlineStr">
        <is>
          <t xml:space="preserve">cash</t>
        </is>
      </c>
      <c r="FY192" t="inlineStr">
        <is>
          <t xml:space="preserve">keep</t>
        </is>
      </c>
      <c r="FZ192" t="inlineStr">
        <is>
          <t xml:space="preserve">cash</t>
        </is>
      </c>
      <c r="GA192"/>
      <c r="GB192" s="4">
        <v>1</v>
      </c>
      <c r="GC192" s="4">
        <v>1</v>
      </c>
      <c r="GD192" s="6"/>
      <c r="GE192" s="4">
        <v>0</v>
      </c>
      <c r="GF192" s="5">
        <f>IF(FX192="direct",IFERROR(GL192/GC192,0),0)</f>
        <v>0</v>
      </c>
      <c r="GG192" s="5">
        <f>IF(FX192="direct",GE192-GF192,IF(FX192="cash",GQ192,GE192))</f>
        <v>0</v>
      </c>
      <c r="GH192" s="6"/>
      <c r="GI192" s="4">
        <v>0</v>
      </c>
      <c r="GJ192" s="4">
        <v>0</v>
      </c>
      <c r="GK192" s="5">
        <f>IF(FX192="direct",GE192*(GC192-GB192),GN192)</f>
        <v>0</v>
      </c>
      <c r="GL192" s="5">
        <f>IF(FX192="direct",GJ192*GD192*C192/365,0)</f>
        <v>0</v>
      </c>
      <c r="GM192" s="5">
        <f>GK192-GL192</f>
        <v>0</v>
      </c>
      <c r="GN192" s="4">
        <v>0</v>
      </c>
      <c r="GO192" s="5">
        <f>GN192-GM192</f>
        <v>0</v>
      </c>
      <c r="GP192" s="4">
        <v>0</v>
      </c>
      <c r="GQ192" s="4">
        <v>0</v>
      </c>
      <c r="GR192" s="4">
        <v>1.844</v>
      </c>
      <c r="GS192" s="4">
        <v>1.84</v>
      </c>
      <c r="GT192" s="6"/>
      <c r="GU192" s="6"/>
      <c r="GV192" s="6"/>
      <c r="GW192" s="9"/>
      <c r="GX192" s="7">
        <f>IFERROR(GM192/F192,0)</f>
        <v>0</v>
      </c>
      <c r="GY192"/>
      <c r="GZ192"/>
      <c r="HA192"/>
      <c r="HB192"/>
      <c r="HC192"/>
      <c r="HD192" s="4"/>
      <c r="HE192" s="4"/>
      <c r="HF192" s="6"/>
      <c r="HG192" s="4"/>
      <c r="HH192" s="5">
        <v>0</v>
      </c>
      <c r="HI192" s="5"/>
      <c r="HJ192" s="6"/>
      <c r="HK192" s="4"/>
      <c r="HL192" s="4"/>
      <c r="HM192" s="5">
        <v>0</v>
      </c>
      <c r="HN192" s="5">
        <v>0</v>
      </c>
      <c r="HO192" s="5"/>
      <c r="HP192" s="4"/>
      <c r="HQ192" s="5">
        <v>0</v>
      </c>
      <c r="HR192" s="4"/>
      <c r="HS192" s="4"/>
      <c r="HT192" s="4"/>
      <c r="HU192" s="4"/>
      <c r="HV192" s="6"/>
      <c r="HW192" s="6"/>
      <c r="HX192" s="6"/>
      <c r="HY192" s="9"/>
      <c r="HZ192"/>
      <c r="IA192"/>
      <c r="IB192"/>
      <c r="IC192"/>
      <c r="ID192"/>
      <c r="IE192"/>
      <c r="IF192" s="4"/>
      <c r="IG192" s="4"/>
      <c r="IH192" s="6"/>
      <c r="II192" s="4"/>
      <c r="IJ192" s="5">
        <v>0</v>
      </c>
      <c r="IK192" s="5"/>
      <c r="IL192" s="6"/>
      <c r="IM192" s="4"/>
      <c r="IN192" s="4"/>
      <c r="IO192" s="5">
        <v>0</v>
      </c>
      <c r="IP192" s="5">
        <v>0</v>
      </c>
      <c r="IQ192" s="5"/>
      <c r="IR192" s="4"/>
      <c r="IS192" s="5">
        <v>0</v>
      </c>
      <c r="IT192" s="4"/>
      <c r="IU192" s="4"/>
      <c r="IV192" s="4"/>
      <c r="IW192" s="4"/>
      <c r="IX192" s="6"/>
      <c r="IY192" s="6"/>
      <c r="IZ192" s="6"/>
      <c r="JA192" s="9"/>
      <c r="JB192"/>
      <c r="JC192"/>
      <c r="JD192"/>
      <c r="JE192"/>
      <c r="JF192"/>
      <c r="JG192"/>
      <c r="JH192" s="4"/>
      <c r="JI192" s="4"/>
      <c r="JJ192" s="6"/>
      <c r="JK192" s="4"/>
      <c r="JL192" s="5">
        <v>0</v>
      </c>
      <c r="JM192" s="5"/>
      <c r="JN192" s="6"/>
      <c r="JO192" s="4"/>
      <c r="JP192" s="4"/>
      <c r="JQ192" s="5">
        <v>0</v>
      </c>
      <c r="JR192" s="5">
        <v>0</v>
      </c>
      <c r="JS192" s="5"/>
      <c r="JT192" s="4"/>
      <c r="JU192" s="5">
        <v>0</v>
      </c>
      <c r="JV192" s="4"/>
      <c r="JW192" s="4"/>
      <c r="JX192" s="4"/>
      <c r="JY192" s="4"/>
      <c r="JZ192" s="6"/>
      <c r="KA192" s="6"/>
      <c r="KB192" s="6"/>
      <c r="KC192" s="9"/>
      <c r="KD192"/>
      <c r="KE192"/>
      <c r="KF192"/>
      <c r="KG192"/>
      <c r="KH192"/>
      <c r="KI192"/>
      <c r="KJ192" s="4"/>
      <c r="KK192" s="4"/>
      <c r="KL192" s="6"/>
      <c r="KM192" s="4"/>
      <c r="KN192" s="5">
        <v>0</v>
      </c>
      <c r="KO192" s="5"/>
      <c r="KP192" s="6"/>
      <c r="KQ192" s="4"/>
      <c r="KR192" s="4"/>
      <c r="KS192" s="5">
        <v>0</v>
      </c>
      <c r="KT192" s="5">
        <v>0</v>
      </c>
      <c r="KU192" s="5"/>
      <c r="KV192" s="4"/>
      <c r="KW192" s="5">
        <v>0</v>
      </c>
      <c r="KX192" s="4"/>
      <c r="KY192" s="4"/>
      <c r="KZ192" s="4"/>
      <c r="LA192" s="4"/>
      <c r="LB192" s="6"/>
      <c r="LC192" s="6"/>
      <c r="LD192" s="6"/>
      <c r="LE192" s="9"/>
      <c r="LF192"/>
      <c r="LG192"/>
      <c r="LH192"/>
      <c r="LI192"/>
      <c r="LJ192"/>
      <c r="LK192"/>
      <c r="LL192" s="4"/>
      <c r="LM192" s="4"/>
      <c r="LN192" s="6"/>
      <c r="LO192" s="4"/>
      <c r="LP192" s="5">
        <v>0</v>
      </c>
      <c r="LQ192" s="5"/>
      <c r="LR192" s="6"/>
      <c r="LS192" s="4"/>
      <c r="LT192" s="4"/>
      <c r="LU192" s="5">
        <v>0</v>
      </c>
      <c r="LV192" s="5">
        <v>0</v>
      </c>
      <c r="LW192" s="5"/>
      <c r="LX192" s="4"/>
      <c r="LY192" s="5">
        <v>0</v>
      </c>
      <c r="LZ192" s="4"/>
      <c r="MA192" s="4"/>
      <c r="MB192" s="4"/>
      <c r="MC192" s="4"/>
      <c r="MD192" s="6"/>
      <c r="ME192" s="6"/>
      <c r="MF192" s="6"/>
      <c r="MG192" s="9"/>
      <c r="MH192"/>
    </row>
    <row r="193">
      <c r="A193" s="8">
        <v>25486</v>
      </c>
      <c r="B193" s="8">
        <v>25490</v>
      </c>
      <c r="C193" s="9">
        <f>B193-A193</f>
        <v>4</v>
      </c>
      <c r="D193" s="8">
        <v>25486</v>
      </c>
      <c r="E193" t="inlineStr">
        <is>
          <t xml:space="preserve">positive</t>
        </is>
      </c>
      <c r="F193" s="4">
        <v>1.831818410676104</v>
      </c>
      <c r="G193" s="6">
        <v>-0.008214350132162016</v>
      </c>
      <c r="H193" s="7">
        <f>SUM(CP193,DR193,ET193,FV193,GX193,HZ193,JB193,KD193,LF193,MH193)</f>
        <v>-0.008214350132162014</v>
      </c>
      <c r="I193" s="7">
        <f>G193-H193</f>
        <v>-1.734723475976807e-18</v>
      </c>
      <c r="J193" s="5">
        <f>F193*(1+H193)</f>
        <v>1.81677121287227</v>
      </c>
      <c r="K193" s="4">
        <v>1.81677121287227</v>
      </c>
      <c r="L193" s="5">
        <f>K193-J193</f>
        <v>0</v>
      </c>
      <c r="M193" s="4">
        <v>1.84</v>
      </c>
      <c r="N193" s="4">
        <v>1.825</v>
      </c>
      <c r="O193" s="5">
        <f>M193/$M$3</f>
        <v>0.9397344228804904</v>
      </c>
      <c r="P193" s="5">
        <f>N193/$M$3</f>
        <v>0.932073544433095</v>
      </c>
      <c r="Q193" s="7">
        <f>IFERROR(N193/M193-1,0)</f>
        <v>-0.00815217391304357</v>
      </c>
      <c r="R193" s="5">
        <f>SUM(IF(BQ193="lease",CB193,0),IF(CS193="lease",DD193,0),IF(DU193="lease",EF193,0),IF(EW193="lease",FH193,0),IF(FY193="lease",GJ193,0),IF(HA193="lease",HL193,0),IF(IC193="lease",IN193,0),IF(JE193="lease",JP193,0),IF(KG193="lease",KR193,0),IF(LI193="lease",LT193,0))</f>
        <v>1.8318184106761042</v>
      </c>
      <c r="S193" s="5">
        <f>SUM(IF(BQ193="lease",CI193,0),IF(CS193="lease",DK193,0),IF(DU193="lease",EM193,0),IF(EW193="lease",FO193,0),IF(FY193="lease",GQ193,0),IF(HA193="lease",HS193,0),IF(IC193="lease",IU193,0),IF(JE193="lease",JW193,0),IF(KG193="lease",KY193,0),IF(LI193="lease",MA193,0))</f>
        <v>1.81677121287227</v>
      </c>
      <c r="T193" s="5">
        <f>SUM(IF(BQ193="keep",CB193,0),IF(CS193="keep",DD193,0),IF(DU193="keep",EF193,0),IF(EW193="keep",FH193,0),IF(FY193="keep",GJ193,0),IF(HA193="keep",HL193,0),IF(IC193="keep",IN193,0),IF(JE193="keep",JP193,0),IF(KG193="keep",KR193,0),IF(LI193="keep",LT193,0))</f>
        <v>0</v>
      </c>
      <c r="U193" s="5">
        <f>SUM(IF(BQ193="keep",CI193,0),IF(CS193="keep",DK193,0),IF(DU193="keep",EM193,0),IF(EW193="keep",FO193,0),IF(FY193="keep",GQ193,0),IF(HA193="keep",HS193,0),IF(IC193="keep",IU193,0),IF(JE193="keep",JW193,0),IF(KG193="keep",KY193,0),IF(LI193="keep",MA193,0))</f>
        <v>0</v>
      </c>
      <c r="V193" s="5">
        <f>R193/O193</f>
        <v>1.94929372179555</v>
      </c>
      <c r="W193" s="5">
        <f>S193/P193</f>
        <v>1.9491715259199478</v>
      </c>
      <c r="X193" s="5">
        <f>T193/O193</f>
        <v>0</v>
      </c>
      <c r="Y193" s="5">
        <f>U193/P193</f>
        <v>0</v>
      </c>
      <c r="Z193" s="5">
        <f>V193+X193</f>
        <v>1.94929372179555</v>
      </c>
      <c r="AA193" s="7">
        <f>IFERROR(W193/V193-1,0)</f>
        <v>-0.00006268725653590934</v>
      </c>
      <c r="AB193" s="7">
        <f>IFERROR((W193-V193)/Z193,0)</f>
        <v>-0.00006268725653596209</v>
      </c>
      <c r="AC193" s="7">
        <f>IFERROR(Y193/X193-1,0)</f>
        <v>0</v>
      </c>
      <c r="AD193" s="7">
        <f>IFERROR((Y193-X193)/Z193,0)</f>
        <v>0</v>
      </c>
      <c r="AE193" s="7">
        <f>AB193+AD193</f>
        <v>-0.00006268725653596209</v>
      </c>
      <c r="AF193" s="7">
        <f>(1+Q193)*(1+AE193)-1</f>
        <v>-0.008214350132162096</v>
      </c>
      <c r="AG193" s="7">
        <f>G193-AF193</f>
        <v>7.979727989493313e-17</v>
      </c>
      <c r="AH193" s="5">
        <f>SUM(IF(BQ193="lease",CE193,0),IF(CS193="lease",DG193,0),IF(DU193="lease",EI193,0),IF(EW193="lease",FK193,0),IF(FY193="lease",GM193,0),IF(HA193="lease",HO193,0),IF(IC193="lease",IQ193,0),IF(JE193="lease",JS193,0),IF(KG193="lease",KU193,0),IF(LI193="lease",LW193,0))</f>
        <v>-0.015047197803834067</v>
      </c>
      <c r="AI193" s="5">
        <f>SUM(IF(BQ193="keep",CE193,0),IF(CS193="keep",DG193,0),IF(DU193="keep",EI193,0),IF(EW193="keep",FK193,0),IF(FY193="keep",GM193,0),IF(HA193="keep",HO193,0),IF(IC193="keep",IQ193,0),IF(JE193="keep",JS193,0),IF(KG193="keep",KU193,0),IF(LI193="keep",LW193,0))</f>
        <v>0</v>
      </c>
      <c r="AJ193" s="5">
        <f>SUM(IF(BQ193="lease",CH193,0),IF(CS193="lease",DJ193,0),IF(DU193="lease",EL193,0),IF(EW193="lease",FN193,0),IF(FY193="lease",GP193,0),IF(HA193="lease",HR193,0),IF(IC193="lease",IT193,0),IF(JE193="lease",JV193,0),IF(KG193="lease",KX193,0),IF(LI193="lease",LZ193,0))</f>
        <v>0</v>
      </c>
      <c r="AK193" s="5">
        <f>SUM(IF(BQ193="keep",CH193,0),IF(CS193="keep",DJ193,0),IF(DU193="keep",EL193,0),IF(EW193="keep",FN193,0),IF(FY193="keep",GP193,0),IF(HA193="keep",HR193,0),IF(IC193="keep",IT193,0),IF(JE193="keep",JV193,0),IF(KG193="keep",KX193,0),IF(LI193="keep",LZ193,0))</f>
        <v>0</v>
      </c>
      <c r="AL193" s="5">
        <f>R193-S192</f>
        <v>2.220446049250313e-16</v>
      </c>
      <c r="AM193" s="5">
        <f>T193-U192</f>
        <v>0</v>
      </c>
      <c r="AN193" s="5">
        <f>AN192</f>
        <v>1</v>
      </c>
      <c r="AO193" s="5">
        <f>AO192+AH193</f>
        <v>0.8167712128722704</v>
      </c>
      <c r="AP193" s="5">
        <f>AP192+AL193</f>
        <v>-6.661338147750939e-16</v>
      </c>
      <c r="AQ193" s="5">
        <f>AN193+AO193+AP193</f>
        <v>1.8167712128722697</v>
      </c>
      <c r="AR193" s="5">
        <f>S193-AQ193</f>
        <v>2.220446049250313e-16</v>
      </c>
      <c r="AS193" s="5">
        <f>AS192</f>
        <v>0</v>
      </c>
      <c r="AT193" s="5">
        <f>AT192+AI193</f>
        <v>0</v>
      </c>
      <c r="AU193" s="5">
        <f>AU192+AM193</f>
        <v>0</v>
      </c>
      <c r="AV193" s="5">
        <f>AS193+AT193+AU193</f>
        <v>0</v>
      </c>
      <c r="AW193" s="5">
        <f>U193-AV193</f>
        <v>0</v>
      </c>
      <c r="AX193" s="4">
        <v>1.8318184106761042</v>
      </c>
      <c r="AY193" s="4">
        <v>1.8167712128722702</v>
      </c>
      <c r="AZ193" s="5">
        <f>S193-AY193</f>
        <v>-2.220446049250313e-16</v>
      </c>
      <c r="BA193" s="4">
        <v>0</v>
      </c>
      <c r="BB193" s="4">
        <v>0</v>
      </c>
      <c r="BC193" s="5">
        <f>U193-BB193</f>
        <v>0</v>
      </c>
      <c r="BD193" s="7">
        <f>SUM(IF(BP193="direct",CC193/F193,0),IF(CR193="direct",DE193/F193,0),IF(DT193="direct",EG193/F193,0),IF(EV193="direct",FI193/F193,0),IF(FX193="direct",GK193/F193,0),IF(GZ193="direct",HM193/F193,0),IF(IB193="direct",IO193/F193,0),IF(JD193="direct",JQ193/F193,0),IF(KF193="direct",KS193/F193,0),IF(LH193="direct",LU193/F193,0))</f>
        <v>-0.008132029773156973</v>
      </c>
      <c r="BE193" s="7">
        <f>-SUM(IF(BP193="direct",CD193/F193,0),IF(CR193="direct",DF193/F193,0),IF(DT193="direct",EH193/F193,0),IF(EV193="direct",FJ193/F193,0),IF(FX193="direct",GL193/F193,0),IF(GZ193="direct",HN193/F193,0),IF(IB193="direct",IP193/F193,0),IF(JD193="direct",JR193/F193,0),IF(KF193="direct",KT193/F193,0),IF(LH193="direct",LV193/F193,0))</f>
        <v>-0.000027329561246773894</v>
      </c>
      <c r="BF193" s="7">
        <f>BD193+BE193</f>
        <v>-0.008159359334403747</v>
      </c>
      <c r="BG193" s="7">
        <f>BF193-SUM(IF(BP193="direct",CP193,0),IF(CR193="direct",DR193,0),IF(DT193="direct",ET193,0),IF(EV193="direct",FV193,0),IF(FX193="direct",GX193,0),IF(GZ193="direct",HZ193,0),IF(IB193="direct",JB193,0),IF(JD193="direct",KD193,0),IF(KF193="direct",LF193,0),IF(LH193="direct",MH193,0))</f>
        <v>2.42861286636753e-17</v>
      </c>
      <c r="BH193" s="7">
        <f>SUM(IF(BP193="treasury",CP193,0),IF(CR193="treasury",DR193,0),IF(DT193="treasury",ET193,0),IF(EV193="treasury",FV193,0),IF(FX193="treasury",GX193,0),IF(GZ193="treasury",HZ193,0),IF(IB193="treasury",JB193,0),IF(JD193="treasury",KD193,0),IF(KF193="treasury",LF193,0),IF(LH193="treasury",MH193,0))</f>
        <v>0.0000018901568393879908</v>
      </c>
      <c r="BI193" s="7">
        <f>SUM(IF(BP193="future",CP193,0),IF(CR193="future",DR193,0),IF(DT193="future",ET193,0),IF(EV193="future",FV193,0),IF(FX193="future",GX193,0),IF(GZ193="future",HZ193,0),IF(IB193="future",JB193,0),IF(JD193="future",KD193,0),IF(KF193="future",LF193,0),IF(LH193="future",MH193,0))</f>
        <v>-0.000056880954597631727</v>
      </c>
      <c r="BJ193" s="7">
        <f>SUM(IF(BP193="cash",CP193,0),IF(CR193="cash",DR193,0),IF(DT193="cash",ET193,0),IF(EV193="cash",FV193,0),IF(FX193="cash",GX193,0),IF(GZ193="cash",HZ193,0),IF(IB193="cash",JB193,0),IF(JD193="cash",KD193,0),IF(KF193="cash",LF193,0),IF(LH193="cash",MH193,0))</f>
        <v>0</v>
      </c>
      <c r="BK193" s="7">
        <f>SUM(BF193,BH193,BI193,BJ193)</f>
        <v>-0.008214350132162016</v>
      </c>
      <c r="BL193" s="7">
        <f>G193-BK193</f>
        <v>0</v>
      </c>
      <c r="BM193" s="5">
        <f>MAX(ABS(CG193),ABS(DI193),ABS(EK193),ABS(FM193),ABS(GO193),ABS(HQ193),ABS(IS193),ABS(JU193),ABS(KW193),ABS(LY193))</f>
        <v>4.483853609585364e-17</v>
      </c>
      <c r="BN193" s="9">
        <f>COUNTA(BO193,CQ193,DS193,EU193,FW193,GY193,IA193,JC193,KE193,LG193)</f>
        <v>5</v>
      </c>
      <c r="BO193" t="inlineStr">
        <is>
          <t xml:space="preserve">Direct commodity holding</t>
        </is>
      </c>
      <c r="BP193" t="inlineStr">
        <is>
          <t xml:space="preserve">direct</t>
        </is>
      </c>
      <c r="BQ193" t="inlineStr">
        <is>
          <t xml:space="preserve">lease</t>
        </is>
      </c>
      <c r="BR193" t="inlineStr">
        <is>
          <t xml:space="preserve">long</t>
        </is>
      </c>
      <c r="BS193"/>
      <c r="BT193" s="4">
        <v>1.84</v>
      </c>
      <c r="BU193" s="4">
        <v>1.825</v>
      </c>
      <c r="BV193" s="6">
        <v>0.0025</v>
      </c>
      <c r="BW193" s="4">
        <v>0.9930934569756694</v>
      </c>
      <c r="BX193" s="5">
        <f>IF(BP193="direct",IFERROR(CD193/BU193,0),0)</f>
        <v>0.000027431667642488</v>
      </c>
      <c r="BY193" s="5">
        <f>IF(BP193="direct",BW193-BX193,IF(BP193="cash",CI193,BW193))</f>
        <v>0.9930660253080269</v>
      </c>
      <c r="BZ193" s="6">
        <v>0.9975289855072471</v>
      </c>
      <c r="CA193" s="4">
        <v>1.8272919608352318</v>
      </c>
      <c r="CB193" s="4">
        <v>1.8272919608352318</v>
      </c>
      <c r="CC193" s="5">
        <f>IF(BP193="direct",BW193*(BU193-BT193),CF193)</f>
        <v>-0.014896401854635165</v>
      </c>
      <c r="CD193" s="5">
        <f>IF(BP193="direct",CB193*BV193*C193/365,0)</f>
        <v>0.0000500627934475406</v>
      </c>
      <c r="CE193" s="5">
        <f>CC193-CD193</f>
        <v>-0.01494646464808275</v>
      </c>
      <c r="CF193" s="4">
        <v>-0.01494646464808275</v>
      </c>
      <c r="CG193" s="5">
        <f>CF193-CE193</f>
        <v>-4.483853609585364e-17</v>
      </c>
      <c r="CH193" s="4">
        <v>0</v>
      </c>
      <c r="CI193" s="4">
        <v>1.812345496187149</v>
      </c>
      <c r="CJ193" s="4">
        <v>1.84</v>
      </c>
      <c r="CK193" s="4">
        <v>1.825</v>
      </c>
      <c r="CL193" s="6"/>
      <c r="CM193" s="6"/>
      <c r="CN193" s="6"/>
      <c r="CO193" s="9"/>
      <c r="CP193" s="7">
        <f>IFERROR(CE193/F193,0)</f>
        <v>-0.008159359334403772</v>
      </c>
      <c r="CQ193" t="inlineStr">
        <is>
          <t xml:space="preserve">Treasury collateral</t>
        </is>
      </c>
      <c r="CR193" t="inlineStr">
        <is>
          <t xml:space="preserve">treasury</t>
        </is>
      </c>
      <c r="CS193" t="inlineStr">
        <is>
          <t xml:space="preserve">lease</t>
        </is>
      </c>
      <c r="CT193" t="inlineStr">
        <is>
          <t xml:space="preserve">long</t>
        </is>
      </c>
      <c r="CU193"/>
      <c r="CV193" s="4">
        <v>105.0949048305408</v>
      </c>
      <c r="CW193" s="4">
        <v>105.17529523445504</v>
      </c>
      <c r="CX193" s="6"/>
      <c r="CY193" s="4">
        <v>0.00004307011694021618</v>
      </c>
      <c r="CZ193" s="5">
        <f>IF(CR193="direct",IFERROR(DF193/CW193,0),0)</f>
        <v>0</v>
      </c>
      <c r="DA193" s="5">
        <f>IF(CR193="direct",CY193-CZ193,IF(CR193="cash",DK193,CY193))</f>
        <v>0.00004307011694021618</v>
      </c>
      <c r="DB193" s="6">
        <v>0.002471014492752925</v>
      </c>
      <c r="DC193" s="4">
        <v>0.0045264498408722825</v>
      </c>
      <c r="DD193" s="4">
        <v>0.0045264498408722825</v>
      </c>
      <c r="DE193" s="5">
        <f>IF(CR193="direct",CY193*(CW193-CV193),DH193)</f>
        <v>0.0000034624240974573865</v>
      </c>
      <c r="DF193" s="5">
        <f>IF(CR193="direct",DD193*CX193*C193/365,0)</f>
        <v>0</v>
      </c>
      <c r="DG193" s="5">
        <f>DE193-DF193</f>
        <v>0.0000034624240974562773</v>
      </c>
      <c r="DH193" s="4">
        <v>0.0000034624240974562773</v>
      </c>
      <c r="DI193" s="5">
        <f>DH193-DG193</f>
        <v>-1.1091896444295063e-18</v>
      </c>
      <c r="DJ193" s="4">
        <v>6.111342714439777e-19</v>
      </c>
      <c r="DK193" s="4">
        <v>0.004529912264969739</v>
      </c>
      <c r="DL193" s="4">
        <v>1.84</v>
      </c>
      <c r="DM193" s="4">
        <v>1.825</v>
      </c>
      <c r="DN193" s="6"/>
      <c r="DO193" s="6"/>
      <c r="DP193" s="6"/>
      <c r="DQ193" s="9">
        <v>80</v>
      </c>
      <c r="DR193" s="7">
        <f>IFERROR(DG193/F193,0)</f>
        <v>0.0000018901568393879908</v>
      </c>
      <c r="DS193" t="inlineStr">
        <is>
          <t xml:space="preserve">SI69Z</t>
        </is>
      </c>
      <c r="DT193" t="inlineStr">
        <is>
          <t xml:space="preserve">future</t>
        </is>
      </c>
      <c r="DU193" t="inlineStr">
        <is>
          <t xml:space="preserve">lease</t>
        </is>
      </c>
      <c r="DV193" t="inlineStr">
        <is>
          <t xml:space="preserve">long</t>
        </is>
      </c>
      <c r="DW193" t="inlineStr">
        <is>
          <t xml:space="preserve">regular</t>
        </is>
      </c>
      <c r="DX193" s="4">
        <v>1.868</v>
      </c>
      <c r="DY193" s="4">
        <v>1.825</v>
      </c>
      <c r="DZ193" s="6"/>
      <c r="EA193" s="4">
        <v>0.0024231530197389092</v>
      </c>
      <c r="EB193" s="5">
        <f>IF(DT193="direct",IFERROR(EH193/DY193,0),0)</f>
        <v>0</v>
      </c>
      <c r="EC193" s="5">
        <f>IF(DT193="direct",EA193-EB193,IF(DT193="cash",EM193,EA193))</f>
        <v>0.0024231530197389092</v>
      </c>
      <c r="ED193" s="6">
        <v>0.002471014492752925</v>
      </c>
      <c r="EE193" s="4">
        <v>0.0045264498408722825</v>
      </c>
      <c r="EF193" s="4">
        <v>0</v>
      </c>
      <c r="EG193" s="5">
        <f>IF(DT193="direct",EA193*(DY193-DX193),EJ193)</f>
        <v>-0.00010419557984877338</v>
      </c>
      <c r="EH193" s="5">
        <f>IF(DT193="direct",EF193*DZ193*C193/365,0)</f>
        <v>0</v>
      </c>
      <c r="EI193" s="5">
        <f>EG193-EH193</f>
        <v>-0.00010419557984877338</v>
      </c>
      <c r="EJ193" s="4">
        <v>-0.00010419557984877338</v>
      </c>
      <c r="EK193" s="5">
        <f>EJ193-EI193</f>
        <v>0</v>
      </c>
      <c r="EL193" s="4">
        <v>0.00010419557984877338</v>
      </c>
      <c r="EM193" s="4">
        <v>0</v>
      </c>
      <c r="EN193" s="4">
        <v>1.84</v>
      </c>
      <c r="EO193" s="4">
        <v>1.825</v>
      </c>
      <c r="EP193" s="6">
        <v>0.01521739130434785</v>
      </c>
      <c r="EQ193" s="6">
        <v>0.0698</v>
      </c>
      <c r="ER193" s="6">
        <v>0.0003706521739129387</v>
      </c>
      <c r="ES193" s="9">
        <v>80</v>
      </c>
      <c r="ET193" s="7">
        <f>IFERROR(EI193/F193,0)</f>
        <v>-0.000056880954597631727</v>
      </c>
      <c r="EU193" t="inlineStr">
        <is>
          <t xml:space="preserve">Lease cash / margin / financing</t>
        </is>
      </c>
      <c r="EV193" t="inlineStr">
        <is>
          <t xml:space="preserve">cash</t>
        </is>
      </c>
      <c r="EW193" t="inlineStr">
        <is>
          <t xml:space="preserve">lease</t>
        </is>
      </c>
      <c r="EX193" t="inlineStr">
        <is>
          <t xml:space="preserve">cash</t>
        </is>
      </c>
      <c r="EY193"/>
      <c r="EZ193" s="4">
        <v>1</v>
      </c>
      <c r="FA193" s="4">
        <v>1</v>
      </c>
      <c r="FB193" s="6"/>
      <c r="FC193" s="4">
        <v>0</v>
      </c>
      <c r="FD193" s="5">
        <f>IF(EV193="direct",IFERROR(FJ193/FA193,0),0)</f>
        <v>0</v>
      </c>
      <c r="FE193" s="5">
        <f>IF(EV193="direct",FC193-FD193,IF(EV193="cash",FO193,FC193))</f>
        <v>-0.00010419557984877399</v>
      </c>
      <c r="FF193" s="6"/>
      <c r="FG193" s="4">
        <v>0</v>
      </c>
      <c r="FH193" s="4">
        <v>0</v>
      </c>
      <c r="FI193" s="5">
        <f>IF(EV193="direct",FC193*(FA193-EZ193),FL193)</f>
        <v>0</v>
      </c>
      <c r="FJ193" s="5">
        <f>IF(EV193="direct",FH193*FB193*C193/365,0)</f>
        <v>0</v>
      </c>
      <c r="FK193" s="5">
        <f>FI193-FJ193</f>
        <v>0</v>
      </c>
      <c r="FL193" s="4">
        <v>0</v>
      </c>
      <c r="FM193" s="5">
        <f>FL193-FK193</f>
        <v>0</v>
      </c>
      <c r="FN193" s="4">
        <v>-0.00010419557984877399</v>
      </c>
      <c r="FO193" s="4">
        <v>-0.00010419557984877399</v>
      </c>
      <c r="FP193" s="4">
        <v>1.84</v>
      </c>
      <c r="FQ193" s="4">
        <v>1.825</v>
      </c>
      <c r="FR193" s="6"/>
      <c r="FS193" s="6"/>
      <c r="FT193" s="6"/>
      <c r="FU193" s="9"/>
      <c r="FV193" s="7">
        <f>IFERROR(FK193/F193,0)</f>
        <v>0</v>
      </c>
      <c r="FW193" t="inlineStr">
        <is>
          <t xml:space="preserve">Keep cash / margin / financing</t>
        </is>
      </c>
      <c r="FX193" t="inlineStr">
        <is>
          <t xml:space="preserve">cash</t>
        </is>
      </c>
      <c r="FY193" t="inlineStr">
        <is>
          <t xml:space="preserve">keep</t>
        </is>
      </c>
      <c r="FZ193" t="inlineStr">
        <is>
          <t xml:space="preserve">cash</t>
        </is>
      </c>
      <c r="GA193"/>
      <c r="GB193" s="4">
        <v>1</v>
      </c>
      <c r="GC193" s="4">
        <v>1</v>
      </c>
      <c r="GD193" s="6"/>
      <c r="GE193" s="4">
        <v>0</v>
      </c>
      <c r="GF193" s="5">
        <f>IF(FX193="direct",IFERROR(GL193/GC193,0),0)</f>
        <v>0</v>
      </c>
      <c r="GG193" s="5">
        <f>IF(FX193="direct",GE193-GF193,IF(FX193="cash",GQ193,GE193))</f>
        <v>0</v>
      </c>
      <c r="GH193" s="6"/>
      <c r="GI193" s="4">
        <v>0</v>
      </c>
      <c r="GJ193" s="4">
        <v>0</v>
      </c>
      <c r="GK193" s="5">
        <f>IF(FX193="direct",GE193*(GC193-GB193),GN193)</f>
        <v>0</v>
      </c>
      <c r="GL193" s="5">
        <f>IF(FX193="direct",GJ193*GD193*C193/365,0)</f>
        <v>0</v>
      </c>
      <c r="GM193" s="5">
        <f>GK193-GL193</f>
        <v>0</v>
      </c>
      <c r="GN193" s="4">
        <v>0</v>
      </c>
      <c r="GO193" s="5">
        <f>GN193-GM193</f>
        <v>0</v>
      </c>
      <c r="GP193" s="4">
        <v>0</v>
      </c>
      <c r="GQ193" s="4">
        <v>0</v>
      </c>
      <c r="GR193" s="4">
        <v>1.84</v>
      </c>
      <c r="GS193" s="4">
        <v>1.825</v>
      </c>
      <c r="GT193" s="6"/>
      <c r="GU193" s="6"/>
      <c r="GV193" s="6"/>
      <c r="GW193" s="9"/>
      <c r="GX193" s="7">
        <f>IFERROR(GM193/F193,0)</f>
        <v>0</v>
      </c>
      <c r="GY193"/>
      <c r="GZ193"/>
      <c r="HA193"/>
      <c r="HB193"/>
      <c r="HC193"/>
      <c r="HD193" s="4"/>
      <c r="HE193" s="4"/>
      <c r="HF193" s="6"/>
      <c r="HG193" s="4"/>
      <c r="HH193" s="5">
        <v>0</v>
      </c>
      <c r="HI193" s="5"/>
      <c r="HJ193" s="6"/>
      <c r="HK193" s="4"/>
      <c r="HL193" s="4"/>
      <c r="HM193" s="5">
        <v>0</v>
      </c>
      <c r="HN193" s="5">
        <v>0</v>
      </c>
      <c r="HO193" s="5"/>
      <c r="HP193" s="4"/>
      <c r="HQ193" s="5">
        <v>0</v>
      </c>
      <c r="HR193" s="4"/>
      <c r="HS193" s="4"/>
      <c r="HT193" s="4"/>
      <c r="HU193" s="4"/>
      <c r="HV193" s="6"/>
      <c r="HW193" s="6"/>
      <c r="HX193" s="6"/>
      <c r="HY193" s="9"/>
      <c r="HZ193"/>
      <c r="IA193"/>
      <c r="IB193"/>
      <c r="IC193"/>
      <c r="ID193"/>
      <c r="IE193"/>
      <c r="IF193" s="4"/>
      <c r="IG193" s="4"/>
      <c r="IH193" s="6"/>
      <c r="II193" s="4"/>
      <c r="IJ193" s="5">
        <v>0</v>
      </c>
      <c r="IK193" s="5"/>
      <c r="IL193" s="6"/>
      <c r="IM193" s="4"/>
      <c r="IN193" s="4"/>
      <c r="IO193" s="5">
        <v>0</v>
      </c>
      <c r="IP193" s="5">
        <v>0</v>
      </c>
      <c r="IQ193" s="5"/>
      <c r="IR193" s="4"/>
      <c r="IS193" s="5">
        <v>0</v>
      </c>
      <c r="IT193" s="4"/>
      <c r="IU193" s="4"/>
      <c r="IV193" s="4"/>
      <c r="IW193" s="4"/>
      <c r="IX193" s="6"/>
      <c r="IY193" s="6"/>
      <c r="IZ193" s="6"/>
      <c r="JA193" s="9"/>
      <c r="JB193"/>
      <c r="JC193"/>
      <c r="JD193"/>
      <c r="JE193"/>
      <c r="JF193"/>
      <c r="JG193"/>
      <c r="JH193" s="4"/>
      <c r="JI193" s="4"/>
      <c r="JJ193" s="6"/>
      <c r="JK193" s="4"/>
      <c r="JL193" s="5">
        <v>0</v>
      </c>
      <c r="JM193" s="5"/>
      <c r="JN193" s="6"/>
      <c r="JO193" s="4"/>
      <c r="JP193" s="4"/>
      <c r="JQ193" s="5">
        <v>0</v>
      </c>
      <c r="JR193" s="5">
        <v>0</v>
      </c>
      <c r="JS193" s="5"/>
      <c r="JT193" s="4"/>
      <c r="JU193" s="5">
        <v>0</v>
      </c>
      <c r="JV193" s="4"/>
      <c r="JW193" s="4"/>
      <c r="JX193" s="4"/>
      <c r="JY193" s="4"/>
      <c r="JZ193" s="6"/>
      <c r="KA193" s="6"/>
      <c r="KB193" s="6"/>
      <c r="KC193" s="9"/>
      <c r="KD193"/>
      <c r="KE193"/>
      <c r="KF193"/>
      <c r="KG193"/>
      <c r="KH193"/>
      <c r="KI193"/>
      <c r="KJ193" s="4"/>
      <c r="KK193" s="4"/>
      <c r="KL193" s="6"/>
      <c r="KM193" s="4"/>
      <c r="KN193" s="5">
        <v>0</v>
      </c>
      <c r="KO193" s="5"/>
      <c r="KP193" s="6"/>
      <c r="KQ193" s="4"/>
      <c r="KR193" s="4"/>
      <c r="KS193" s="5">
        <v>0</v>
      </c>
      <c r="KT193" s="5">
        <v>0</v>
      </c>
      <c r="KU193" s="5"/>
      <c r="KV193" s="4"/>
      <c r="KW193" s="5">
        <v>0</v>
      </c>
      <c r="KX193" s="4"/>
      <c r="KY193" s="4"/>
      <c r="KZ193" s="4"/>
      <c r="LA193" s="4"/>
      <c r="LB193" s="6"/>
      <c r="LC193" s="6"/>
      <c r="LD193" s="6"/>
      <c r="LE193" s="9"/>
      <c r="LF193"/>
      <c r="LG193"/>
      <c r="LH193"/>
      <c r="LI193"/>
      <c r="LJ193"/>
      <c r="LK193"/>
      <c r="LL193" s="4"/>
      <c r="LM193" s="4"/>
      <c r="LN193" s="6"/>
      <c r="LO193" s="4"/>
      <c r="LP193" s="5">
        <v>0</v>
      </c>
      <c r="LQ193" s="5"/>
      <c r="LR193" s="6"/>
      <c r="LS193" s="4"/>
      <c r="LT193" s="4"/>
      <c r="LU193" s="5">
        <v>0</v>
      </c>
      <c r="LV193" s="5">
        <v>0</v>
      </c>
      <c r="LW193" s="5"/>
      <c r="LX193" s="4"/>
      <c r="LY193" s="5">
        <v>0</v>
      </c>
      <c r="LZ193" s="4"/>
      <c r="MA193" s="4"/>
      <c r="MB193" s="4"/>
      <c r="MC193" s="4"/>
      <c r="MD193" s="6"/>
      <c r="ME193" s="6"/>
      <c r="MF193" s="6"/>
      <c r="MG193" s="9"/>
      <c r="MH193"/>
    </row>
    <row r="194">
      <c r="A194" s="8">
        <v>25490</v>
      </c>
      <c r="B194" s="8">
        <v>25491</v>
      </c>
      <c r="C194" s="9">
        <f>B194-A194</f>
        <v>1</v>
      </c>
      <c r="D194" s="8">
        <v>25490</v>
      </c>
      <c r="E194" t="inlineStr">
        <is>
          <t xml:space="preserve">positive</t>
        </is>
      </c>
      <c r="F194" s="4">
        <v>1.81677121287227</v>
      </c>
      <c r="G194" s="6">
        <v>0.0031159298630137073</v>
      </c>
      <c r="H194" s="7">
        <f>SUM(CP194,DR194,ET194,FV194,GX194,HZ194,JB194,KD194,LF194,MH194)</f>
        <v>0.003115929863013707</v>
      </c>
      <c r="I194" s="7">
        <f>G194-H194</f>
        <v>4.336808689942018e-19</v>
      </c>
      <c r="J194" s="5">
        <f>F194*(1+H194)</f>
        <v>1.8224321445487222</v>
      </c>
      <c r="K194" s="4">
        <v>1.8224321445487222</v>
      </c>
      <c r="L194" s="5">
        <f>K194-J194</f>
        <v>0</v>
      </c>
      <c r="M194" s="4">
        <v>1.825</v>
      </c>
      <c r="N194" s="4">
        <v>1.808</v>
      </c>
      <c r="O194" s="5">
        <f>M194/$M$3</f>
        <v>0.932073544433095</v>
      </c>
      <c r="P194" s="5">
        <f>N194/$M$3</f>
        <v>0.9233912155260471</v>
      </c>
      <c r="Q194" s="7">
        <f>IFERROR(N194/M194-1,0)</f>
        <v>-0.009315068493150669</v>
      </c>
      <c r="R194" s="5">
        <f>SUM(IF(BQ194="lease",CB194,0),IF(CS194="lease",DD194,0),IF(DU194="lease",EF194,0),IF(EW194="lease",FH194,0),IF(FY194="lease",GJ194,0),IF(HA194="lease",HL194,0),IF(IC194="lease",IN194,0),IF(JE194="lease",JP194,0),IF(KG194="lease",KR194,0),IF(LI194="lease",LT194,0))</f>
        <v>1.8167712128722702</v>
      </c>
      <c r="S194" s="5">
        <f>SUM(IF(BQ194="lease",CI194,0),IF(CS194="lease",DK194,0),IF(DU194="lease",EM194,0),IF(EW194="lease",FO194,0),IF(FY194="lease",GQ194,0),IF(HA194="lease",HS194,0),IF(IC194="lease",IU194,0),IF(JE194="lease",JW194,0),IF(KG194="lease",KY194,0),IF(LI194="lease",MA194,0))</f>
        <v>1.8224321445487226</v>
      </c>
      <c r="T194" s="5">
        <f>SUM(IF(BQ194="keep",CB194,0),IF(CS194="keep",DD194,0),IF(DU194="keep",EF194,0),IF(EW194="keep",FH194,0),IF(FY194="keep",GJ194,0),IF(HA194="keep",HL194,0),IF(IC194="keep",IN194,0),IF(JE194="keep",JP194,0),IF(KG194="keep",KR194,0),IF(LI194="keep",LT194,0))</f>
        <v>0</v>
      </c>
      <c r="U194" s="5">
        <f>SUM(IF(BQ194="keep",CI194,0),IF(CS194="keep",DK194,0),IF(DU194="keep",EM194,0),IF(EW194="keep",FO194,0),IF(FY194="keep",GQ194,0),IF(HA194="keep",HS194,0),IF(IC194="keep",IU194,0),IF(JE194="keep",JW194,0),IF(KG194="keep",KY194,0),IF(LI194="keep",MA194,0))</f>
        <v>0</v>
      </c>
      <c r="V194" s="5">
        <f>R194/O194</f>
        <v>1.949171525919948</v>
      </c>
      <c r="W194" s="5">
        <f>S194/P194</f>
        <v>1.973629501673893</v>
      </c>
      <c r="X194" s="5">
        <f>T194/O194</f>
        <v>0</v>
      </c>
      <c r="Y194" s="5">
        <f>U194/P194</f>
        <v>0</v>
      </c>
      <c r="Z194" s="5">
        <f>V194+X194</f>
        <v>1.949171525919948</v>
      </c>
      <c r="AA194" s="7">
        <f>IFERROR(W194/V194-1,0)</f>
        <v>0.012547882743362715</v>
      </c>
      <c r="AB194" s="7">
        <f>IFERROR((W194-V194)/Z194,0)</f>
        <v>0.012547882743362736</v>
      </c>
      <c r="AC194" s="7">
        <f>IFERROR(Y194/X194-1,0)</f>
        <v>0</v>
      </c>
      <c r="AD194" s="7">
        <f>IFERROR((Y194-X194)/Z194,0)</f>
        <v>0</v>
      </c>
      <c r="AE194" s="7">
        <f>AB194+AD194</f>
        <v>0.012547882743362736</v>
      </c>
      <c r="AF194" s="7">
        <f>(1+Q194)*(1+AE194)-1</f>
        <v>0.003115929863013678</v>
      </c>
      <c r="AG194" s="7">
        <f>G194-AF194</f>
        <v>2.949029909160572e-17</v>
      </c>
      <c r="AH194" s="5">
        <f>SUM(IF(BQ194="lease",CE194,0),IF(CS194="lease",DG194,0),IF(DU194="lease",EI194,0),IF(EW194="lease",FK194,0),IF(FY194="lease",GM194,0),IF(HA194="lease",HO194,0),IF(IC194="lease",IQ194,0),IF(JE194="lease",JS194,0),IF(KG194="lease",KU194,0),IF(LI194="lease",LW194,0))</f>
        <v>0.005660931676452338</v>
      </c>
      <c r="AI194" s="5">
        <f>SUM(IF(BQ194="keep",CE194,0),IF(CS194="keep",DG194,0),IF(DU194="keep",EI194,0),IF(EW194="keep",FK194,0),IF(FY194="keep",GM194,0),IF(HA194="keep",HO194,0),IF(IC194="keep",IQ194,0),IF(JE194="keep",JS194,0),IF(KG194="keep",KU194,0),IF(LI194="keep",LW194,0))</f>
        <v>0</v>
      </c>
      <c r="AJ194" s="5">
        <f>SUM(IF(BQ194="lease",CH194,0),IF(CS194="lease",DJ194,0),IF(DU194="lease",EL194,0),IF(EW194="lease",FN194,0),IF(FY194="lease",GP194,0),IF(HA194="lease",HR194,0),IF(IC194="lease",IT194,0),IF(JE194="lease",JV194,0),IF(KG194="lease",KX194,0),IF(LI194="lease",LZ194,0))</f>
        <v>0</v>
      </c>
      <c r="AK194" s="5">
        <f>SUM(IF(BQ194="keep",CH194,0),IF(CS194="keep",DJ194,0),IF(DU194="keep",EL194,0),IF(EW194="keep",FN194,0),IF(FY194="keep",GP194,0),IF(HA194="keep",HR194,0),IF(IC194="keep",IT194,0),IF(JE194="keep",JV194,0),IF(KG194="keep",KX194,0),IF(LI194="keep",LZ194,0))</f>
        <v>0</v>
      </c>
      <c r="AL194" s="5">
        <f>R194-S193</f>
        <v>2.220446049250313e-16</v>
      </c>
      <c r="AM194" s="5">
        <f>T194-U193</f>
        <v>0</v>
      </c>
      <c r="AN194" s="5">
        <f>AN193</f>
        <v>1</v>
      </c>
      <c r="AO194" s="5">
        <f>AO193+AH194</f>
        <v>0.8224321445487227</v>
      </c>
      <c r="AP194" s="5">
        <f>AP193+AL194</f>
        <v>-4.440892098500626e-16</v>
      </c>
      <c r="AQ194" s="5">
        <f>AN194+AO194+AP194</f>
        <v>1.8224321445487224</v>
      </c>
      <c r="AR194" s="5">
        <f>S194-AQ194</f>
        <v>2.220446049250313e-16</v>
      </c>
      <c r="AS194" s="5">
        <f>AS193</f>
        <v>0</v>
      </c>
      <c r="AT194" s="5">
        <f>AT193+AI194</f>
        <v>0</v>
      </c>
      <c r="AU194" s="5">
        <f>AU193+AM194</f>
        <v>0</v>
      </c>
      <c r="AV194" s="5">
        <f>AS194+AT194+AU194</f>
        <v>0</v>
      </c>
      <c r="AW194" s="5">
        <f>U194-AV194</f>
        <v>0</v>
      </c>
      <c r="AX194" s="4">
        <v>1.8167712128722702</v>
      </c>
      <c r="AY194" s="4">
        <v>1.8224321445487226</v>
      </c>
      <c r="AZ194" s="5">
        <f>S194-AY194</f>
        <v>0</v>
      </c>
      <c r="BA194" s="4">
        <v>0</v>
      </c>
      <c r="BB194" s="4">
        <v>0</v>
      </c>
      <c r="BC194" s="5">
        <f>U194-BB194</f>
        <v>0</v>
      </c>
      <c r="BD194" s="7">
        <f>SUM(IF(BP194="direct",CC194/F194,0),IF(CR194="direct",DE194/F194,0),IF(DT194="direct",EG194/F194,0),IF(EV194="direct",FI194/F194,0),IF(FX194="direct",GK194/F194,0),IF(GZ194="direct",HM194/F194,0),IF(IB194="direct",IO194/F194,0),IF(JD194="direct",JQ194/F194,0),IF(KF194="direct",KS194/F194,0),IF(LH194="direct",LU194/F194,0))</f>
        <v>-0.004943196347031936</v>
      </c>
      <c r="BE194" s="7">
        <f>-SUM(IF(BP194="direct",CD194/F194,0),IF(CR194="direct",DF194/F194,0),IF(DT194="direct",EH194/F194,0),IF(EV194="direct",FJ194/F194,0),IF(FX194="direct",GL194/F194,0),IF(GZ194="direct",HN194/F194,0),IF(IB194="direct",IP194/F194,0),IF(JD194="direct",JR194/F194,0),IF(KF194="direct",KT194/F194,0),IF(LH194="direct",LV194/F194,0))</f>
        <v>-0.0000036347031963470314</v>
      </c>
      <c r="BF194" s="7">
        <f>BD194+BE194</f>
        <v>-0.004946831050228283</v>
      </c>
      <c r="BG194" s="7">
        <f>BF194-SUM(IF(BP194="direct",CP194,0),IF(CR194="direct",DR194,0),IF(DT194="direct",ET194,0),IF(EV194="direct",FV194,0),IF(FX194="direct",GX194,0),IF(GZ194="direct",HZ194,0),IF(IB194="direct",JB194,0),IF(JD194="direct",KD194,0),IF(KF194="direct",LF194,0),IF(LH194="direct",MH194,0))</f>
        <v>1.9081958235744878e-17</v>
      </c>
      <c r="BH194" s="7">
        <f>SUM(IF(BP194="treasury",CP194,0),IF(CR194="treasury",DR194,0),IF(DT194="treasury",ET194,0),IF(EV194="treasury",FV194,0),IF(FX194="treasury",GX194,0),IF(GZ194="treasury",HZ194,0),IF(IB194="treasury",JB194,0),IF(JD194="treasury",KD194,0),IF(KF194="treasury",LF194,0),IF(LH194="treasury",MH194,0))</f>
        <v>0.00009052347031963472</v>
      </c>
      <c r="BI194" s="7">
        <f>SUM(IF(BP194="future",CP194,0),IF(CR194="future",DR194,0),IF(DT194="future",ET194,0),IF(EV194="future",FV194,0),IF(FX194="future",GX194,0),IF(GZ194="future",HZ194,0),IF(IB194="future",JB194,0),IF(JD194="future",KD194,0),IF(KF194="future",LF194,0),IF(LH194="future",MH194,0))</f>
        <v>0.007972237442922374</v>
      </c>
      <c r="BJ194" s="7">
        <f>SUM(IF(BP194="cash",CP194,0),IF(CR194="cash",DR194,0),IF(DT194="cash",ET194,0),IF(EV194="cash",FV194,0),IF(FX194="cash",GX194,0),IF(GZ194="cash",HZ194,0),IF(IB194="cash",JB194,0),IF(JD194="cash",KD194,0),IF(KF194="cash",LF194,0),IF(LH194="cash",MH194,0))</f>
        <v>0</v>
      </c>
      <c r="BK194" s="7">
        <f>SUM(BF194,BH194,BI194,BJ194)</f>
        <v>0.0031159298630137073</v>
      </c>
      <c r="BL194" s="7">
        <f>G194-BK194</f>
        <v>0</v>
      </c>
      <c r="BM194" s="5">
        <f>MAX(ABS(CG194),ABS(DI194),ABS(EK194),ABS(FM194),ABS(GO194),ABS(HQ194),ABS(IS194),ABS(JU194),ABS(KW194),ABS(LY194))</f>
        <v>3.416253282866044e-17</v>
      </c>
      <c r="BN194" s="9">
        <f>COUNTA(BO194,CQ194,DS194,EU194,FW194,GY194,IA194,JC194,KE194,LG194)</f>
        <v>5</v>
      </c>
      <c r="BO194" t="inlineStr">
        <is>
          <t xml:space="preserve">Direct commodity holding</t>
        </is>
      </c>
      <c r="BP194" t="inlineStr">
        <is>
          <t xml:space="preserve">direct</t>
        </is>
      </c>
      <c r="BQ194" t="inlineStr">
        <is>
          <t xml:space="preserve">lease</t>
        </is>
      </c>
      <c r="BR194" t="inlineStr">
        <is>
          <t xml:space="preserve">long</t>
        </is>
      </c>
      <c r="BS194"/>
      <c r="BT194" s="4">
        <v>1.825</v>
      </c>
      <c r="BU194" s="4">
        <v>1.808</v>
      </c>
      <c r="BV194" s="6">
        <v>0.0025</v>
      </c>
      <c r="BW194" s="4">
        <v>0.5282739307566491</v>
      </c>
      <c r="BX194" s="5">
        <f>IF(BP194="direct",IFERROR(CD194/BU194,0),0)</f>
        <v>0.0000036523363575542656</v>
      </c>
      <c r="BY194" s="5">
        <f>IF(BP194="direct",BW194-BX194,IF(BP194="cash",CI194,BW194))</f>
        <v>0.5282702784202915</v>
      </c>
      <c r="BZ194" s="6">
        <v>0.5306666666666666</v>
      </c>
      <c r="CA194" s="4">
        <v>0.9640999236308845</v>
      </c>
      <c r="CB194" s="4">
        <v>0.9640999236308845</v>
      </c>
      <c r="CC194" s="5">
        <f>IF(BP194="direct",BW194*(BU194-BT194),CF194)</f>
        <v>-0.008980656822862984</v>
      </c>
      <c r="CD194" s="5">
        <f>IF(BP194="direct",CB194*BV194*C194/365,0)</f>
        <v>0.0000066034241344581125</v>
      </c>
      <c r="CE194" s="5">
        <f>CC194-CD194</f>
        <v>-0.008987260246997477</v>
      </c>
      <c r="CF194" s="4">
        <v>-0.008987260246997477</v>
      </c>
      <c r="CG194" s="5">
        <f>CF194-CE194</f>
        <v>-3.416253282866044e-17</v>
      </c>
      <c r="CH194" s="4">
        <v>0</v>
      </c>
      <c r="CI194" s="4">
        <v>0.9551126633838871</v>
      </c>
      <c r="CJ194" s="4">
        <v>1.825</v>
      </c>
      <c r="CK194" s="4">
        <v>1.808</v>
      </c>
      <c r="CL194" s="6"/>
      <c r="CM194" s="6"/>
      <c r="CN194" s="6"/>
      <c r="CO194" s="9"/>
      <c r="CP194" s="7">
        <f>IFERROR(CE194/F194,0)</f>
        <v>-0.004946831050228302</v>
      </c>
      <c r="CQ194" t="inlineStr">
        <is>
          <t xml:space="preserve">Treasury collateral</t>
        </is>
      </c>
      <c r="CR194" t="inlineStr">
        <is>
          <t xml:space="preserve">treasury</t>
        </is>
      </c>
      <c r="CS194" t="inlineStr">
        <is>
          <t xml:space="preserve">lease</t>
        </is>
      </c>
      <c r="CT194" t="inlineStr">
        <is>
          <t xml:space="preserve">long</t>
        </is>
      </c>
      <c r="CU194"/>
      <c r="CV194" s="4">
        <v>105.17529523445504</v>
      </c>
      <c r="CW194" s="4">
        <v>105.19558109961807</v>
      </c>
      <c r="CX194" s="6"/>
      <c r="CY194" s="4">
        <v>0.008107144242767511</v>
      </c>
      <c r="CZ194" s="5">
        <f>IF(CR194="direct",IFERROR(DF194/CW194,0),0)</f>
        <v>0</v>
      </c>
      <c r="DA194" s="5">
        <f>IF(CR194="direct",CY194-CZ194,IF(CR194="cash",DK194,CY194))</f>
        <v>0.008107144242767511</v>
      </c>
      <c r="DB194" s="6">
        <v>0.4693333333333334</v>
      </c>
      <c r="DC194" s="4">
        <v>0.8526712892413855</v>
      </c>
      <c r="DD194" s="4">
        <v>0.8526712892413855</v>
      </c>
      <c r="DE194" s="5">
        <f>IF(CR194="direct",CY194*(CW194-CV194),DH194)</f>
        <v>0.00016446043496603463</v>
      </c>
      <c r="DF194" s="5">
        <f>IF(CR194="direct",DD194*CX194*C194/365,0)</f>
        <v>0</v>
      </c>
      <c r="DG194" s="5">
        <f>DE194-DF194</f>
        <v>0.0001644604349660097</v>
      </c>
      <c r="DH194" s="4">
        <v>0.0001644604349660097</v>
      </c>
      <c r="DI194" s="5">
        <f>DH194-DG194</f>
        <v>-2.4936649967166602e-17</v>
      </c>
      <c r="DJ194" s="4">
        <v>-2.4638494369733088e-17</v>
      </c>
      <c r="DK194" s="4">
        <v>0.8528357496763515</v>
      </c>
      <c r="DL194" s="4">
        <v>1.825</v>
      </c>
      <c r="DM194" s="4">
        <v>1.808</v>
      </c>
      <c r="DN194" s="6"/>
      <c r="DO194" s="6"/>
      <c r="DP194" s="6"/>
      <c r="DQ194" s="9">
        <v>76</v>
      </c>
      <c r="DR194" s="7">
        <f>IFERROR(DG194/F194,0)</f>
        <v>0.00009052347031963472</v>
      </c>
      <c r="DS194" t="inlineStr">
        <is>
          <t xml:space="preserve">SI69Z</t>
        </is>
      </c>
      <c r="DT194" t="inlineStr">
        <is>
          <t xml:space="preserve">future</t>
        </is>
      </c>
      <c r="DU194" t="inlineStr">
        <is>
          <t xml:space="preserve">lease</t>
        </is>
      </c>
      <c r="DV194" t="inlineStr">
        <is>
          <t xml:space="preserve">long</t>
        </is>
      </c>
      <c r="DW194" t="inlineStr">
        <is>
          <t xml:space="preserve">regular</t>
        </is>
      </c>
      <c r="DX194" s="4">
        <v>1.825</v>
      </c>
      <c r="DY194" s="4">
        <v>1.8559999999999999</v>
      </c>
      <c r="DZ194" s="6"/>
      <c r="EA194" s="4">
        <v>0.46721714478980025</v>
      </c>
      <c r="EB194" s="5">
        <f>IF(DT194="direct",IFERROR(EH194/DY194,0),0)</f>
        <v>0</v>
      </c>
      <c r="EC194" s="5">
        <f>IF(DT194="direct",EA194-EB194,IF(DT194="cash",EM194,EA194))</f>
        <v>0.46721714478980025</v>
      </c>
      <c r="ED194" s="6">
        <v>0.4693333333333334</v>
      </c>
      <c r="EE194" s="4">
        <v>0.8526712892413855</v>
      </c>
      <c r="EF194" s="4">
        <v>0</v>
      </c>
      <c r="EG194" s="5">
        <f>IF(DT194="direct",EA194*(DY194-DX194),EJ194)</f>
        <v>0.014483731488483805</v>
      </c>
      <c r="EH194" s="5">
        <f>IF(DT194="direct",EF194*DZ194*C194/365,0)</f>
        <v>0</v>
      </c>
      <c r="EI194" s="5">
        <f>EG194-EH194</f>
        <v>0.014483731488483805</v>
      </c>
      <c r="EJ194" s="4">
        <v>0.014483731488483805</v>
      </c>
      <c r="EK194" s="5">
        <f>EJ194-EI194</f>
        <v>0</v>
      </c>
      <c r="EL194" s="4">
        <v>-0.014483731488483805</v>
      </c>
      <c r="EM194" s="4">
        <v>0</v>
      </c>
      <c r="EN194" s="4">
        <v>1.825</v>
      </c>
      <c r="EO194" s="4">
        <v>1.808</v>
      </c>
      <c r="EP194" s="6">
        <v>0</v>
      </c>
      <c r="EQ194" s="6">
        <v>0.0704</v>
      </c>
      <c r="ER194" s="6">
        <v>0.0704</v>
      </c>
      <c r="ES194" s="9">
        <v>76</v>
      </c>
      <c r="ET194" s="7">
        <f>IFERROR(EI194/F194,0)</f>
        <v>0.007972237442922374</v>
      </c>
      <c r="EU194" t="inlineStr">
        <is>
          <t xml:space="preserve">Lease cash / margin / financing</t>
        </is>
      </c>
      <c r="EV194" t="inlineStr">
        <is>
          <t xml:space="preserve">cash</t>
        </is>
      </c>
      <c r="EW194" t="inlineStr">
        <is>
          <t xml:space="preserve">lease</t>
        </is>
      </c>
      <c r="EX194" t="inlineStr">
        <is>
          <t xml:space="preserve">cash</t>
        </is>
      </c>
      <c r="EY194"/>
      <c r="EZ194" s="4">
        <v>1</v>
      </c>
      <c r="FA194" s="4">
        <v>1</v>
      </c>
      <c r="FB194" s="6"/>
      <c r="FC194" s="4">
        <v>2.220446049250313e-16</v>
      </c>
      <c r="FD194" s="5">
        <f>IF(EV194="direct",IFERROR(FJ194/FA194,0),0)</f>
        <v>0</v>
      </c>
      <c r="FE194" s="5">
        <f>IF(EV194="direct",FC194-FD194,IF(EV194="cash",FO194,FC194))</f>
        <v>0.014483731488484052</v>
      </c>
      <c r="FF194" s="6"/>
      <c r="FG194" s="4">
        <v>2.220446049250313e-16</v>
      </c>
      <c r="FH194" s="4">
        <v>2.220446049250313e-16</v>
      </c>
      <c r="FI194" s="5">
        <f>IF(EV194="direct",FC194*(FA194-EZ194),FL194)</f>
        <v>0</v>
      </c>
      <c r="FJ194" s="5">
        <f>IF(EV194="direct",FH194*FB194*C194/365,0)</f>
        <v>0</v>
      </c>
      <c r="FK194" s="5">
        <f>FI194-FJ194</f>
        <v>0</v>
      </c>
      <c r="FL194" s="4">
        <v>0</v>
      </c>
      <c r="FM194" s="5">
        <f>FL194-FK194</f>
        <v>0</v>
      </c>
      <c r="FN194" s="4">
        <v>0.01448373148848383</v>
      </c>
      <c r="FO194" s="4">
        <v>0.014483731488484052</v>
      </c>
      <c r="FP194" s="4">
        <v>1.825</v>
      </c>
      <c r="FQ194" s="4">
        <v>1.808</v>
      </c>
      <c r="FR194" s="6"/>
      <c r="FS194" s="6"/>
      <c r="FT194" s="6"/>
      <c r="FU194" s="9"/>
      <c r="FV194" s="7">
        <f>IFERROR(FK194/F194,0)</f>
        <v>0</v>
      </c>
      <c r="FW194" t="inlineStr">
        <is>
          <t xml:space="preserve">Keep cash / margin / financing</t>
        </is>
      </c>
      <c r="FX194" t="inlineStr">
        <is>
          <t xml:space="preserve">cash</t>
        </is>
      </c>
      <c r="FY194" t="inlineStr">
        <is>
          <t xml:space="preserve">keep</t>
        </is>
      </c>
      <c r="FZ194" t="inlineStr">
        <is>
          <t xml:space="preserve">cash</t>
        </is>
      </c>
      <c r="GA194"/>
      <c r="GB194" s="4">
        <v>1</v>
      </c>
      <c r="GC194" s="4">
        <v>1</v>
      </c>
      <c r="GD194" s="6"/>
      <c r="GE194" s="4">
        <v>0</v>
      </c>
      <c r="GF194" s="5">
        <f>IF(FX194="direct",IFERROR(GL194/GC194,0),0)</f>
        <v>0</v>
      </c>
      <c r="GG194" s="5">
        <f>IF(FX194="direct",GE194-GF194,IF(FX194="cash",GQ194,GE194))</f>
        <v>0</v>
      </c>
      <c r="GH194" s="6"/>
      <c r="GI194" s="4">
        <v>0</v>
      </c>
      <c r="GJ194" s="4">
        <v>0</v>
      </c>
      <c r="GK194" s="5">
        <f>IF(FX194="direct",GE194*(GC194-GB194),GN194)</f>
        <v>0</v>
      </c>
      <c r="GL194" s="5">
        <f>IF(FX194="direct",GJ194*GD194*C194/365,0)</f>
        <v>0</v>
      </c>
      <c r="GM194" s="5">
        <f>GK194-GL194</f>
        <v>0</v>
      </c>
      <c r="GN194" s="4">
        <v>0</v>
      </c>
      <c r="GO194" s="5">
        <f>GN194-GM194</f>
        <v>0</v>
      </c>
      <c r="GP194" s="4">
        <v>0</v>
      </c>
      <c r="GQ194" s="4">
        <v>0</v>
      </c>
      <c r="GR194" s="4">
        <v>1.825</v>
      </c>
      <c r="GS194" s="4">
        <v>1.808</v>
      </c>
      <c r="GT194" s="6"/>
      <c r="GU194" s="6"/>
      <c r="GV194" s="6"/>
      <c r="GW194" s="9"/>
      <c r="GX194" s="7">
        <f>IFERROR(GM194/F194,0)</f>
        <v>0</v>
      </c>
      <c r="GY194"/>
      <c r="GZ194"/>
      <c r="HA194"/>
      <c r="HB194"/>
      <c r="HC194"/>
      <c r="HD194" s="4"/>
      <c r="HE194" s="4"/>
      <c r="HF194" s="6"/>
      <c r="HG194" s="4"/>
      <c r="HH194" s="5">
        <v>0</v>
      </c>
      <c r="HI194" s="5"/>
      <c r="HJ194" s="6"/>
      <c r="HK194" s="4"/>
      <c r="HL194" s="4"/>
      <c r="HM194" s="5">
        <v>0</v>
      </c>
      <c r="HN194" s="5">
        <v>0</v>
      </c>
      <c r="HO194" s="5"/>
      <c r="HP194" s="4"/>
      <c r="HQ194" s="5">
        <v>0</v>
      </c>
      <c r="HR194" s="4"/>
      <c r="HS194" s="4"/>
      <c r="HT194" s="4"/>
      <c r="HU194" s="4"/>
      <c r="HV194" s="6"/>
      <c r="HW194" s="6"/>
      <c r="HX194" s="6"/>
      <c r="HY194" s="9"/>
      <c r="HZ194"/>
      <c r="IA194"/>
      <c r="IB194"/>
      <c r="IC194"/>
      <c r="ID194"/>
      <c r="IE194"/>
      <c r="IF194" s="4"/>
      <c r="IG194" s="4"/>
      <c r="IH194" s="6"/>
      <c r="II194" s="4"/>
      <c r="IJ194" s="5">
        <v>0</v>
      </c>
      <c r="IK194" s="5"/>
      <c r="IL194" s="6"/>
      <c r="IM194" s="4"/>
      <c r="IN194" s="4"/>
      <c r="IO194" s="5">
        <v>0</v>
      </c>
      <c r="IP194" s="5">
        <v>0</v>
      </c>
      <c r="IQ194" s="5"/>
      <c r="IR194" s="4"/>
      <c r="IS194" s="5">
        <v>0</v>
      </c>
      <c r="IT194" s="4"/>
      <c r="IU194" s="4"/>
      <c r="IV194" s="4"/>
      <c r="IW194" s="4"/>
      <c r="IX194" s="6"/>
      <c r="IY194" s="6"/>
      <c r="IZ194" s="6"/>
      <c r="JA194" s="9"/>
      <c r="JB194"/>
      <c r="JC194"/>
      <c r="JD194"/>
      <c r="JE194"/>
      <c r="JF194"/>
      <c r="JG194"/>
      <c r="JH194" s="4"/>
      <c r="JI194" s="4"/>
      <c r="JJ194" s="6"/>
      <c r="JK194" s="4"/>
      <c r="JL194" s="5">
        <v>0</v>
      </c>
      <c r="JM194" s="5"/>
      <c r="JN194" s="6"/>
      <c r="JO194" s="4"/>
      <c r="JP194" s="4"/>
      <c r="JQ194" s="5">
        <v>0</v>
      </c>
      <c r="JR194" s="5">
        <v>0</v>
      </c>
      <c r="JS194" s="5"/>
      <c r="JT194" s="4"/>
      <c r="JU194" s="5">
        <v>0</v>
      </c>
      <c r="JV194" s="4"/>
      <c r="JW194" s="4"/>
      <c r="JX194" s="4"/>
      <c r="JY194" s="4"/>
      <c r="JZ194" s="6"/>
      <c r="KA194" s="6"/>
      <c r="KB194" s="6"/>
      <c r="KC194" s="9"/>
      <c r="KD194"/>
      <c r="KE194"/>
      <c r="KF194"/>
      <c r="KG194"/>
      <c r="KH194"/>
      <c r="KI194"/>
      <c r="KJ194" s="4"/>
      <c r="KK194" s="4"/>
      <c r="KL194" s="6"/>
      <c r="KM194" s="4"/>
      <c r="KN194" s="5">
        <v>0</v>
      </c>
      <c r="KO194" s="5"/>
      <c r="KP194" s="6"/>
      <c r="KQ194" s="4"/>
      <c r="KR194" s="4"/>
      <c r="KS194" s="5">
        <v>0</v>
      </c>
      <c r="KT194" s="5">
        <v>0</v>
      </c>
      <c r="KU194" s="5"/>
      <c r="KV194" s="4"/>
      <c r="KW194" s="5">
        <v>0</v>
      </c>
      <c r="KX194" s="4"/>
      <c r="KY194" s="4"/>
      <c r="KZ194" s="4"/>
      <c r="LA194" s="4"/>
      <c r="LB194" s="6"/>
      <c r="LC194" s="6"/>
      <c r="LD194" s="6"/>
      <c r="LE194" s="9"/>
      <c r="LF194"/>
      <c r="LG194"/>
      <c r="LH194"/>
      <c r="LI194"/>
      <c r="LJ194"/>
      <c r="LK194"/>
      <c r="LL194" s="4"/>
      <c r="LM194" s="4"/>
      <c r="LN194" s="6"/>
      <c r="LO194" s="4"/>
      <c r="LP194" s="5">
        <v>0</v>
      </c>
      <c r="LQ194" s="5"/>
      <c r="LR194" s="6"/>
      <c r="LS194" s="4"/>
      <c r="LT194" s="4"/>
      <c r="LU194" s="5">
        <v>0</v>
      </c>
      <c r="LV194" s="5">
        <v>0</v>
      </c>
      <c r="LW194" s="5"/>
      <c r="LX194" s="4"/>
      <c r="LY194" s="5">
        <v>0</v>
      </c>
      <c r="LZ194" s="4"/>
      <c r="MA194" s="4"/>
      <c r="MB194" s="4"/>
      <c r="MC194" s="4"/>
      <c r="MD194" s="6"/>
      <c r="ME194" s="6"/>
      <c r="MF194" s="6"/>
      <c r="MG194" s="9"/>
      <c r="MH194"/>
    </row>
    <row r="195">
      <c r="A195" s="8">
        <v>25491</v>
      </c>
      <c r="B195" s="8">
        <v>25492</v>
      </c>
      <c r="C195" s="9">
        <f>B195-A195</f>
        <v>1</v>
      </c>
      <c r="D195" s="8">
        <v>25491</v>
      </c>
      <c r="E195" t="inlineStr">
        <is>
          <t xml:space="preserve">neutral</t>
        </is>
      </c>
      <c r="F195" s="4">
        <v>1.8224321445487222</v>
      </c>
      <c r="G195" s="6">
        <v>0.019351557764577487</v>
      </c>
      <c r="H195" s="7">
        <f>SUM(CP195,DR195,ET195,FV195,GX195,HZ195,JB195,KD195,LF195,MH195)</f>
        <v>0.019351557764577487</v>
      </c>
      <c r="I195" s="7">
        <f>G195-H195</f>
        <v>0</v>
      </c>
      <c r="J195" s="5">
        <f>F195*(1+H195)</f>
        <v>1.8576990454659796</v>
      </c>
      <c r="K195" s="4">
        <v>1.8576990454659796</v>
      </c>
      <c r="L195" s="5">
        <f>K195-J195</f>
        <v>0</v>
      </c>
      <c r="M195" s="4">
        <v>1.808</v>
      </c>
      <c r="N195" s="4">
        <v>1.843</v>
      </c>
      <c r="O195" s="5">
        <f>M195/$M$3</f>
        <v>0.9233912155260471</v>
      </c>
      <c r="P195" s="5">
        <f>N195/$M$3</f>
        <v>0.9412665985699694</v>
      </c>
      <c r="Q195" s="7">
        <f>IFERROR(N195/M195-1,0)</f>
        <v>0.01935840707964598</v>
      </c>
      <c r="R195" s="5">
        <f>SUM(IF(BQ195="lease",CB195,0),IF(CS195="lease",DD195,0),IF(DU195="lease",EF195,0),IF(EW195="lease",FH195,0),IF(FY195="lease",GJ195,0),IF(HA195="lease",HL195,0),IF(IC195="lease",IN195,0),IF(JE195="lease",JP195,0),IF(KG195="lease",KR195,0),IF(LI195="lease",LT195,0))</f>
        <v>1.8224321445487226</v>
      </c>
      <c r="S195" s="5">
        <f>SUM(IF(BQ195="lease",CI195,0),IF(CS195="lease",DK195,0),IF(DU195="lease",EM195,0),IF(EW195="lease",FO195,0),IF(FY195="lease",GQ195,0),IF(HA195="lease",HS195,0),IF(IC195="lease",IU195,0),IF(JE195="lease",JW195,0),IF(KG195="lease",KY195,0),IF(LI195="lease",MA195,0))</f>
        <v>1.8576990454659799</v>
      </c>
      <c r="T195" s="5">
        <f>SUM(IF(BQ195="keep",CB195,0),IF(CS195="keep",DD195,0),IF(DU195="keep",EF195,0),IF(EW195="keep",FH195,0),IF(FY195="keep",GJ195,0),IF(HA195="keep",HL195,0),IF(IC195="keep",IN195,0),IF(JE195="keep",JP195,0),IF(KG195="keep",KR195,0),IF(LI195="keep",LT195,0))</f>
        <v>0</v>
      </c>
      <c r="U195" s="5">
        <f>SUM(IF(BQ195="keep",CI195,0),IF(CS195="keep",DK195,0),IF(DU195="keep",EM195,0),IF(EW195="keep",FO195,0),IF(FY195="keep",GQ195,0),IF(HA195="keep",HS195,0),IF(IC195="keep",IU195,0),IF(JE195="keep",JW195,0),IF(KG195="keep",KY195,0),IF(LI195="keep",MA195,0))</f>
        <v>0</v>
      </c>
      <c r="V195" s="5">
        <f>R195/O195</f>
        <v>1.973629501673893</v>
      </c>
      <c r="W195" s="5">
        <f>S195/P195</f>
        <v>1.9736162403811115</v>
      </c>
      <c r="X195" s="5">
        <f>T195/O195</f>
        <v>0</v>
      </c>
      <c r="Y195" s="5">
        <f>U195/P195</f>
        <v>0</v>
      </c>
      <c r="Z195" s="5">
        <f>V195+X195</f>
        <v>1.973629501673893</v>
      </c>
      <c r="AA195" s="7">
        <f>IFERROR(W195/V195-1,0)</f>
        <v>-0.000006719241260944031</v>
      </c>
      <c r="AB195" s="7">
        <f>IFERROR((W195-V195)/Z195,0)</f>
        <v>-0.000006719241260938333</v>
      </c>
      <c r="AC195" s="7">
        <f>IFERROR(Y195/X195-1,0)</f>
        <v>0</v>
      </c>
      <c r="AD195" s="7">
        <f>IFERROR((Y195-X195)/Z195,0)</f>
        <v>0</v>
      </c>
      <c r="AE195" s="7">
        <f>AB195+AD195</f>
        <v>-0.000006719241260938333</v>
      </c>
      <c r="AF195" s="7">
        <f>(1+Q195)*(1+AE195)-1</f>
        <v>0.01935155776457753</v>
      </c>
      <c r="AG195" s="7">
        <f>G195-AF195</f>
        <v>-4.5102810375396984e-17</v>
      </c>
      <c r="AH195" s="5">
        <f>SUM(IF(BQ195="lease",CE195,0),IF(CS195="lease",DG195,0),IF(DU195="lease",EI195,0),IF(EW195="lease",FK195,0),IF(FY195="lease",GM195,0),IF(HA195="lease",HO195,0),IF(IC195="lease",IQ195,0),IF(JE195="lease",JS195,0),IF(KG195="lease",KU195,0),IF(LI195="lease",LW195,0))</f>
        <v>0.03526690091725743</v>
      </c>
      <c r="AI195" s="5">
        <f>SUM(IF(BQ195="keep",CE195,0),IF(CS195="keep",DG195,0),IF(DU195="keep",EI195,0),IF(EW195="keep",FK195,0),IF(FY195="keep",GM195,0),IF(HA195="keep",HO195,0),IF(IC195="keep",IQ195,0),IF(JE195="keep",JS195,0),IF(KG195="keep",KU195,0),IF(LI195="keep",LW195,0))</f>
        <v>0</v>
      </c>
      <c r="AJ195" s="5">
        <f>SUM(IF(BQ195="lease",CH195,0),IF(CS195="lease",DJ195,0),IF(DU195="lease",EL195,0),IF(EW195="lease",FN195,0),IF(FY195="lease",GP195,0),IF(HA195="lease",HR195,0),IF(IC195="lease",IT195,0),IF(JE195="lease",JV195,0),IF(KG195="lease",KX195,0),IF(LI195="lease",LZ195,0))</f>
        <v>0</v>
      </c>
      <c r="AK195" s="5">
        <f>SUM(IF(BQ195="keep",CH195,0),IF(CS195="keep",DJ195,0),IF(DU195="keep",EL195,0),IF(EW195="keep",FN195,0),IF(FY195="keep",GP195,0),IF(HA195="keep",HR195,0),IF(IC195="keep",IT195,0),IF(JE195="keep",JV195,0),IF(KG195="keep",KX195,0),IF(LI195="keep",LZ195,0))</f>
        <v>0</v>
      </c>
      <c r="AL195" s="5">
        <f>R195-S194</f>
        <v>0</v>
      </c>
      <c r="AM195" s="5">
        <f>T195-U194</f>
        <v>0</v>
      </c>
      <c r="AN195" s="5">
        <f>AN194</f>
        <v>1</v>
      </c>
      <c r="AO195" s="5">
        <f>AO194+AH195</f>
        <v>0.8576990454659801</v>
      </c>
      <c r="AP195" s="5">
        <f>AP194+AL195</f>
        <v>-4.440892098500626e-16</v>
      </c>
      <c r="AQ195" s="5">
        <f>AN195+AO195+AP195</f>
        <v>1.8576990454659796</v>
      </c>
      <c r="AR195" s="5">
        <f>S195-AQ195</f>
        <v>2.220446049250313e-16</v>
      </c>
      <c r="AS195" s="5">
        <f>AS194</f>
        <v>0</v>
      </c>
      <c r="AT195" s="5">
        <f>AT194+AI195</f>
        <v>0</v>
      </c>
      <c r="AU195" s="5">
        <f>AU194+AM195</f>
        <v>0</v>
      </c>
      <c r="AV195" s="5">
        <f>AS195+AT195+AU195</f>
        <v>0</v>
      </c>
      <c r="AW195" s="5">
        <f>U195-AV195</f>
        <v>0</v>
      </c>
      <c r="AX195" s="4">
        <v>1.8224321445487226</v>
      </c>
      <c r="AY195" s="4">
        <v>1.85769904546598</v>
      </c>
      <c r="AZ195" s="5">
        <f>S195-AY195</f>
        <v>-2.220446049250313e-16</v>
      </c>
      <c r="BA195" s="4">
        <v>0</v>
      </c>
      <c r="BB195" s="4">
        <v>0</v>
      </c>
      <c r="BC195" s="5">
        <f>U195-BB195</f>
        <v>0</v>
      </c>
      <c r="BD195" s="7">
        <f>SUM(IF(BP195="direct",CC195/F195,0),IF(CR195="direct",DE195/F195,0),IF(DT195="direct",EG195/F195,0),IF(EV195="direct",FI195/F195,0),IF(FX195="direct",GK195/F195,0),IF(GZ195="direct",HM195/F195,0),IF(IB195="direct",IO195/F195,0),IF(JD195="direct",JQ195/F195,0),IF(KF195="direct",KS195/F195,0),IF(LH195="direct",LU195/F195,0))</f>
        <v>0.01935840707964597</v>
      </c>
      <c r="BE195" s="7">
        <f>-SUM(IF(BP195="direct",CD195/F195,0),IF(CR195="direct",DF195/F195,0),IF(DT195="direct",EH195/F195,0),IF(EV195="direct",FJ195/F195,0),IF(FX195="direct",GL195/F195,0),IF(GZ195="direct",HN195/F195,0),IF(IB195="direct",IP195/F195,0),IF(JD195="direct",JR195/F195,0),IF(KF195="direct",KT195/F195,0),IF(LH195="direct",LV195/F195,0))</f>
        <v>-0.00000684931506849315</v>
      </c>
      <c r="BF195" s="7">
        <f>BD195+BE195</f>
        <v>0.01935155776457748</v>
      </c>
      <c r="BG195" s="7">
        <f>BF195-SUM(IF(BP195="direct",CP195,0),IF(CR195="direct",DR195,0),IF(DT195="direct",ET195,0),IF(EV195="direct",FV195,0),IF(FX195="direct",GX195,0),IF(GZ195="direct",HZ195,0),IF(IB195="direct",JB195,0),IF(JD195="direct",KD195,0),IF(KF195="direct",LF195,0),IF(LH195="direct",MH195,0))</f>
        <v>-6.938893903907228e-18</v>
      </c>
      <c r="BH195" s="7">
        <f>SUM(IF(BP195="treasury",CP195,0),IF(CR195="treasury",DR195,0),IF(DT195="treasury",ET195,0),IF(EV195="treasury",FV195,0),IF(FX195="treasury",GX195,0),IF(GZ195="treasury",HZ195,0),IF(IB195="treasury",JB195,0),IF(JD195="treasury",KD195,0),IF(KF195="treasury",LF195,0),IF(LH195="treasury",MH195,0))</f>
        <v>0</v>
      </c>
      <c r="BI195" s="7">
        <f>SUM(IF(BP195="future",CP195,0),IF(CR195="future",DR195,0),IF(DT195="future",ET195,0),IF(EV195="future",FV195,0),IF(FX195="future",GX195,0),IF(GZ195="future",HZ195,0),IF(IB195="future",JB195,0),IF(JD195="future",KD195,0),IF(KF195="future",LF195,0),IF(LH195="future",MH195,0))</f>
        <v>0</v>
      </c>
      <c r="BJ195" s="7">
        <f>SUM(IF(BP195="cash",CP195,0),IF(CR195="cash",DR195,0),IF(DT195="cash",ET195,0),IF(EV195="cash",FV195,0),IF(FX195="cash",GX195,0),IF(GZ195="cash",HZ195,0),IF(IB195="cash",JB195,0),IF(JD195="cash",KD195,0),IF(KF195="cash",LF195,0),IF(LH195="cash",MH195,0))</f>
        <v>0</v>
      </c>
      <c r="BK195" s="7">
        <f>SUM(BF195,BH195,BI195,BJ195)</f>
        <v>0.019351557764577487</v>
      </c>
      <c r="BL195" s="7">
        <f>G195-BK195</f>
        <v>0</v>
      </c>
      <c r="BM195" s="5">
        <f>MAX(ABS(CG195),ABS(DI195),ABS(EK195),ABS(FM195),ABS(GO195),ABS(HQ195),ABS(IS195),ABS(JU195),ABS(KW195),ABS(LY195))</f>
        <v>1.5514255461909765e-17</v>
      </c>
      <c r="BN195" s="9">
        <f>COUNTA(BO195,CQ195,DS195,EU195,FW195,GY195,IA195,JC195,KE195,LG195)</f>
        <v>3</v>
      </c>
      <c r="BO195" t="inlineStr">
        <is>
          <t xml:space="preserve">Direct commodity holding</t>
        </is>
      </c>
      <c r="BP195" t="inlineStr">
        <is>
          <t xml:space="preserve">direct</t>
        </is>
      </c>
      <c r="BQ195" t="inlineStr">
        <is>
          <t xml:space="preserve">lease</t>
        </is>
      </c>
      <c r="BR195" t="inlineStr">
        <is>
          <t xml:space="preserve">long</t>
        </is>
      </c>
      <c r="BS195"/>
      <c r="BT195" s="4">
        <v>1.808</v>
      </c>
      <c r="BU195" s="4">
        <v>1.843</v>
      </c>
      <c r="BV195" s="6">
        <v>0.0025</v>
      </c>
      <c r="BW195" s="4">
        <v>1.0079823808344701</v>
      </c>
      <c r="BX195" s="5">
        <f>IF(BP195="direct",IFERROR(CD195/BU195,0),0)</f>
        <v>0.000006772876803561503</v>
      </c>
      <c r="BY195" s="5">
        <f>IF(BP195="direct",BW195-BX195,IF(BP195="cash",CI195,BW195))</f>
        <v>1.0079756079576665</v>
      </c>
      <c r="BZ195" s="6">
        <v>1</v>
      </c>
      <c r="CA195" s="4">
        <v>1.8224321445487222</v>
      </c>
      <c r="CB195" s="4">
        <v>1.8224321445487222</v>
      </c>
      <c r="CC195" s="5">
        <f>IF(BP195="direct",BW195*(BU195-BT195),CF195)</f>
        <v>0.035279383329206375</v>
      </c>
      <c r="CD195" s="5">
        <f>IF(BP195="direct",CB195*BV195*C195/365,0)</f>
        <v>0.00001248241194896385</v>
      </c>
      <c r="CE195" s="5">
        <f>CC195-CD195</f>
        <v>0.03526690091725743</v>
      </c>
      <c r="CF195" s="4">
        <v>0.03526690091725743</v>
      </c>
      <c r="CG195" s="5">
        <f>CF195-CE195</f>
        <v>1.5514255461909765e-17</v>
      </c>
      <c r="CH195" s="4">
        <v>0</v>
      </c>
      <c r="CI195" s="4">
        <v>1.8576990454659794</v>
      </c>
      <c r="CJ195" s="4">
        <v>1.808</v>
      </c>
      <c r="CK195" s="4">
        <v>1.843</v>
      </c>
      <c r="CL195" s="6"/>
      <c r="CM195" s="6"/>
      <c r="CN195" s="6"/>
      <c r="CO195" s="9"/>
      <c r="CP195" s="7">
        <f>IFERROR(CE195/F195,0)</f>
        <v>0.019351557764577487</v>
      </c>
      <c r="CQ195" t="inlineStr">
        <is>
          <t xml:space="preserve">Lease cash / margin / financing</t>
        </is>
      </c>
      <c r="CR195" t="inlineStr">
        <is>
          <t xml:space="preserve">cash</t>
        </is>
      </c>
      <c r="CS195" t="inlineStr">
        <is>
          <t xml:space="preserve">lease</t>
        </is>
      </c>
      <c r="CT195" t="inlineStr">
        <is>
          <t xml:space="preserve">cash</t>
        </is>
      </c>
      <c r="CU195"/>
      <c r="CV195" s="4">
        <v>1</v>
      </c>
      <c r="CW195" s="4">
        <v>1</v>
      </c>
      <c r="CX195" s="6"/>
      <c r="CY195" s="4">
        <v>4.440892098500626e-16</v>
      </c>
      <c r="CZ195" s="5">
        <f>IF(CR195="direct",IFERROR(DF195/CW195,0),0)</f>
        <v>0</v>
      </c>
      <c r="DA195" s="5">
        <f>IF(CR195="direct",CY195-CZ195,IF(CR195="cash",DK195,CY195))</f>
        <v>4.440892098500626e-16</v>
      </c>
      <c r="DB195" s="6"/>
      <c r="DC195" s="4">
        <v>4.440892098500626e-16</v>
      </c>
      <c r="DD195" s="4">
        <v>4.440892098500626e-16</v>
      </c>
      <c r="DE195" s="5">
        <f>IF(CR195="direct",CY195*(CW195-CV195),DH195)</f>
        <v>0</v>
      </c>
      <c r="DF195" s="5">
        <f>IF(CR195="direct",DD195*CX195*C195/365,0)</f>
        <v>0</v>
      </c>
      <c r="DG195" s="5">
        <f>DE195-DF195</f>
        <v>0</v>
      </c>
      <c r="DH195" s="4">
        <v>0</v>
      </c>
      <c r="DI195" s="5">
        <f>DH195-DG195</f>
        <v>0</v>
      </c>
      <c r="DJ195" s="4">
        <v>0</v>
      </c>
      <c r="DK195" s="4">
        <v>4.440892098500626e-16</v>
      </c>
      <c r="DL195" s="4">
        <v>1.808</v>
      </c>
      <c r="DM195" s="4">
        <v>1.843</v>
      </c>
      <c r="DN195" s="6"/>
      <c r="DO195" s="6"/>
      <c r="DP195" s="6"/>
      <c r="DQ195" s="9"/>
      <c r="DR195" s="7">
        <f>IFERROR(DG195/F195,0)</f>
        <v>0</v>
      </c>
      <c r="DS195" t="inlineStr">
        <is>
          <t xml:space="preserve">Keep cash / margin / financing</t>
        </is>
      </c>
      <c r="DT195" t="inlineStr">
        <is>
          <t xml:space="preserve">cash</t>
        </is>
      </c>
      <c r="DU195" t="inlineStr">
        <is>
          <t xml:space="preserve">keep</t>
        </is>
      </c>
      <c r="DV195" t="inlineStr">
        <is>
          <t xml:space="preserve">cash</t>
        </is>
      </c>
      <c r="DW195"/>
      <c r="DX195" s="4">
        <v>1</v>
      </c>
      <c r="DY195" s="4">
        <v>1</v>
      </c>
      <c r="DZ195" s="6"/>
      <c r="EA195" s="4">
        <v>0</v>
      </c>
      <c r="EB195" s="5">
        <f>IF(DT195="direct",IFERROR(EH195/DY195,0),0)</f>
        <v>0</v>
      </c>
      <c r="EC195" s="5">
        <f>IF(DT195="direct",EA195-EB195,IF(DT195="cash",EM195,EA195))</f>
        <v>0</v>
      </c>
      <c r="ED195" s="6"/>
      <c r="EE195" s="4">
        <v>0</v>
      </c>
      <c r="EF195" s="4">
        <v>0</v>
      </c>
      <c r="EG195" s="5">
        <f>IF(DT195="direct",EA195*(DY195-DX195),EJ195)</f>
        <v>0</v>
      </c>
      <c r="EH195" s="5">
        <f>IF(DT195="direct",EF195*DZ195*C195/365,0)</f>
        <v>0</v>
      </c>
      <c r="EI195" s="5">
        <f>EG195-EH195</f>
        <v>0</v>
      </c>
      <c r="EJ195" s="4">
        <v>0</v>
      </c>
      <c r="EK195" s="5">
        <f>EJ195-EI195</f>
        <v>0</v>
      </c>
      <c r="EL195" s="4">
        <v>0</v>
      </c>
      <c r="EM195" s="4">
        <v>0</v>
      </c>
      <c r="EN195" s="4">
        <v>1.808</v>
      </c>
      <c r="EO195" s="4">
        <v>1.843</v>
      </c>
      <c r="EP195" s="6"/>
      <c r="EQ195" s="6"/>
      <c r="ER195" s="6"/>
      <c r="ES195" s="9"/>
      <c r="ET195" s="7">
        <f>IFERROR(EI195/F195,0)</f>
        <v>0</v>
      </c>
      <c r="EU195"/>
      <c r="EV195"/>
      <c r="EW195"/>
      <c r="EX195"/>
      <c r="EY195"/>
      <c r="EZ195" s="4"/>
      <c r="FA195" s="4"/>
      <c r="FB195" s="6"/>
      <c r="FC195" s="4"/>
      <c r="FD195" s="5">
        <v>0</v>
      </c>
      <c r="FE195" s="5"/>
      <c r="FF195" s="6"/>
      <c r="FG195" s="4"/>
      <c r="FH195" s="4"/>
      <c r="FI195" s="5">
        <v>0</v>
      </c>
      <c r="FJ195" s="5">
        <v>0</v>
      </c>
      <c r="FK195" s="5"/>
      <c r="FL195" s="4"/>
      <c r="FM195" s="5">
        <v>0</v>
      </c>
      <c r="FN195" s="4"/>
      <c r="FO195" s="4"/>
      <c r="FP195" s="4"/>
      <c r="FQ195" s="4"/>
      <c r="FR195" s="6"/>
      <c r="FS195" s="6"/>
      <c r="FT195" s="6"/>
      <c r="FU195" s="9"/>
      <c r="FV195"/>
      <c r="FW195"/>
      <c r="FX195"/>
      <c r="FY195"/>
      <c r="FZ195"/>
      <c r="GA195"/>
      <c r="GB195" s="4"/>
      <c r="GC195" s="4"/>
      <c r="GD195" s="6"/>
      <c r="GE195" s="4"/>
      <c r="GF195" s="5">
        <v>0</v>
      </c>
      <c r="GG195" s="5"/>
      <c r="GH195" s="6"/>
      <c r="GI195" s="4"/>
      <c r="GJ195" s="4"/>
      <c r="GK195" s="5">
        <v>0</v>
      </c>
      <c r="GL195" s="5">
        <v>0</v>
      </c>
      <c r="GM195" s="5"/>
      <c r="GN195" s="4"/>
      <c r="GO195" s="5">
        <v>0</v>
      </c>
      <c r="GP195" s="4"/>
      <c r="GQ195" s="4"/>
      <c r="GR195" s="4"/>
      <c r="GS195" s="4"/>
      <c r="GT195" s="6"/>
      <c r="GU195" s="6"/>
      <c r="GV195" s="6"/>
      <c r="GW195" s="9"/>
      <c r="GX195"/>
      <c r="GY195"/>
      <c r="GZ195"/>
      <c r="HA195"/>
      <c r="HB195"/>
      <c r="HC195"/>
      <c r="HD195" s="4"/>
      <c r="HE195" s="4"/>
      <c r="HF195" s="6"/>
      <c r="HG195" s="4"/>
      <c r="HH195" s="5">
        <v>0</v>
      </c>
      <c r="HI195" s="5"/>
      <c r="HJ195" s="6"/>
      <c r="HK195" s="4"/>
      <c r="HL195" s="4"/>
      <c r="HM195" s="5">
        <v>0</v>
      </c>
      <c r="HN195" s="5">
        <v>0</v>
      </c>
      <c r="HO195" s="5"/>
      <c r="HP195" s="4"/>
      <c r="HQ195" s="5">
        <v>0</v>
      </c>
      <c r="HR195" s="4"/>
      <c r="HS195" s="4"/>
      <c r="HT195" s="4"/>
      <c r="HU195" s="4"/>
      <c r="HV195" s="6"/>
      <c r="HW195" s="6"/>
      <c r="HX195" s="6"/>
      <c r="HY195" s="9"/>
      <c r="HZ195"/>
      <c r="IA195"/>
      <c r="IB195"/>
      <c r="IC195"/>
      <c r="ID195"/>
      <c r="IE195"/>
      <c r="IF195" s="4"/>
      <c r="IG195" s="4"/>
      <c r="IH195" s="6"/>
      <c r="II195" s="4"/>
      <c r="IJ195" s="5">
        <v>0</v>
      </c>
      <c r="IK195" s="5"/>
      <c r="IL195" s="6"/>
      <c r="IM195" s="4"/>
      <c r="IN195" s="4"/>
      <c r="IO195" s="5">
        <v>0</v>
      </c>
      <c r="IP195" s="5">
        <v>0</v>
      </c>
      <c r="IQ195" s="5"/>
      <c r="IR195" s="4"/>
      <c r="IS195" s="5">
        <v>0</v>
      </c>
      <c r="IT195" s="4"/>
      <c r="IU195" s="4"/>
      <c r="IV195" s="4"/>
      <c r="IW195" s="4"/>
      <c r="IX195" s="6"/>
      <c r="IY195" s="6"/>
      <c r="IZ195" s="6"/>
      <c r="JA195" s="9"/>
      <c r="JB195"/>
      <c r="JC195"/>
      <c r="JD195"/>
      <c r="JE195"/>
      <c r="JF195"/>
      <c r="JG195"/>
      <c r="JH195" s="4"/>
      <c r="JI195" s="4"/>
      <c r="JJ195" s="6"/>
      <c r="JK195" s="4"/>
      <c r="JL195" s="5">
        <v>0</v>
      </c>
      <c r="JM195" s="5"/>
      <c r="JN195" s="6"/>
      <c r="JO195" s="4"/>
      <c r="JP195" s="4"/>
      <c r="JQ195" s="5">
        <v>0</v>
      </c>
      <c r="JR195" s="5">
        <v>0</v>
      </c>
      <c r="JS195" s="5"/>
      <c r="JT195" s="4"/>
      <c r="JU195" s="5">
        <v>0</v>
      </c>
      <c r="JV195" s="4"/>
      <c r="JW195" s="4"/>
      <c r="JX195" s="4"/>
      <c r="JY195" s="4"/>
      <c r="JZ195" s="6"/>
      <c r="KA195" s="6"/>
      <c r="KB195" s="6"/>
      <c r="KC195" s="9"/>
      <c r="KD195"/>
      <c r="KE195"/>
      <c r="KF195"/>
      <c r="KG195"/>
      <c r="KH195"/>
      <c r="KI195"/>
      <c r="KJ195" s="4"/>
      <c r="KK195" s="4"/>
      <c r="KL195" s="6"/>
      <c r="KM195" s="4"/>
      <c r="KN195" s="5">
        <v>0</v>
      </c>
      <c r="KO195" s="5"/>
      <c r="KP195" s="6"/>
      <c r="KQ195" s="4"/>
      <c r="KR195" s="4"/>
      <c r="KS195" s="5">
        <v>0</v>
      </c>
      <c r="KT195" s="5">
        <v>0</v>
      </c>
      <c r="KU195" s="5"/>
      <c r="KV195" s="4"/>
      <c r="KW195" s="5">
        <v>0</v>
      </c>
      <c r="KX195" s="4"/>
      <c r="KY195" s="4"/>
      <c r="KZ195" s="4"/>
      <c r="LA195" s="4"/>
      <c r="LB195" s="6"/>
      <c r="LC195" s="6"/>
      <c r="LD195" s="6"/>
      <c r="LE195" s="9"/>
      <c r="LF195"/>
      <c r="LG195"/>
      <c r="LH195"/>
      <c r="LI195"/>
      <c r="LJ195"/>
      <c r="LK195"/>
      <c r="LL195" s="4"/>
      <c r="LM195" s="4"/>
      <c r="LN195" s="6"/>
      <c r="LO195" s="4"/>
      <c r="LP195" s="5">
        <v>0</v>
      </c>
      <c r="LQ195" s="5"/>
      <c r="LR195" s="6"/>
      <c r="LS195" s="4"/>
      <c r="LT195" s="4"/>
      <c r="LU195" s="5">
        <v>0</v>
      </c>
      <c r="LV195" s="5">
        <v>0</v>
      </c>
      <c r="LW195" s="5"/>
      <c r="LX195" s="4"/>
      <c r="LY195" s="5">
        <v>0</v>
      </c>
      <c r="LZ195" s="4"/>
      <c r="MA195" s="4"/>
      <c r="MB195" s="4"/>
      <c r="MC195" s="4"/>
      <c r="MD195" s="6"/>
      <c r="ME195" s="6"/>
      <c r="MF195" s="6"/>
      <c r="MG195" s="9"/>
      <c r="MH195"/>
    </row>
    <row r="196">
      <c r="A196" s="8">
        <v>25492</v>
      </c>
      <c r="B196" s="8">
        <v>25493</v>
      </c>
      <c r="C196" s="9">
        <f>B196-A196</f>
        <v>1</v>
      </c>
      <c r="D196" s="8">
        <v>25492</v>
      </c>
      <c r="E196" t="inlineStr">
        <is>
          <t xml:space="preserve">neutral</t>
        </is>
      </c>
      <c r="F196" s="4">
        <v>1.8576990454659796</v>
      </c>
      <c r="G196" s="6">
        <v>-0.016284657236934997</v>
      </c>
      <c r="H196" s="7">
        <f>SUM(CP196,DR196,ET196,FV196,GX196,HZ196,JB196,KD196,LF196,MH196)</f>
        <v>-0.016284657236934997</v>
      </c>
      <c r="I196" s="7">
        <f>G196-H196</f>
        <v>0</v>
      </c>
      <c r="J196" s="5">
        <f>F196*(1+H196)</f>
        <v>1.8274470532611848</v>
      </c>
      <c r="K196" s="4">
        <v>1.8274470532611848</v>
      </c>
      <c r="L196" s="5">
        <f>K196-J196</f>
        <v>0</v>
      </c>
      <c r="M196" s="4">
        <v>1.843</v>
      </c>
      <c r="N196" s="4">
        <v>1.813</v>
      </c>
      <c r="O196" s="5">
        <f>M196/$M$3</f>
        <v>0.9412665985699694</v>
      </c>
      <c r="P196" s="5">
        <f>N196/$M$3</f>
        <v>0.9259448416751788</v>
      </c>
      <c r="Q196" s="7">
        <f>IFERROR(N196/M196-1,0)</f>
        <v>-0.016277807921866505</v>
      </c>
      <c r="R196" s="5">
        <f>SUM(IF(BQ196="lease",CB196,0),IF(CS196="lease",DD196,0),IF(DU196="lease",EF196,0),IF(EW196="lease",FH196,0),IF(FY196="lease",GJ196,0),IF(HA196="lease",HL196,0),IF(IC196="lease",IN196,0),IF(JE196="lease",JP196,0),IF(KG196="lease",KR196,0),IF(LI196="lease",LT196,0))</f>
        <v>1.85769904546598</v>
      </c>
      <c r="S196" s="5">
        <f>SUM(IF(BQ196="lease",CI196,0),IF(CS196="lease",DK196,0),IF(DU196="lease",EM196,0),IF(EW196="lease",FO196,0),IF(FY196="lease",GQ196,0),IF(HA196="lease",HS196,0),IF(IC196="lease",IU196,0),IF(JE196="lease",JW196,0),IF(KG196="lease",KY196,0),IF(LI196="lease",MA196,0))</f>
        <v>1.8274470532611853</v>
      </c>
      <c r="T196" s="5">
        <f>SUM(IF(BQ196="keep",CB196,0),IF(CS196="keep",DD196,0),IF(DU196="keep",EF196,0),IF(EW196="keep",FH196,0),IF(FY196="keep",GJ196,0),IF(HA196="keep",HL196,0),IF(IC196="keep",IN196,0),IF(JE196="keep",JP196,0),IF(KG196="keep",KR196,0),IF(LI196="keep",LT196,0))</f>
        <v>0</v>
      </c>
      <c r="U196" s="5">
        <f>SUM(IF(BQ196="keep",CI196,0),IF(CS196="keep",DK196,0),IF(DU196="keep",EM196,0),IF(EW196="keep",FO196,0),IF(FY196="keep",GQ196,0),IF(HA196="keep",HS196,0),IF(IC196="keep",IU196,0),IF(JE196="keep",JW196,0),IF(KG196="keep",KY196,0),IF(LI196="keep",MA196,0))</f>
        <v>0</v>
      </c>
      <c r="V196" s="5">
        <f>R196/O196</f>
        <v>1.9736162403811117</v>
      </c>
      <c r="W196" s="5">
        <f>S196/P196</f>
        <v>1.973602498778489</v>
      </c>
      <c r="X196" s="5">
        <f>T196/O196</f>
        <v>0</v>
      </c>
      <c r="Y196" s="5">
        <f>U196/P196</f>
        <v>0</v>
      </c>
      <c r="Z196" s="5">
        <f>V196+X196</f>
        <v>1.9736162403811117</v>
      </c>
      <c r="AA196" s="7">
        <f>IFERROR(W196/V196-1,0)</f>
        <v>-0.000006962651776687423</v>
      </c>
      <c r="AB196" s="7">
        <f>IFERROR((W196-V196)/Z196,0)</f>
        <v>-0.000006962651776736487</v>
      </c>
      <c r="AC196" s="7">
        <f>IFERROR(Y196/X196-1,0)</f>
        <v>0</v>
      </c>
      <c r="AD196" s="7">
        <f>IFERROR((Y196-X196)/Z196,0)</f>
        <v>0</v>
      </c>
      <c r="AE196" s="7">
        <f>AB196+AD196</f>
        <v>-0.000006962651776736487</v>
      </c>
      <c r="AF196" s="7">
        <f>(1+Q196)*(1+AE196)-1</f>
        <v>-0.016284657236934952</v>
      </c>
      <c r="AG196" s="7">
        <f>G196-AF196</f>
        <v>-4.5102810375396984e-17</v>
      </c>
      <c r="AH196" s="5">
        <f>SUM(IF(BQ196="lease",CE196,0),IF(CS196="lease",DG196,0),IF(DU196="lease",EI196,0),IF(EW196="lease",FK196,0),IF(FY196="lease",GM196,0),IF(HA196="lease",HO196,0),IF(IC196="lease",IQ196,0),IF(JE196="lease",JS196,0),IF(KG196="lease",KU196,0),IF(LI196="lease",LW196,0))</f>
        <v>-0.0302519922047948</v>
      </c>
      <c r="AI196" s="5">
        <f>SUM(IF(BQ196="keep",CE196,0),IF(CS196="keep",DG196,0),IF(DU196="keep",EI196,0),IF(EW196="keep",FK196,0),IF(FY196="keep",GM196,0),IF(HA196="keep",HO196,0),IF(IC196="keep",IQ196,0),IF(JE196="keep",JS196,0),IF(KG196="keep",KU196,0),IF(LI196="keep",LW196,0))</f>
        <v>0</v>
      </c>
      <c r="AJ196" s="5">
        <f>SUM(IF(BQ196="lease",CH196,0),IF(CS196="lease",DJ196,0),IF(DU196="lease",EL196,0),IF(EW196="lease",FN196,0),IF(FY196="lease",GP196,0),IF(HA196="lease",HR196,0),IF(IC196="lease",IT196,0),IF(JE196="lease",JV196,0),IF(KG196="lease",KX196,0),IF(LI196="lease",LZ196,0))</f>
        <v>0</v>
      </c>
      <c r="AK196" s="5">
        <f>SUM(IF(BQ196="keep",CH196,0),IF(CS196="keep",DJ196,0),IF(DU196="keep",EL196,0),IF(EW196="keep",FN196,0),IF(FY196="keep",GP196,0),IF(HA196="keep",HR196,0),IF(IC196="keep",IT196,0),IF(JE196="keep",JV196,0),IF(KG196="keep",KX196,0),IF(LI196="keep",LZ196,0))</f>
        <v>0</v>
      </c>
      <c r="AL196" s="5">
        <f>R196-S195</f>
        <v>2.220446049250313e-16</v>
      </c>
      <c r="AM196" s="5">
        <f>T196-U195</f>
        <v>0</v>
      </c>
      <c r="AN196" s="5">
        <f>AN195</f>
        <v>1</v>
      </c>
      <c r="AO196" s="5">
        <f>AO195+AH196</f>
        <v>0.8274470532611853</v>
      </c>
      <c r="AP196" s="5">
        <f>AP195+AL196</f>
        <v>-2.220446049250313e-16</v>
      </c>
      <c r="AQ196" s="5">
        <f>AN196+AO196+AP196</f>
        <v>1.827447053261185</v>
      </c>
      <c r="AR196" s="5">
        <f>S196-AQ196</f>
        <v>2.220446049250313e-16</v>
      </c>
      <c r="AS196" s="5">
        <f>AS195</f>
        <v>0</v>
      </c>
      <c r="AT196" s="5">
        <f>AT195+AI196</f>
        <v>0</v>
      </c>
      <c r="AU196" s="5">
        <f>AU195+AM196</f>
        <v>0</v>
      </c>
      <c r="AV196" s="5">
        <f>AS196+AT196+AU196</f>
        <v>0</v>
      </c>
      <c r="AW196" s="5">
        <f>U196-AV196</f>
        <v>0</v>
      </c>
      <c r="AX196" s="4">
        <v>1.85769904546598</v>
      </c>
      <c r="AY196" s="4">
        <v>1.8274470532611853</v>
      </c>
      <c r="AZ196" s="5">
        <f>S196-AY196</f>
        <v>0</v>
      </c>
      <c r="BA196" s="4">
        <v>0</v>
      </c>
      <c r="BB196" s="4">
        <v>0</v>
      </c>
      <c r="BC196" s="5">
        <f>U196-BB196</f>
        <v>0</v>
      </c>
      <c r="BD196" s="7">
        <f>SUM(IF(BP196="direct",CC196/F196,0),IF(CR196="direct",DE196/F196,0),IF(DT196="direct",EG196/F196,0),IF(EV196="direct",FI196/F196,0),IF(FX196="direct",GK196/F196,0),IF(GZ196="direct",HM196/F196,0),IF(IB196="direct",IO196/F196,0),IF(JD196="direct",JQ196/F196,0),IF(KF196="direct",KS196/F196,0),IF(LH196="direct",LU196/F196,0))</f>
        <v>-0.016277807921866536</v>
      </c>
      <c r="BE196" s="7">
        <f>-SUM(IF(BP196="direct",CD196/F196,0),IF(CR196="direct",DF196/F196,0),IF(DT196="direct",EH196/F196,0),IF(EV196="direct",FJ196/F196,0),IF(FX196="direct",GL196/F196,0),IF(GZ196="direct",HN196/F196,0),IF(IB196="direct",IP196/F196,0),IF(JD196="direct",JR196/F196,0),IF(KF196="direct",KT196/F196,0),IF(LH196="direct",LV196/F196,0))</f>
        <v>-0.000006849315068493151</v>
      </c>
      <c r="BF196" s="7">
        <f>BD196+BE196</f>
        <v>-0.016284657236935028</v>
      </c>
      <c r="BG196" s="7">
        <f>BF196-SUM(IF(BP196="direct",CP196,0),IF(CR196="direct",DR196,0),IF(DT196="direct",ET196,0),IF(EV196="direct",FV196,0),IF(FX196="direct",GX196,0),IF(GZ196="direct",HZ196,0),IF(IB196="direct",JB196,0),IF(JD196="direct",KD196,0),IF(KF196="direct",LF196,0),IF(LH196="direct",MH196,0))</f>
        <v>-3.122502256758253e-17</v>
      </c>
      <c r="BH196" s="7">
        <f>SUM(IF(BP196="treasury",CP196,0),IF(CR196="treasury",DR196,0),IF(DT196="treasury",ET196,0),IF(EV196="treasury",FV196,0),IF(FX196="treasury",GX196,0),IF(GZ196="treasury",HZ196,0),IF(IB196="treasury",JB196,0),IF(JD196="treasury",KD196,0),IF(KF196="treasury",LF196,0),IF(LH196="treasury",MH196,0))</f>
        <v>0</v>
      </c>
      <c r="BI196" s="7">
        <f>SUM(IF(BP196="future",CP196,0),IF(CR196="future",DR196,0),IF(DT196="future",ET196,0),IF(EV196="future",FV196,0),IF(FX196="future",GX196,0),IF(GZ196="future",HZ196,0),IF(IB196="future",JB196,0),IF(JD196="future",KD196,0),IF(KF196="future",LF196,0),IF(LH196="future",MH196,0))</f>
        <v>0</v>
      </c>
      <c r="BJ196" s="7">
        <f>SUM(IF(BP196="cash",CP196,0),IF(CR196="cash",DR196,0),IF(DT196="cash",ET196,0),IF(EV196="cash",FV196,0),IF(FX196="cash",GX196,0),IF(GZ196="cash",HZ196,0),IF(IB196="cash",JB196,0),IF(JD196="cash",KD196,0),IF(KF196="cash",LF196,0),IF(LH196="cash",MH196,0))</f>
        <v>0</v>
      </c>
      <c r="BK196" s="7">
        <f>SUM(BF196,BH196,BI196,BJ196)</f>
        <v>-0.016284657236934997</v>
      </c>
      <c r="BL196" s="7">
        <f>G196-BK196</f>
        <v>0</v>
      </c>
      <c r="BM196" s="5">
        <f>MAX(ABS(CG196),ABS(DI196),ABS(EK196),ABS(FM196),ABS(GO196),ABS(HQ196),ABS(IS196),ABS(JU196),ABS(KW196),ABS(LY196))</f>
        <v>6.295318270583411e-17</v>
      </c>
      <c r="BN196" s="9">
        <f>COUNTA(BO196,CQ196,DS196,EU196,FW196,GY196,IA196,JC196,KE196,LG196)</f>
        <v>3</v>
      </c>
      <c r="BO196" t="inlineStr">
        <is>
          <t xml:space="preserve">Direct commodity holding</t>
        </is>
      </c>
      <c r="BP196" t="inlineStr">
        <is>
          <t xml:space="preserve">direct</t>
        </is>
      </c>
      <c r="BQ196" t="inlineStr">
        <is>
          <t xml:space="preserve">lease</t>
        </is>
      </c>
      <c r="BR196" t="inlineStr">
        <is>
          <t xml:space="preserve">long</t>
        </is>
      </c>
      <c r="BS196"/>
      <c r="BT196" s="4">
        <v>1.843</v>
      </c>
      <c r="BU196" s="4">
        <v>1.813</v>
      </c>
      <c r="BV196" s="6">
        <v>0.0025</v>
      </c>
      <c r="BW196" s="4">
        <v>1.0079756079576667</v>
      </c>
      <c r="BX196" s="5">
        <f>IF(BP196="direct",IFERROR(CD196/BU196,0),0)</f>
        <v>0.000007018183157658841</v>
      </c>
      <c r="BY196" s="5">
        <f>IF(BP196="direct",BW196-BX196,IF(BP196="cash",CI196,BW196))</f>
        <v>1.007968589774509</v>
      </c>
      <c r="BZ196" s="6">
        <v>1</v>
      </c>
      <c r="CA196" s="4">
        <v>1.8576990454659796</v>
      </c>
      <c r="CB196" s="4">
        <v>1.8576990454659796</v>
      </c>
      <c r="CC196" s="5">
        <f>IF(BP196="direct",BW196*(BU196-BT196),CF196)</f>
        <v>-0.03023926823873003</v>
      </c>
      <c r="CD196" s="5">
        <f>IF(BP196="direct",CB196*BV196*C196/365,0)</f>
        <v>0.000012723966064835477</v>
      </c>
      <c r="CE196" s="5">
        <f>CC196-CD196</f>
        <v>-0.0302519922047948</v>
      </c>
      <c r="CF196" s="4">
        <v>-0.0302519922047948</v>
      </c>
      <c r="CG196" s="5">
        <f>CF196-CE196</f>
        <v>6.295318270583411e-17</v>
      </c>
      <c r="CH196" s="4">
        <v>0</v>
      </c>
      <c r="CI196" s="4">
        <v>1.8274470532611848</v>
      </c>
      <c r="CJ196" s="4">
        <v>1.843</v>
      </c>
      <c r="CK196" s="4">
        <v>1.813</v>
      </c>
      <c r="CL196" s="6"/>
      <c r="CM196" s="6"/>
      <c r="CN196" s="6"/>
      <c r="CO196" s="9"/>
      <c r="CP196" s="7">
        <f>IFERROR(CE196/F196,0)</f>
        <v>-0.016284657236934997</v>
      </c>
      <c r="CQ196" t="inlineStr">
        <is>
          <t xml:space="preserve">Lease cash / margin / financing</t>
        </is>
      </c>
      <c r="CR196" t="inlineStr">
        <is>
          <t xml:space="preserve">cash</t>
        </is>
      </c>
      <c r="CS196" t="inlineStr">
        <is>
          <t xml:space="preserve">lease</t>
        </is>
      </c>
      <c r="CT196" t="inlineStr">
        <is>
          <t xml:space="preserve">cash</t>
        </is>
      </c>
      <c r="CU196"/>
      <c r="CV196" s="4">
        <v>1</v>
      </c>
      <c r="CW196" s="4">
        <v>1</v>
      </c>
      <c r="CX196" s="6"/>
      <c r="CY196" s="4">
        <v>4.440892098500626e-16</v>
      </c>
      <c r="CZ196" s="5">
        <f>IF(CR196="direct",IFERROR(DF196/CW196,0),0)</f>
        <v>0</v>
      </c>
      <c r="DA196" s="5">
        <f>IF(CR196="direct",CY196-CZ196,IF(CR196="cash",DK196,CY196))</f>
        <v>4.440892098500626e-16</v>
      </c>
      <c r="DB196" s="6"/>
      <c r="DC196" s="4">
        <v>4.440892098500626e-16</v>
      </c>
      <c r="DD196" s="4">
        <v>4.440892098500626e-16</v>
      </c>
      <c r="DE196" s="5">
        <f>IF(CR196="direct",CY196*(CW196-CV196),DH196)</f>
        <v>0</v>
      </c>
      <c r="DF196" s="5">
        <f>IF(CR196="direct",DD196*CX196*C196/365,0)</f>
        <v>0</v>
      </c>
      <c r="DG196" s="5">
        <f>DE196-DF196</f>
        <v>0</v>
      </c>
      <c r="DH196" s="4">
        <v>0</v>
      </c>
      <c r="DI196" s="5">
        <f>DH196-DG196</f>
        <v>0</v>
      </c>
      <c r="DJ196" s="4">
        <v>0</v>
      </c>
      <c r="DK196" s="4">
        <v>4.440892098500626e-16</v>
      </c>
      <c r="DL196" s="4">
        <v>1.843</v>
      </c>
      <c r="DM196" s="4">
        <v>1.813</v>
      </c>
      <c r="DN196" s="6"/>
      <c r="DO196" s="6"/>
      <c r="DP196" s="6"/>
      <c r="DQ196" s="9"/>
      <c r="DR196" s="7">
        <f>IFERROR(DG196/F196,0)</f>
        <v>0</v>
      </c>
      <c r="DS196" t="inlineStr">
        <is>
          <t xml:space="preserve">Keep cash / margin / financing</t>
        </is>
      </c>
      <c r="DT196" t="inlineStr">
        <is>
          <t xml:space="preserve">cash</t>
        </is>
      </c>
      <c r="DU196" t="inlineStr">
        <is>
          <t xml:space="preserve">keep</t>
        </is>
      </c>
      <c r="DV196" t="inlineStr">
        <is>
          <t xml:space="preserve">cash</t>
        </is>
      </c>
      <c r="DW196"/>
      <c r="DX196" s="4">
        <v>1</v>
      </c>
      <c r="DY196" s="4">
        <v>1</v>
      </c>
      <c r="DZ196" s="6"/>
      <c r="EA196" s="4">
        <v>0</v>
      </c>
      <c r="EB196" s="5">
        <f>IF(DT196="direct",IFERROR(EH196/DY196,0),0)</f>
        <v>0</v>
      </c>
      <c r="EC196" s="5">
        <f>IF(DT196="direct",EA196-EB196,IF(DT196="cash",EM196,EA196))</f>
        <v>0</v>
      </c>
      <c r="ED196" s="6"/>
      <c r="EE196" s="4">
        <v>0</v>
      </c>
      <c r="EF196" s="4">
        <v>0</v>
      </c>
      <c r="EG196" s="5">
        <f>IF(DT196="direct",EA196*(DY196-DX196),EJ196)</f>
        <v>0</v>
      </c>
      <c r="EH196" s="5">
        <f>IF(DT196="direct",EF196*DZ196*C196/365,0)</f>
        <v>0</v>
      </c>
      <c r="EI196" s="5">
        <f>EG196-EH196</f>
        <v>0</v>
      </c>
      <c r="EJ196" s="4">
        <v>0</v>
      </c>
      <c r="EK196" s="5">
        <f>EJ196-EI196</f>
        <v>0</v>
      </c>
      <c r="EL196" s="4">
        <v>0</v>
      </c>
      <c r="EM196" s="4">
        <v>0</v>
      </c>
      <c r="EN196" s="4">
        <v>1.843</v>
      </c>
      <c r="EO196" s="4">
        <v>1.813</v>
      </c>
      <c r="EP196" s="6"/>
      <c r="EQ196" s="6"/>
      <c r="ER196" s="6"/>
      <c r="ES196" s="9"/>
      <c r="ET196" s="7">
        <f>IFERROR(EI196/F196,0)</f>
        <v>0</v>
      </c>
      <c r="EU196"/>
      <c r="EV196"/>
      <c r="EW196"/>
      <c r="EX196"/>
      <c r="EY196"/>
      <c r="EZ196" s="4"/>
      <c r="FA196" s="4"/>
      <c r="FB196" s="6"/>
      <c r="FC196" s="4"/>
      <c r="FD196" s="5">
        <v>0</v>
      </c>
      <c r="FE196" s="5"/>
      <c r="FF196" s="6"/>
      <c r="FG196" s="4"/>
      <c r="FH196" s="4"/>
      <c r="FI196" s="5">
        <v>0</v>
      </c>
      <c r="FJ196" s="5">
        <v>0</v>
      </c>
      <c r="FK196" s="5"/>
      <c r="FL196" s="4"/>
      <c r="FM196" s="5">
        <v>0</v>
      </c>
      <c r="FN196" s="4"/>
      <c r="FO196" s="4"/>
      <c r="FP196" s="4"/>
      <c r="FQ196" s="4"/>
      <c r="FR196" s="6"/>
      <c r="FS196" s="6"/>
      <c r="FT196" s="6"/>
      <c r="FU196" s="9"/>
      <c r="FV196"/>
      <c r="FW196"/>
      <c r="FX196"/>
      <c r="FY196"/>
      <c r="FZ196"/>
      <c r="GA196"/>
      <c r="GB196" s="4"/>
      <c r="GC196" s="4"/>
      <c r="GD196" s="6"/>
      <c r="GE196" s="4"/>
      <c r="GF196" s="5">
        <v>0</v>
      </c>
      <c r="GG196" s="5"/>
      <c r="GH196" s="6"/>
      <c r="GI196" s="4"/>
      <c r="GJ196" s="4"/>
      <c r="GK196" s="5">
        <v>0</v>
      </c>
      <c r="GL196" s="5">
        <v>0</v>
      </c>
      <c r="GM196" s="5"/>
      <c r="GN196" s="4"/>
      <c r="GO196" s="5">
        <v>0</v>
      </c>
      <c r="GP196" s="4"/>
      <c r="GQ196" s="4"/>
      <c r="GR196" s="4"/>
      <c r="GS196" s="4"/>
      <c r="GT196" s="6"/>
      <c r="GU196" s="6"/>
      <c r="GV196" s="6"/>
      <c r="GW196" s="9"/>
      <c r="GX196"/>
      <c r="GY196"/>
      <c r="GZ196"/>
      <c r="HA196"/>
      <c r="HB196"/>
      <c r="HC196"/>
      <c r="HD196" s="4"/>
      <c r="HE196" s="4"/>
      <c r="HF196" s="6"/>
      <c r="HG196" s="4"/>
      <c r="HH196" s="5">
        <v>0</v>
      </c>
      <c r="HI196" s="5"/>
      <c r="HJ196" s="6"/>
      <c r="HK196" s="4"/>
      <c r="HL196" s="4"/>
      <c r="HM196" s="5">
        <v>0</v>
      </c>
      <c r="HN196" s="5">
        <v>0</v>
      </c>
      <c r="HO196" s="5"/>
      <c r="HP196" s="4"/>
      <c r="HQ196" s="5">
        <v>0</v>
      </c>
      <c r="HR196" s="4"/>
      <c r="HS196" s="4"/>
      <c r="HT196" s="4"/>
      <c r="HU196" s="4"/>
      <c r="HV196" s="6"/>
      <c r="HW196" s="6"/>
      <c r="HX196" s="6"/>
      <c r="HY196" s="9"/>
      <c r="HZ196"/>
      <c r="IA196"/>
      <c r="IB196"/>
      <c r="IC196"/>
      <c r="ID196"/>
      <c r="IE196"/>
      <c r="IF196" s="4"/>
      <c r="IG196" s="4"/>
      <c r="IH196" s="6"/>
      <c r="II196" s="4"/>
      <c r="IJ196" s="5">
        <v>0</v>
      </c>
      <c r="IK196" s="5"/>
      <c r="IL196" s="6"/>
      <c r="IM196" s="4"/>
      <c r="IN196" s="4"/>
      <c r="IO196" s="5">
        <v>0</v>
      </c>
      <c r="IP196" s="5">
        <v>0</v>
      </c>
      <c r="IQ196" s="5"/>
      <c r="IR196" s="4"/>
      <c r="IS196" s="5">
        <v>0</v>
      </c>
      <c r="IT196" s="4"/>
      <c r="IU196" s="4"/>
      <c r="IV196" s="4"/>
      <c r="IW196" s="4"/>
      <c r="IX196" s="6"/>
      <c r="IY196" s="6"/>
      <c r="IZ196" s="6"/>
      <c r="JA196" s="9"/>
      <c r="JB196"/>
      <c r="JC196"/>
      <c r="JD196"/>
      <c r="JE196"/>
      <c r="JF196"/>
      <c r="JG196"/>
      <c r="JH196" s="4"/>
      <c r="JI196" s="4"/>
      <c r="JJ196" s="6"/>
      <c r="JK196" s="4"/>
      <c r="JL196" s="5">
        <v>0</v>
      </c>
      <c r="JM196" s="5"/>
      <c r="JN196" s="6"/>
      <c r="JO196" s="4"/>
      <c r="JP196" s="4"/>
      <c r="JQ196" s="5">
        <v>0</v>
      </c>
      <c r="JR196" s="5">
        <v>0</v>
      </c>
      <c r="JS196" s="5"/>
      <c r="JT196" s="4"/>
      <c r="JU196" s="5">
        <v>0</v>
      </c>
      <c r="JV196" s="4"/>
      <c r="JW196" s="4"/>
      <c r="JX196" s="4"/>
      <c r="JY196" s="4"/>
      <c r="JZ196" s="6"/>
      <c r="KA196" s="6"/>
      <c r="KB196" s="6"/>
      <c r="KC196" s="9"/>
      <c r="KD196"/>
      <c r="KE196"/>
      <c r="KF196"/>
      <c r="KG196"/>
      <c r="KH196"/>
      <c r="KI196"/>
      <c r="KJ196" s="4"/>
      <c r="KK196" s="4"/>
      <c r="KL196" s="6"/>
      <c r="KM196" s="4"/>
      <c r="KN196" s="5">
        <v>0</v>
      </c>
      <c r="KO196" s="5"/>
      <c r="KP196" s="6"/>
      <c r="KQ196" s="4"/>
      <c r="KR196" s="4"/>
      <c r="KS196" s="5">
        <v>0</v>
      </c>
      <c r="KT196" s="5">
        <v>0</v>
      </c>
      <c r="KU196" s="5"/>
      <c r="KV196" s="4"/>
      <c r="KW196" s="5">
        <v>0</v>
      </c>
      <c r="KX196" s="4"/>
      <c r="KY196" s="4"/>
      <c r="KZ196" s="4"/>
      <c r="LA196" s="4"/>
      <c r="LB196" s="6"/>
      <c r="LC196" s="6"/>
      <c r="LD196" s="6"/>
      <c r="LE196" s="9"/>
      <c r="LF196"/>
      <c r="LG196"/>
      <c r="LH196"/>
      <c r="LI196"/>
      <c r="LJ196"/>
      <c r="LK196"/>
      <c r="LL196" s="4"/>
      <c r="LM196" s="4"/>
      <c r="LN196" s="6"/>
      <c r="LO196" s="4"/>
      <c r="LP196" s="5">
        <v>0</v>
      </c>
      <c r="LQ196" s="5"/>
      <c r="LR196" s="6"/>
      <c r="LS196" s="4"/>
      <c r="LT196" s="4"/>
      <c r="LU196" s="5">
        <v>0</v>
      </c>
      <c r="LV196" s="5">
        <v>0</v>
      </c>
      <c r="LW196" s="5"/>
      <c r="LX196" s="4"/>
      <c r="LY196" s="5">
        <v>0</v>
      </c>
      <c r="LZ196" s="4"/>
      <c r="MA196" s="4"/>
      <c r="MB196" s="4"/>
      <c r="MC196" s="4"/>
      <c r="MD196" s="6"/>
      <c r="ME196" s="6"/>
      <c r="MF196" s="6"/>
      <c r="MG196" s="9"/>
      <c r="MH196"/>
    </row>
    <row r="197">
      <c r="A197" s="8">
        <v>25493</v>
      </c>
      <c r="B197" s="8">
        <v>25496</v>
      </c>
      <c r="C197" s="9">
        <f>B197-A197</f>
        <v>3</v>
      </c>
      <c r="D197" s="8">
        <v>25493</v>
      </c>
      <c r="E197" t="inlineStr">
        <is>
          <t xml:space="preserve">neutral</t>
        </is>
      </c>
      <c r="F197" s="4">
        <v>1.8274470532611848</v>
      </c>
      <c r="G197" s="6">
        <v>0.022593903240674423</v>
      </c>
      <c r="H197" s="7">
        <f>SUM(CP197,DR197,ET197,FV197,GX197,HZ197,JB197,KD197,LF197,MH197)</f>
        <v>0.022593903240674423</v>
      </c>
      <c r="I197" s="7">
        <f>G197-H197</f>
        <v>0</v>
      </c>
      <c r="J197" s="5">
        <f>F197*(1+H197)</f>
        <v>1.8687362151600235</v>
      </c>
      <c r="K197" s="4">
        <v>1.8687362151600235</v>
      </c>
      <c r="L197" s="5">
        <f>K197-J197</f>
        <v>0</v>
      </c>
      <c r="M197" s="4">
        <v>1.813</v>
      </c>
      <c r="N197" s="4">
        <v>1.854</v>
      </c>
      <c r="O197" s="5">
        <f>M197/$M$3</f>
        <v>0.9259448416751788</v>
      </c>
      <c r="P197" s="5">
        <f>N197/$M$3</f>
        <v>0.9468845760980593</v>
      </c>
      <c r="Q197" s="7">
        <f>IFERROR(N197/M197-1,0)</f>
        <v>0.022614451185879902</v>
      </c>
      <c r="R197" s="5">
        <f>SUM(IF(BQ197="lease",CB197,0),IF(CS197="lease",DD197,0),IF(DU197="lease",EF197,0),IF(EW197="lease",FH197,0),IF(FY197="lease",GJ197,0),IF(HA197="lease",HL197,0),IF(IC197="lease",IN197,0),IF(JE197="lease",JP197,0),IF(KG197="lease",KR197,0),IF(LI197="lease",LT197,0))</f>
        <v>1.8274470532611853</v>
      </c>
      <c r="S197" s="5">
        <f>SUM(IF(BQ197="lease",CI197,0),IF(CS197="lease",DK197,0),IF(DU197="lease",EM197,0),IF(EW197="lease",FO197,0),IF(FY197="lease",GQ197,0),IF(HA197="lease",HS197,0),IF(IC197="lease",IU197,0),IF(JE197="lease",JW197,0),IF(KG197="lease",KY197,0),IF(LI197="lease",MA197,0))</f>
        <v>1.8687362151600238</v>
      </c>
      <c r="T197" s="5">
        <f>SUM(IF(BQ197="keep",CB197,0),IF(CS197="keep",DD197,0),IF(DU197="keep",EF197,0),IF(EW197="keep",FH197,0),IF(FY197="keep",GJ197,0),IF(HA197="keep",HL197,0),IF(IC197="keep",IN197,0),IF(JE197="keep",JP197,0),IF(KG197="keep",KR197,0),IF(LI197="keep",LT197,0))</f>
        <v>0</v>
      </c>
      <c r="U197" s="5">
        <f>SUM(IF(BQ197="keep",CI197,0),IF(CS197="keep",DK197,0),IF(DU197="keep",EM197,0),IF(EW197="keep",FO197,0),IF(FY197="keep",GQ197,0),IF(HA197="keep",HS197,0),IF(IC197="keep",IU197,0),IF(JE197="keep",JW197,0),IF(KG197="keep",KY197,0),IF(LI197="keep",MA197,0))</f>
        <v>0</v>
      </c>
      <c r="V197" s="5">
        <f>R197/O197</f>
        <v>1.973602498778489</v>
      </c>
      <c r="W197" s="5">
        <f>S197/P197</f>
        <v>1.9735628421161415</v>
      </c>
      <c r="X197" s="5">
        <f>T197/O197</f>
        <v>0</v>
      </c>
      <c r="Y197" s="5">
        <f>U197/P197</f>
        <v>0</v>
      </c>
      <c r="Z197" s="5">
        <f>V197+X197</f>
        <v>1.973602498778489</v>
      </c>
      <c r="AA197" s="7">
        <f>IFERROR(W197/V197-1,0)</f>
        <v>-0.000020093540807786248</v>
      </c>
      <c r="AB197" s="7">
        <f>IFERROR((W197-V197)/Z197,0)</f>
        <v>-0.000020093540807763303</v>
      </c>
      <c r="AC197" s="7">
        <f>IFERROR(Y197/X197-1,0)</f>
        <v>0</v>
      </c>
      <c r="AD197" s="7">
        <f>IFERROR((Y197-X197)/Z197,0)</f>
        <v>0</v>
      </c>
      <c r="AE197" s="7">
        <f>AB197+AD197</f>
        <v>-0.000020093540807763303</v>
      </c>
      <c r="AF197" s="7">
        <f>(1+Q197)*(1+AE197)-1</f>
        <v>0.02259390324067434</v>
      </c>
      <c r="AG197" s="7">
        <f>G197-AF197</f>
        <v>8.326672684688674e-17</v>
      </c>
      <c r="AH197" s="5">
        <f>SUM(IF(BQ197="lease",CE197,0),IF(CS197="lease",DG197,0),IF(DU197="lease",EI197,0),IF(EW197="lease",FK197,0),IF(FY197="lease",GM197,0),IF(HA197="lease",HO197,0),IF(IC197="lease",IQ197,0),IF(JE197="lease",JS197,0),IF(KG197="lease",KU197,0),IF(LI197="lease",LW197,0))</f>
        <v>0.04128916189883881</v>
      </c>
      <c r="AI197" s="5">
        <f>SUM(IF(BQ197="keep",CE197,0),IF(CS197="keep",DG197,0),IF(DU197="keep",EI197,0),IF(EW197="keep",FK197,0),IF(FY197="keep",GM197,0),IF(HA197="keep",HO197,0),IF(IC197="keep",IQ197,0),IF(JE197="keep",JS197,0),IF(KG197="keep",KU197,0),IF(LI197="keep",LW197,0))</f>
        <v>0</v>
      </c>
      <c r="AJ197" s="5">
        <f>SUM(IF(BQ197="lease",CH197,0),IF(CS197="lease",DJ197,0),IF(DU197="lease",EL197,0),IF(EW197="lease",FN197,0),IF(FY197="lease",GP197,0),IF(HA197="lease",HR197,0),IF(IC197="lease",IT197,0),IF(JE197="lease",JV197,0),IF(KG197="lease",KX197,0),IF(LI197="lease",LZ197,0))</f>
        <v>0</v>
      </c>
      <c r="AK197" s="5">
        <f>SUM(IF(BQ197="keep",CH197,0),IF(CS197="keep",DJ197,0),IF(DU197="keep",EL197,0),IF(EW197="keep",FN197,0),IF(FY197="keep",GP197,0),IF(HA197="keep",HR197,0),IF(IC197="keep",IT197,0),IF(JE197="keep",JV197,0),IF(KG197="keep",KX197,0),IF(LI197="keep",LZ197,0))</f>
        <v>0</v>
      </c>
      <c r="AL197" s="5">
        <f>R197-S196</f>
        <v>0</v>
      </c>
      <c r="AM197" s="5">
        <f>T197-U196</f>
        <v>0</v>
      </c>
      <c r="AN197" s="5">
        <f>AN196</f>
        <v>1</v>
      </c>
      <c r="AO197" s="5">
        <f>AO196+AH197</f>
        <v>0.8687362151600241</v>
      </c>
      <c r="AP197" s="5">
        <f>AP196+AL197</f>
        <v>-2.220446049250313e-16</v>
      </c>
      <c r="AQ197" s="5">
        <f>AN197+AO197+AP197</f>
        <v>1.868736215160024</v>
      </c>
      <c r="AR197" s="5">
        <f>S197-AQ197</f>
        <v>-2.220446049250313e-16</v>
      </c>
      <c r="AS197" s="5">
        <f>AS196</f>
        <v>0</v>
      </c>
      <c r="AT197" s="5">
        <f>AT196+AI197</f>
        <v>0</v>
      </c>
      <c r="AU197" s="5">
        <f>AU196+AM197</f>
        <v>0</v>
      </c>
      <c r="AV197" s="5">
        <f>AS197+AT197+AU197</f>
        <v>0</v>
      </c>
      <c r="AW197" s="5">
        <f>U197-AV197</f>
        <v>0</v>
      </c>
      <c r="AX197" s="4">
        <v>1.8274470532611853</v>
      </c>
      <c r="AY197" s="4">
        <v>1.8687362151600242</v>
      </c>
      <c r="AZ197" s="5">
        <f>S197-AY197</f>
        <v>-4.440892098500626e-16</v>
      </c>
      <c r="BA197" s="4">
        <v>0</v>
      </c>
      <c r="BB197" s="4">
        <v>0</v>
      </c>
      <c r="BC197" s="5">
        <f>U197-BB197</f>
        <v>0</v>
      </c>
      <c r="BD197" s="7">
        <f>SUM(IF(BP197="direct",CC197/F197,0),IF(CR197="direct",DE197/F197,0),IF(DT197="direct",EG197/F197,0),IF(EV197="direct",FI197/F197,0),IF(FX197="direct",GK197/F197,0),IF(GZ197="direct",HM197/F197,0),IF(IB197="direct",IO197/F197,0),IF(JD197="direct",JQ197/F197,0),IF(KF197="direct",KS197/F197,0),IF(LH197="direct",LU197/F197,0))</f>
        <v>0.022614451185879837</v>
      </c>
      <c r="BE197" s="7">
        <f>-SUM(IF(BP197="direct",CD197/F197,0),IF(CR197="direct",DF197/F197,0),IF(DT197="direct",EH197/F197,0),IF(EV197="direct",FJ197/F197,0),IF(FX197="direct",GL197/F197,0),IF(GZ197="direct",HN197/F197,0),IF(IB197="direct",IP197/F197,0),IF(JD197="direct",JR197/F197,0),IF(KF197="direct",KT197/F197,0),IF(LH197="direct",LV197/F197,0))</f>
        <v>-0.000020547945205479453</v>
      </c>
      <c r="BF197" s="7">
        <f>BD197+BE197</f>
        <v>0.022593903240674357</v>
      </c>
      <c r="BG197" s="7">
        <f>BF197-SUM(IF(BP197="direct",CP197,0),IF(CR197="direct",DR197,0),IF(DT197="direct",ET197,0),IF(EV197="direct",FV197,0),IF(FX197="direct",GX197,0),IF(GZ197="direct",HZ197,0),IF(IB197="direct",JB197,0),IF(JD197="direct",KD197,0),IF(KF197="direct",LF197,0),IF(LH197="direct",MH197,0))</f>
        <v>-6.591949208711867e-17</v>
      </c>
      <c r="BH197" s="7">
        <f>SUM(IF(BP197="treasury",CP197,0),IF(CR197="treasury",DR197,0),IF(DT197="treasury",ET197,0),IF(EV197="treasury",FV197,0),IF(FX197="treasury",GX197,0),IF(GZ197="treasury",HZ197,0),IF(IB197="treasury",JB197,0),IF(JD197="treasury",KD197,0),IF(KF197="treasury",LF197,0),IF(LH197="treasury",MH197,0))</f>
        <v>0</v>
      </c>
      <c r="BI197" s="7">
        <f>SUM(IF(BP197="future",CP197,0),IF(CR197="future",DR197,0),IF(DT197="future",ET197,0),IF(EV197="future",FV197,0),IF(FX197="future",GX197,0),IF(GZ197="future",HZ197,0),IF(IB197="future",JB197,0),IF(JD197="future",KD197,0),IF(KF197="future",LF197,0),IF(LH197="future",MH197,0))</f>
        <v>0</v>
      </c>
      <c r="BJ197" s="7">
        <f>SUM(IF(BP197="cash",CP197,0),IF(CR197="cash",DR197,0),IF(DT197="cash",ET197,0),IF(EV197="cash",FV197,0),IF(FX197="cash",GX197,0),IF(GZ197="cash",HZ197,0),IF(IB197="cash",JB197,0),IF(JD197="cash",KD197,0),IF(KF197="cash",LF197,0),IF(LH197="cash",MH197,0))</f>
        <v>0</v>
      </c>
      <c r="BK197" s="7">
        <f>SUM(BF197,BH197,BI197,BJ197)</f>
        <v>0.022593903240674423</v>
      </c>
      <c r="BL197" s="7">
        <f>G197-BK197</f>
        <v>0</v>
      </c>
      <c r="BM197" s="5">
        <f>MAX(ABS(CG197),ABS(DI197),ABS(EK197),ABS(FM197),ABS(GO197),ABS(HQ197),ABS(IS197),ABS(JU197),ABS(KW197),ABS(LY197))</f>
        <v>1.1581312081218598e-16</v>
      </c>
      <c r="BN197" s="9">
        <f>COUNTA(BO197,CQ197,DS197,EU197,FW197,GY197,IA197,JC197,KE197,LG197)</f>
        <v>3</v>
      </c>
      <c r="BO197" t="inlineStr">
        <is>
          <t xml:space="preserve">Direct commodity holding</t>
        </is>
      </c>
      <c r="BP197" t="inlineStr">
        <is>
          <t xml:space="preserve">direct</t>
        </is>
      </c>
      <c r="BQ197" t="inlineStr">
        <is>
          <t xml:space="preserve">lease</t>
        </is>
      </c>
      <c r="BR197" t="inlineStr">
        <is>
          <t xml:space="preserve">long</t>
        </is>
      </c>
      <c r="BS197"/>
      <c r="BT197" s="4">
        <v>1.813</v>
      </c>
      <c r="BU197" s="4">
        <v>1.854</v>
      </c>
      <c r="BV197" s="6">
        <v>0.0025</v>
      </c>
      <c r="BW197" s="4">
        <v>1.007968589774509</v>
      </c>
      <c r="BX197" s="5">
        <f>IF(BP197="direct",IFERROR(CD197/BU197,0),0)</f>
        <v>0.000020253657991545694</v>
      </c>
      <c r="BY197" s="5">
        <f>IF(BP197="direct",BW197-BX197,IF(BP197="cash",CI197,BW197))</f>
        <v>1.0079483361165174</v>
      </c>
      <c r="BZ197" s="6">
        <v>1</v>
      </c>
      <c r="CA197" s="4">
        <v>1.8274470532611848</v>
      </c>
      <c r="CB197" s="4">
        <v>1.8274470532611848</v>
      </c>
      <c r="CC197" s="5">
        <f>IF(BP197="direct",BW197*(BU197-BT197),CF197)</f>
        <v>0.04132671218075502</v>
      </c>
      <c r="CD197" s="5">
        <f>IF(BP197="direct",CB197*BV197*C197/365,0)</f>
        <v>0.00003755028191632572</v>
      </c>
      <c r="CE197" s="5">
        <f>CC197-CD197</f>
        <v>0.04128916189883881</v>
      </c>
      <c r="CF197" s="4">
        <v>0.04128916189883881</v>
      </c>
      <c r="CG197" s="5">
        <f>CF197-CE197</f>
        <v>1.1581312081218598e-16</v>
      </c>
      <c r="CH197" s="4">
        <v>0</v>
      </c>
      <c r="CI197" s="4">
        <v>1.8687362151600233</v>
      </c>
      <c r="CJ197" s="4">
        <v>1.813</v>
      </c>
      <c r="CK197" s="4">
        <v>1.854</v>
      </c>
      <c r="CL197" s="6"/>
      <c r="CM197" s="6"/>
      <c r="CN197" s="6"/>
      <c r="CO197" s="9"/>
      <c r="CP197" s="7">
        <f>IFERROR(CE197/F197,0)</f>
        <v>0.022593903240674423</v>
      </c>
      <c r="CQ197" t="inlineStr">
        <is>
          <t xml:space="preserve">Lease cash / margin / financing</t>
        </is>
      </c>
      <c r="CR197" t="inlineStr">
        <is>
          <t xml:space="preserve">cash</t>
        </is>
      </c>
      <c r="CS197" t="inlineStr">
        <is>
          <t xml:space="preserve">lease</t>
        </is>
      </c>
      <c r="CT197" t="inlineStr">
        <is>
          <t xml:space="preserve">cash</t>
        </is>
      </c>
      <c r="CU197"/>
      <c r="CV197" s="4">
        <v>1</v>
      </c>
      <c r="CW197" s="4">
        <v>1</v>
      </c>
      <c r="CX197" s="6"/>
      <c r="CY197" s="4">
        <v>4.440892098500626e-16</v>
      </c>
      <c r="CZ197" s="5">
        <f>IF(CR197="direct",IFERROR(DF197/CW197,0),0)</f>
        <v>0</v>
      </c>
      <c r="DA197" s="5">
        <f>IF(CR197="direct",CY197-CZ197,IF(CR197="cash",DK197,CY197))</f>
        <v>4.440892098500626e-16</v>
      </c>
      <c r="DB197" s="6"/>
      <c r="DC197" s="4">
        <v>4.440892098500626e-16</v>
      </c>
      <c r="DD197" s="4">
        <v>4.440892098500626e-16</v>
      </c>
      <c r="DE197" s="5">
        <f>IF(CR197="direct",CY197*(CW197-CV197),DH197)</f>
        <v>0</v>
      </c>
      <c r="DF197" s="5">
        <f>IF(CR197="direct",DD197*CX197*C197/365,0)</f>
        <v>0</v>
      </c>
      <c r="DG197" s="5">
        <f>DE197-DF197</f>
        <v>0</v>
      </c>
      <c r="DH197" s="4">
        <v>0</v>
      </c>
      <c r="DI197" s="5">
        <f>DH197-DG197</f>
        <v>0</v>
      </c>
      <c r="DJ197" s="4">
        <v>0</v>
      </c>
      <c r="DK197" s="4">
        <v>4.440892098500626e-16</v>
      </c>
      <c r="DL197" s="4">
        <v>1.813</v>
      </c>
      <c r="DM197" s="4">
        <v>1.854</v>
      </c>
      <c r="DN197" s="6"/>
      <c r="DO197" s="6"/>
      <c r="DP197" s="6"/>
      <c r="DQ197" s="9"/>
      <c r="DR197" s="7">
        <f>IFERROR(DG197/F197,0)</f>
        <v>0</v>
      </c>
      <c r="DS197" t="inlineStr">
        <is>
          <t xml:space="preserve">Keep cash / margin / financing</t>
        </is>
      </c>
      <c r="DT197" t="inlineStr">
        <is>
          <t xml:space="preserve">cash</t>
        </is>
      </c>
      <c r="DU197" t="inlineStr">
        <is>
          <t xml:space="preserve">keep</t>
        </is>
      </c>
      <c r="DV197" t="inlineStr">
        <is>
          <t xml:space="preserve">cash</t>
        </is>
      </c>
      <c r="DW197"/>
      <c r="DX197" s="4">
        <v>1</v>
      </c>
      <c r="DY197" s="4">
        <v>1</v>
      </c>
      <c r="DZ197" s="6"/>
      <c r="EA197" s="4">
        <v>0</v>
      </c>
      <c r="EB197" s="5">
        <f>IF(DT197="direct",IFERROR(EH197/DY197,0),0)</f>
        <v>0</v>
      </c>
      <c r="EC197" s="5">
        <f>IF(DT197="direct",EA197-EB197,IF(DT197="cash",EM197,EA197))</f>
        <v>0</v>
      </c>
      <c r="ED197" s="6"/>
      <c r="EE197" s="4">
        <v>0</v>
      </c>
      <c r="EF197" s="4">
        <v>0</v>
      </c>
      <c r="EG197" s="5">
        <f>IF(DT197="direct",EA197*(DY197-DX197),EJ197)</f>
        <v>0</v>
      </c>
      <c r="EH197" s="5">
        <f>IF(DT197="direct",EF197*DZ197*C197/365,0)</f>
        <v>0</v>
      </c>
      <c r="EI197" s="5">
        <f>EG197-EH197</f>
        <v>0</v>
      </c>
      <c r="EJ197" s="4">
        <v>0</v>
      </c>
      <c r="EK197" s="5">
        <f>EJ197-EI197</f>
        <v>0</v>
      </c>
      <c r="EL197" s="4">
        <v>0</v>
      </c>
      <c r="EM197" s="4">
        <v>0</v>
      </c>
      <c r="EN197" s="4">
        <v>1.813</v>
      </c>
      <c r="EO197" s="4">
        <v>1.854</v>
      </c>
      <c r="EP197" s="6"/>
      <c r="EQ197" s="6"/>
      <c r="ER197" s="6"/>
      <c r="ES197" s="9"/>
      <c r="ET197" s="7">
        <f>IFERROR(EI197/F197,0)</f>
        <v>0</v>
      </c>
      <c r="EU197"/>
      <c r="EV197"/>
      <c r="EW197"/>
      <c r="EX197"/>
      <c r="EY197"/>
      <c r="EZ197" s="4"/>
      <c r="FA197" s="4"/>
      <c r="FB197" s="6"/>
      <c r="FC197" s="4"/>
      <c r="FD197" s="5">
        <v>0</v>
      </c>
      <c r="FE197" s="5"/>
      <c r="FF197" s="6"/>
      <c r="FG197" s="4"/>
      <c r="FH197" s="4"/>
      <c r="FI197" s="5">
        <v>0</v>
      </c>
      <c r="FJ197" s="5">
        <v>0</v>
      </c>
      <c r="FK197" s="5"/>
      <c r="FL197" s="4"/>
      <c r="FM197" s="5">
        <v>0</v>
      </c>
      <c r="FN197" s="4"/>
      <c r="FO197" s="4"/>
      <c r="FP197" s="4"/>
      <c r="FQ197" s="4"/>
      <c r="FR197" s="6"/>
      <c r="FS197" s="6"/>
      <c r="FT197" s="6"/>
      <c r="FU197" s="9"/>
      <c r="FV197"/>
      <c r="FW197"/>
      <c r="FX197"/>
      <c r="FY197"/>
      <c r="FZ197"/>
      <c r="GA197"/>
      <c r="GB197" s="4"/>
      <c r="GC197" s="4"/>
      <c r="GD197" s="6"/>
      <c r="GE197" s="4"/>
      <c r="GF197" s="5">
        <v>0</v>
      </c>
      <c r="GG197" s="5"/>
      <c r="GH197" s="6"/>
      <c r="GI197" s="4"/>
      <c r="GJ197" s="4"/>
      <c r="GK197" s="5">
        <v>0</v>
      </c>
      <c r="GL197" s="5">
        <v>0</v>
      </c>
      <c r="GM197" s="5"/>
      <c r="GN197" s="4"/>
      <c r="GO197" s="5">
        <v>0</v>
      </c>
      <c r="GP197" s="4"/>
      <c r="GQ197" s="4"/>
      <c r="GR197" s="4"/>
      <c r="GS197" s="4"/>
      <c r="GT197" s="6"/>
      <c r="GU197" s="6"/>
      <c r="GV197" s="6"/>
      <c r="GW197" s="9"/>
      <c r="GX197"/>
      <c r="GY197"/>
      <c r="GZ197"/>
      <c r="HA197"/>
      <c r="HB197"/>
      <c r="HC197"/>
      <c r="HD197" s="4"/>
      <c r="HE197" s="4"/>
      <c r="HF197" s="6"/>
      <c r="HG197" s="4"/>
      <c r="HH197" s="5">
        <v>0</v>
      </c>
      <c r="HI197" s="5"/>
      <c r="HJ197" s="6"/>
      <c r="HK197" s="4"/>
      <c r="HL197" s="4"/>
      <c r="HM197" s="5">
        <v>0</v>
      </c>
      <c r="HN197" s="5">
        <v>0</v>
      </c>
      <c r="HO197" s="5"/>
      <c r="HP197" s="4"/>
      <c r="HQ197" s="5">
        <v>0</v>
      </c>
      <c r="HR197" s="4"/>
      <c r="HS197" s="4"/>
      <c r="HT197" s="4"/>
      <c r="HU197" s="4"/>
      <c r="HV197" s="6"/>
      <c r="HW197" s="6"/>
      <c r="HX197" s="6"/>
      <c r="HY197" s="9"/>
      <c r="HZ197"/>
      <c r="IA197"/>
      <c r="IB197"/>
      <c r="IC197"/>
      <c r="ID197"/>
      <c r="IE197"/>
      <c r="IF197" s="4"/>
      <c r="IG197" s="4"/>
      <c r="IH197" s="6"/>
      <c r="II197" s="4"/>
      <c r="IJ197" s="5">
        <v>0</v>
      </c>
      <c r="IK197" s="5"/>
      <c r="IL197" s="6"/>
      <c r="IM197" s="4"/>
      <c r="IN197" s="4"/>
      <c r="IO197" s="5">
        <v>0</v>
      </c>
      <c r="IP197" s="5">
        <v>0</v>
      </c>
      <c r="IQ197" s="5"/>
      <c r="IR197" s="4"/>
      <c r="IS197" s="5">
        <v>0</v>
      </c>
      <c r="IT197" s="4"/>
      <c r="IU197" s="4"/>
      <c r="IV197" s="4"/>
      <c r="IW197" s="4"/>
      <c r="IX197" s="6"/>
      <c r="IY197" s="6"/>
      <c r="IZ197" s="6"/>
      <c r="JA197" s="9"/>
      <c r="JB197"/>
      <c r="JC197"/>
      <c r="JD197"/>
      <c r="JE197"/>
      <c r="JF197"/>
      <c r="JG197"/>
      <c r="JH197" s="4"/>
      <c r="JI197" s="4"/>
      <c r="JJ197" s="6"/>
      <c r="JK197" s="4"/>
      <c r="JL197" s="5">
        <v>0</v>
      </c>
      <c r="JM197" s="5"/>
      <c r="JN197" s="6"/>
      <c r="JO197" s="4"/>
      <c r="JP197" s="4"/>
      <c r="JQ197" s="5">
        <v>0</v>
      </c>
      <c r="JR197" s="5">
        <v>0</v>
      </c>
      <c r="JS197" s="5"/>
      <c r="JT197" s="4"/>
      <c r="JU197" s="5">
        <v>0</v>
      </c>
      <c r="JV197" s="4"/>
      <c r="JW197" s="4"/>
      <c r="JX197" s="4"/>
      <c r="JY197" s="4"/>
      <c r="JZ197" s="6"/>
      <c r="KA197" s="6"/>
      <c r="KB197" s="6"/>
      <c r="KC197" s="9"/>
      <c r="KD197"/>
      <c r="KE197"/>
      <c r="KF197"/>
      <c r="KG197"/>
      <c r="KH197"/>
      <c r="KI197"/>
      <c r="KJ197" s="4"/>
      <c r="KK197" s="4"/>
      <c r="KL197" s="6"/>
      <c r="KM197" s="4"/>
      <c r="KN197" s="5">
        <v>0</v>
      </c>
      <c r="KO197" s="5"/>
      <c r="KP197" s="6"/>
      <c r="KQ197" s="4"/>
      <c r="KR197" s="4"/>
      <c r="KS197" s="5">
        <v>0</v>
      </c>
      <c r="KT197" s="5">
        <v>0</v>
      </c>
      <c r="KU197" s="5"/>
      <c r="KV197" s="4"/>
      <c r="KW197" s="5">
        <v>0</v>
      </c>
      <c r="KX197" s="4"/>
      <c r="KY197" s="4"/>
      <c r="KZ197" s="4"/>
      <c r="LA197" s="4"/>
      <c r="LB197" s="6"/>
      <c r="LC197" s="6"/>
      <c r="LD197" s="6"/>
      <c r="LE197" s="9"/>
      <c r="LF197"/>
      <c r="LG197"/>
      <c r="LH197"/>
      <c r="LI197"/>
      <c r="LJ197"/>
      <c r="LK197"/>
      <c r="LL197" s="4"/>
      <c r="LM197" s="4"/>
      <c r="LN197" s="6"/>
      <c r="LO197" s="4"/>
      <c r="LP197" s="5">
        <v>0</v>
      </c>
      <c r="LQ197" s="5"/>
      <c r="LR197" s="6"/>
      <c r="LS197" s="4"/>
      <c r="LT197" s="4"/>
      <c r="LU197" s="5">
        <v>0</v>
      </c>
      <c r="LV197" s="5">
        <v>0</v>
      </c>
      <c r="LW197" s="5"/>
      <c r="LX197" s="4"/>
      <c r="LY197" s="5">
        <v>0</v>
      </c>
      <c r="LZ197" s="4"/>
      <c r="MA197" s="4"/>
      <c r="MB197" s="4"/>
      <c r="MC197" s="4"/>
      <c r="MD197" s="6"/>
      <c r="ME197" s="6"/>
      <c r="MF197" s="6"/>
      <c r="MG197" s="9"/>
      <c r="MH197"/>
    </row>
    <row r="198">
      <c r="A198" s="8">
        <v>25496</v>
      </c>
      <c r="B198" s="8">
        <v>25497</v>
      </c>
      <c r="C198" s="9">
        <f>B198-A198</f>
        <v>1</v>
      </c>
      <c r="D198" s="8">
        <v>25496</v>
      </c>
      <c r="E198" t="inlineStr">
        <is>
          <t xml:space="preserve">neutral</t>
        </is>
      </c>
      <c r="F198" s="4">
        <v>1.8687362151600235</v>
      </c>
      <c r="G198" s="6">
        <v>0.010780637200573382</v>
      </c>
      <c r="H198" s="7">
        <f>SUM(CP198,DR198,ET198,FV198,GX198,HZ198,JB198,KD198,LF198,MH198)</f>
        <v>0.010780637200573382</v>
      </c>
      <c r="I198" s="7">
        <f>G198-H198</f>
        <v>0</v>
      </c>
      <c r="J198" s="5">
        <f>F198*(1+H198)</f>
        <v>1.8888823823192364</v>
      </c>
      <c r="K198" s="4">
        <v>1.8888823823192364</v>
      </c>
      <c r="L198" s="5">
        <f>K198-J198</f>
        <v>0</v>
      </c>
      <c r="M198" s="4">
        <v>1.854</v>
      </c>
      <c r="N198" s="4">
        <v>1.874</v>
      </c>
      <c r="O198" s="5">
        <f>M198/$M$3</f>
        <v>0.9468845760980593</v>
      </c>
      <c r="P198" s="5">
        <f>N198/$M$3</f>
        <v>0.9570990806945864</v>
      </c>
      <c r="Q198" s="7">
        <f>IFERROR(N198/M198-1,0)</f>
        <v>0.010787486515641875</v>
      </c>
      <c r="R198" s="5">
        <f>SUM(IF(BQ198="lease",CB198,0),IF(CS198="lease",DD198,0),IF(DU198="lease",EF198,0),IF(EW198="lease",FH198,0),IF(FY198="lease",GJ198,0),IF(HA198="lease",HL198,0),IF(IC198="lease",IN198,0),IF(JE198="lease",JP198,0),IF(KG198="lease",KR198,0),IF(LI198="lease",LT198,0))</f>
        <v>1.8687362151600242</v>
      </c>
      <c r="S198" s="5">
        <f>SUM(IF(BQ198="lease",CI198,0),IF(CS198="lease",DK198,0),IF(DU198="lease",EM198,0),IF(EW198="lease",FO198,0),IF(FY198="lease",GQ198,0),IF(HA198="lease",HS198,0),IF(IC198="lease",IU198,0),IF(JE198="lease",JW198,0),IF(KG198="lease",KY198,0),IF(LI198="lease",MA198,0))</f>
        <v>1.8888823823192373</v>
      </c>
      <c r="T198" s="5">
        <f>SUM(IF(BQ198="keep",CB198,0),IF(CS198="keep",DD198,0),IF(DU198="keep",EF198,0),IF(EW198="keep",FH198,0),IF(FY198="keep",GJ198,0),IF(HA198="keep",HL198,0),IF(IC198="keep",IN198,0),IF(JE198="keep",JP198,0),IF(KG198="keep",KR198,0),IF(LI198="keep",LT198,0))</f>
        <v>0</v>
      </c>
      <c r="U198" s="5">
        <f>SUM(IF(BQ198="keep",CI198,0),IF(CS198="keep",DK198,0),IF(DU198="keep",EM198,0),IF(EW198="keep",FO198,0),IF(FY198="keep",GQ198,0),IF(HA198="keep",HS198,0),IF(IC198="keep",IU198,0),IF(JE198="keep",JW198,0),IF(KG198="keep",KY198,0),IF(LI198="keep",MA198,0))</f>
        <v>0</v>
      </c>
      <c r="V198" s="5">
        <f>R198/O198</f>
        <v>1.973562842116142</v>
      </c>
      <c r="W198" s="5">
        <f>S198/P198</f>
        <v>1.9735494688266095</v>
      </c>
      <c r="X198" s="5">
        <f>T198/O198</f>
        <v>0</v>
      </c>
      <c r="Y198" s="5">
        <f>U198/P198</f>
        <v>0</v>
      </c>
      <c r="Z198" s="5">
        <f>V198+X198</f>
        <v>1.973562842116142</v>
      </c>
      <c r="AA198" s="7">
        <f>IFERROR(W198/V198-1,0)</f>
        <v>-0.0000067762167218488045</v>
      </c>
      <c r="AB198" s="7">
        <f>IFERROR((W198-V198)/Z198,0)</f>
        <v>-0.000006776216721884232</v>
      </c>
      <c r="AC198" s="7">
        <f>IFERROR(Y198/X198-1,0)</f>
        <v>0</v>
      </c>
      <c r="AD198" s="7">
        <f>IFERROR((Y198-X198)/Z198,0)</f>
        <v>0</v>
      </c>
      <c r="AE198" s="7">
        <f>AB198+AD198</f>
        <v>-0.000006776216721884232</v>
      </c>
      <c r="AF198" s="7">
        <f>(1+Q198)*(1+AE198)-1</f>
        <v>0.010780637200573429</v>
      </c>
      <c r="AG198" s="7">
        <f>G198-AF198</f>
        <v>-4.683753385137379e-17</v>
      </c>
      <c r="AH198" s="5">
        <f>SUM(IF(BQ198="lease",CE198,0),IF(CS198="lease",DG198,0),IF(DU198="lease",EI198,0),IF(EW198="lease",FK198,0),IF(FY198="lease",GM198,0),IF(HA198="lease",HO198,0),IF(IC198="lease",IQ198,0),IF(JE198="lease",JS198,0),IF(KG198="lease",KU198,0),IF(LI198="lease",LW198,0))</f>
        <v>0.020146167159212854</v>
      </c>
      <c r="AI198" s="5">
        <f>SUM(IF(BQ198="keep",CE198,0),IF(CS198="keep",DG198,0),IF(DU198="keep",EI198,0),IF(EW198="keep",FK198,0),IF(FY198="keep",GM198,0),IF(HA198="keep",HO198,0),IF(IC198="keep",IQ198,0),IF(JE198="keep",JS198,0),IF(KG198="keep",KU198,0),IF(LI198="keep",LW198,0))</f>
        <v>0</v>
      </c>
      <c r="AJ198" s="5">
        <f>SUM(IF(BQ198="lease",CH198,0),IF(CS198="lease",DJ198,0),IF(DU198="lease",EL198,0),IF(EW198="lease",FN198,0),IF(FY198="lease",GP198,0),IF(HA198="lease",HR198,0),IF(IC198="lease",IT198,0),IF(JE198="lease",JV198,0),IF(KG198="lease",KX198,0),IF(LI198="lease",LZ198,0))</f>
        <v>0</v>
      </c>
      <c r="AK198" s="5">
        <f>SUM(IF(BQ198="keep",CH198,0),IF(CS198="keep",DJ198,0),IF(DU198="keep",EL198,0),IF(EW198="keep",FN198,0),IF(FY198="keep",GP198,0),IF(HA198="keep",HR198,0),IF(IC198="keep",IT198,0),IF(JE198="keep",JV198,0),IF(KG198="keep",KX198,0),IF(LI198="keep",LZ198,0))</f>
        <v>0</v>
      </c>
      <c r="AL198" s="5">
        <f>R198-S197</f>
        <v>4.440892098500626e-16</v>
      </c>
      <c r="AM198" s="5">
        <f>T198-U197</f>
        <v>0</v>
      </c>
      <c r="AN198" s="5">
        <f>AN197</f>
        <v>1</v>
      </c>
      <c r="AO198" s="5">
        <f>AO197+AH198</f>
        <v>0.8888823823192369</v>
      </c>
      <c r="AP198" s="5">
        <f>AP197+AL198</f>
        <v>2.220446049250313e-16</v>
      </c>
      <c r="AQ198" s="5">
        <f>AN198+AO198+AP198</f>
        <v>1.888882382319237</v>
      </c>
      <c r="AR198" s="5">
        <f>S198-AQ198</f>
        <v>2.220446049250313e-16</v>
      </c>
      <c r="AS198" s="5">
        <f>AS197</f>
        <v>0</v>
      </c>
      <c r="AT198" s="5">
        <f>AT197+AI198</f>
        <v>0</v>
      </c>
      <c r="AU198" s="5">
        <f>AU197+AM198</f>
        <v>0</v>
      </c>
      <c r="AV198" s="5">
        <f>AS198+AT198+AU198</f>
        <v>0</v>
      </c>
      <c r="AW198" s="5">
        <f>U198-AV198</f>
        <v>0</v>
      </c>
      <c r="AX198" s="4">
        <v>1.8687362151600242</v>
      </c>
      <c r="AY198" s="4">
        <v>1.888882382319237</v>
      </c>
      <c r="AZ198" s="5">
        <f>S198-AY198</f>
        <v>2.220446049250313e-16</v>
      </c>
      <c r="BA198" s="4">
        <v>0</v>
      </c>
      <c r="BB198" s="4">
        <v>0</v>
      </c>
      <c r="BC198" s="5">
        <f>U198-BB198</f>
        <v>0</v>
      </c>
      <c r="BD198" s="7">
        <f>SUM(IF(BP198="direct",CC198/F198,0),IF(CR198="direct",DE198/F198,0),IF(DT198="direct",EG198/F198,0),IF(EV198="direct",FI198/F198,0),IF(FX198="direct",GK198/F198,0),IF(GZ198="direct",HM198/F198,0),IF(IB198="direct",IO198/F198,0),IF(JD198="direct",JQ198/F198,0),IF(KF198="direct",KS198/F198,0),IF(LH198="direct",LU198/F198,0))</f>
        <v>0.010787486515641865</v>
      </c>
      <c r="BE198" s="7">
        <f>-SUM(IF(BP198="direct",CD198/F198,0),IF(CR198="direct",DF198/F198,0),IF(DT198="direct",EH198/F198,0),IF(EV198="direct",FJ198/F198,0),IF(FX198="direct",GL198/F198,0),IF(GZ198="direct",HN198/F198,0),IF(IB198="direct",IP198/F198,0),IF(JD198="direct",JR198/F198,0),IF(KF198="direct",KT198/F198,0),IF(LH198="direct",LV198/F198,0))</f>
        <v>-0.000006849315068493151</v>
      </c>
      <c r="BF198" s="7">
        <f>BD198+BE198</f>
        <v>0.010780637200573371</v>
      </c>
      <c r="BG198" s="7">
        <f>BF198-SUM(IF(BP198="direct",CP198,0),IF(CR198="direct",DR198,0),IF(DT198="direct",ET198,0),IF(EV198="direct",FV198,0),IF(FX198="direct",GX198,0),IF(GZ198="direct",HZ198,0),IF(IB198="direct",JB198,0),IF(JD198="direct",KD198,0),IF(KF198="direct",LF198,0),IF(LH198="direct",MH198,0))</f>
        <v>-1.0408340855860843e-17</v>
      </c>
      <c r="BH198" s="7">
        <f>SUM(IF(BP198="treasury",CP198,0),IF(CR198="treasury",DR198,0),IF(DT198="treasury",ET198,0),IF(EV198="treasury",FV198,0),IF(FX198="treasury",GX198,0),IF(GZ198="treasury",HZ198,0),IF(IB198="treasury",JB198,0),IF(JD198="treasury",KD198,0),IF(KF198="treasury",LF198,0),IF(LH198="treasury",MH198,0))</f>
        <v>0</v>
      </c>
      <c r="BI198" s="7">
        <f>SUM(IF(BP198="future",CP198,0),IF(CR198="future",DR198,0),IF(DT198="future",ET198,0),IF(EV198="future",FV198,0),IF(FX198="future",GX198,0),IF(GZ198="future",HZ198,0),IF(IB198="future",JB198,0),IF(JD198="future",KD198,0),IF(KF198="future",LF198,0),IF(LH198="future",MH198,0))</f>
        <v>0</v>
      </c>
      <c r="BJ198" s="7">
        <f>SUM(IF(BP198="cash",CP198,0),IF(CR198="cash",DR198,0),IF(DT198="cash",ET198,0),IF(EV198="cash",FV198,0),IF(FX198="cash",GX198,0),IF(GZ198="cash",HZ198,0),IF(IB198="cash",JB198,0),IF(JD198="cash",KD198,0),IF(KF198="cash",LF198,0),IF(LH198="cash",MH198,0))</f>
        <v>0</v>
      </c>
      <c r="BK198" s="7">
        <f>SUM(BF198,BH198,BI198,BJ198)</f>
        <v>0.010780637200573382</v>
      </c>
      <c r="BL198" s="7">
        <f>G198-BK198</f>
        <v>0</v>
      </c>
      <c r="BM198" s="5">
        <f>MAX(ABS(CG198),ABS(DI198),ABS(EK198),ABS(FM198),ABS(GO198),ABS(HQ198),ABS(IS198),ABS(JU198),ABS(KW198),ABS(LY198))</f>
        <v>1.9146332739736205e-17</v>
      </c>
      <c r="BN198" s="9">
        <f>COUNTA(BO198,CQ198,DS198,EU198,FW198,GY198,IA198,JC198,KE198,LG198)</f>
        <v>3</v>
      </c>
      <c r="BO198" t="inlineStr">
        <is>
          <t xml:space="preserve">Direct commodity holding</t>
        </is>
      </c>
      <c r="BP198" t="inlineStr">
        <is>
          <t xml:space="preserve">direct</t>
        </is>
      </c>
      <c r="BQ198" t="inlineStr">
        <is>
          <t xml:space="preserve">lease</t>
        </is>
      </c>
      <c r="BR198" t="inlineStr">
        <is>
          <t xml:space="preserve">long</t>
        </is>
      </c>
      <c r="BS198"/>
      <c r="BT198" s="4">
        <v>1.854</v>
      </c>
      <c r="BU198" s="4">
        <v>1.874</v>
      </c>
      <c r="BV198" s="6">
        <v>0.0025</v>
      </c>
      <c r="BW198" s="4">
        <v>1.0079483361165176</v>
      </c>
      <c r="BX198" s="5">
        <f>IF(BP198="direct",IFERROR(CD198/BU198,0),0)</f>
        <v>0.000006830076370082394</v>
      </c>
      <c r="BY198" s="5">
        <f>IF(BP198="direct",BW198-BX198,IF(BP198="cash",CI198,BW198))</f>
        <v>1.0079415060401475</v>
      </c>
      <c r="BZ198" s="6">
        <v>1</v>
      </c>
      <c r="CA198" s="4">
        <v>1.8687362151600235</v>
      </c>
      <c r="CB198" s="4">
        <v>1.8687362151600235</v>
      </c>
      <c r="CC198" s="5">
        <f>IF(BP198="direct",BW198*(BU198-BT198),CF198)</f>
        <v>0.02015896672233037</v>
      </c>
      <c r="CD198" s="5">
        <f>IF(BP198="direct",CB198*BV198*C198/365,0)</f>
        <v>0.000012799563117534408</v>
      </c>
      <c r="CE198" s="5">
        <f>CC198-CD198</f>
        <v>0.020146167159212854</v>
      </c>
      <c r="CF198" s="4">
        <v>0.020146167159212854</v>
      </c>
      <c r="CG198" s="5">
        <f>CF198-CE198</f>
        <v>1.9146332739736205e-17</v>
      </c>
      <c r="CH198" s="4">
        <v>0</v>
      </c>
      <c r="CI198" s="4">
        <v>1.8888823823192367</v>
      </c>
      <c r="CJ198" s="4">
        <v>1.854</v>
      </c>
      <c r="CK198" s="4">
        <v>1.874</v>
      </c>
      <c r="CL198" s="6"/>
      <c r="CM198" s="6"/>
      <c r="CN198" s="6"/>
      <c r="CO198" s="9"/>
      <c r="CP198" s="7">
        <f>IFERROR(CE198/F198,0)</f>
        <v>0.010780637200573382</v>
      </c>
      <c r="CQ198" t="inlineStr">
        <is>
          <t xml:space="preserve">Lease cash / margin / financing</t>
        </is>
      </c>
      <c r="CR198" t="inlineStr">
        <is>
          <t xml:space="preserve">cash</t>
        </is>
      </c>
      <c r="CS198" t="inlineStr">
        <is>
          <t xml:space="preserve">lease</t>
        </is>
      </c>
      <c r="CT198" t="inlineStr">
        <is>
          <t xml:space="preserve">cash</t>
        </is>
      </c>
      <c r="CU198"/>
      <c r="CV198" s="4">
        <v>1</v>
      </c>
      <c r="CW198" s="4">
        <v>1</v>
      </c>
      <c r="CX198" s="6"/>
      <c r="CY198" s="4">
        <v>6.661338147750939e-16</v>
      </c>
      <c r="CZ198" s="5">
        <f>IF(CR198="direct",IFERROR(DF198/CW198,0),0)</f>
        <v>0</v>
      </c>
      <c r="DA198" s="5">
        <f>IF(CR198="direct",CY198-CZ198,IF(CR198="cash",DK198,CY198))</f>
        <v>6.661338147750939e-16</v>
      </c>
      <c r="DB198" s="6"/>
      <c r="DC198" s="4">
        <v>6.661338147750939e-16</v>
      </c>
      <c r="DD198" s="4">
        <v>6.661338147750939e-16</v>
      </c>
      <c r="DE198" s="5">
        <f>IF(CR198="direct",CY198*(CW198-CV198),DH198)</f>
        <v>0</v>
      </c>
      <c r="DF198" s="5">
        <f>IF(CR198="direct",DD198*CX198*C198/365,0)</f>
        <v>0</v>
      </c>
      <c r="DG198" s="5">
        <f>DE198-DF198</f>
        <v>0</v>
      </c>
      <c r="DH198" s="4">
        <v>0</v>
      </c>
      <c r="DI198" s="5">
        <f>DH198-DG198</f>
        <v>0</v>
      </c>
      <c r="DJ198" s="4">
        <v>0</v>
      </c>
      <c r="DK198" s="4">
        <v>6.661338147750939e-16</v>
      </c>
      <c r="DL198" s="4">
        <v>1.854</v>
      </c>
      <c r="DM198" s="4">
        <v>1.874</v>
      </c>
      <c r="DN198" s="6"/>
      <c r="DO198" s="6"/>
      <c r="DP198" s="6"/>
      <c r="DQ198" s="9"/>
      <c r="DR198" s="7">
        <f>IFERROR(DG198/F198,0)</f>
        <v>0</v>
      </c>
      <c r="DS198" t="inlineStr">
        <is>
          <t xml:space="preserve">Keep cash / margin / financing</t>
        </is>
      </c>
      <c r="DT198" t="inlineStr">
        <is>
          <t xml:space="preserve">cash</t>
        </is>
      </c>
      <c r="DU198" t="inlineStr">
        <is>
          <t xml:space="preserve">keep</t>
        </is>
      </c>
      <c r="DV198" t="inlineStr">
        <is>
          <t xml:space="preserve">cash</t>
        </is>
      </c>
      <c r="DW198"/>
      <c r="DX198" s="4">
        <v>1</v>
      </c>
      <c r="DY198" s="4">
        <v>1</v>
      </c>
      <c r="DZ198" s="6"/>
      <c r="EA198" s="4">
        <v>0</v>
      </c>
      <c r="EB198" s="5">
        <f>IF(DT198="direct",IFERROR(EH198/DY198,0),0)</f>
        <v>0</v>
      </c>
      <c r="EC198" s="5">
        <f>IF(DT198="direct",EA198-EB198,IF(DT198="cash",EM198,EA198))</f>
        <v>0</v>
      </c>
      <c r="ED198" s="6"/>
      <c r="EE198" s="4">
        <v>0</v>
      </c>
      <c r="EF198" s="4">
        <v>0</v>
      </c>
      <c r="EG198" s="5">
        <f>IF(DT198="direct",EA198*(DY198-DX198),EJ198)</f>
        <v>0</v>
      </c>
      <c r="EH198" s="5">
        <f>IF(DT198="direct",EF198*DZ198*C198/365,0)</f>
        <v>0</v>
      </c>
      <c r="EI198" s="5">
        <f>EG198-EH198</f>
        <v>0</v>
      </c>
      <c r="EJ198" s="4">
        <v>0</v>
      </c>
      <c r="EK198" s="5">
        <f>EJ198-EI198</f>
        <v>0</v>
      </c>
      <c r="EL198" s="4">
        <v>0</v>
      </c>
      <c r="EM198" s="4">
        <v>0</v>
      </c>
      <c r="EN198" s="4">
        <v>1.854</v>
      </c>
      <c r="EO198" s="4">
        <v>1.874</v>
      </c>
      <c r="EP198" s="6"/>
      <c r="EQ198" s="6"/>
      <c r="ER198" s="6"/>
      <c r="ES198" s="9"/>
      <c r="ET198" s="7">
        <f>IFERROR(EI198/F198,0)</f>
        <v>0</v>
      </c>
      <c r="EU198"/>
      <c r="EV198"/>
      <c r="EW198"/>
      <c r="EX198"/>
      <c r="EY198"/>
      <c r="EZ198" s="4"/>
      <c r="FA198" s="4"/>
      <c r="FB198" s="6"/>
      <c r="FC198" s="4"/>
      <c r="FD198" s="5">
        <v>0</v>
      </c>
      <c r="FE198" s="5"/>
      <c r="FF198" s="6"/>
      <c r="FG198" s="4"/>
      <c r="FH198" s="4"/>
      <c r="FI198" s="5">
        <v>0</v>
      </c>
      <c r="FJ198" s="5">
        <v>0</v>
      </c>
      <c r="FK198" s="5"/>
      <c r="FL198" s="4"/>
      <c r="FM198" s="5">
        <v>0</v>
      </c>
      <c r="FN198" s="4"/>
      <c r="FO198" s="4"/>
      <c r="FP198" s="4"/>
      <c r="FQ198" s="4"/>
      <c r="FR198" s="6"/>
      <c r="FS198" s="6"/>
      <c r="FT198" s="6"/>
      <c r="FU198" s="9"/>
      <c r="FV198"/>
      <c r="FW198"/>
      <c r="FX198"/>
      <c r="FY198"/>
      <c r="FZ198"/>
      <c r="GA198"/>
      <c r="GB198" s="4"/>
      <c r="GC198" s="4"/>
      <c r="GD198" s="6"/>
      <c r="GE198" s="4"/>
      <c r="GF198" s="5">
        <v>0</v>
      </c>
      <c r="GG198" s="5"/>
      <c r="GH198" s="6"/>
      <c r="GI198" s="4"/>
      <c r="GJ198" s="4"/>
      <c r="GK198" s="5">
        <v>0</v>
      </c>
      <c r="GL198" s="5">
        <v>0</v>
      </c>
      <c r="GM198" s="5"/>
      <c r="GN198" s="4"/>
      <c r="GO198" s="5">
        <v>0</v>
      </c>
      <c r="GP198" s="4"/>
      <c r="GQ198" s="4"/>
      <c r="GR198" s="4"/>
      <c r="GS198" s="4"/>
      <c r="GT198" s="6"/>
      <c r="GU198" s="6"/>
      <c r="GV198" s="6"/>
      <c r="GW198" s="9"/>
      <c r="GX198"/>
      <c r="GY198"/>
      <c r="GZ198"/>
      <c r="HA198"/>
      <c r="HB198"/>
      <c r="HC198"/>
      <c r="HD198" s="4"/>
      <c r="HE198" s="4"/>
      <c r="HF198" s="6"/>
      <c r="HG198" s="4"/>
      <c r="HH198" s="5">
        <v>0</v>
      </c>
      <c r="HI198" s="5"/>
      <c r="HJ198" s="6"/>
      <c r="HK198" s="4"/>
      <c r="HL198" s="4"/>
      <c r="HM198" s="5">
        <v>0</v>
      </c>
      <c r="HN198" s="5">
        <v>0</v>
      </c>
      <c r="HO198" s="5"/>
      <c r="HP198" s="4"/>
      <c r="HQ198" s="5">
        <v>0</v>
      </c>
      <c r="HR198" s="4"/>
      <c r="HS198" s="4"/>
      <c r="HT198" s="4"/>
      <c r="HU198" s="4"/>
      <c r="HV198" s="6"/>
      <c r="HW198" s="6"/>
      <c r="HX198" s="6"/>
      <c r="HY198" s="9"/>
      <c r="HZ198"/>
      <c r="IA198"/>
      <c r="IB198"/>
      <c r="IC198"/>
      <c r="ID198"/>
      <c r="IE198"/>
      <c r="IF198" s="4"/>
      <c r="IG198" s="4"/>
      <c r="IH198" s="6"/>
      <c r="II198" s="4"/>
      <c r="IJ198" s="5">
        <v>0</v>
      </c>
      <c r="IK198" s="5"/>
      <c r="IL198" s="6"/>
      <c r="IM198" s="4"/>
      <c r="IN198" s="4"/>
      <c r="IO198" s="5">
        <v>0</v>
      </c>
      <c r="IP198" s="5">
        <v>0</v>
      </c>
      <c r="IQ198" s="5"/>
      <c r="IR198" s="4"/>
      <c r="IS198" s="5">
        <v>0</v>
      </c>
      <c r="IT198" s="4"/>
      <c r="IU198" s="4"/>
      <c r="IV198" s="4"/>
      <c r="IW198" s="4"/>
      <c r="IX198" s="6"/>
      <c r="IY198" s="6"/>
      <c r="IZ198" s="6"/>
      <c r="JA198" s="9"/>
      <c r="JB198"/>
      <c r="JC198"/>
      <c r="JD198"/>
      <c r="JE198"/>
      <c r="JF198"/>
      <c r="JG198"/>
      <c r="JH198" s="4"/>
      <c r="JI198" s="4"/>
      <c r="JJ198" s="6"/>
      <c r="JK198" s="4"/>
      <c r="JL198" s="5">
        <v>0</v>
      </c>
      <c r="JM198" s="5"/>
      <c r="JN198" s="6"/>
      <c r="JO198" s="4"/>
      <c r="JP198" s="4"/>
      <c r="JQ198" s="5">
        <v>0</v>
      </c>
      <c r="JR198" s="5">
        <v>0</v>
      </c>
      <c r="JS198" s="5"/>
      <c r="JT198" s="4"/>
      <c r="JU198" s="5">
        <v>0</v>
      </c>
      <c r="JV198" s="4"/>
      <c r="JW198" s="4"/>
      <c r="JX198" s="4"/>
      <c r="JY198" s="4"/>
      <c r="JZ198" s="6"/>
      <c r="KA198" s="6"/>
      <c r="KB198" s="6"/>
      <c r="KC198" s="9"/>
      <c r="KD198"/>
      <c r="KE198"/>
      <c r="KF198"/>
      <c r="KG198"/>
      <c r="KH198"/>
      <c r="KI198"/>
      <c r="KJ198" s="4"/>
      <c r="KK198" s="4"/>
      <c r="KL198" s="6"/>
      <c r="KM198" s="4"/>
      <c r="KN198" s="5">
        <v>0</v>
      </c>
      <c r="KO198" s="5"/>
      <c r="KP198" s="6"/>
      <c r="KQ198" s="4"/>
      <c r="KR198" s="4"/>
      <c r="KS198" s="5">
        <v>0</v>
      </c>
      <c r="KT198" s="5">
        <v>0</v>
      </c>
      <c r="KU198" s="5"/>
      <c r="KV198" s="4"/>
      <c r="KW198" s="5">
        <v>0</v>
      </c>
      <c r="KX198" s="4"/>
      <c r="KY198" s="4"/>
      <c r="KZ198" s="4"/>
      <c r="LA198" s="4"/>
      <c r="LB198" s="6"/>
      <c r="LC198" s="6"/>
      <c r="LD198" s="6"/>
      <c r="LE198" s="9"/>
      <c r="LF198"/>
      <c r="LG198"/>
      <c r="LH198"/>
      <c r="LI198"/>
      <c r="LJ198"/>
      <c r="LK198"/>
      <c r="LL198" s="4"/>
      <c r="LM198" s="4"/>
      <c r="LN198" s="6"/>
      <c r="LO198" s="4"/>
      <c r="LP198" s="5">
        <v>0</v>
      </c>
      <c r="LQ198" s="5"/>
      <c r="LR198" s="6"/>
      <c r="LS198" s="4"/>
      <c r="LT198" s="4"/>
      <c r="LU198" s="5">
        <v>0</v>
      </c>
      <c r="LV198" s="5">
        <v>0</v>
      </c>
      <c r="LW198" s="5"/>
      <c r="LX198" s="4"/>
      <c r="LY198" s="5">
        <v>0</v>
      </c>
      <c r="LZ198" s="4"/>
      <c r="MA198" s="4"/>
      <c r="MB198" s="4"/>
      <c r="MC198" s="4"/>
      <c r="MD198" s="6"/>
      <c r="ME198" s="6"/>
      <c r="MF198" s="6"/>
      <c r="MG198" s="9"/>
      <c r="MH198"/>
    </row>
    <row r="199">
      <c r="A199" s="8">
        <v>25497</v>
      </c>
      <c r="B199" s="8">
        <v>25498</v>
      </c>
      <c r="C199" s="9">
        <f>B199-A199</f>
        <v>1</v>
      </c>
      <c r="D199" s="8">
        <v>25497</v>
      </c>
      <c r="E199" t="inlineStr">
        <is>
          <t xml:space="preserve">positive</t>
        </is>
      </c>
      <c r="F199" s="4">
        <v>1.8888823823192364</v>
      </c>
      <c r="G199" s="6">
        <v>-0.012151052960057172</v>
      </c>
      <c r="H199" s="7">
        <f>SUM(CP199,DR199,ET199,FV199,GX199,HZ199,JB199,KD199,LF199,MH199)</f>
        <v>-0.012151052960057172</v>
      </c>
      <c r="I199" s="7">
        <f>G199-H199</f>
        <v>0</v>
      </c>
      <c r="J199" s="5">
        <f>F199*(1+H199)</f>
        <v>1.8659304724563566</v>
      </c>
      <c r="K199" s="4">
        <v>1.8659304724563566</v>
      </c>
      <c r="L199" s="5">
        <f>K199-J199</f>
        <v>0</v>
      </c>
      <c r="M199" s="4">
        <v>1.874</v>
      </c>
      <c r="N199" s="4">
        <v>1.846</v>
      </c>
      <c r="O199" s="5">
        <f>M199/$M$3</f>
        <v>0.9570990806945864</v>
      </c>
      <c r="P199" s="5">
        <f>N199/$M$3</f>
        <v>0.9427987742594485</v>
      </c>
      <c r="Q199" s="7">
        <f>IFERROR(N199/M199-1,0)</f>
        <v>-0.014941302027748127</v>
      </c>
      <c r="R199" s="5">
        <f>SUM(IF(BQ199="lease",CB199,0),IF(CS199="lease",DD199,0),IF(DU199="lease",EF199,0),IF(EW199="lease",FH199,0),IF(FY199="lease",GJ199,0),IF(HA199="lease",HL199,0),IF(IC199="lease",IN199,0),IF(JE199="lease",JP199,0),IF(KG199="lease",KR199,0),IF(LI199="lease",LT199,0))</f>
        <v>1.888882382319237</v>
      </c>
      <c r="S199" s="5">
        <f>SUM(IF(BQ199="lease",CI199,0),IF(CS199="lease",DK199,0),IF(DU199="lease",EM199,0),IF(EW199="lease",FO199,0),IF(FY199="lease",GQ199,0),IF(HA199="lease",HS199,0),IF(IC199="lease",IU199,0),IF(JE199="lease",JW199,0),IF(KG199="lease",KY199,0),IF(LI199="lease",MA199,0))</f>
        <v>1.8659304724563572</v>
      </c>
      <c r="T199" s="5">
        <f>SUM(IF(BQ199="keep",CB199,0),IF(CS199="keep",DD199,0),IF(DU199="keep",EF199,0),IF(EW199="keep",FH199,0),IF(FY199="keep",GJ199,0),IF(HA199="keep",HL199,0),IF(IC199="keep",IN199,0),IF(JE199="keep",JP199,0),IF(KG199="keep",KR199,0),IF(LI199="keep",LT199,0))</f>
        <v>0</v>
      </c>
      <c r="U199" s="5">
        <f>SUM(IF(BQ199="keep",CI199,0),IF(CS199="keep",DK199,0),IF(DU199="keep",EM199,0),IF(EW199="keep",FO199,0),IF(FY199="keep",GQ199,0),IF(HA199="keep",HS199,0),IF(IC199="keep",IU199,0),IF(JE199="keep",JW199,0),IF(KG199="keep",KY199,0),IF(LI199="keep",MA199,0))</f>
        <v>0</v>
      </c>
      <c r="V199" s="5">
        <f>R199/O199</f>
        <v>1.9735494688266093</v>
      </c>
      <c r="W199" s="5">
        <f>S199/P199</f>
        <v>1.9791396885533843</v>
      </c>
      <c r="X199" s="5">
        <f>T199/O199</f>
        <v>0</v>
      </c>
      <c r="Y199" s="5">
        <f>U199/P199</f>
        <v>0</v>
      </c>
      <c r="Z199" s="5">
        <f>V199+X199</f>
        <v>1.9735494688266093</v>
      </c>
      <c r="AA199" s="7">
        <f>IFERROR(W199/V199-1,0)</f>
        <v>0.0028325713720764867</v>
      </c>
      <c r="AB199" s="7">
        <f>IFERROR((W199-V199)/Z199,0)</f>
        <v>0.002832571372076472</v>
      </c>
      <c r="AC199" s="7">
        <f>IFERROR(Y199/X199-1,0)</f>
        <v>0</v>
      </c>
      <c r="AD199" s="7">
        <f>IFERROR((Y199-X199)/Z199,0)</f>
        <v>0</v>
      </c>
      <c r="AE199" s="7">
        <f>AB199+AD199</f>
        <v>0.002832571372076472</v>
      </c>
      <c r="AF199" s="7">
        <f>(1+Q199)*(1+AE199)-1</f>
        <v>-0.01215105296005703</v>
      </c>
      <c r="AG199" s="7">
        <f>G199-AF199</f>
        <v>-1.4224732503009818e-16</v>
      </c>
      <c r="AH199" s="5">
        <f>SUM(IF(BQ199="lease",CE199,0),IF(CS199="lease",DG199,0),IF(DU199="lease",EI199,0),IF(EW199="lease",FK199,0),IF(FY199="lease",GM199,0),IF(HA199="lease",HO199,0),IF(IC199="lease",IQ199,0),IF(JE199="lease",JS199,0),IF(KG199="lease",KU199,0),IF(LI199="lease",LW199,0))</f>
        <v>-0.02295190986288</v>
      </c>
      <c r="AI199" s="5">
        <f>SUM(IF(BQ199="keep",CE199,0),IF(CS199="keep",DG199,0),IF(DU199="keep",EI199,0),IF(EW199="keep",FK199,0),IF(FY199="keep",GM199,0),IF(HA199="keep",HO199,0),IF(IC199="keep",IQ199,0),IF(JE199="keep",JS199,0),IF(KG199="keep",KU199,0),IF(LI199="keep",LW199,0))</f>
        <v>0</v>
      </c>
      <c r="AJ199" s="5">
        <f>SUM(IF(BQ199="lease",CH199,0),IF(CS199="lease",DJ199,0),IF(DU199="lease",EL199,0),IF(EW199="lease",FN199,0),IF(FY199="lease",GP199,0),IF(HA199="lease",HR199,0),IF(IC199="lease",IT199,0),IF(JE199="lease",JV199,0),IF(KG199="lease",KX199,0),IF(LI199="lease",LZ199,0))</f>
        <v>0</v>
      </c>
      <c r="AK199" s="5">
        <f>SUM(IF(BQ199="keep",CH199,0),IF(CS199="keep",DJ199,0),IF(DU199="keep",EL199,0),IF(EW199="keep",FN199,0),IF(FY199="keep",GP199,0),IF(HA199="keep",HR199,0),IF(IC199="keep",IT199,0),IF(JE199="keep",JV199,0),IF(KG199="keep",KX199,0),IF(LI199="keep",LZ199,0))</f>
        <v>0</v>
      </c>
      <c r="AL199" s="5">
        <f>R199-S198</f>
        <v>-2.220446049250313e-16</v>
      </c>
      <c r="AM199" s="5">
        <f>T199-U198</f>
        <v>0</v>
      </c>
      <c r="AN199" s="5">
        <f>AN198</f>
        <v>1</v>
      </c>
      <c r="AO199" s="5">
        <f>AO198+AH199</f>
        <v>0.8659304724563569</v>
      </c>
      <c r="AP199" s="5">
        <f>AP198+AL199</f>
        <v>0</v>
      </c>
      <c r="AQ199" s="5">
        <f>AN199+AO199+AP199</f>
        <v>1.8659304724563568</v>
      </c>
      <c r="AR199" s="5">
        <f>S199-AQ199</f>
        <v>4.440892098500626e-16</v>
      </c>
      <c r="AS199" s="5">
        <f>AS198</f>
        <v>0</v>
      </c>
      <c r="AT199" s="5">
        <f>AT198+AI199</f>
        <v>0</v>
      </c>
      <c r="AU199" s="5">
        <f>AU198+AM199</f>
        <v>0</v>
      </c>
      <c r="AV199" s="5">
        <f>AS199+AT199+AU199</f>
        <v>0</v>
      </c>
      <c r="AW199" s="5">
        <f>U199-AV199</f>
        <v>0</v>
      </c>
      <c r="AX199" s="4">
        <v>1.888882382319237</v>
      </c>
      <c r="AY199" s="4">
        <v>1.865930472456357</v>
      </c>
      <c r="AZ199" s="5">
        <f>S199-AY199</f>
        <v>2.220446049250313e-16</v>
      </c>
      <c r="BA199" s="4">
        <v>0</v>
      </c>
      <c r="BB199" s="4">
        <v>0</v>
      </c>
      <c r="BC199" s="5">
        <f>U199-BB199</f>
        <v>0</v>
      </c>
      <c r="BD199" s="7">
        <f>SUM(IF(BP199="direct",CC199/F199,0),IF(CR199="direct",DE199/F199,0),IF(DT199="direct",EG199/F199,0),IF(EV199="direct",FI199/F199,0),IF(FX199="direct",GK199/F199,0),IF(GZ199="direct",HM199/F199,0),IF(IB199="direct",IO199/F199,0),IF(JD199="direct",JQ199/F199,0),IF(KF199="direct",KS199/F199,0),IF(LH199="direct",LU199/F199,0))</f>
        <v>-0.01312939097037539</v>
      </c>
      <c r="BE199" s="7">
        <f>-SUM(IF(BP199="direct",CD199/F199,0),IF(CR199="direct",DF199/F199,0),IF(DT199="direct",EH199/F199,0),IF(EV199="direct",FJ199/F199,0),IF(FX199="direct",GL199/F199,0),IF(GZ199="direct",HN199/F199,0),IF(IB199="direct",IP199/F199,0),IF(JD199="direct",JR199/F199,0),IF(KF199="direct",KT199/F199,0),IF(LH199="direct",LV199/F199,0))</f>
        <v>-0.000006018708091605543</v>
      </c>
      <c r="BF199" s="7">
        <f>BD199+BE199</f>
        <v>-0.013135409678466997</v>
      </c>
      <c r="BG199" s="7">
        <f>BF199-SUM(IF(BP199="direct",CP199,0),IF(CR199="direct",DR199,0),IF(DT199="direct",ET199,0),IF(EV199="direct",FV199,0),IF(FX199="direct",GX199,0),IF(GZ199="direct",HZ199,0),IF(IB199="direct",JB199,0),IF(JD199="direct",KD199,0),IF(KF199="direct",LF199,0),IF(LH199="direct",MH199,0))</f>
        <v>-1.5612511283791264e-17</v>
      </c>
      <c r="BH199" s="7">
        <f>SUM(IF(BP199="treasury",CP199,0),IF(CR199="treasury",DR199,0),IF(DT199="treasury",ET199,0),IF(EV199="treasury",FV199,0),IF(FX199="treasury",GX199,0),IF(GZ199="treasury",HZ199,0),IF(IB199="treasury",JB199,0),IF(JD199="treasury",KD199,0),IF(KF199="treasury",LF199,0),IF(LH199="treasury",MH199,0))</f>
        <v>0.000022924752562097975</v>
      </c>
      <c r="BI199" s="7">
        <f>SUM(IF(BP199="future",CP199,0),IF(CR199="future",DR199,0),IF(DT199="future",ET199,0),IF(EV199="future",FV199,0),IF(FX199="future",GX199,0),IF(GZ199="future",HZ199,0),IF(IB199="future",JB199,0),IF(JD199="future",KD199,0),IF(KF199="future",LF199,0),IF(LH199="future",MH199,0))</f>
        <v>0.0009614319658477108</v>
      </c>
      <c r="BJ199" s="7">
        <f>SUM(IF(BP199="cash",CP199,0),IF(CR199="cash",DR199,0),IF(DT199="cash",ET199,0),IF(EV199="cash",FV199,0),IF(FX199="cash",GX199,0),IF(GZ199="cash",HZ199,0),IF(IB199="cash",JB199,0),IF(JD199="cash",KD199,0),IF(KF199="cash",LF199,0),IF(LH199="cash",MH199,0))</f>
        <v>0</v>
      </c>
      <c r="BK199" s="7">
        <f>SUM(BF199,BH199,BI199,BJ199)</f>
        <v>-0.012151052960057172</v>
      </c>
      <c r="BL199" s="7">
        <f>G199-BK199</f>
        <v>0</v>
      </c>
      <c r="BM199" s="5">
        <f>MAX(ABS(CG199),ABS(DI199),ABS(EK199),ABS(FM199),ABS(GO199),ABS(HQ199),ABS(IS199),ABS(JU199),ABS(KW199),ABS(LY199))</f>
        <v>3.712037188047246e-17</v>
      </c>
      <c r="BN199" s="9">
        <f>COUNTA(BO199,CQ199,DS199,EU199,FW199,GY199,IA199,JC199,KE199,LG199)</f>
        <v>5</v>
      </c>
      <c r="BO199" t="inlineStr">
        <is>
          <t xml:space="preserve">Direct commodity holding</t>
        </is>
      </c>
      <c r="BP199" t="inlineStr">
        <is>
          <t xml:space="preserve">direct</t>
        </is>
      </c>
      <c r="BQ199" t="inlineStr">
        <is>
          <t xml:space="preserve">lease</t>
        </is>
      </c>
      <c r="BR199" t="inlineStr">
        <is>
          <t xml:space="preserve">long</t>
        </is>
      </c>
      <c r="BS199"/>
      <c r="BT199" s="4">
        <v>1.874</v>
      </c>
      <c r="BU199" s="4">
        <v>1.846</v>
      </c>
      <c r="BV199" s="6">
        <v>0.0025</v>
      </c>
      <c r="BW199" s="4">
        <v>0.8857098319472613</v>
      </c>
      <c r="BX199" s="5">
        <f>IF(BP199="direct",IFERROR(CD199/BU199,0),0)</f>
        <v>0.000006158522036054141</v>
      </c>
      <c r="BY199" s="5">
        <f>IF(BP199="direct",BW199-BX199,IF(BP199="cash",CI199,BW199))</f>
        <v>0.8857036734252253</v>
      </c>
      <c r="BZ199" s="6">
        <v>0.8787313813744093</v>
      </c>
      <c r="CA199" s="4">
        <v>1.6598202250691678</v>
      </c>
      <c r="CB199" s="4">
        <v>1.6598202250691678</v>
      </c>
      <c r="CC199" s="5">
        <f>IF(BP199="direct",BW199*(BU199-BT199),CF199)</f>
        <v>-0.02479987529452334</v>
      </c>
      <c r="CD199" s="5">
        <f>IF(BP199="direct",CB199*BV199*C199/365,0)</f>
        <v>0.000011368631678555944</v>
      </c>
      <c r="CE199" s="5">
        <f>CC199-CD199</f>
        <v>-0.024811243926201865</v>
      </c>
      <c r="CF199" s="4">
        <v>-0.024811243926201865</v>
      </c>
      <c r="CG199" s="5">
        <f>CF199-CE199</f>
        <v>2.9302257777315266e-17</v>
      </c>
      <c r="CH199" s="4">
        <v>0</v>
      </c>
      <c r="CI199" s="4">
        <v>1.635008981142966</v>
      </c>
      <c r="CJ199" s="4">
        <v>1.874</v>
      </c>
      <c r="CK199" s="4">
        <v>1.846</v>
      </c>
      <c r="CL199" s="6"/>
      <c r="CM199" s="6"/>
      <c r="CN199" s="6"/>
      <c r="CO199" s="9"/>
      <c r="CP199" s="7">
        <f>IFERROR(CE199/F199,0)</f>
        <v>-0.013135409678466981</v>
      </c>
      <c r="CQ199" t="inlineStr">
        <is>
          <t xml:space="preserve">Treasury collateral</t>
        </is>
      </c>
      <c r="CR199" t="inlineStr">
        <is>
          <t xml:space="preserve">treasury</t>
        </is>
      </c>
      <c r="CS199" t="inlineStr">
        <is>
          <t xml:space="preserve">lease</t>
        </is>
      </c>
      <c r="CT199" t="inlineStr">
        <is>
          <t xml:space="preserve">long</t>
        </is>
      </c>
      <c r="CU199"/>
      <c r="CV199" s="4">
        <v>105.3163284252141</v>
      </c>
      <c r="CW199" s="4">
        <v>105.33623753935477</v>
      </c>
      <c r="CX199" s="6"/>
      <c r="CY199" s="4">
        <v>0.002174991861900384</v>
      </c>
      <c r="CZ199" s="5">
        <f>IF(CR199="direct",IFERROR(DF199/CW199,0),0)</f>
        <v>0</v>
      </c>
      <c r="DA199" s="5">
        <f>IF(CR199="direct",CY199-CZ199,IF(CR199="cash",DK199,CY199))</f>
        <v>0.002174991861900384</v>
      </c>
      <c r="DB199" s="6">
        <v>0.12126861862559074</v>
      </c>
      <c r="DC199" s="4">
        <v>0.22906215725006876</v>
      </c>
      <c r="DD199" s="4">
        <v>0.22906215725006876</v>
      </c>
      <c r="DE199" s="5">
        <f>IF(CR199="direct",CY199*(CW199-CV199),DH199)</f>
        <v>0.00004330216123361176</v>
      </c>
      <c r="DF199" s="5">
        <f>IF(CR199="direct",DD199*CX199*C199/365,0)</f>
        <v>0</v>
      </c>
      <c r="DG199" s="5">
        <f>DE199-DF199</f>
        <v>0.00004330216123357464</v>
      </c>
      <c r="DH199" s="4">
        <v>0.00004330216123357464</v>
      </c>
      <c r="DI199" s="5">
        <f>DH199-DG199</f>
        <v>-3.712037188047246e-17</v>
      </c>
      <c r="DJ199" s="4">
        <v>3.0222135558033436e-17</v>
      </c>
      <c r="DK199" s="4">
        <v>0.22910545941130236</v>
      </c>
      <c r="DL199" s="4">
        <v>1.874</v>
      </c>
      <c r="DM199" s="4">
        <v>1.846</v>
      </c>
      <c r="DN199" s="6"/>
      <c r="DO199" s="6"/>
      <c r="DP199" s="6"/>
      <c r="DQ199" s="9">
        <v>69</v>
      </c>
      <c r="DR199" s="7">
        <f>IFERROR(DG199/F199,0)</f>
        <v>0.000022924752562097975</v>
      </c>
      <c r="DS199" t="inlineStr">
        <is>
          <t xml:space="preserve">SI69Z</t>
        </is>
      </c>
      <c r="DT199" t="inlineStr">
        <is>
          <t xml:space="preserve">future</t>
        </is>
      </c>
      <c r="DU199" t="inlineStr">
        <is>
          <t xml:space="preserve">lease</t>
        </is>
      </c>
      <c r="DV199" t="inlineStr">
        <is>
          <t xml:space="preserve">long</t>
        </is>
      </c>
      <c r="DW199" t="inlineStr">
        <is>
          <t xml:space="preserve">regular</t>
        </is>
      </c>
      <c r="DX199" s="4">
        <v>1.892</v>
      </c>
      <c r="DY199" s="4">
        <v>1.9069999999999998</v>
      </c>
      <c r="DZ199" s="6"/>
      <c r="EA199" s="4">
        <v>0.1210687934725522</v>
      </c>
      <c r="EB199" s="5">
        <f>IF(DT199="direct",IFERROR(EH199/DY199,0),0)</f>
        <v>0</v>
      </c>
      <c r="EC199" s="5">
        <f>IF(DT199="direct",EA199-EB199,IF(DT199="cash",EM199,EA199))</f>
        <v>0.1210687934725522</v>
      </c>
      <c r="ED199" s="6">
        <v>0.12126861862559074</v>
      </c>
      <c r="EE199" s="4">
        <v>0.22906215725006876</v>
      </c>
      <c r="EF199" s="4">
        <v>0</v>
      </c>
      <c r="EG199" s="5">
        <f>IF(DT199="direct",EA199*(DY199-DX199),EJ199)</f>
        <v>0.0018160319020882909</v>
      </c>
      <c r="EH199" s="5">
        <f>IF(DT199="direct",EF199*DZ199*C199/365,0)</f>
        <v>0</v>
      </c>
      <c r="EI199" s="5">
        <f>EG199-EH199</f>
        <v>0.0018160319020882909</v>
      </c>
      <c r="EJ199" s="4">
        <v>0.0018160319020882909</v>
      </c>
      <c r="EK199" s="5">
        <f>EJ199-EI199</f>
        <v>0</v>
      </c>
      <c r="EL199" s="4">
        <v>-0.0018160319020882909</v>
      </c>
      <c r="EM199" s="4">
        <v>0</v>
      </c>
      <c r="EN199" s="4">
        <v>1.874</v>
      </c>
      <c r="EO199" s="4">
        <v>1.846</v>
      </c>
      <c r="EP199" s="6">
        <v>0.009605122732123661</v>
      </c>
      <c r="EQ199" s="6">
        <v>0.069</v>
      </c>
      <c r="ER199" s="6">
        <v>0.01819029279383861</v>
      </c>
      <c r="ES199" s="9">
        <v>69</v>
      </c>
      <c r="ET199" s="7">
        <f>IFERROR(EI199/F199,0)</f>
        <v>0.0009614319658477108</v>
      </c>
      <c r="EU199" t="inlineStr">
        <is>
          <t xml:space="preserve">Lease cash / margin / financing</t>
        </is>
      </c>
      <c r="EV199" t="inlineStr">
        <is>
          <t xml:space="preserve">cash</t>
        </is>
      </c>
      <c r="EW199" t="inlineStr">
        <is>
          <t xml:space="preserve">lease</t>
        </is>
      </c>
      <c r="EX199" t="inlineStr">
        <is>
          <t xml:space="preserve">cash</t>
        </is>
      </c>
      <c r="EY199"/>
      <c r="EZ199" s="4">
        <v>1</v>
      </c>
      <c r="FA199" s="4">
        <v>1</v>
      </c>
      <c r="FB199" s="6"/>
      <c r="FC199" s="4">
        <v>4.440892098500626e-16</v>
      </c>
      <c r="FD199" s="5">
        <f>IF(EV199="direct",IFERROR(FJ199/FA199,0),0)</f>
        <v>0</v>
      </c>
      <c r="FE199" s="5">
        <f>IF(EV199="direct",FC199-FD199,IF(EV199="cash",FO199,FC199))</f>
        <v>0.0018160319020887048</v>
      </c>
      <c r="FF199" s="6"/>
      <c r="FG199" s="4">
        <v>4.440892098500626e-16</v>
      </c>
      <c r="FH199" s="4">
        <v>4.440892098500626e-16</v>
      </c>
      <c r="FI199" s="5">
        <f>IF(EV199="direct",FC199*(FA199-EZ199),FL199)</f>
        <v>0</v>
      </c>
      <c r="FJ199" s="5">
        <f>IF(EV199="direct",FH199*FB199*C199/365,0)</f>
        <v>0</v>
      </c>
      <c r="FK199" s="5">
        <f>FI199-FJ199</f>
        <v>0</v>
      </c>
      <c r="FL199" s="4">
        <v>0</v>
      </c>
      <c r="FM199" s="5">
        <f>FL199-FK199</f>
        <v>0</v>
      </c>
      <c r="FN199" s="4">
        <v>0.0018160319020882607</v>
      </c>
      <c r="FO199" s="4">
        <v>0.0018160319020887048</v>
      </c>
      <c r="FP199" s="4">
        <v>1.874</v>
      </c>
      <c r="FQ199" s="4">
        <v>1.846</v>
      </c>
      <c r="FR199" s="6"/>
      <c r="FS199" s="6"/>
      <c r="FT199" s="6"/>
      <c r="FU199" s="9"/>
      <c r="FV199" s="7">
        <f>IFERROR(FK199/F199,0)</f>
        <v>0</v>
      </c>
      <c r="FW199" t="inlineStr">
        <is>
          <t xml:space="preserve">Keep cash / margin / financing</t>
        </is>
      </c>
      <c r="FX199" t="inlineStr">
        <is>
          <t xml:space="preserve">cash</t>
        </is>
      </c>
      <c r="FY199" t="inlineStr">
        <is>
          <t xml:space="preserve">keep</t>
        </is>
      </c>
      <c r="FZ199" t="inlineStr">
        <is>
          <t xml:space="preserve">cash</t>
        </is>
      </c>
      <c r="GA199"/>
      <c r="GB199" s="4">
        <v>1</v>
      </c>
      <c r="GC199" s="4">
        <v>1</v>
      </c>
      <c r="GD199" s="6"/>
      <c r="GE199" s="4">
        <v>0</v>
      </c>
      <c r="GF199" s="5">
        <f>IF(FX199="direct",IFERROR(GL199/GC199,0),0)</f>
        <v>0</v>
      </c>
      <c r="GG199" s="5">
        <f>IF(FX199="direct",GE199-GF199,IF(FX199="cash",GQ199,GE199))</f>
        <v>0</v>
      </c>
      <c r="GH199" s="6"/>
      <c r="GI199" s="4">
        <v>0</v>
      </c>
      <c r="GJ199" s="4">
        <v>0</v>
      </c>
      <c r="GK199" s="5">
        <f>IF(FX199="direct",GE199*(GC199-GB199),GN199)</f>
        <v>0</v>
      </c>
      <c r="GL199" s="5">
        <f>IF(FX199="direct",GJ199*GD199*C199/365,0)</f>
        <v>0</v>
      </c>
      <c r="GM199" s="5">
        <f>GK199-GL199</f>
        <v>0</v>
      </c>
      <c r="GN199" s="4">
        <v>0</v>
      </c>
      <c r="GO199" s="5">
        <f>GN199-GM199</f>
        <v>0</v>
      </c>
      <c r="GP199" s="4">
        <v>0</v>
      </c>
      <c r="GQ199" s="4">
        <v>0</v>
      </c>
      <c r="GR199" s="4">
        <v>1.874</v>
      </c>
      <c r="GS199" s="4">
        <v>1.846</v>
      </c>
      <c r="GT199" s="6"/>
      <c r="GU199" s="6"/>
      <c r="GV199" s="6"/>
      <c r="GW199" s="9"/>
      <c r="GX199" s="7">
        <f>IFERROR(GM199/F199,0)</f>
        <v>0</v>
      </c>
      <c r="GY199"/>
      <c r="GZ199"/>
      <c r="HA199"/>
      <c r="HB199"/>
      <c r="HC199"/>
      <c r="HD199" s="4"/>
      <c r="HE199" s="4"/>
      <c r="HF199" s="6"/>
      <c r="HG199" s="4"/>
      <c r="HH199" s="5">
        <v>0</v>
      </c>
      <c r="HI199" s="5"/>
      <c r="HJ199" s="6"/>
      <c r="HK199" s="4"/>
      <c r="HL199" s="4"/>
      <c r="HM199" s="5">
        <v>0</v>
      </c>
      <c r="HN199" s="5">
        <v>0</v>
      </c>
      <c r="HO199" s="5"/>
      <c r="HP199" s="4"/>
      <c r="HQ199" s="5">
        <v>0</v>
      </c>
      <c r="HR199" s="4"/>
      <c r="HS199" s="4"/>
      <c r="HT199" s="4"/>
      <c r="HU199" s="4"/>
      <c r="HV199" s="6"/>
      <c r="HW199" s="6"/>
      <c r="HX199" s="6"/>
      <c r="HY199" s="9"/>
      <c r="HZ199"/>
      <c r="IA199"/>
      <c r="IB199"/>
      <c r="IC199"/>
      <c r="ID199"/>
      <c r="IE199"/>
      <c r="IF199" s="4"/>
      <c r="IG199" s="4"/>
      <c r="IH199" s="6"/>
      <c r="II199" s="4"/>
      <c r="IJ199" s="5">
        <v>0</v>
      </c>
      <c r="IK199" s="5"/>
      <c r="IL199" s="6"/>
      <c r="IM199" s="4"/>
      <c r="IN199" s="4"/>
      <c r="IO199" s="5">
        <v>0</v>
      </c>
      <c r="IP199" s="5">
        <v>0</v>
      </c>
      <c r="IQ199" s="5"/>
      <c r="IR199" s="4"/>
      <c r="IS199" s="5">
        <v>0</v>
      </c>
      <c r="IT199" s="4"/>
      <c r="IU199" s="4"/>
      <c r="IV199" s="4"/>
      <c r="IW199" s="4"/>
      <c r="IX199" s="6"/>
      <c r="IY199" s="6"/>
      <c r="IZ199" s="6"/>
      <c r="JA199" s="9"/>
      <c r="JB199"/>
      <c r="JC199"/>
      <c r="JD199"/>
      <c r="JE199"/>
      <c r="JF199"/>
      <c r="JG199"/>
      <c r="JH199" s="4"/>
      <c r="JI199" s="4"/>
      <c r="JJ199" s="6"/>
      <c r="JK199" s="4"/>
      <c r="JL199" s="5">
        <v>0</v>
      </c>
      <c r="JM199" s="5"/>
      <c r="JN199" s="6"/>
      <c r="JO199" s="4"/>
      <c r="JP199" s="4"/>
      <c r="JQ199" s="5">
        <v>0</v>
      </c>
      <c r="JR199" s="5">
        <v>0</v>
      </c>
      <c r="JS199" s="5"/>
      <c r="JT199" s="4"/>
      <c r="JU199" s="5">
        <v>0</v>
      </c>
      <c r="JV199" s="4"/>
      <c r="JW199" s="4"/>
      <c r="JX199" s="4"/>
      <c r="JY199" s="4"/>
      <c r="JZ199" s="6"/>
      <c r="KA199" s="6"/>
      <c r="KB199" s="6"/>
      <c r="KC199" s="9"/>
      <c r="KD199"/>
      <c r="KE199"/>
      <c r="KF199"/>
      <c r="KG199"/>
      <c r="KH199"/>
      <c r="KI199"/>
      <c r="KJ199" s="4"/>
      <c r="KK199" s="4"/>
      <c r="KL199" s="6"/>
      <c r="KM199" s="4"/>
      <c r="KN199" s="5">
        <v>0</v>
      </c>
      <c r="KO199" s="5"/>
      <c r="KP199" s="6"/>
      <c r="KQ199" s="4"/>
      <c r="KR199" s="4"/>
      <c r="KS199" s="5">
        <v>0</v>
      </c>
      <c r="KT199" s="5">
        <v>0</v>
      </c>
      <c r="KU199" s="5"/>
      <c r="KV199" s="4"/>
      <c r="KW199" s="5">
        <v>0</v>
      </c>
      <c r="KX199" s="4"/>
      <c r="KY199" s="4"/>
      <c r="KZ199" s="4"/>
      <c r="LA199" s="4"/>
      <c r="LB199" s="6"/>
      <c r="LC199" s="6"/>
      <c r="LD199" s="6"/>
      <c r="LE199" s="9"/>
      <c r="LF199"/>
      <c r="LG199"/>
      <c r="LH199"/>
      <c r="LI199"/>
      <c r="LJ199"/>
      <c r="LK199"/>
      <c r="LL199" s="4"/>
      <c r="LM199" s="4"/>
      <c r="LN199" s="6"/>
      <c r="LO199" s="4"/>
      <c r="LP199" s="5">
        <v>0</v>
      </c>
      <c r="LQ199" s="5"/>
      <c r="LR199" s="6"/>
      <c r="LS199" s="4"/>
      <c r="LT199" s="4"/>
      <c r="LU199" s="5">
        <v>0</v>
      </c>
      <c r="LV199" s="5">
        <v>0</v>
      </c>
      <c r="LW199" s="5"/>
      <c r="LX199" s="4"/>
      <c r="LY199" s="5">
        <v>0</v>
      </c>
      <c r="LZ199" s="4"/>
      <c r="MA199" s="4"/>
      <c r="MB199" s="4"/>
      <c r="MC199" s="4"/>
      <c r="MD199" s="6"/>
      <c r="ME199" s="6"/>
      <c r="MF199" s="6"/>
      <c r="MG199" s="9"/>
      <c r="MH199"/>
    </row>
    <row r="200">
      <c r="A200" s="8">
        <v>25498</v>
      </c>
      <c r="B200" s="8">
        <v>25499</v>
      </c>
      <c r="C200" s="9">
        <f>B200-A200</f>
        <v>1</v>
      </c>
      <c r="D200" s="8">
        <v>25498</v>
      </c>
      <c r="E200" t="inlineStr">
        <is>
          <t xml:space="preserve">neutral</t>
        </is>
      </c>
      <c r="F200" s="4">
        <v>1.8659304724563566</v>
      </c>
      <c r="G200" s="6">
        <v>0.009202251443328044</v>
      </c>
      <c r="H200" s="7">
        <f>SUM(CP200,DR200,ET200,FV200,GX200,HZ200,JB200,KD200,LF200,MH200)</f>
        <v>0.009202251443328044</v>
      </c>
      <c r="I200" s="7">
        <f>G200-H200</f>
        <v>0</v>
      </c>
      <c r="J200" s="5">
        <f>F200*(1+H200)</f>
        <v>1.883101233839668</v>
      </c>
      <c r="K200" s="4">
        <v>1.883101233839668</v>
      </c>
      <c r="L200" s="5">
        <f>K200-J200</f>
        <v>0</v>
      </c>
      <c r="M200" s="4">
        <v>1.846</v>
      </c>
      <c r="N200" s="4">
        <v>1.863</v>
      </c>
      <c r="O200" s="5">
        <f>M200/$M$3</f>
        <v>0.9427987742594485</v>
      </c>
      <c r="P200" s="5">
        <f>N200/$M$3</f>
        <v>0.9514811031664965</v>
      </c>
      <c r="Q200" s="7">
        <f>IFERROR(N200/M200-1,0)</f>
        <v>0.009209100758396538</v>
      </c>
      <c r="R200" s="5">
        <f>SUM(IF(BQ200="lease",CB200,0),IF(CS200="lease",DD200,0),IF(DU200="lease",EF200,0),IF(EW200="lease",FH200,0),IF(FY200="lease",GJ200,0),IF(HA200="lease",HL200,0),IF(IC200="lease",IN200,0),IF(JE200="lease",JP200,0),IF(KG200="lease",KR200,0),IF(LI200="lease",LT200,0))</f>
        <v>1.865930472456357</v>
      </c>
      <c r="S200" s="5">
        <f>SUM(IF(BQ200="lease",CI200,0),IF(CS200="lease",DK200,0),IF(DU200="lease",EM200,0),IF(EW200="lease",FO200,0),IF(FY200="lease",GQ200,0),IF(HA200="lease",HS200,0),IF(IC200="lease",IU200,0),IF(JE200="lease",JW200,0),IF(KG200="lease",KY200,0),IF(LI200="lease",MA200,0))</f>
        <v>1.8831012338396682</v>
      </c>
      <c r="T200" s="5">
        <f>SUM(IF(BQ200="keep",CB200,0),IF(CS200="keep",DD200,0),IF(DU200="keep",EF200,0),IF(EW200="keep",FH200,0),IF(FY200="keep",GJ200,0),IF(HA200="keep",HL200,0),IF(IC200="keep",IN200,0),IF(JE200="keep",JP200,0),IF(KG200="keep",KR200,0),IF(LI200="keep",LT200,0))</f>
        <v>0</v>
      </c>
      <c r="U200" s="5">
        <f>SUM(IF(BQ200="keep",CI200,0),IF(CS200="keep",DK200,0),IF(DU200="keep",EM200,0),IF(EW200="keep",FO200,0),IF(FY200="keep",GQ200,0),IF(HA200="keep",HS200,0),IF(IC200="keep",IU200,0),IF(JE200="keep",JW200,0),IF(KG200="keep",KY200,0),IF(LI200="keep",MA200,0))</f>
        <v>0</v>
      </c>
      <c r="V200" s="5">
        <f>R200/O200</f>
        <v>1.979139688553384</v>
      </c>
      <c r="W200" s="5">
        <f>S200/P200</f>
        <v>1.9791262564992325</v>
      </c>
      <c r="X200" s="5">
        <f>T200/O200</f>
        <v>0</v>
      </c>
      <c r="Y200" s="5">
        <f>U200/P200</f>
        <v>0</v>
      </c>
      <c r="Z200" s="5">
        <f>V200+X200</f>
        <v>1.979139688553384</v>
      </c>
      <c r="AA200" s="7">
        <f>IFERROR(W200/V200-1,0)</f>
        <v>-0.000006786814609083258</v>
      </c>
      <c r="AB200" s="7">
        <f>IFERROR((W200-V200)/Z200,0)</f>
        <v>-0.000006786814609041288</v>
      </c>
      <c r="AC200" s="7">
        <f>IFERROR(Y200/X200-1,0)</f>
        <v>0</v>
      </c>
      <c r="AD200" s="7">
        <f>IFERROR((Y200-X200)/Z200,0)</f>
        <v>0</v>
      </c>
      <c r="AE200" s="7">
        <f>AB200+AD200</f>
        <v>-0.000006786814609041288</v>
      </c>
      <c r="AF200" s="7">
        <f>(1+Q200)*(1+AE200)-1</f>
        <v>0.009202251443327869</v>
      </c>
      <c r="AG200" s="7">
        <f>G200-AF200</f>
        <v>1.7520707107365752e-16</v>
      </c>
      <c r="AH200" s="5">
        <f>SUM(IF(BQ200="lease",CE200,0),IF(CS200="lease",DG200,0),IF(DU200="lease",EI200,0),IF(EW200="lease",FK200,0),IF(FY200="lease",GM200,0),IF(HA200="lease",HO200,0),IF(IC200="lease",IQ200,0),IF(JE200="lease",JS200,0),IF(KG200="lease",KU200,0),IF(LI200="lease",LW200,0))</f>
        <v>0.017170761383311285</v>
      </c>
      <c r="AI200" s="5">
        <f>SUM(IF(BQ200="keep",CE200,0),IF(CS200="keep",DG200,0),IF(DU200="keep",EI200,0),IF(EW200="keep",FK200,0),IF(FY200="keep",GM200,0),IF(HA200="keep",HO200,0),IF(IC200="keep",IQ200,0),IF(JE200="keep",JS200,0),IF(KG200="keep",KU200,0),IF(LI200="keep",LW200,0))</f>
        <v>0</v>
      </c>
      <c r="AJ200" s="5">
        <f>SUM(IF(BQ200="lease",CH200,0),IF(CS200="lease",DJ200,0),IF(DU200="lease",EL200,0),IF(EW200="lease",FN200,0),IF(FY200="lease",GP200,0),IF(HA200="lease",HR200,0),IF(IC200="lease",IT200,0),IF(JE200="lease",JV200,0),IF(KG200="lease",KX200,0),IF(LI200="lease",LZ200,0))</f>
        <v>0</v>
      </c>
      <c r="AK200" s="5">
        <f>SUM(IF(BQ200="keep",CH200,0),IF(CS200="keep",DJ200,0),IF(DU200="keep",EL200,0),IF(EW200="keep",FN200,0),IF(FY200="keep",GP200,0),IF(HA200="keep",HR200,0),IF(IC200="keep",IT200,0),IF(JE200="keep",JV200,0),IF(KG200="keep",KX200,0),IF(LI200="keep",LZ200,0))</f>
        <v>0</v>
      </c>
      <c r="AL200" s="5">
        <f>R200-S199</f>
        <v>-2.220446049250313e-16</v>
      </c>
      <c r="AM200" s="5">
        <f>T200-U199</f>
        <v>0</v>
      </c>
      <c r="AN200" s="5">
        <f>AN199</f>
        <v>1</v>
      </c>
      <c r="AO200" s="5">
        <f>AO199+AH200</f>
        <v>0.8831012338396682</v>
      </c>
      <c r="AP200" s="5">
        <f>AP199+AL200</f>
        <v>-2.220446049250313e-16</v>
      </c>
      <c r="AQ200" s="5">
        <f>AN200+AO200+AP200</f>
        <v>1.883101233839668</v>
      </c>
      <c r="AR200" s="5">
        <f>S200-AQ200</f>
        <v>2.220446049250313e-16</v>
      </c>
      <c r="AS200" s="5">
        <f>AS199</f>
        <v>0</v>
      </c>
      <c r="AT200" s="5">
        <f>AT199+AI200</f>
        <v>0</v>
      </c>
      <c r="AU200" s="5">
        <f>AU199+AM200</f>
        <v>0</v>
      </c>
      <c r="AV200" s="5">
        <f>AS200+AT200+AU200</f>
        <v>0</v>
      </c>
      <c r="AW200" s="5">
        <f>U200-AV200</f>
        <v>0</v>
      </c>
      <c r="AX200" s="4">
        <v>1.865930472456357</v>
      </c>
      <c r="AY200" s="4">
        <v>1.8831012338396682</v>
      </c>
      <c r="AZ200" s="5">
        <f>S200-AY200</f>
        <v>0</v>
      </c>
      <c r="BA200" s="4">
        <v>0</v>
      </c>
      <c r="BB200" s="4">
        <v>0</v>
      </c>
      <c r="BC200" s="5">
        <f>U200-BB200</f>
        <v>0</v>
      </c>
      <c r="BD200" s="7">
        <f>SUM(IF(BP200="direct",CC200/F200,0),IF(CR200="direct",DE200/F200,0),IF(DT200="direct",EG200/F200,0),IF(EV200="direct",FI200/F200,0),IF(FX200="direct",GK200/F200,0),IF(GZ200="direct",HM200/F200,0),IF(IB200="direct",IO200/F200,0),IF(JD200="direct",JQ200/F200,0),IF(KF200="direct",KS200/F200,0),IF(LH200="direct",LU200/F200,0))</f>
        <v>0.00920910075839648</v>
      </c>
      <c r="BE200" s="7">
        <f>-SUM(IF(BP200="direct",CD200/F200,0),IF(CR200="direct",DF200/F200,0),IF(DT200="direct",EH200/F200,0),IF(EV200="direct",FJ200/F200,0),IF(FX200="direct",GL200/F200,0),IF(GZ200="direct",HN200/F200,0),IF(IB200="direct",IP200/F200,0),IF(JD200="direct",JR200/F200,0),IF(KF200="direct",KT200/F200,0),IF(LH200="direct",LV200/F200,0))</f>
        <v>-0.000006849315068493152</v>
      </c>
      <c r="BF200" s="7">
        <f>BD200+BE200</f>
        <v>0.009202251443327987</v>
      </c>
      <c r="BG200" s="7">
        <f>BF200-SUM(IF(BP200="direct",CP200,0),IF(CR200="direct",DR200,0),IF(DT200="direct",ET200,0),IF(EV200="direct",FV200,0),IF(FX200="direct",GX200,0),IF(GZ200="direct",HZ200,0),IF(IB200="direct",JB200,0),IF(JD200="direct",KD200,0),IF(KF200="direct",LF200,0),IF(LH200="direct",MH200,0))</f>
        <v>-5.724587470723463e-17</v>
      </c>
      <c r="BH200" s="7">
        <f>SUM(IF(BP200="treasury",CP200,0),IF(CR200="treasury",DR200,0),IF(DT200="treasury",ET200,0),IF(EV200="treasury",FV200,0),IF(FX200="treasury",GX200,0),IF(GZ200="treasury",HZ200,0),IF(IB200="treasury",JB200,0),IF(JD200="treasury",KD200,0),IF(KF200="treasury",LF200,0),IF(LH200="treasury",MH200,0))</f>
        <v>0</v>
      </c>
      <c r="BI200" s="7">
        <f>SUM(IF(BP200="future",CP200,0),IF(CR200="future",DR200,0),IF(DT200="future",ET200,0),IF(EV200="future",FV200,0),IF(FX200="future",GX200,0),IF(GZ200="future",HZ200,0),IF(IB200="future",JB200,0),IF(JD200="future",KD200,0),IF(KF200="future",LF200,0),IF(LH200="future",MH200,0))</f>
        <v>0</v>
      </c>
      <c r="BJ200" s="7">
        <f>SUM(IF(BP200="cash",CP200,0),IF(CR200="cash",DR200,0),IF(DT200="cash",ET200,0),IF(EV200="cash",FV200,0),IF(FX200="cash",GX200,0),IF(GZ200="cash",HZ200,0),IF(IB200="cash",JB200,0),IF(JD200="cash",KD200,0),IF(KF200="cash",LF200,0),IF(LH200="cash",MH200,0))</f>
        <v>0</v>
      </c>
      <c r="BK200" s="7">
        <f>SUM(BF200,BH200,BI200,BJ200)</f>
        <v>0.009202251443328044</v>
      </c>
      <c r="BL200" s="7">
        <f>G200-BK200</f>
        <v>0</v>
      </c>
      <c r="BM200" s="5">
        <f>MAX(ABS(CG200),ABS(DI200),ABS(EK200),ABS(FM200),ABS(GO200),ABS(HQ200),ABS(IS200),ABS(JU200),ABS(KW200),ABS(LY200))</f>
        <v>1.0410543141523704e-16</v>
      </c>
      <c r="BN200" s="9">
        <f>COUNTA(BO200,CQ200,DS200,EU200,FW200,GY200,IA200,JC200,KE200,LG200)</f>
        <v>3</v>
      </c>
      <c r="BO200" t="inlineStr">
        <is>
          <t xml:space="preserve">Direct commodity holding</t>
        </is>
      </c>
      <c r="BP200" t="inlineStr">
        <is>
          <t xml:space="preserve">direct</t>
        </is>
      </c>
      <c r="BQ200" t="inlineStr">
        <is>
          <t xml:space="preserve">lease</t>
        </is>
      </c>
      <c r="BR200" t="inlineStr">
        <is>
          <t xml:space="preserve">long</t>
        </is>
      </c>
      <c r="BS200"/>
      <c r="BT200" s="4">
        <v>1.846</v>
      </c>
      <c r="BU200" s="4">
        <v>1.863</v>
      </c>
      <c r="BV200" s="6">
        <v>0.0025</v>
      </c>
      <c r="BW200" s="4">
        <v>1.0107965722948844</v>
      </c>
      <c r="BX200" s="5">
        <f>IF(BP200="direct",IFERROR(CD200/BU200,0),0)</f>
        <v>0.000006860088943508249</v>
      </c>
      <c r="BY200" s="5">
        <f>IF(BP200="direct",BW200-BX200,IF(BP200="cash",CI200,BW200))</f>
        <v>1.0107897122059408</v>
      </c>
      <c r="BZ200" s="6">
        <v>1</v>
      </c>
      <c r="CA200" s="4">
        <v>1.8659304724563566</v>
      </c>
      <c r="CB200" s="4">
        <v>1.8659304724563566</v>
      </c>
      <c r="CC200" s="5">
        <f>IF(BP200="direct",BW200*(BU200-BT200),CF200)</f>
        <v>0.017183541729012937</v>
      </c>
      <c r="CD200" s="5">
        <f>IF(BP200="direct",CB200*BV200*C200/365,0)</f>
        <v>0.000012780345701755868</v>
      </c>
      <c r="CE200" s="5">
        <f>CC200-CD200</f>
        <v>0.017170761383311285</v>
      </c>
      <c r="CF200" s="4">
        <v>0.017170761383311285</v>
      </c>
      <c r="CG200" s="5">
        <f>CF200-CE200</f>
        <v>1.0410543141523704e-16</v>
      </c>
      <c r="CH200" s="4">
        <v>0</v>
      </c>
      <c r="CI200" s="4">
        <v>1.8831012338396678</v>
      </c>
      <c r="CJ200" s="4">
        <v>1.846</v>
      </c>
      <c r="CK200" s="4">
        <v>1.863</v>
      </c>
      <c r="CL200" s="6"/>
      <c r="CM200" s="6"/>
      <c r="CN200" s="6"/>
      <c r="CO200" s="9"/>
      <c r="CP200" s="7">
        <f>IFERROR(CE200/F200,0)</f>
        <v>0.009202251443328044</v>
      </c>
      <c r="CQ200" t="inlineStr">
        <is>
          <t xml:space="preserve">Lease cash / margin / financing</t>
        </is>
      </c>
      <c r="CR200" t="inlineStr">
        <is>
          <t xml:space="preserve">cash</t>
        </is>
      </c>
      <c r="CS200" t="inlineStr">
        <is>
          <t xml:space="preserve">lease</t>
        </is>
      </c>
      <c r="CT200" t="inlineStr">
        <is>
          <t xml:space="preserve">cash</t>
        </is>
      </c>
      <c r="CU200"/>
      <c r="CV200" s="4">
        <v>1</v>
      </c>
      <c r="CW200" s="4">
        <v>1</v>
      </c>
      <c r="CX200" s="6"/>
      <c r="CY200" s="4">
        <v>4.440892098500626e-16</v>
      </c>
      <c r="CZ200" s="5">
        <f>IF(CR200="direct",IFERROR(DF200/CW200,0),0)</f>
        <v>0</v>
      </c>
      <c r="DA200" s="5">
        <f>IF(CR200="direct",CY200-CZ200,IF(CR200="cash",DK200,CY200))</f>
        <v>4.440892098500626e-16</v>
      </c>
      <c r="DB200" s="6"/>
      <c r="DC200" s="4">
        <v>4.440892098500626e-16</v>
      </c>
      <c r="DD200" s="4">
        <v>4.440892098500626e-16</v>
      </c>
      <c r="DE200" s="5">
        <f>IF(CR200="direct",CY200*(CW200-CV200),DH200)</f>
        <v>0</v>
      </c>
      <c r="DF200" s="5">
        <f>IF(CR200="direct",DD200*CX200*C200/365,0)</f>
        <v>0</v>
      </c>
      <c r="DG200" s="5">
        <f>DE200-DF200</f>
        <v>0</v>
      </c>
      <c r="DH200" s="4">
        <v>0</v>
      </c>
      <c r="DI200" s="5">
        <f>DH200-DG200</f>
        <v>0</v>
      </c>
      <c r="DJ200" s="4">
        <v>0</v>
      </c>
      <c r="DK200" s="4">
        <v>4.440892098500626e-16</v>
      </c>
      <c r="DL200" s="4">
        <v>1.846</v>
      </c>
      <c r="DM200" s="4">
        <v>1.863</v>
      </c>
      <c r="DN200" s="6"/>
      <c r="DO200" s="6"/>
      <c r="DP200" s="6"/>
      <c r="DQ200" s="9"/>
      <c r="DR200" s="7">
        <f>IFERROR(DG200/F200,0)</f>
        <v>0</v>
      </c>
      <c r="DS200" t="inlineStr">
        <is>
          <t xml:space="preserve">Keep cash / margin / financing</t>
        </is>
      </c>
      <c r="DT200" t="inlineStr">
        <is>
          <t xml:space="preserve">cash</t>
        </is>
      </c>
      <c r="DU200" t="inlineStr">
        <is>
          <t xml:space="preserve">keep</t>
        </is>
      </c>
      <c r="DV200" t="inlineStr">
        <is>
          <t xml:space="preserve">cash</t>
        </is>
      </c>
      <c r="DW200"/>
      <c r="DX200" s="4">
        <v>1</v>
      </c>
      <c r="DY200" s="4">
        <v>1</v>
      </c>
      <c r="DZ200" s="6"/>
      <c r="EA200" s="4">
        <v>0</v>
      </c>
      <c r="EB200" s="5">
        <f>IF(DT200="direct",IFERROR(EH200/DY200,0),0)</f>
        <v>0</v>
      </c>
      <c r="EC200" s="5">
        <f>IF(DT200="direct",EA200-EB200,IF(DT200="cash",EM200,EA200))</f>
        <v>0</v>
      </c>
      <c r="ED200" s="6"/>
      <c r="EE200" s="4">
        <v>0</v>
      </c>
      <c r="EF200" s="4">
        <v>0</v>
      </c>
      <c r="EG200" s="5">
        <f>IF(DT200="direct",EA200*(DY200-DX200),EJ200)</f>
        <v>0</v>
      </c>
      <c r="EH200" s="5">
        <f>IF(DT200="direct",EF200*DZ200*C200/365,0)</f>
        <v>0</v>
      </c>
      <c r="EI200" s="5">
        <f>EG200-EH200</f>
        <v>0</v>
      </c>
      <c r="EJ200" s="4">
        <v>0</v>
      </c>
      <c r="EK200" s="5">
        <f>EJ200-EI200</f>
        <v>0</v>
      </c>
      <c r="EL200" s="4">
        <v>0</v>
      </c>
      <c r="EM200" s="4">
        <v>0</v>
      </c>
      <c r="EN200" s="4">
        <v>1.846</v>
      </c>
      <c r="EO200" s="4">
        <v>1.863</v>
      </c>
      <c r="EP200" s="6"/>
      <c r="EQ200" s="6"/>
      <c r="ER200" s="6"/>
      <c r="ES200" s="9"/>
      <c r="ET200" s="7">
        <f>IFERROR(EI200/F200,0)</f>
        <v>0</v>
      </c>
      <c r="EU200"/>
      <c r="EV200"/>
      <c r="EW200"/>
      <c r="EX200"/>
      <c r="EY200"/>
      <c r="EZ200" s="4"/>
      <c r="FA200" s="4"/>
      <c r="FB200" s="6"/>
      <c r="FC200" s="4"/>
      <c r="FD200" s="5">
        <v>0</v>
      </c>
      <c r="FE200" s="5"/>
      <c r="FF200" s="6"/>
      <c r="FG200" s="4"/>
      <c r="FH200" s="4"/>
      <c r="FI200" s="5">
        <v>0</v>
      </c>
      <c r="FJ200" s="5">
        <v>0</v>
      </c>
      <c r="FK200" s="5"/>
      <c r="FL200" s="4"/>
      <c r="FM200" s="5">
        <v>0</v>
      </c>
      <c r="FN200" s="4"/>
      <c r="FO200" s="4"/>
      <c r="FP200" s="4"/>
      <c r="FQ200" s="4"/>
      <c r="FR200" s="6"/>
      <c r="FS200" s="6"/>
      <c r="FT200" s="6"/>
      <c r="FU200" s="9"/>
      <c r="FV200"/>
      <c r="FW200"/>
      <c r="FX200"/>
      <c r="FY200"/>
      <c r="FZ200"/>
      <c r="GA200"/>
      <c r="GB200" s="4"/>
      <c r="GC200" s="4"/>
      <c r="GD200" s="6"/>
      <c r="GE200" s="4"/>
      <c r="GF200" s="5">
        <v>0</v>
      </c>
      <c r="GG200" s="5"/>
      <c r="GH200" s="6"/>
      <c r="GI200" s="4"/>
      <c r="GJ200" s="4"/>
      <c r="GK200" s="5">
        <v>0</v>
      </c>
      <c r="GL200" s="5">
        <v>0</v>
      </c>
      <c r="GM200" s="5"/>
      <c r="GN200" s="4"/>
      <c r="GO200" s="5">
        <v>0</v>
      </c>
      <c r="GP200" s="4"/>
      <c r="GQ200" s="4"/>
      <c r="GR200" s="4"/>
      <c r="GS200" s="4"/>
      <c r="GT200" s="6"/>
      <c r="GU200" s="6"/>
      <c r="GV200" s="6"/>
      <c r="GW200" s="9"/>
      <c r="GX200"/>
      <c r="GY200"/>
      <c r="GZ200"/>
      <c r="HA200"/>
      <c r="HB200"/>
      <c r="HC200"/>
      <c r="HD200" s="4"/>
      <c r="HE200" s="4"/>
      <c r="HF200" s="6"/>
      <c r="HG200" s="4"/>
      <c r="HH200" s="5">
        <v>0</v>
      </c>
      <c r="HI200" s="5"/>
      <c r="HJ200" s="6"/>
      <c r="HK200" s="4"/>
      <c r="HL200" s="4"/>
      <c r="HM200" s="5">
        <v>0</v>
      </c>
      <c r="HN200" s="5">
        <v>0</v>
      </c>
      <c r="HO200" s="5"/>
      <c r="HP200" s="4"/>
      <c r="HQ200" s="5">
        <v>0</v>
      </c>
      <c r="HR200" s="4"/>
      <c r="HS200" s="4"/>
      <c r="HT200" s="4"/>
      <c r="HU200" s="4"/>
      <c r="HV200" s="6"/>
      <c r="HW200" s="6"/>
      <c r="HX200" s="6"/>
      <c r="HY200" s="9"/>
      <c r="HZ200"/>
      <c r="IA200"/>
      <c r="IB200"/>
      <c r="IC200"/>
      <c r="ID200"/>
      <c r="IE200"/>
      <c r="IF200" s="4"/>
      <c r="IG200" s="4"/>
      <c r="IH200" s="6"/>
      <c r="II200" s="4"/>
      <c r="IJ200" s="5">
        <v>0</v>
      </c>
      <c r="IK200" s="5"/>
      <c r="IL200" s="6"/>
      <c r="IM200" s="4"/>
      <c r="IN200" s="4"/>
      <c r="IO200" s="5">
        <v>0</v>
      </c>
      <c r="IP200" s="5">
        <v>0</v>
      </c>
      <c r="IQ200" s="5"/>
      <c r="IR200" s="4"/>
      <c r="IS200" s="5">
        <v>0</v>
      </c>
      <c r="IT200" s="4"/>
      <c r="IU200" s="4"/>
      <c r="IV200" s="4"/>
      <c r="IW200" s="4"/>
      <c r="IX200" s="6"/>
      <c r="IY200" s="6"/>
      <c r="IZ200" s="6"/>
      <c r="JA200" s="9"/>
      <c r="JB200"/>
      <c r="JC200"/>
      <c r="JD200"/>
      <c r="JE200"/>
      <c r="JF200"/>
      <c r="JG200"/>
      <c r="JH200" s="4"/>
      <c r="JI200" s="4"/>
      <c r="JJ200" s="6"/>
      <c r="JK200" s="4"/>
      <c r="JL200" s="5">
        <v>0</v>
      </c>
      <c r="JM200" s="5"/>
      <c r="JN200" s="6"/>
      <c r="JO200" s="4"/>
      <c r="JP200" s="4"/>
      <c r="JQ200" s="5">
        <v>0</v>
      </c>
      <c r="JR200" s="5">
        <v>0</v>
      </c>
      <c r="JS200" s="5"/>
      <c r="JT200" s="4"/>
      <c r="JU200" s="5">
        <v>0</v>
      </c>
      <c r="JV200" s="4"/>
      <c r="JW200" s="4"/>
      <c r="JX200" s="4"/>
      <c r="JY200" s="4"/>
      <c r="JZ200" s="6"/>
      <c r="KA200" s="6"/>
      <c r="KB200" s="6"/>
      <c r="KC200" s="9"/>
      <c r="KD200"/>
      <c r="KE200"/>
      <c r="KF200"/>
      <c r="KG200"/>
      <c r="KH200"/>
      <c r="KI200"/>
      <c r="KJ200" s="4"/>
      <c r="KK200" s="4"/>
      <c r="KL200" s="6"/>
      <c r="KM200" s="4"/>
      <c r="KN200" s="5">
        <v>0</v>
      </c>
      <c r="KO200" s="5"/>
      <c r="KP200" s="6"/>
      <c r="KQ200" s="4"/>
      <c r="KR200" s="4"/>
      <c r="KS200" s="5">
        <v>0</v>
      </c>
      <c r="KT200" s="5">
        <v>0</v>
      </c>
      <c r="KU200" s="5"/>
      <c r="KV200" s="4"/>
      <c r="KW200" s="5">
        <v>0</v>
      </c>
      <c r="KX200" s="4"/>
      <c r="KY200" s="4"/>
      <c r="KZ200" s="4"/>
      <c r="LA200" s="4"/>
      <c r="LB200" s="6"/>
      <c r="LC200" s="6"/>
      <c r="LD200" s="6"/>
      <c r="LE200" s="9"/>
      <c r="LF200"/>
      <c r="LG200"/>
      <c r="LH200"/>
      <c r="LI200"/>
      <c r="LJ200"/>
      <c r="LK200"/>
      <c r="LL200" s="4"/>
      <c r="LM200" s="4"/>
      <c r="LN200" s="6"/>
      <c r="LO200" s="4"/>
      <c r="LP200" s="5">
        <v>0</v>
      </c>
      <c r="LQ200" s="5"/>
      <c r="LR200" s="6"/>
      <c r="LS200" s="4"/>
      <c r="LT200" s="4"/>
      <c r="LU200" s="5">
        <v>0</v>
      </c>
      <c r="LV200" s="5">
        <v>0</v>
      </c>
      <c r="LW200" s="5"/>
      <c r="LX200" s="4"/>
      <c r="LY200" s="5">
        <v>0</v>
      </c>
      <c r="LZ200" s="4"/>
      <c r="MA200" s="4"/>
      <c r="MB200" s="4"/>
      <c r="MC200" s="4"/>
      <c r="MD200" s="6"/>
      <c r="ME200" s="6"/>
      <c r="MF200" s="6"/>
      <c r="MG200" s="9"/>
      <c r="MH200"/>
    </row>
    <row r="201">
      <c r="A201" s="8">
        <v>25499</v>
      </c>
      <c r="B201" s="8">
        <v>25500</v>
      </c>
      <c r="C201" s="9">
        <f>B201-A201</f>
        <v>1</v>
      </c>
      <c r="D201" s="8">
        <v>25499</v>
      </c>
      <c r="E201" t="inlineStr">
        <is>
          <t xml:space="preserve">neutral</t>
        </is>
      </c>
      <c r="F201" s="4">
        <v>1.883101233839668</v>
      </c>
      <c r="G201" s="6">
        <v>-0.005374535842175333</v>
      </c>
      <c r="H201" s="7">
        <f>SUM(CP201,DR201,ET201,FV201,GX201,HZ201,JB201,KD201,LF201,MH201)</f>
        <v>-0.0053745358421753335</v>
      </c>
      <c r="I201" s="7">
        <f>G201-H201</f>
        <v>8.673617379884035e-19</v>
      </c>
      <c r="J201" s="5">
        <f>F201*(1+H201)</f>
        <v>1.8729804387639521</v>
      </c>
      <c r="K201" s="4">
        <v>1.8729804387639521</v>
      </c>
      <c r="L201" s="5">
        <f>K201-J201</f>
        <v>0</v>
      </c>
      <c r="M201" s="4">
        <v>1.863</v>
      </c>
      <c r="N201" s="4">
        <v>1.853</v>
      </c>
      <c r="O201" s="5">
        <f>M201/$M$3</f>
        <v>0.9514811031664965</v>
      </c>
      <c r="P201" s="5">
        <f>N201/$M$3</f>
        <v>0.9463738508682329</v>
      </c>
      <c r="Q201" s="7">
        <f>IFERROR(N201/M201-1,0)</f>
        <v>-0.005367686527106841</v>
      </c>
      <c r="R201" s="5">
        <f>SUM(IF(BQ201="lease",CB201,0),IF(CS201="lease",DD201,0),IF(DU201="lease",EF201,0),IF(EW201="lease",FH201,0),IF(FY201="lease",GJ201,0),IF(HA201="lease",HL201,0),IF(IC201="lease",IN201,0),IF(JE201="lease",JP201,0),IF(KG201="lease",KR201,0),IF(LI201="lease",LT201,0))</f>
        <v>1.8831012338396682</v>
      </c>
      <c r="S201" s="5">
        <f>SUM(IF(BQ201="lease",CI201,0),IF(CS201="lease",DK201,0),IF(DU201="lease",EM201,0),IF(EW201="lease",FO201,0),IF(FY201="lease",GQ201,0),IF(HA201="lease",HS201,0),IF(IC201="lease",IU201,0),IF(JE201="lease",JW201,0),IF(KG201="lease",KY201,0),IF(LI201="lease",MA201,0))</f>
        <v>1.8729804387639524</v>
      </c>
      <c r="T201" s="5">
        <f>SUM(IF(BQ201="keep",CB201,0),IF(CS201="keep",DD201,0),IF(DU201="keep",EF201,0),IF(EW201="keep",FH201,0),IF(FY201="keep",GJ201,0),IF(HA201="keep",HL201,0),IF(IC201="keep",IN201,0),IF(JE201="keep",JP201,0),IF(KG201="keep",KR201,0),IF(LI201="keep",LT201,0))</f>
        <v>0</v>
      </c>
      <c r="U201" s="5">
        <f>SUM(IF(BQ201="keep",CI201,0),IF(CS201="keep",DK201,0),IF(DU201="keep",EM201,0),IF(EW201="keep",FO201,0),IF(FY201="keep",GQ201,0),IF(HA201="keep",HS201,0),IF(IC201="keep",IU201,0),IF(JE201="keep",JW201,0),IF(KG201="keep",KY201,0),IF(LI201="keep",MA201,0))</f>
        <v>0</v>
      </c>
      <c r="V201" s="5">
        <f>R201/O201</f>
        <v>1.9791262564992325</v>
      </c>
      <c r="W201" s="5">
        <f>S201/P201</f>
        <v>1.9791126276847375</v>
      </c>
      <c r="X201" s="5">
        <f>T201/O201</f>
        <v>0</v>
      </c>
      <c r="Y201" s="5">
        <f>U201/P201</f>
        <v>0</v>
      </c>
      <c r="Z201" s="5">
        <f>V201+X201</f>
        <v>1.9791262564992325</v>
      </c>
      <c r="AA201" s="7">
        <f>IFERROR(W201/V201-1,0)</f>
        <v>-0.000006886278452578054</v>
      </c>
      <c r="AB201" s="7">
        <f>IFERROR((W201-V201)/Z201,0)</f>
        <v>-0.000006886278452526061</v>
      </c>
      <c r="AC201" s="7">
        <f>IFERROR(Y201/X201-1,0)</f>
        <v>0</v>
      </c>
      <c r="AD201" s="7">
        <f>IFERROR((Y201-X201)/Z201,0)</f>
        <v>0</v>
      </c>
      <c r="AE201" s="7">
        <f>AB201+AD201</f>
        <v>-0.000006886278452526061</v>
      </c>
      <c r="AF201" s="7">
        <f>(1+Q201)*(1+AE201)-1</f>
        <v>-0.005374535842175399</v>
      </c>
      <c r="AG201" s="7">
        <f>G201-AF201</f>
        <v>6.591949208711867e-17</v>
      </c>
      <c r="AH201" s="5">
        <f>SUM(IF(BQ201="lease",CE201,0),IF(CS201="lease",DG201,0),IF(DU201="lease",EI201,0),IF(EW201="lease",FK201,0),IF(FY201="lease",GM201,0),IF(HA201="lease",HO201,0),IF(IC201="lease",IQ201,0),IF(JE201="lease",JS201,0),IF(KG201="lease",KU201,0),IF(LI201="lease",LW201,0))</f>
        <v>-0.01012079507571589</v>
      </c>
      <c r="AI201" s="5">
        <f>SUM(IF(BQ201="keep",CE201,0),IF(CS201="keep",DG201,0),IF(DU201="keep",EI201,0),IF(EW201="keep",FK201,0),IF(FY201="keep",GM201,0),IF(HA201="keep",HO201,0),IF(IC201="keep",IQ201,0),IF(JE201="keep",JS201,0),IF(KG201="keep",KU201,0),IF(LI201="keep",LW201,0))</f>
        <v>0</v>
      </c>
      <c r="AJ201" s="5">
        <f>SUM(IF(BQ201="lease",CH201,0),IF(CS201="lease",DJ201,0),IF(DU201="lease",EL201,0),IF(EW201="lease",FN201,0),IF(FY201="lease",GP201,0),IF(HA201="lease",HR201,0),IF(IC201="lease",IT201,0),IF(JE201="lease",JV201,0),IF(KG201="lease",KX201,0),IF(LI201="lease",LZ201,0))</f>
        <v>0</v>
      </c>
      <c r="AK201" s="5">
        <f>SUM(IF(BQ201="keep",CH201,0),IF(CS201="keep",DJ201,0),IF(DU201="keep",EL201,0),IF(EW201="keep",FN201,0),IF(FY201="keep",GP201,0),IF(HA201="keep",HR201,0),IF(IC201="keep",IT201,0),IF(JE201="keep",JV201,0),IF(KG201="keep",KX201,0),IF(LI201="keep",LZ201,0))</f>
        <v>0</v>
      </c>
      <c r="AL201" s="5">
        <f>R201-S200</f>
        <v>0</v>
      </c>
      <c r="AM201" s="5">
        <f>T201-U200</f>
        <v>0</v>
      </c>
      <c r="AN201" s="5">
        <f>AN200</f>
        <v>1</v>
      </c>
      <c r="AO201" s="5">
        <f>AO200+AH201</f>
        <v>0.8729804387639524</v>
      </c>
      <c r="AP201" s="5">
        <f>AP200+AL201</f>
        <v>-2.220446049250313e-16</v>
      </c>
      <c r="AQ201" s="5">
        <f>AN201+AO201+AP201</f>
        <v>1.8729804387639521</v>
      </c>
      <c r="AR201" s="5">
        <f>S201-AQ201</f>
        <v>2.220446049250313e-16</v>
      </c>
      <c r="AS201" s="5">
        <f>AS200</f>
        <v>0</v>
      </c>
      <c r="AT201" s="5">
        <f>AT200+AI201</f>
        <v>0</v>
      </c>
      <c r="AU201" s="5">
        <f>AU200+AM201</f>
        <v>0</v>
      </c>
      <c r="AV201" s="5">
        <f>AS201+AT201+AU201</f>
        <v>0</v>
      </c>
      <c r="AW201" s="5">
        <f>U201-AV201</f>
        <v>0</v>
      </c>
      <c r="AX201" s="4">
        <v>1.8831012338396682</v>
      </c>
      <c r="AY201" s="4">
        <v>1.8729804387639524</v>
      </c>
      <c r="AZ201" s="5">
        <f>S201-AY201</f>
        <v>0</v>
      </c>
      <c r="BA201" s="4">
        <v>0</v>
      </c>
      <c r="BB201" s="4">
        <v>0</v>
      </c>
      <c r="BC201" s="5">
        <f>U201-BB201</f>
        <v>0</v>
      </c>
      <c r="BD201" s="7">
        <f>SUM(IF(BP201="direct",CC201/F201,0),IF(CR201="direct",DE201/F201,0),IF(DT201="direct",EG201/F201,0),IF(EV201="direct",FI201/F201,0),IF(FX201="direct",GK201/F201,0),IF(GZ201="direct",HM201/F201,0),IF(IB201="direct",IO201/F201,0),IF(JD201="direct",JQ201/F201,0),IF(KF201="direct",KS201/F201,0),IF(LH201="direct",LU201/F201,0))</f>
        <v>-0.005367686527106822</v>
      </c>
      <c r="BE201" s="7">
        <f>-SUM(IF(BP201="direct",CD201/F201,0),IF(CR201="direct",DF201/F201,0),IF(DT201="direct",EH201/F201,0),IF(EV201="direct",FJ201/F201,0),IF(FX201="direct",GL201/F201,0),IF(GZ201="direct",HN201/F201,0),IF(IB201="direct",IP201/F201,0),IF(JD201="direct",JR201/F201,0),IF(KF201="direct",KT201/F201,0),IF(LH201="direct",LV201/F201,0))</f>
        <v>-0.000006849315068493151</v>
      </c>
      <c r="BF201" s="7">
        <f>BD201+BE201</f>
        <v>-0.0053745358421753145</v>
      </c>
      <c r="BG201" s="7">
        <f>BF201-SUM(IF(BP201="direct",CP201,0),IF(CR201="direct",DR201,0),IF(DT201="direct",ET201,0),IF(EV201="direct",FV201,0),IF(FX201="direct",GX201,0),IF(GZ201="direct",HZ201,0),IF(IB201="direct",JB201,0),IF(JD201="direct",KD201,0),IF(KF201="direct",LF201,0),IF(LH201="direct",MH201,0))</f>
        <v>1.9081958235744878e-17</v>
      </c>
      <c r="BH201" s="7">
        <f>SUM(IF(BP201="treasury",CP201,0),IF(CR201="treasury",DR201,0),IF(DT201="treasury",ET201,0),IF(EV201="treasury",FV201,0),IF(FX201="treasury",GX201,0),IF(GZ201="treasury",HZ201,0),IF(IB201="treasury",JB201,0),IF(JD201="treasury",KD201,0),IF(KF201="treasury",LF201,0),IF(LH201="treasury",MH201,0))</f>
        <v>0</v>
      </c>
      <c r="BI201" s="7">
        <f>SUM(IF(BP201="future",CP201,0),IF(CR201="future",DR201,0),IF(DT201="future",ET201,0),IF(EV201="future",FV201,0),IF(FX201="future",GX201,0),IF(GZ201="future",HZ201,0),IF(IB201="future",JB201,0),IF(JD201="future",KD201,0),IF(KF201="future",LF201,0),IF(LH201="future",MH201,0))</f>
        <v>0</v>
      </c>
      <c r="BJ201" s="7">
        <f>SUM(IF(BP201="cash",CP201,0),IF(CR201="cash",DR201,0),IF(DT201="cash",ET201,0),IF(EV201="cash",FV201,0),IF(FX201="cash",GX201,0),IF(GZ201="cash",HZ201,0),IF(IB201="cash",JB201,0),IF(JD201="cash",KD201,0),IF(KF201="cash",LF201,0),IF(LH201="cash",MH201,0))</f>
        <v>0</v>
      </c>
      <c r="BK201" s="7">
        <f>SUM(BF201,BH201,BI201,BJ201)</f>
        <v>-0.0053745358421753335</v>
      </c>
      <c r="BL201" s="7">
        <f>G201-BK201</f>
        <v>8.673617379884035e-19</v>
      </c>
      <c r="BM201" s="5">
        <f>MAX(ABS(CG201),ABS(DI201),ABS(EK201),ABS(FM201),ABS(GO201),ABS(HQ201),ABS(IS201),ABS(JU201),ABS(KW201),ABS(LY201))</f>
        <v>3.4979072589813587e-17</v>
      </c>
      <c r="BN201" s="9">
        <f>COUNTA(BO201,CQ201,DS201,EU201,FW201,GY201,IA201,JC201,KE201,LG201)</f>
        <v>3</v>
      </c>
      <c r="BO201" t="inlineStr">
        <is>
          <t xml:space="preserve">Direct commodity holding</t>
        </is>
      </c>
      <c r="BP201" t="inlineStr">
        <is>
          <t xml:space="preserve">direct</t>
        </is>
      </c>
      <c r="BQ201" t="inlineStr">
        <is>
          <t xml:space="preserve">lease</t>
        </is>
      </c>
      <c r="BR201" t="inlineStr">
        <is>
          <t xml:space="preserve">long</t>
        </is>
      </c>
      <c r="BS201"/>
      <c r="BT201" s="4">
        <v>1.863</v>
      </c>
      <c r="BU201" s="4">
        <v>1.853</v>
      </c>
      <c r="BV201" s="6">
        <v>0.0025</v>
      </c>
      <c r="BW201" s="4">
        <v>1.010789712205941</v>
      </c>
      <c r="BX201" s="5">
        <f>IF(BP201="direct",IFERROR(CD201/BU201,0),0)</f>
        <v>0.000006960579415238037</v>
      </c>
      <c r="BY201" s="5">
        <f>IF(BP201="direct",BW201-BX201,IF(BP201="cash",CI201,BW201))</f>
        <v>1.0107827516265258</v>
      </c>
      <c r="BZ201" s="6">
        <v>1</v>
      </c>
      <c r="CA201" s="4">
        <v>1.883101233839668</v>
      </c>
      <c r="CB201" s="4">
        <v>1.883101233839668</v>
      </c>
      <c r="CC201" s="5">
        <f>IF(BP201="direct",BW201*(BU201-BT201),CF201)</f>
        <v>-0.01010789712205942</v>
      </c>
      <c r="CD201" s="5">
        <f>IF(BP201="direct",CB201*BV201*C201/365,0)</f>
        <v>0.000012897953656436083</v>
      </c>
      <c r="CE201" s="5">
        <f>CC201-CD201</f>
        <v>-0.01012079507571589</v>
      </c>
      <c r="CF201" s="4">
        <v>-0.01012079507571589</v>
      </c>
      <c r="CG201" s="5">
        <f>CF201-CE201</f>
        <v>-3.4979072589813587e-17</v>
      </c>
      <c r="CH201" s="4">
        <v>0</v>
      </c>
      <c r="CI201" s="4">
        <v>1.8729804387639521</v>
      </c>
      <c r="CJ201" s="4">
        <v>1.863</v>
      </c>
      <c r="CK201" s="4">
        <v>1.853</v>
      </c>
      <c r="CL201" s="6"/>
      <c r="CM201" s="6"/>
      <c r="CN201" s="6"/>
      <c r="CO201" s="9"/>
      <c r="CP201" s="7">
        <f>IFERROR(CE201/F201,0)</f>
        <v>-0.0053745358421753335</v>
      </c>
      <c r="CQ201" t="inlineStr">
        <is>
          <t xml:space="preserve">Lease cash / margin / financing</t>
        </is>
      </c>
      <c r="CR201" t="inlineStr">
        <is>
          <t xml:space="preserve">cash</t>
        </is>
      </c>
      <c r="CS201" t="inlineStr">
        <is>
          <t xml:space="preserve">lease</t>
        </is>
      </c>
      <c r="CT201" t="inlineStr">
        <is>
          <t xml:space="preserve">cash</t>
        </is>
      </c>
      <c r="CU201"/>
      <c r="CV201" s="4">
        <v>1</v>
      </c>
      <c r="CW201" s="4">
        <v>1</v>
      </c>
      <c r="CX201" s="6"/>
      <c r="CY201" s="4">
        <v>2.220446049250313e-16</v>
      </c>
      <c r="CZ201" s="5">
        <f>IF(CR201="direct",IFERROR(DF201/CW201,0),0)</f>
        <v>0</v>
      </c>
      <c r="DA201" s="5">
        <f>IF(CR201="direct",CY201-CZ201,IF(CR201="cash",DK201,CY201))</f>
        <v>2.220446049250313e-16</v>
      </c>
      <c r="DB201" s="6"/>
      <c r="DC201" s="4">
        <v>2.220446049250313e-16</v>
      </c>
      <c r="DD201" s="4">
        <v>2.220446049250313e-16</v>
      </c>
      <c r="DE201" s="5">
        <f>IF(CR201="direct",CY201*(CW201-CV201),DH201)</f>
        <v>0</v>
      </c>
      <c r="DF201" s="5">
        <f>IF(CR201="direct",DD201*CX201*C201/365,0)</f>
        <v>0</v>
      </c>
      <c r="DG201" s="5">
        <f>DE201-DF201</f>
        <v>0</v>
      </c>
      <c r="DH201" s="4">
        <v>0</v>
      </c>
      <c r="DI201" s="5">
        <f>DH201-DG201</f>
        <v>0</v>
      </c>
      <c r="DJ201" s="4">
        <v>0</v>
      </c>
      <c r="DK201" s="4">
        <v>2.220446049250313e-16</v>
      </c>
      <c r="DL201" s="4">
        <v>1.863</v>
      </c>
      <c r="DM201" s="4">
        <v>1.853</v>
      </c>
      <c r="DN201" s="6"/>
      <c r="DO201" s="6"/>
      <c r="DP201" s="6"/>
      <c r="DQ201" s="9"/>
      <c r="DR201" s="7">
        <f>IFERROR(DG201/F201,0)</f>
        <v>0</v>
      </c>
      <c r="DS201" t="inlineStr">
        <is>
          <t xml:space="preserve">Keep cash / margin / financing</t>
        </is>
      </c>
      <c r="DT201" t="inlineStr">
        <is>
          <t xml:space="preserve">cash</t>
        </is>
      </c>
      <c r="DU201" t="inlineStr">
        <is>
          <t xml:space="preserve">keep</t>
        </is>
      </c>
      <c r="DV201" t="inlineStr">
        <is>
          <t xml:space="preserve">cash</t>
        </is>
      </c>
      <c r="DW201"/>
      <c r="DX201" s="4">
        <v>1</v>
      </c>
      <c r="DY201" s="4">
        <v>1</v>
      </c>
      <c r="DZ201" s="6"/>
      <c r="EA201" s="4">
        <v>0</v>
      </c>
      <c r="EB201" s="5">
        <f>IF(DT201="direct",IFERROR(EH201/DY201,0),0)</f>
        <v>0</v>
      </c>
      <c r="EC201" s="5">
        <f>IF(DT201="direct",EA201-EB201,IF(DT201="cash",EM201,EA201))</f>
        <v>0</v>
      </c>
      <c r="ED201" s="6"/>
      <c r="EE201" s="4">
        <v>0</v>
      </c>
      <c r="EF201" s="4">
        <v>0</v>
      </c>
      <c r="EG201" s="5">
        <f>IF(DT201="direct",EA201*(DY201-DX201),EJ201)</f>
        <v>0</v>
      </c>
      <c r="EH201" s="5">
        <f>IF(DT201="direct",EF201*DZ201*C201/365,0)</f>
        <v>0</v>
      </c>
      <c r="EI201" s="5">
        <f>EG201-EH201</f>
        <v>0</v>
      </c>
      <c r="EJ201" s="4">
        <v>0</v>
      </c>
      <c r="EK201" s="5">
        <f>EJ201-EI201</f>
        <v>0</v>
      </c>
      <c r="EL201" s="4">
        <v>0</v>
      </c>
      <c r="EM201" s="4">
        <v>0</v>
      </c>
      <c r="EN201" s="4">
        <v>1.863</v>
      </c>
      <c r="EO201" s="4">
        <v>1.853</v>
      </c>
      <c r="EP201" s="6"/>
      <c r="EQ201" s="6"/>
      <c r="ER201" s="6"/>
      <c r="ES201" s="9"/>
      <c r="ET201" s="7">
        <f>IFERROR(EI201/F201,0)</f>
        <v>0</v>
      </c>
      <c r="EU201"/>
      <c r="EV201"/>
      <c r="EW201"/>
      <c r="EX201"/>
      <c r="EY201"/>
      <c r="EZ201" s="4"/>
      <c r="FA201" s="4"/>
      <c r="FB201" s="6"/>
      <c r="FC201" s="4"/>
      <c r="FD201" s="5">
        <v>0</v>
      </c>
      <c r="FE201" s="5"/>
      <c r="FF201" s="6"/>
      <c r="FG201" s="4"/>
      <c r="FH201" s="4"/>
      <c r="FI201" s="5">
        <v>0</v>
      </c>
      <c r="FJ201" s="5">
        <v>0</v>
      </c>
      <c r="FK201" s="5"/>
      <c r="FL201" s="4"/>
      <c r="FM201" s="5">
        <v>0</v>
      </c>
      <c r="FN201" s="4"/>
      <c r="FO201" s="4"/>
      <c r="FP201" s="4"/>
      <c r="FQ201" s="4"/>
      <c r="FR201" s="6"/>
      <c r="FS201" s="6"/>
      <c r="FT201" s="6"/>
      <c r="FU201" s="9"/>
      <c r="FV201"/>
      <c r="FW201"/>
      <c r="FX201"/>
      <c r="FY201"/>
      <c r="FZ201"/>
      <c r="GA201"/>
      <c r="GB201" s="4"/>
      <c r="GC201" s="4"/>
      <c r="GD201" s="6"/>
      <c r="GE201" s="4"/>
      <c r="GF201" s="5">
        <v>0</v>
      </c>
      <c r="GG201" s="5"/>
      <c r="GH201" s="6"/>
      <c r="GI201" s="4"/>
      <c r="GJ201" s="4"/>
      <c r="GK201" s="5">
        <v>0</v>
      </c>
      <c r="GL201" s="5">
        <v>0</v>
      </c>
      <c r="GM201" s="5"/>
      <c r="GN201" s="4"/>
      <c r="GO201" s="5">
        <v>0</v>
      </c>
      <c r="GP201" s="4"/>
      <c r="GQ201" s="4"/>
      <c r="GR201" s="4"/>
      <c r="GS201" s="4"/>
      <c r="GT201" s="6"/>
      <c r="GU201" s="6"/>
      <c r="GV201" s="6"/>
      <c r="GW201" s="9"/>
      <c r="GX201"/>
      <c r="GY201"/>
      <c r="GZ201"/>
      <c r="HA201"/>
      <c r="HB201"/>
      <c r="HC201"/>
      <c r="HD201" s="4"/>
      <c r="HE201" s="4"/>
      <c r="HF201" s="6"/>
      <c r="HG201" s="4"/>
      <c r="HH201" s="5">
        <v>0</v>
      </c>
      <c r="HI201" s="5"/>
      <c r="HJ201" s="6"/>
      <c r="HK201" s="4"/>
      <c r="HL201" s="4"/>
      <c r="HM201" s="5">
        <v>0</v>
      </c>
      <c r="HN201" s="5">
        <v>0</v>
      </c>
      <c r="HO201" s="5"/>
      <c r="HP201" s="4"/>
      <c r="HQ201" s="5">
        <v>0</v>
      </c>
      <c r="HR201" s="4"/>
      <c r="HS201" s="4"/>
      <c r="HT201" s="4"/>
      <c r="HU201" s="4"/>
      <c r="HV201" s="6"/>
      <c r="HW201" s="6"/>
      <c r="HX201" s="6"/>
      <c r="HY201" s="9"/>
      <c r="HZ201"/>
      <c r="IA201"/>
      <c r="IB201"/>
      <c r="IC201"/>
      <c r="ID201"/>
      <c r="IE201"/>
      <c r="IF201" s="4"/>
      <c r="IG201" s="4"/>
      <c r="IH201" s="6"/>
      <c r="II201" s="4"/>
      <c r="IJ201" s="5">
        <v>0</v>
      </c>
      <c r="IK201" s="5"/>
      <c r="IL201" s="6"/>
      <c r="IM201" s="4"/>
      <c r="IN201" s="4"/>
      <c r="IO201" s="5">
        <v>0</v>
      </c>
      <c r="IP201" s="5">
        <v>0</v>
      </c>
      <c r="IQ201" s="5"/>
      <c r="IR201" s="4"/>
      <c r="IS201" s="5">
        <v>0</v>
      </c>
      <c r="IT201" s="4"/>
      <c r="IU201" s="4"/>
      <c r="IV201" s="4"/>
      <c r="IW201" s="4"/>
      <c r="IX201" s="6"/>
      <c r="IY201" s="6"/>
      <c r="IZ201" s="6"/>
      <c r="JA201" s="9"/>
      <c r="JB201"/>
      <c r="JC201"/>
      <c r="JD201"/>
      <c r="JE201"/>
      <c r="JF201"/>
      <c r="JG201"/>
      <c r="JH201" s="4"/>
      <c r="JI201" s="4"/>
      <c r="JJ201" s="6"/>
      <c r="JK201" s="4"/>
      <c r="JL201" s="5">
        <v>0</v>
      </c>
      <c r="JM201" s="5"/>
      <c r="JN201" s="6"/>
      <c r="JO201" s="4"/>
      <c r="JP201" s="4"/>
      <c r="JQ201" s="5">
        <v>0</v>
      </c>
      <c r="JR201" s="5">
        <v>0</v>
      </c>
      <c r="JS201" s="5"/>
      <c r="JT201" s="4"/>
      <c r="JU201" s="5">
        <v>0</v>
      </c>
      <c r="JV201" s="4"/>
      <c r="JW201" s="4"/>
      <c r="JX201" s="4"/>
      <c r="JY201" s="4"/>
      <c r="JZ201" s="6"/>
      <c r="KA201" s="6"/>
      <c r="KB201" s="6"/>
      <c r="KC201" s="9"/>
      <c r="KD201"/>
      <c r="KE201"/>
      <c r="KF201"/>
      <c r="KG201"/>
      <c r="KH201"/>
      <c r="KI201"/>
      <c r="KJ201" s="4"/>
      <c r="KK201" s="4"/>
      <c r="KL201" s="6"/>
      <c r="KM201" s="4"/>
      <c r="KN201" s="5">
        <v>0</v>
      </c>
      <c r="KO201" s="5"/>
      <c r="KP201" s="6"/>
      <c r="KQ201" s="4"/>
      <c r="KR201" s="4"/>
      <c r="KS201" s="5">
        <v>0</v>
      </c>
      <c r="KT201" s="5">
        <v>0</v>
      </c>
      <c r="KU201" s="5"/>
      <c r="KV201" s="4"/>
      <c r="KW201" s="5">
        <v>0</v>
      </c>
      <c r="KX201" s="4"/>
      <c r="KY201" s="4"/>
      <c r="KZ201" s="4"/>
      <c r="LA201" s="4"/>
      <c r="LB201" s="6"/>
      <c r="LC201" s="6"/>
      <c r="LD201" s="6"/>
      <c r="LE201" s="9"/>
      <c r="LF201"/>
      <c r="LG201"/>
      <c r="LH201"/>
      <c r="LI201"/>
      <c r="LJ201"/>
      <c r="LK201"/>
      <c r="LL201" s="4"/>
      <c r="LM201" s="4"/>
      <c r="LN201" s="6"/>
      <c r="LO201" s="4"/>
      <c r="LP201" s="5">
        <v>0</v>
      </c>
      <c r="LQ201" s="5"/>
      <c r="LR201" s="6"/>
      <c r="LS201" s="4"/>
      <c r="LT201" s="4"/>
      <c r="LU201" s="5">
        <v>0</v>
      </c>
      <c r="LV201" s="5">
        <v>0</v>
      </c>
      <c r="LW201" s="5"/>
      <c r="LX201" s="4"/>
      <c r="LY201" s="5">
        <v>0</v>
      </c>
      <c r="LZ201" s="4"/>
      <c r="MA201" s="4"/>
      <c r="MB201" s="4"/>
      <c r="MC201" s="4"/>
      <c r="MD201" s="6"/>
      <c r="ME201" s="6"/>
      <c r="MF201" s="6"/>
      <c r="MG201" s="9"/>
      <c r="MH201"/>
    </row>
    <row r="202">
      <c r="A202" s="8">
        <v>25500</v>
      </c>
      <c r="B202" s="8">
        <v>25503</v>
      </c>
      <c r="C202" s="9">
        <f>B202-A202</f>
        <v>3</v>
      </c>
      <c r="D202" s="8">
        <v>25500</v>
      </c>
      <c r="E202" t="inlineStr">
        <is>
          <t xml:space="preserve">neutral</t>
        </is>
      </c>
      <c r="F202" s="4">
        <v>1.8729804387639521</v>
      </c>
      <c r="G202" s="6">
        <v>0.028581718649505733</v>
      </c>
      <c r="H202" s="7">
        <f>SUM(CP202,DR202,ET202,FV202,GX202,HZ202,JB202,KD202,LF202,MH202)</f>
        <v>0.028581718649505733</v>
      </c>
      <c r="I202" s="7">
        <f>G202-H202</f>
        <v>0</v>
      </c>
      <c r="J202" s="5">
        <f>F202*(1+H202)</f>
        <v>1.926513438700731</v>
      </c>
      <c r="K202" s="4">
        <v>1.926513438700731</v>
      </c>
      <c r="L202" s="5">
        <f>K202-J202</f>
        <v>0</v>
      </c>
      <c r="M202" s="4">
        <v>1.853</v>
      </c>
      <c r="N202" s="4">
        <v>1.906</v>
      </c>
      <c r="O202" s="5">
        <f>M202/$M$3</f>
        <v>0.9463738508682329</v>
      </c>
      <c r="P202" s="5">
        <f>N202/$M$3</f>
        <v>0.9734422880490295</v>
      </c>
      <c r="Q202" s="7">
        <f>IFERROR(N202/M202-1,0)</f>
        <v>0.028602266594711212</v>
      </c>
      <c r="R202" s="5">
        <f>SUM(IF(BQ202="lease",CB202,0),IF(CS202="lease",DD202,0),IF(DU202="lease",EF202,0),IF(EW202="lease",FH202,0),IF(FY202="lease",GJ202,0),IF(HA202="lease",HL202,0),IF(IC202="lease",IN202,0),IF(JE202="lease",JP202,0),IF(KG202="lease",KR202,0),IF(LI202="lease",LT202,0))</f>
        <v>1.8729804387639524</v>
      </c>
      <c r="S202" s="5">
        <f>SUM(IF(BQ202="lease",CI202,0),IF(CS202="lease",DK202,0),IF(DU202="lease",EM202,0),IF(EW202="lease",FO202,0),IF(FY202="lease",GQ202,0),IF(HA202="lease",HS202,0),IF(IC202="lease",IU202,0),IF(JE202="lease",JW202,0),IF(KG202="lease",KY202,0),IF(LI202="lease",MA202,0))</f>
        <v>1.9265134387007314</v>
      </c>
      <c r="T202" s="5">
        <f>SUM(IF(BQ202="keep",CB202,0),IF(CS202="keep",DD202,0),IF(DU202="keep",EF202,0),IF(EW202="keep",FH202,0),IF(FY202="keep",GJ202,0),IF(HA202="keep",HL202,0),IF(IC202="keep",IN202,0),IF(JE202="keep",JP202,0),IF(KG202="keep",KR202,0),IF(LI202="keep",LT202,0))</f>
        <v>0</v>
      </c>
      <c r="U202" s="5">
        <f>SUM(IF(BQ202="keep",CI202,0),IF(CS202="keep",DK202,0),IF(DU202="keep",EM202,0),IF(EW202="keep",FO202,0),IF(FY202="keep",GQ202,0),IF(HA202="keep",HS202,0),IF(IC202="keep",IU202,0),IF(JE202="keep",JW202,0),IF(KG202="keep",KY202,0),IF(LI202="keep",MA202,0))</f>
        <v>0</v>
      </c>
      <c r="V202" s="5">
        <f>R202/O202</f>
        <v>1.9791126276847375</v>
      </c>
      <c r="W202" s="5">
        <f>S202/P202</f>
        <v>1.9790730918027453</v>
      </c>
      <c r="X202" s="5">
        <f>T202/O202</f>
        <v>0</v>
      </c>
      <c r="Y202" s="5">
        <f>U202/P202</f>
        <v>0</v>
      </c>
      <c r="Z202" s="5">
        <f>V202+X202</f>
        <v>1.9791126276847375</v>
      </c>
      <c r="AA202" s="7">
        <f>IFERROR(W202/V202-1,0)</f>
        <v>-0.00001997657002394959</v>
      </c>
      <c r="AB202" s="7">
        <f>IFERROR((W202-V202)/Z202,0)</f>
        <v>-0.00001997657002395435</v>
      </c>
      <c r="AC202" s="7">
        <f>IFERROR(Y202/X202-1,0)</f>
        <v>0</v>
      </c>
      <c r="AD202" s="7">
        <f>IFERROR((Y202-X202)/Z202,0)</f>
        <v>0</v>
      </c>
      <c r="AE202" s="7">
        <f>AB202+AD202</f>
        <v>-0.00001997657002395435</v>
      </c>
      <c r="AF202" s="7">
        <f>(1+Q202)*(1+AE202)-1</f>
        <v>0.02858171864950587</v>
      </c>
      <c r="AG202" s="7">
        <f>G202-AF202</f>
        <v>-1.3877787807814457e-16</v>
      </c>
      <c r="AH202" s="5">
        <f>SUM(IF(BQ202="lease",CE202,0),IF(CS202="lease",DG202,0),IF(DU202="lease",EI202,0),IF(EW202="lease",FK202,0),IF(FY202="lease",GM202,0),IF(HA202="lease",HO202,0),IF(IC202="lease",IQ202,0),IF(JE202="lease",JS202,0),IF(KG202="lease",KU202,0),IF(LI202="lease",LW202,0))</f>
        <v>0.05353299993677908</v>
      </c>
      <c r="AI202" s="5">
        <f>SUM(IF(BQ202="keep",CE202,0),IF(CS202="keep",DG202,0),IF(DU202="keep",EI202,0),IF(EW202="keep",FK202,0),IF(FY202="keep",GM202,0),IF(HA202="keep",HO202,0),IF(IC202="keep",IQ202,0),IF(JE202="keep",JS202,0),IF(KG202="keep",KU202,0),IF(LI202="keep",LW202,0))</f>
        <v>0</v>
      </c>
      <c r="AJ202" s="5">
        <f>SUM(IF(BQ202="lease",CH202,0),IF(CS202="lease",DJ202,0),IF(DU202="lease",EL202,0),IF(EW202="lease",FN202,0),IF(FY202="lease",GP202,0),IF(HA202="lease",HR202,0),IF(IC202="lease",IT202,0),IF(JE202="lease",JV202,0),IF(KG202="lease",KX202,0),IF(LI202="lease",LZ202,0))</f>
        <v>0</v>
      </c>
      <c r="AK202" s="5">
        <f>SUM(IF(BQ202="keep",CH202,0),IF(CS202="keep",DJ202,0),IF(DU202="keep",EL202,0),IF(EW202="keep",FN202,0),IF(FY202="keep",GP202,0),IF(HA202="keep",HR202,0),IF(IC202="keep",IT202,0),IF(JE202="keep",JV202,0),IF(KG202="keep",KX202,0),IF(LI202="keep",LZ202,0))</f>
        <v>0</v>
      </c>
      <c r="AL202" s="5">
        <f>R202-S201</f>
        <v>0</v>
      </c>
      <c r="AM202" s="5">
        <f>T202-U201</f>
        <v>0</v>
      </c>
      <c r="AN202" s="5">
        <f>AN201</f>
        <v>1</v>
      </c>
      <c r="AO202" s="5">
        <f>AO201+AH202</f>
        <v>0.9265134387007314</v>
      </c>
      <c r="AP202" s="5">
        <f>AP201+AL202</f>
        <v>-2.220446049250313e-16</v>
      </c>
      <c r="AQ202" s="5">
        <f>AN202+AO202+AP202</f>
        <v>1.9265134387007312</v>
      </c>
      <c r="AR202" s="5">
        <f>S202-AQ202</f>
        <v>2.220446049250313e-16</v>
      </c>
      <c r="AS202" s="5">
        <f>AS201</f>
        <v>0</v>
      </c>
      <c r="AT202" s="5">
        <f>AT201+AI202</f>
        <v>0</v>
      </c>
      <c r="AU202" s="5">
        <f>AU201+AM202</f>
        <v>0</v>
      </c>
      <c r="AV202" s="5">
        <f>AS202+AT202+AU202</f>
        <v>0</v>
      </c>
      <c r="AW202" s="5">
        <f>U202-AV202</f>
        <v>0</v>
      </c>
      <c r="AX202" s="4">
        <v>1.8729804387639524</v>
      </c>
      <c r="AY202" s="4">
        <v>1.9265134387007314</v>
      </c>
      <c r="AZ202" s="5">
        <f>S202-AY202</f>
        <v>0</v>
      </c>
      <c r="BA202" s="4">
        <v>0</v>
      </c>
      <c r="BB202" s="4">
        <v>0</v>
      </c>
      <c r="BC202" s="5">
        <f>U202-BB202</f>
        <v>0</v>
      </c>
      <c r="BD202" s="7">
        <f>SUM(IF(BP202="direct",CC202/F202,0),IF(CR202="direct",DE202/F202,0),IF(DT202="direct",EG202/F202,0),IF(EV202="direct",FI202/F202,0),IF(FX202="direct",GK202/F202,0),IF(GZ202="direct",HM202/F202,0),IF(IB202="direct",IO202/F202,0),IF(JD202="direct",JQ202/F202,0),IF(KF202="direct",KS202/F202,0),IF(LH202="direct",LU202/F202,0))</f>
        <v>0.028602266594711247</v>
      </c>
      <c r="BE202" s="7">
        <f>-SUM(IF(BP202="direct",CD202/F202,0),IF(CR202="direct",DF202/F202,0),IF(DT202="direct",EH202/F202,0),IF(EV202="direct",FJ202/F202,0),IF(FX202="direct",GL202/F202,0),IF(GZ202="direct",HN202/F202,0),IF(IB202="direct",IP202/F202,0),IF(JD202="direct",JR202/F202,0),IF(KF202="direct",KT202/F202,0),IF(LH202="direct",LV202/F202,0))</f>
        <v>-0.00002054794520547945</v>
      </c>
      <c r="BF202" s="7">
        <f>BD202+BE202</f>
        <v>0.028581718649505768</v>
      </c>
      <c r="BG202" s="7">
        <f>BF202-SUM(IF(BP202="direct",CP202,0),IF(CR202="direct",DR202,0),IF(DT202="direct",ET202,0),IF(EV202="direct",FV202,0),IF(FX202="direct",GX202,0),IF(GZ202="direct",HZ202,0),IF(IB202="direct",JB202,0),IF(JD202="direct",KD202,0),IF(KF202="direct",LF202,0),IF(LH202="direct",MH202,0))</f>
        <v>3.469446951953614e-17</v>
      </c>
      <c r="BH202" s="7">
        <f>SUM(IF(BP202="treasury",CP202,0),IF(CR202="treasury",DR202,0),IF(DT202="treasury",ET202,0),IF(EV202="treasury",FV202,0),IF(FX202="treasury",GX202,0),IF(GZ202="treasury",HZ202,0),IF(IB202="treasury",JB202,0),IF(JD202="treasury",KD202,0),IF(KF202="treasury",LF202,0),IF(LH202="treasury",MH202,0))</f>
        <v>0</v>
      </c>
      <c r="BI202" s="7">
        <f>SUM(IF(BP202="future",CP202,0),IF(CR202="future",DR202,0),IF(DT202="future",ET202,0),IF(EV202="future",FV202,0),IF(FX202="future",GX202,0),IF(GZ202="future",HZ202,0),IF(IB202="future",JB202,0),IF(JD202="future",KD202,0),IF(KF202="future",LF202,0),IF(LH202="future",MH202,0))</f>
        <v>0</v>
      </c>
      <c r="BJ202" s="7">
        <f>SUM(IF(BP202="cash",CP202,0),IF(CR202="cash",DR202,0),IF(DT202="cash",ET202,0),IF(EV202="cash",FV202,0),IF(FX202="cash",GX202,0),IF(GZ202="cash",HZ202,0),IF(IB202="cash",JB202,0),IF(JD202="cash",KD202,0),IF(KF202="cash",LF202,0),IF(LH202="cash",MH202,0))</f>
        <v>0</v>
      </c>
      <c r="BK202" s="7">
        <f>SUM(BF202,BH202,BI202,BJ202)</f>
        <v>0.028581718649505733</v>
      </c>
      <c r="BL202" s="7">
        <f>G202-BK202</f>
        <v>0</v>
      </c>
      <c r="BM202" s="5">
        <f>MAX(ABS(CG202),ABS(DI202),ABS(EK202),ABS(FM202),ABS(GO202),ABS(HQ202),ABS(IS202),ABS(JU202),ABS(KW202),ABS(LY202))</f>
        <v>6.188083899461017e-17</v>
      </c>
      <c r="BN202" s="9">
        <f>COUNTA(BO202,CQ202,DS202,EU202,FW202,GY202,IA202,JC202,KE202,LG202)</f>
        <v>3</v>
      </c>
      <c r="BO202" t="inlineStr">
        <is>
          <t xml:space="preserve">Direct commodity holding</t>
        </is>
      </c>
      <c r="BP202" t="inlineStr">
        <is>
          <t xml:space="preserve">direct</t>
        </is>
      </c>
      <c r="BQ202" t="inlineStr">
        <is>
          <t xml:space="preserve">lease</t>
        </is>
      </c>
      <c r="BR202" t="inlineStr">
        <is>
          <t xml:space="preserve">long</t>
        </is>
      </c>
      <c r="BS202"/>
      <c r="BT202" s="4">
        <v>1.853</v>
      </c>
      <c r="BU202" s="4">
        <v>1.906</v>
      </c>
      <c r="BV202" s="6">
        <v>0.0025</v>
      </c>
      <c r="BW202" s="4">
        <v>1.0107827516265258</v>
      </c>
      <c r="BX202" s="5">
        <f>IF(BP202="direct",IFERROR(CD202/BU202,0),0)</f>
        <v>0.000020191972416923687</v>
      </c>
      <c r="BY202" s="5">
        <f>IF(BP202="direct",BW202-BX202,IF(BP202="cash",CI202,BW202))</f>
        <v>1.0107625596541088</v>
      </c>
      <c r="BZ202" s="6">
        <v>1</v>
      </c>
      <c r="CA202" s="4">
        <v>1.8729804387639521</v>
      </c>
      <c r="CB202" s="4">
        <v>1.8729804387639521</v>
      </c>
      <c r="CC202" s="5">
        <f>IF(BP202="direct",BW202*(BU202-BT202),CF202)</f>
        <v>0.0535714858362058</v>
      </c>
      <c r="CD202" s="5">
        <f>IF(BP202="direct",CB202*BV202*C202/365,0)</f>
        <v>0.00003848589942665655</v>
      </c>
      <c r="CE202" s="5">
        <f>CC202-CD202</f>
        <v>0.05353299993677908</v>
      </c>
      <c r="CF202" s="4">
        <v>0.05353299993677908</v>
      </c>
      <c r="CG202" s="5">
        <f>CF202-CE202</f>
        <v>-6.188083899461017e-17</v>
      </c>
      <c r="CH202" s="4">
        <v>0</v>
      </c>
      <c r="CI202" s="4">
        <v>1.9265134387007312</v>
      </c>
      <c r="CJ202" s="4">
        <v>1.853</v>
      </c>
      <c r="CK202" s="4">
        <v>1.906</v>
      </c>
      <c r="CL202" s="6"/>
      <c r="CM202" s="6"/>
      <c r="CN202" s="6"/>
      <c r="CO202" s="9"/>
      <c r="CP202" s="7">
        <f>IFERROR(CE202/F202,0)</f>
        <v>0.028581718649505733</v>
      </c>
      <c r="CQ202" t="inlineStr">
        <is>
          <t xml:space="preserve">Lease cash / margin / financing</t>
        </is>
      </c>
      <c r="CR202" t="inlineStr">
        <is>
          <t xml:space="preserve">cash</t>
        </is>
      </c>
      <c r="CS202" t="inlineStr">
        <is>
          <t xml:space="preserve">lease</t>
        </is>
      </c>
      <c r="CT202" t="inlineStr">
        <is>
          <t xml:space="preserve">cash</t>
        </is>
      </c>
      <c r="CU202"/>
      <c r="CV202" s="4">
        <v>1</v>
      </c>
      <c r="CW202" s="4">
        <v>1</v>
      </c>
      <c r="CX202" s="6"/>
      <c r="CY202" s="4">
        <v>2.220446049250313e-16</v>
      </c>
      <c r="CZ202" s="5">
        <f>IF(CR202="direct",IFERROR(DF202/CW202,0),0)</f>
        <v>0</v>
      </c>
      <c r="DA202" s="5">
        <f>IF(CR202="direct",CY202-CZ202,IF(CR202="cash",DK202,CY202))</f>
        <v>2.220446049250313e-16</v>
      </c>
      <c r="DB202" s="6"/>
      <c r="DC202" s="4">
        <v>2.220446049250313e-16</v>
      </c>
      <c r="DD202" s="4">
        <v>2.220446049250313e-16</v>
      </c>
      <c r="DE202" s="5">
        <f>IF(CR202="direct",CY202*(CW202-CV202),DH202)</f>
        <v>0</v>
      </c>
      <c r="DF202" s="5">
        <f>IF(CR202="direct",DD202*CX202*C202/365,0)</f>
        <v>0</v>
      </c>
      <c r="DG202" s="5">
        <f>DE202-DF202</f>
        <v>0</v>
      </c>
      <c r="DH202" s="4">
        <v>0</v>
      </c>
      <c r="DI202" s="5">
        <f>DH202-DG202</f>
        <v>0</v>
      </c>
      <c r="DJ202" s="4">
        <v>0</v>
      </c>
      <c r="DK202" s="4">
        <v>2.220446049250313e-16</v>
      </c>
      <c r="DL202" s="4">
        <v>1.853</v>
      </c>
      <c r="DM202" s="4">
        <v>1.906</v>
      </c>
      <c r="DN202" s="6"/>
      <c r="DO202" s="6"/>
      <c r="DP202" s="6"/>
      <c r="DQ202" s="9"/>
      <c r="DR202" s="7">
        <f>IFERROR(DG202/F202,0)</f>
        <v>0</v>
      </c>
      <c r="DS202" t="inlineStr">
        <is>
          <t xml:space="preserve">Keep cash / margin / financing</t>
        </is>
      </c>
      <c r="DT202" t="inlineStr">
        <is>
          <t xml:space="preserve">cash</t>
        </is>
      </c>
      <c r="DU202" t="inlineStr">
        <is>
          <t xml:space="preserve">keep</t>
        </is>
      </c>
      <c r="DV202" t="inlineStr">
        <is>
          <t xml:space="preserve">cash</t>
        </is>
      </c>
      <c r="DW202"/>
      <c r="DX202" s="4">
        <v>1</v>
      </c>
      <c r="DY202" s="4">
        <v>1</v>
      </c>
      <c r="DZ202" s="6"/>
      <c r="EA202" s="4">
        <v>0</v>
      </c>
      <c r="EB202" s="5">
        <f>IF(DT202="direct",IFERROR(EH202/DY202,0),0)</f>
        <v>0</v>
      </c>
      <c r="EC202" s="5">
        <f>IF(DT202="direct",EA202-EB202,IF(DT202="cash",EM202,EA202))</f>
        <v>0</v>
      </c>
      <c r="ED202" s="6"/>
      <c r="EE202" s="4">
        <v>0</v>
      </c>
      <c r="EF202" s="4">
        <v>0</v>
      </c>
      <c r="EG202" s="5">
        <f>IF(DT202="direct",EA202*(DY202-DX202),EJ202)</f>
        <v>0</v>
      </c>
      <c r="EH202" s="5">
        <f>IF(DT202="direct",EF202*DZ202*C202/365,0)</f>
        <v>0</v>
      </c>
      <c r="EI202" s="5">
        <f>EG202-EH202</f>
        <v>0</v>
      </c>
      <c r="EJ202" s="4">
        <v>0</v>
      </c>
      <c r="EK202" s="5">
        <f>EJ202-EI202</f>
        <v>0</v>
      </c>
      <c r="EL202" s="4">
        <v>0</v>
      </c>
      <c r="EM202" s="4">
        <v>0</v>
      </c>
      <c r="EN202" s="4">
        <v>1.853</v>
      </c>
      <c r="EO202" s="4">
        <v>1.906</v>
      </c>
      <c r="EP202" s="6"/>
      <c r="EQ202" s="6"/>
      <c r="ER202" s="6"/>
      <c r="ES202" s="9"/>
      <c r="ET202" s="7">
        <f>IFERROR(EI202/F202,0)</f>
        <v>0</v>
      </c>
      <c r="EU202"/>
      <c r="EV202"/>
      <c r="EW202"/>
      <c r="EX202"/>
      <c r="EY202"/>
      <c r="EZ202" s="4"/>
      <c r="FA202" s="4"/>
      <c r="FB202" s="6"/>
      <c r="FC202" s="4"/>
      <c r="FD202" s="5">
        <v>0</v>
      </c>
      <c r="FE202" s="5"/>
      <c r="FF202" s="6"/>
      <c r="FG202" s="4"/>
      <c r="FH202" s="4"/>
      <c r="FI202" s="5">
        <v>0</v>
      </c>
      <c r="FJ202" s="5">
        <v>0</v>
      </c>
      <c r="FK202" s="5"/>
      <c r="FL202" s="4"/>
      <c r="FM202" s="5">
        <v>0</v>
      </c>
      <c r="FN202" s="4"/>
      <c r="FO202" s="4"/>
      <c r="FP202" s="4"/>
      <c r="FQ202" s="4"/>
      <c r="FR202" s="6"/>
      <c r="FS202" s="6"/>
      <c r="FT202" s="6"/>
      <c r="FU202" s="9"/>
      <c r="FV202"/>
      <c r="FW202"/>
      <c r="FX202"/>
      <c r="FY202"/>
      <c r="FZ202"/>
      <c r="GA202"/>
      <c r="GB202" s="4"/>
      <c r="GC202" s="4"/>
      <c r="GD202" s="6"/>
      <c r="GE202" s="4"/>
      <c r="GF202" s="5">
        <v>0</v>
      </c>
      <c r="GG202" s="5"/>
      <c r="GH202" s="6"/>
      <c r="GI202" s="4"/>
      <c r="GJ202" s="4"/>
      <c r="GK202" s="5">
        <v>0</v>
      </c>
      <c r="GL202" s="5">
        <v>0</v>
      </c>
      <c r="GM202" s="5"/>
      <c r="GN202" s="4"/>
      <c r="GO202" s="5">
        <v>0</v>
      </c>
      <c r="GP202" s="4"/>
      <c r="GQ202" s="4"/>
      <c r="GR202" s="4"/>
      <c r="GS202" s="4"/>
      <c r="GT202" s="6"/>
      <c r="GU202" s="6"/>
      <c r="GV202" s="6"/>
      <c r="GW202" s="9"/>
      <c r="GX202"/>
      <c r="GY202"/>
      <c r="GZ202"/>
      <c r="HA202"/>
      <c r="HB202"/>
      <c r="HC202"/>
      <c r="HD202" s="4"/>
      <c r="HE202" s="4"/>
      <c r="HF202" s="6"/>
      <c r="HG202" s="4"/>
      <c r="HH202" s="5">
        <v>0</v>
      </c>
      <c r="HI202" s="5"/>
      <c r="HJ202" s="6"/>
      <c r="HK202" s="4"/>
      <c r="HL202" s="4"/>
      <c r="HM202" s="5">
        <v>0</v>
      </c>
      <c r="HN202" s="5">
        <v>0</v>
      </c>
      <c r="HO202" s="5"/>
      <c r="HP202" s="4"/>
      <c r="HQ202" s="5">
        <v>0</v>
      </c>
      <c r="HR202" s="4"/>
      <c r="HS202" s="4"/>
      <c r="HT202" s="4"/>
      <c r="HU202" s="4"/>
      <c r="HV202" s="6"/>
      <c r="HW202" s="6"/>
      <c r="HX202" s="6"/>
      <c r="HY202" s="9"/>
      <c r="HZ202"/>
      <c r="IA202"/>
      <c r="IB202"/>
      <c r="IC202"/>
      <c r="ID202"/>
      <c r="IE202"/>
      <c r="IF202" s="4"/>
      <c r="IG202" s="4"/>
      <c r="IH202" s="6"/>
      <c r="II202" s="4"/>
      <c r="IJ202" s="5">
        <v>0</v>
      </c>
      <c r="IK202" s="5"/>
      <c r="IL202" s="6"/>
      <c r="IM202" s="4"/>
      <c r="IN202" s="4"/>
      <c r="IO202" s="5">
        <v>0</v>
      </c>
      <c r="IP202" s="5">
        <v>0</v>
      </c>
      <c r="IQ202" s="5"/>
      <c r="IR202" s="4"/>
      <c r="IS202" s="5">
        <v>0</v>
      </c>
      <c r="IT202" s="4"/>
      <c r="IU202" s="4"/>
      <c r="IV202" s="4"/>
      <c r="IW202" s="4"/>
      <c r="IX202" s="6"/>
      <c r="IY202" s="6"/>
      <c r="IZ202" s="6"/>
      <c r="JA202" s="9"/>
      <c r="JB202"/>
      <c r="JC202"/>
      <c r="JD202"/>
      <c r="JE202"/>
      <c r="JF202"/>
      <c r="JG202"/>
      <c r="JH202" s="4"/>
      <c r="JI202" s="4"/>
      <c r="JJ202" s="6"/>
      <c r="JK202" s="4"/>
      <c r="JL202" s="5">
        <v>0</v>
      </c>
      <c r="JM202" s="5"/>
      <c r="JN202" s="6"/>
      <c r="JO202" s="4"/>
      <c r="JP202" s="4"/>
      <c r="JQ202" s="5">
        <v>0</v>
      </c>
      <c r="JR202" s="5">
        <v>0</v>
      </c>
      <c r="JS202" s="5"/>
      <c r="JT202" s="4"/>
      <c r="JU202" s="5">
        <v>0</v>
      </c>
      <c r="JV202" s="4"/>
      <c r="JW202" s="4"/>
      <c r="JX202" s="4"/>
      <c r="JY202" s="4"/>
      <c r="JZ202" s="6"/>
      <c r="KA202" s="6"/>
      <c r="KB202" s="6"/>
      <c r="KC202" s="9"/>
      <c r="KD202"/>
      <c r="KE202"/>
      <c r="KF202"/>
      <c r="KG202"/>
      <c r="KH202"/>
      <c r="KI202"/>
      <c r="KJ202" s="4"/>
      <c r="KK202" s="4"/>
      <c r="KL202" s="6"/>
      <c r="KM202" s="4"/>
      <c r="KN202" s="5">
        <v>0</v>
      </c>
      <c r="KO202" s="5"/>
      <c r="KP202" s="6"/>
      <c r="KQ202" s="4"/>
      <c r="KR202" s="4"/>
      <c r="KS202" s="5">
        <v>0</v>
      </c>
      <c r="KT202" s="5">
        <v>0</v>
      </c>
      <c r="KU202" s="5"/>
      <c r="KV202" s="4"/>
      <c r="KW202" s="5">
        <v>0</v>
      </c>
      <c r="KX202" s="4"/>
      <c r="KY202" s="4"/>
      <c r="KZ202" s="4"/>
      <c r="LA202" s="4"/>
      <c r="LB202" s="6"/>
      <c r="LC202" s="6"/>
      <c r="LD202" s="6"/>
      <c r="LE202" s="9"/>
      <c r="LF202"/>
      <c r="LG202"/>
      <c r="LH202"/>
      <c r="LI202"/>
      <c r="LJ202"/>
      <c r="LK202"/>
      <c r="LL202" s="4"/>
      <c r="LM202" s="4"/>
      <c r="LN202" s="6"/>
      <c r="LO202" s="4"/>
      <c r="LP202" s="5">
        <v>0</v>
      </c>
      <c r="LQ202" s="5"/>
      <c r="LR202" s="6"/>
      <c r="LS202" s="4"/>
      <c r="LT202" s="4"/>
      <c r="LU202" s="5">
        <v>0</v>
      </c>
      <c r="LV202" s="5">
        <v>0</v>
      </c>
      <c r="LW202" s="5"/>
      <c r="LX202" s="4"/>
      <c r="LY202" s="5">
        <v>0</v>
      </c>
      <c r="LZ202" s="4"/>
      <c r="MA202" s="4"/>
      <c r="MB202" s="4"/>
      <c r="MC202" s="4"/>
      <c r="MD202" s="6"/>
      <c r="ME202" s="6"/>
      <c r="MF202" s="6"/>
      <c r="MG202" s="9"/>
      <c r="MH202"/>
    </row>
    <row r="203">
      <c r="A203" s="8">
        <v>25503</v>
      </c>
      <c r="B203" s="8">
        <v>25504</v>
      </c>
      <c r="C203" s="9">
        <f>B203-A203</f>
        <v>1</v>
      </c>
      <c r="D203" s="8">
        <v>25503</v>
      </c>
      <c r="E203" t="inlineStr">
        <is>
          <t xml:space="preserve">neutral</t>
        </is>
      </c>
      <c r="F203" s="4">
        <v>1.926513438700731</v>
      </c>
      <c r="G203" s="6">
        <v>-0.011024687720105166</v>
      </c>
      <c r="H203" s="7">
        <f>SUM(CP203,DR203,ET203,FV203,GX203,HZ203,JB203,KD203,LF203,MH203)</f>
        <v>-0.011024687720105166</v>
      </c>
      <c r="I203" s="7">
        <f>G203-H203</f>
        <v>0</v>
      </c>
      <c r="J203" s="5">
        <f>F203*(1+H203)</f>
        <v>1.9052742296504697</v>
      </c>
      <c r="K203" s="4">
        <v>1.9052742296504697</v>
      </c>
      <c r="L203" s="5">
        <f>K203-J203</f>
        <v>0</v>
      </c>
      <c r="M203" s="4">
        <v>1.906</v>
      </c>
      <c r="N203" s="4">
        <v>1.885</v>
      </c>
      <c r="O203" s="5">
        <f>M203/$M$3</f>
        <v>0.9734422880490295</v>
      </c>
      <c r="P203" s="5">
        <f>N203/$M$3</f>
        <v>0.9627170582226762</v>
      </c>
      <c r="Q203" s="7">
        <f>IFERROR(N203/M203-1,0)</f>
        <v>-0.011017838405036673</v>
      </c>
      <c r="R203" s="5">
        <f>SUM(IF(BQ203="lease",CB203,0),IF(CS203="lease",DD203,0),IF(DU203="lease",EF203,0),IF(EW203="lease",FH203,0),IF(FY203="lease",GJ203,0),IF(HA203="lease",HL203,0),IF(IC203="lease",IN203,0),IF(JE203="lease",JP203,0),IF(KG203="lease",KR203,0),IF(LI203="lease",LT203,0))</f>
        <v>1.9265134387007314</v>
      </c>
      <c r="S203" s="5">
        <f>SUM(IF(BQ203="lease",CI203,0),IF(CS203="lease",DK203,0),IF(DU203="lease",EM203,0),IF(EW203="lease",FO203,0),IF(FY203="lease",GQ203,0),IF(HA203="lease",HS203,0),IF(IC203="lease",IU203,0),IF(JE203="lease",JW203,0),IF(KG203="lease",KY203,0),IF(LI203="lease",MA203,0))</f>
        <v>1.9052742296504699</v>
      </c>
      <c r="T203" s="5">
        <f>SUM(IF(BQ203="keep",CB203,0),IF(CS203="keep",DD203,0),IF(DU203="keep",EF203,0),IF(EW203="keep",FH203,0),IF(FY203="keep",GJ203,0),IF(HA203="keep",HL203,0),IF(IC203="keep",IN203,0),IF(JE203="keep",JP203,0),IF(KG203="keep",KR203,0),IF(LI203="keep",LT203,0))</f>
        <v>0</v>
      </c>
      <c r="U203" s="5">
        <f>SUM(IF(BQ203="keep",CI203,0),IF(CS203="keep",DK203,0),IF(DU203="keep",EM203,0),IF(EW203="keep",FO203,0),IF(FY203="keep",GQ203,0),IF(HA203="keep",HS203,0),IF(IC203="keep",IU203,0),IF(JE203="keep",JW203,0),IF(KG203="keep",KY203,0),IF(LI203="keep",MA203,0))</f>
        <v>0</v>
      </c>
      <c r="V203" s="5">
        <f>R203/O203</f>
        <v>1.9790730918027453</v>
      </c>
      <c r="W203" s="5">
        <f>S203/P203</f>
        <v>1.9790593854936978</v>
      </c>
      <c r="X203" s="5">
        <f>T203/O203</f>
        <v>0</v>
      </c>
      <c r="Y203" s="5">
        <f>U203/P203</f>
        <v>0</v>
      </c>
      <c r="Z203" s="5">
        <f>V203+X203</f>
        <v>1.9790730918027453</v>
      </c>
      <c r="AA203" s="7">
        <f>IFERROR(W203/V203-1,0)</f>
        <v>-0.000006925620435249691</v>
      </c>
      <c r="AB203" s="7">
        <f>IFERROR((W203-V203)/Z203,0)</f>
        <v>-0.000006925620435285132</v>
      </c>
      <c r="AC203" s="7">
        <f>IFERROR(Y203/X203-1,0)</f>
        <v>0</v>
      </c>
      <c r="AD203" s="7">
        <f>IFERROR((Y203-X203)/Z203,0)</f>
        <v>0</v>
      </c>
      <c r="AE203" s="7">
        <f>AB203+AD203</f>
        <v>-0.000006925620435285132</v>
      </c>
      <c r="AF203" s="7">
        <f>(1+Q203)*(1+AE203)-1</f>
        <v>-0.01102468772010512</v>
      </c>
      <c r="AG203" s="7">
        <f>G203-AF203</f>
        <v>-4.683753385137379e-17</v>
      </c>
      <c r="AH203" s="5">
        <f>SUM(IF(BQ203="lease",CE203,0),IF(CS203="lease",DG203,0),IF(DU203="lease",EI203,0),IF(EW203="lease",FK203,0),IF(FY203="lease",GM203,0),IF(HA203="lease",HO203,0),IF(IC203="lease",IQ203,0),IF(JE203="lease",JS203,0),IF(KG203="lease",KU203,0),IF(LI203="lease",LW203,0))</f>
        <v>-0.021239209050261526</v>
      </c>
      <c r="AI203" s="5">
        <f>SUM(IF(BQ203="keep",CE203,0),IF(CS203="keep",DG203,0),IF(DU203="keep",EI203,0),IF(EW203="keep",FK203,0),IF(FY203="keep",GM203,0),IF(HA203="keep",HO203,0),IF(IC203="keep",IQ203,0),IF(JE203="keep",JS203,0),IF(KG203="keep",KU203,0),IF(LI203="keep",LW203,0))</f>
        <v>0</v>
      </c>
      <c r="AJ203" s="5">
        <f>SUM(IF(BQ203="lease",CH203,0),IF(CS203="lease",DJ203,0),IF(DU203="lease",EL203,0),IF(EW203="lease",FN203,0),IF(FY203="lease",GP203,0),IF(HA203="lease",HR203,0),IF(IC203="lease",IT203,0),IF(JE203="lease",JV203,0),IF(KG203="lease",KX203,0),IF(LI203="lease",LZ203,0))</f>
        <v>0</v>
      </c>
      <c r="AK203" s="5">
        <f>SUM(IF(BQ203="keep",CH203,0),IF(CS203="keep",DJ203,0),IF(DU203="keep",EL203,0),IF(EW203="keep",FN203,0),IF(FY203="keep",GP203,0),IF(HA203="keep",HR203,0),IF(IC203="keep",IT203,0),IF(JE203="keep",JV203,0),IF(KG203="keep",KX203,0),IF(LI203="keep",LZ203,0))</f>
        <v>0</v>
      </c>
      <c r="AL203" s="5">
        <f>R203-S202</f>
        <v>0</v>
      </c>
      <c r="AM203" s="5">
        <f>T203-U202</f>
        <v>0</v>
      </c>
      <c r="AN203" s="5">
        <f>AN202</f>
        <v>1</v>
      </c>
      <c r="AO203" s="5">
        <f>AO202+AH203</f>
        <v>0.9052742296504699</v>
      </c>
      <c r="AP203" s="5">
        <f>AP202+AL203</f>
        <v>-2.220446049250313e-16</v>
      </c>
      <c r="AQ203" s="5">
        <f>AN203+AO203+AP203</f>
        <v>1.9052742296504697</v>
      </c>
      <c r="AR203" s="5">
        <f>S203-AQ203</f>
        <v>2.220446049250313e-16</v>
      </c>
      <c r="AS203" s="5">
        <f>AS202</f>
        <v>0</v>
      </c>
      <c r="AT203" s="5">
        <f>AT202+AI203</f>
        <v>0</v>
      </c>
      <c r="AU203" s="5">
        <f>AU202+AM203</f>
        <v>0</v>
      </c>
      <c r="AV203" s="5">
        <f>AS203+AT203+AU203</f>
        <v>0</v>
      </c>
      <c r="AW203" s="5">
        <f>U203-AV203</f>
        <v>0</v>
      </c>
      <c r="AX203" s="4">
        <v>1.9265134387007314</v>
      </c>
      <c r="AY203" s="4">
        <v>1.9052742296504699</v>
      </c>
      <c r="AZ203" s="5">
        <f>S203-AY203</f>
        <v>0</v>
      </c>
      <c r="BA203" s="4">
        <v>0</v>
      </c>
      <c r="BB203" s="4">
        <v>0</v>
      </c>
      <c r="BC203" s="5">
        <f>U203-BB203</f>
        <v>0</v>
      </c>
      <c r="BD203" s="7">
        <f>SUM(IF(BP203="direct",CC203/F203,0),IF(CR203="direct",DE203/F203,0),IF(DT203="direct",EG203/F203,0),IF(EV203="direct",FI203/F203,0),IF(FX203="direct",GK203/F203,0),IF(GZ203="direct",HM203/F203,0),IF(IB203="direct",IO203/F203,0),IF(JD203="direct",JQ203/F203,0),IF(KF203="direct",KS203/F203,0),IF(LH203="direct",LU203/F203,0))</f>
        <v>-0.011017838405036678</v>
      </c>
      <c r="BE203" s="7">
        <f>-SUM(IF(BP203="direct",CD203/F203,0),IF(CR203="direct",DF203/F203,0),IF(DT203="direct",EH203/F203,0),IF(EV203="direct",FJ203/F203,0),IF(FX203="direct",GL203/F203,0),IF(GZ203="direct",HN203/F203,0),IF(IB203="direct",IP203/F203,0),IF(JD203="direct",JR203/F203,0),IF(KF203="direct",KT203/F203,0),IF(LH203="direct",LV203/F203,0))</f>
        <v>-0.000006849315068493151</v>
      </c>
      <c r="BF203" s="7">
        <f>BD203+BE203</f>
        <v>-0.011024687720105172</v>
      </c>
      <c r="BG203" s="7">
        <f>BF203-SUM(IF(BP203="direct",CP203,0),IF(CR203="direct",DR203,0),IF(DT203="direct",ET203,0),IF(EV203="direct",FV203,0),IF(FX203="direct",GX203,0),IF(GZ203="direct",HZ203,0),IF(IB203="direct",JB203,0),IF(JD203="direct",KD203,0),IF(KF203="direct",LF203,0),IF(LH203="direct",MH203,0))</f>
        <v>-5.204170427930421e-18</v>
      </c>
      <c r="BH203" s="7">
        <f>SUM(IF(BP203="treasury",CP203,0),IF(CR203="treasury",DR203,0),IF(DT203="treasury",ET203,0),IF(EV203="treasury",FV203,0),IF(FX203="treasury",GX203,0),IF(GZ203="treasury",HZ203,0),IF(IB203="treasury",JB203,0),IF(JD203="treasury",KD203,0),IF(KF203="treasury",LF203,0),IF(LH203="treasury",MH203,0))</f>
        <v>0</v>
      </c>
      <c r="BI203" s="7">
        <f>SUM(IF(BP203="future",CP203,0),IF(CR203="future",DR203,0),IF(DT203="future",ET203,0),IF(EV203="future",FV203,0),IF(FX203="future",GX203,0),IF(GZ203="future",HZ203,0),IF(IB203="future",JB203,0),IF(JD203="future",KD203,0),IF(KF203="future",LF203,0),IF(LH203="future",MH203,0))</f>
        <v>0</v>
      </c>
      <c r="BJ203" s="7">
        <f>SUM(IF(BP203="cash",CP203,0),IF(CR203="cash",DR203,0),IF(DT203="cash",ET203,0),IF(EV203="cash",FV203,0),IF(FX203="cash",GX203,0),IF(GZ203="cash",HZ203,0),IF(IB203="cash",JB203,0),IF(JD203="cash",KD203,0),IF(KF203="cash",LF203,0),IF(LH203="cash",MH203,0))</f>
        <v>0</v>
      </c>
      <c r="BK203" s="7">
        <f>SUM(BF203,BH203,BI203,BJ203)</f>
        <v>-0.011024687720105166</v>
      </c>
      <c r="BL203" s="7">
        <f>G203-BK203</f>
        <v>0</v>
      </c>
      <c r="BM203" s="5">
        <f>MAX(ABS(CG203),ABS(DI203),ABS(EK203),ABS(FM203),ABS(GO203),ABS(HQ203),ABS(IS203),ABS(JU203),ABS(KW203),ABS(LY203))</f>
        <v>9.205554070759736e-18</v>
      </c>
      <c r="BN203" s="9">
        <f>COUNTA(BO203,CQ203,DS203,EU203,FW203,GY203,IA203,JC203,KE203,LG203)</f>
        <v>3</v>
      </c>
      <c r="BO203" t="inlineStr">
        <is>
          <t xml:space="preserve">Direct commodity holding</t>
        </is>
      </c>
      <c r="BP203" t="inlineStr">
        <is>
          <t xml:space="preserve">direct</t>
        </is>
      </c>
      <c r="BQ203" t="inlineStr">
        <is>
          <t xml:space="preserve">lease</t>
        </is>
      </c>
      <c r="BR203" t="inlineStr">
        <is>
          <t xml:space="preserve">long</t>
        </is>
      </c>
      <c r="BS203"/>
      <c r="BT203" s="4">
        <v>1.906</v>
      </c>
      <c r="BU203" s="4">
        <v>1.885</v>
      </c>
      <c r="BV203" s="6">
        <v>0.0025</v>
      </c>
      <c r="BW203" s="4">
        <v>1.0107625596541085</v>
      </c>
      <c r="BX203" s="5">
        <f>IF(BP203="direct",IFERROR(CD203/BU203,0),0)</f>
        <v>0.000007000157838380622</v>
      </c>
      <c r="BY203" s="5">
        <f>IF(BP203="direct",BW203-BX203,IF(BP203="cash",CI203,BW203))</f>
        <v>1.0107555594962703</v>
      </c>
      <c r="BZ203" s="6">
        <v>1</v>
      </c>
      <c r="CA203" s="4">
        <v>1.926513438700731</v>
      </c>
      <c r="CB203" s="4">
        <v>1.926513438700731</v>
      </c>
      <c r="CC203" s="5">
        <f>IF(BP203="direct",BW203*(BU203-BT203),CF203)</f>
        <v>-0.021226013752736188</v>
      </c>
      <c r="CD203" s="5">
        <f>IF(BP203="direct",CB203*BV203*C203/365,0)</f>
        <v>0.000013195297525347473</v>
      </c>
      <c r="CE203" s="5">
        <f>CC203-CD203</f>
        <v>-0.021239209050261526</v>
      </c>
      <c r="CF203" s="4">
        <v>-0.021239209050261526</v>
      </c>
      <c r="CG203" s="5">
        <f>CF203-CE203</f>
        <v>9.205554070759736e-18</v>
      </c>
      <c r="CH203" s="4">
        <v>0</v>
      </c>
      <c r="CI203" s="4">
        <v>1.9052742296504694</v>
      </c>
      <c r="CJ203" s="4">
        <v>1.906</v>
      </c>
      <c r="CK203" s="4">
        <v>1.885</v>
      </c>
      <c r="CL203" s="6"/>
      <c r="CM203" s="6"/>
      <c r="CN203" s="6"/>
      <c r="CO203" s="9"/>
      <c r="CP203" s="7">
        <f>IFERROR(CE203/F203,0)</f>
        <v>-0.011024687720105166</v>
      </c>
      <c r="CQ203" t="inlineStr">
        <is>
          <t xml:space="preserve">Lease cash / margin / financing</t>
        </is>
      </c>
      <c r="CR203" t="inlineStr">
        <is>
          <t xml:space="preserve">cash</t>
        </is>
      </c>
      <c r="CS203" t="inlineStr">
        <is>
          <t xml:space="preserve">lease</t>
        </is>
      </c>
      <c r="CT203" t="inlineStr">
        <is>
          <t xml:space="preserve">cash</t>
        </is>
      </c>
      <c r="CU203"/>
      <c r="CV203" s="4">
        <v>1</v>
      </c>
      <c r="CW203" s="4">
        <v>1</v>
      </c>
      <c r="CX203" s="6"/>
      <c r="CY203" s="4">
        <v>4.440892098500626e-16</v>
      </c>
      <c r="CZ203" s="5">
        <f>IF(CR203="direct",IFERROR(DF203/CW203,0),0)</f>
        <v>0</v>
      </c>
      <c r="DA203" s="5">
        <f>IF(CR203="direct",CY203-CZ203,IF(CR203="cash",DK203,CY203))</f>
        <v>4.440892098500626e-16</v>
      </c>
      <c r="DB203" s="6"/>
      <c r="DC203" s="4">
        <v>4.440892098500626e-16</v>
      </c>
      <c r="DD203" s="4">
        <v>4.440892098500626e-16</v>
      </c>
      <c r="DE203" s="5">
        <f>IF(CR203="direct",CY203*(CW203-CV203),DH203)</f>
        <v>0</v>
      </c>
      <c r="DF203" s="5">
        <f>IF(CR203="direct",DD203*CX203*C203/365,0)</f>
        <v>0</v>
      </c>
      <c r="DG203" s="5">
        <f>DE203-DF203</f>
        <v>0</v>
      </c>
      <c r="DH203" s="4">
        <v>0</v>
      </c>
      <c r="DI203" s="5">
        <f>DH203-DG203</f>
        <v>0</v>
      </c>
      <c r="DJ203" s="4">
        <v>0</v>
      </c>
      <c r="DK203" s="4">
        <v>4.440892098500626e-16</v>
      </c>
      <c r="DL203" s="4">
        <v>1.906</v>
      </c>
      <c r="DM203" s="4">
        <v>1.885</v>
      </c>
      <c r="DN203" s="6"/>
      <c r="DO203" s="6"/>
      <c r="DP203" s="6"/>
      <c r="DQ203" s="9"/>
      <c r="DR203" s="7">
        <f>IFERROR(DG203/F203,0)</f>
        <v>0</v>
      </c>
      <c r="DS203" t="inlineStr">
        <is>
          <t xml:space="preserve">Keep cash / margin / financing</t>
        </is>
      </c>
      <c r="DT203" t="inlineStr">
        <is>
          <t xml:space="preserve">cash</t>
        </is>
      </c>
      <c r="DU203" t="inlineStr">
        <is>
          <t xml:space="preserve">keep</t>
        </is>
      </c>
      <c r="DV203" t="inlineStr">
        <is>
          <t xml:space="preserve">cash</t>
        </is>
      </c>
      <c r="DW203"/>
      <c r="DX203" s="4">
        <v>1</v>
      </c>
      <c r="DY203" s="4">
        <v>1</v>
      </c>
      <c r="DZ203" s="6"/>
      <c r="EA203" s="4">
        <v>0</v>
      </c>
      <c r="EB203" s="5">
        <f>IF(DT203="direct",IFERROR(EH203/DY203,0),0)</f>
        <v>0</v>
      </c>
      <c r="EC203" s="5">
        <f>IF(DT203="direct",EA203-EB203,IF(DT203="cash",EM203,EA203))</f>
        <v>0</v>
      </c>
      <c r="ED203" s="6"/>
      <c r="EE203" s="4">
        <v>0</v>
      </c>
      <c r="EF203" s="4">
        <v>0</v>
      </c>
      <c r="EG203" s="5">
        <f>IF(DT203="direct",EA203*(DY203-DX203),EJ203)</f>
        <v>0</v>
      </c>
      <c r="EH203" s="5">
        <f>IF(DT203="direct",EF203*DZ203*C203/365,0)</f>
        <v>0</v>
      </c>
      <c r="EI203" s="5">
        <f>EG203-EH203</f>
        <v>0</v>
      </c>
      <c r="EJ203" s="4">
        <v>0</v>
      </c>
      <c r="EK203" s="5">
        <f>EJ203-EI203</f>
        <v>0</v>
      </c>
      <c r="EL203" s="4">
        <v>0</v>
      </c>
      <c r="EM203" s="4">
        <v>0</v>
      </c>
      <c r="EN203" s="4">
        <v>1.906</v>
      </c>
      <c r="EO203" s="4">
        <v>1.885</v>
      </c>
      <c r="EP203" s="6"/>
      <c r="EQ203" s="6"/>
      <c r="ER203" s="6"/>
      <c r="ES203" s="9"/>
      <c r="ET203" s="7">
        <f>IFERROR(EI203/F203,0)</f>
        <v>0</v>
      </c>
      <c r="EU203"/>
      <c r="EV203"/>
      <c r="EW203"/>
      <c r="EX203"/>
      <c r="EY203"/>
      <c r="EZ203" s="4"/>
      <c r="FA203" s="4"/>
      <c r="FB203" s="6"/>
      <c r="FC203" s="4"/>
      <c r="FD203" s="5">
        <v>0</v>
      </c>
      <c r="FE203" s="5"/>
      <c r="FF203" s="6"/>
      <c r="FG203" s="4"/>
      <c r="FH203" s="4"/>
      <c r="FI203" s="5">
        <v>0</v>
      </c>
      <c r="FJ203" s="5">
        <v>0</v>
      </c>
      <c r="FK203" s="5"/>
      <c r="FL203" s="4"/>
      <c r="FM203" s="5">
        <v>0</v>
      </c>
      <c r="FN203" s="4"/>
      <c r="FO203" s="4"/>
      <c r="FP203" s="4"/>
      <c r="FQ203" s="4"/>
      <c r="FR203" s="6"/>
      <c r="FS203" s="6"/>
      <c r="FT203" s="6"/>
      <c r="FU203" s="9"/>
      <c r="FV203"/>
      <c r="FW203"/>
      <c r="FX203"/>
      <c r="FY203"/>
      <c r="FZ203"/>
      <c r="GA203"/>
      <c r="GB203" s="4"/>
      <c r="GC203" s="4"/>
      <c r="GD203" s="6"/>
      <c r="GE203" s="4"/>
      <c r="GF203" s="5">
        <v>0</v>
      </c>
      <c r="GG203" s="5"/>
      <c r="GH203" s="6"/>
      <c r="GI203" s="4"/>
      <c r="GJ203" s="4"/>
      <c r="GK203" s="5">
        <v>0</v>
      </c>
      <c r="GL203" s="5">
        <v>0</v>
      </c>
      <c r="GM203" s="5"/>
      <c r="GN203" s="4"/>
      <c r="GO203" s="5">
        <v>0</v>
      </c>
      <c r="GP203" s="4"/>
      <c r="GQ203" s="4"/>
      <c r="GR203" s="4"/>
      <c r="GS203" s="4"/>
      <c r="GT203" s="6"/>
      <c r="GU203" s="6"/>
      <c r="GV203" s="6"/>
      <c r="GW203" s="9"/>
      <c r="GX203"/>
      <c r="GY203"/>
      <c r="GZ203"/>
      <c r="HA203"/>
      <c r="HB203"/>
      <c r="HC203"/>
      <c r="HD203" s="4"/>
      <c r="HE203" s="4"/>
      <c r="HF203" s="6"/>
      <c r="HG203" s="4"/>
      <c r="HH203" s="5">
        <v>0</v>
      </c>
      <c r="HI203" s="5"/>
      <c r="HJ203" s="6"/>
      <c r="HK203" s="4"/>
      <c r="HL203" s="4"/>
      <c r="HM203" s="5">
        <v>0</v>
      </c>
      <c r="HN203" s="5">
        <v>0</v>
      </c>
      <c r="HO203" s="5"/>
      <c r="HP203" s="4"/>
      <c r="HQ203" s="5">
        <v>0</v>
      </c>
      <c r="HR203" s="4"/>
      <c r="HS203" s="4"/>
      <c r="HT203" s="4"/>
      <c r="HU203" s="4"/>
      <c r="HV203" s="6"/>
      <c r="HW203" s="6"/>
      <c r="HX203" s="6"/>
      <c r="HY203" s="9"/>
      <c r="HZ203"/>
      <c r="IA203"/>
      <c r="IB203"/>
      <c r="IC203"/>
      <c r="ID203"/>
      <c r="IE203"/>
      <c r="IF203" s="4"/>
      <c r="IG203" s="4"/>
      <c r="IH203" s="6"/>
      <c r="II203" s="4"/>
      <c r="IJ203" s="5">
        <v>0</v>
      </c>
      <c r="IK203" s="5"/>
      <c r="IL203" s="6"/>
      <c r="IM203" s="4"/>
      <c r="IN203" s="4"/>
      <c r="IO203" s="5">
        <v>0</v>
      </c>
      <c r="IP203" s="5">
        <v>0</v>
      </c>
      <c r="IQ203" s="5"/>
      <c r="IR203" s="4"/>
      <c r="IS203" s="5">
        <v>0</v>
      </c>
      <c r="IT203" s="4"/>
      <c r="IU203" s="4"/>
      <c r="IV203" s="4"/>
      <c r="IW203" s="4"/>
      <c r="IX203" s="6"/>
      <c r="IY203" s="6"/>
      <c r="IZ203" s="6"/>
      <c r="JA203" s="9"/>
      <c r="JB203"/>
      <c r="JC203"/>
      <c r="JD203"/>
      <c r="JE203"/>
      <c r="JF203"/>
      <c r="JG203"/>
      <c r="JH203" s="4"/>
      <c r="JI203" s="4"/>
      <c r="JJ203" s="6"/>
      <c r="JK203" s="4"/>
      <c r="JL203" s="5">
        <v>0</v>
      </c>
      <c r="JM203" s="5"/>
      <c r="JN203" s="6"/>
      <c r="JO203" s="4"/>
      <c r="JP203" s="4"/>
      <c r="JQ203" s="5">
        <v>0</v>
      </c>
      <c r="JR203" s="5">
        <v>0</v>
      </c>
      <c r="JS203" s="5"/>
      <c r="JT203" s="4"/>
      <c r="JU203" s="5">
        <v>0</v>
      </c>
      <c r="JV203" s="4"/>
      <c r="JW203" s="4"/>
      <c r="JX203" s="4"/>
      <c r="JY203" s="4"/>
      <c r="JZ203" s="6"/>
      <c r="KA203" s="6"/>
      <c r="KB203" s="6"/>
      <c r="KC203" s="9"/>
      <c r="KD203"/>
      <c r="KE203"/>
      <c r="KF203"/>
      <c r="KG203"/>
      <c r="KH203"/>
      <c r="KI203"/>
      <c r="KJ203" s="4"/>
      <c r="KK203" s="4"/>
      <c r="KL203" s="6"/>
      <c r="KM203" s="4"/>
      <c r="KN203" s="5">
        <v>0</v>
      </c>
      <c r="KO203" s="5"/>
      <c r="KP203" s="6"/>
      <c r="KQ203" s="4"/>
      <c r="KR203" s="4"/>
      <c r="KS203" s="5">
        <v>0</v>
      </c>
      <c r="KT203" s="5">
        <v>0</v>
      </c>
      <c r="KU203" s="5"/>
      <c r="KV203" s="4"/>
      <c r="KW203" s="5">
        <v>0</v>
      </c>
      <c r="KX203" s="4"/>
      <c r="KY203" s="4"/>
      <c r="KZ203" s="4"/>
      <c r="LA203" s="4"/>
      <c r="LB203" s="6"/>
      <c r="LC203" s="6"/>
      <c r="LD203" s="6"/>
      <c r="LE203" s="9"/>
      <c r="LF203"/>
      <c r="LG203"/>
      <c r="LH203"/>
      <c r="LI203"/>
      <c r="LJ203"/>
      <c r="LK203"/>
      <c r="LL203" s="4"/>
      <c r="LM203" s="4"/>
      <c r="LN203" s="6"/>
      <c r="LO203" s="4"/>
      <c r="LP203" s="5">
        <v>0</v>
      </c>
      <c r="LQ203" s="5"/>
      <c r="LR203" s="6"/>
      <c r="LS203" s="4"/>
      <c r="LT203" s="4"/>
      <c r="LU203" s="5">
        <v>0</v>
      </c>
      <c r="LV203" s="5">
        <v>0</v>
      </c>
      <c r="LW203" s="5"/>
      <c r="LX203" s="4"/>
      <c r="LY203" s="5">
        <v>0</v>
      </c>
      <c r="LZ203" s="4"/>
      <c r="MA203" s="4"/>
      <c r="MB203" s="4"/>
      <c r="MC203" s="4"/>
      <c r="MD203" s="6"/>
      <c r="ME203" s="6"/>
      <c r="MF203" s="6"/>
      <c r="MG203" s="9"/>
      <c r="MH203"/>
    </row>
    <row r="204">
      <c r="A204" s="8">
        <v>25504</v>
      </c>
      <c r="B204" s="8">
        <v>25505</v>
      </c>
      <c r="C204" s="9">
        <f>B204-A204</f>
        <v>1</v>
      </c>
      <c r="D204" s="8">
        <v>25504</v>
      </c>
      <c r="E204" t="inlineStr">
        <is>
          <t xml:space="preserve">neutral</t>
        </is>
      </c>
      <c r="F204" s="4">
        <v>1.9052742296504697</v>
      </c>
      <c r="G204" s="6">
        <v>0.005828694451509752</v>
      </c>
      <c r="H204" s="7">
        <f>SUM(CP204,DR204,ET204,FV204,GX204,HZ204,JB204,KD204,LF204,MH204)</f>
        <v>0.005828694451509751</v>
      </c>
      <c r="I204" s="7">
        <f>G204-H204</f>
        <v>8.673617379884035e-19</v>
      </c>
      <c r="J204" s="5">
        <f>F204*(1+H204)</f>
        <v>1.916379490981438</v>
      </c>
      <c r="K204" s="4">
        <v>1.916379490981438</v>
      </c>
      <c r="L204" s="5">
        <f>K204-J204</f>
        <v>0</v>
      </c>
      <c r="M204" s="4">
        <v>1.885</v>
      </c>
      <c r="N204" s="4">
        <v>1.896</v>
      </c>
      <c r="O204" s="5">
        <f>M204/$M$3</f>
        <v>0.9627170582226762</v>
      </c>
      <c r="P204" s="5">
        <f>N204/$M$3</f>
        <v>0.9683350357507661</v>
      </c>
      <c r="Q204" s="7">
        <f>IFERROR(N204/M204-1,0)</f>
        <v>0.005835543766578244</v>
      </c>
      <c r="R204" s="5">
        <f>SUM(IF(BQ204="lease",CB204,0),IF(CS204="lease",DD204,0),IF(DU204="lease",EF204,0),IF(EW204="lease",FH204,0),IF(FY204="lease",GJ204,0),IF(HA204="lease",HL204,0),IF(IC204="lease",IN204,0),IF(JE204="lease",JP204,0),IF(KG204="lease",KR204,0),IF(LI204="lease",LT204,0))</f>
        <v>1.9052742296504699</v>
      </c>
      <c r="S204" s="5">
        <f>SUM(IF(BQ204="lease",CI204,0),IF(CS204="lease",DK204,0),IF(DU204="lease",EM204,0),IF(EW204="lease",FO204,0),IF(FY204="lease",GQ204,0),IF(HA204="lease",HS204,0),IF(IC204="lease",IU204,0),IF(JE204="lease",JW204,0),IF(KG204="lease",KY204,0),IF(LI204="lease",MA204,0))</f>
        <v>1.9163794909814378</v>
      </c>
      <c r="T204" s="5">
        <f>SUM(IF(BQ204="keep",CB204,0),IF(CS204="keep",DD204,0),IF(DU204="keep",EF204,0),IF(EW204="keep",FH204,0),IF(FY204="keep",GJ204,0),IF(HA204="keep",HL204,0),IF(IC204="keep",IN204,0),IF(JE204="keep",JP204,0),IF(KG204="keep",KR204,0),IF(LI204="keep",LT204,0))</f>
        <v>0</v>
      </c>
      <c r="U204" s="5">
        <f>SUM(IF(BQ204="keep",CI204,0),IF(CS204="keep",DK204,0),IF(DU204="keep",EM204,0),IF(EW204="keep",FO204,0),IF(FY204="keep",GQ204,0),IF(HA204="keep",HS204,0),IF(IC204="keep",IU204,0),IF(JE204="keep",JW204,0),IF(KG204="keep",KY204,0),IF(LI204="keep",MA204,0))</f>
        <v>0</v>
      </c>
      <c r="V204" s="5">
        <f>R204/O204</f>
        <v>1.9790593854936978</v>
      </c>
      <c r="W204" s="5">
        <f>S204/P204</f>
        <v>1.9790459089354722</v>
      </c>
      <c r="X204" s="5">
        <f>T204/O204</f>
        <v>0</v>
      </c>
      <c r="Y204" s="5">
        <f>U204/P204</f>
        <v>0</v>
      </c>
      <c r="Z204" s="5">
        <f>V204+X204</f>
        <v>1.9790593854936978</v>
      </c>
      <c r="AA204" s="7">
        <f>IFERROR(W204/V204-1,0)</f>
        <v>-0.000006809577481337037</v>
      </c>
      <c r="AB204" s="7">
        <f>IFERROR((W204-V204)/Z204,0)</f>
        <v>-0.000006809577481287787</v>
      </c>
      <c r="AC204" s="7">
        <f>IFERROR(Y204/X204-1,0)</f>
        <v>0</v>
      </c>
      <c r="AD204" s="7">
        <f>IFERROR((Y204-X204)/Z204,0)</f>
        <v>0</v>
      </c>
      <c r="AE204" s="7">
        <f>AB204+AD204</f>
        <v>-0.000006809577481287787</v>
      </c>
      <c r="AF204" s="7">
        <f>(1+Q204)*(1+AE204)-1</f>
        <v>0.005828694451509575</v>
      </c>
      <c r="AG204" s="7">
        <f>G204-AF204</f>
        <v>1.7694179454963432e-16</v>
      </c>
      <c r="AH204" s="5">
        <f>SUM(IF(BQ204="lease",CE204,0),IF(CS204="lease",DG204,0),IF(DU204="lease",EI204,0),IF(EW204="lease",FK204,0),IF(FY204="lease",GM204,0),IF(HA204="lease",HO204,0),IF(IC204="lease",IQ204,0),IF(JE204="lease",JS204,0),IF(KG204="lease",KU204,0),IF(LI204="lease",LW204,0))</f>
        <v>0.011105261330968208</v>
      </c>
      <c r="AI204" s="5">
        <f>SUM(IF(BQ204="keep",CE204,0),IF(CS204="keep",DG204,0),IF(DU204="keep",EI204,0),IF(EW204="keep",FK204,0),IF(FY204="keep",GM204,0),IF(HA204="keep",HO204,0),IF(IC204="keep",IQ204,0),IF(JE204="keep",JS204,0),IF(KG204="keep",KU204,0),IF(LI204="keep",LW204,0))</f>
        <v>0</v>
      </c>
      <c r="AJ204" s="5">
        <f>SUM(IF(BQ204="lease",CH204,0),IF(CS204="lease",DJ204,0),IF(DU204="lease",EL204,0),IF(EW204="lease",FN204,0),IF(FY204="lease",GP204,0),IF(HA204="lease",HR204,0),IF(IC204="lease",IT204,0),IF(JE204="lease",JV204,0),IF(KG204="lease",KX204,0),IF(LI204="lease",LZ204,0))</f>
        <v>0</v>
      </c>
      <c r="AK204" s="5">
        <f>SUM(IF(BQ204="keep",CH204,0),IF(CS204="keep",DJ204,0),IF(DU204="keep",EL204,0),IF(EW204="keep",FN204,0),IF(FY204="keep",GP204,0),IF(HA204="keep",HR204,0),IF(IC204="keep",IT204,0),IF(JE204="keep",JV204,0),IF(KG204="keep",KX204,0),IF(LI204="keep",LZ204,0))</f>
        <v>0</v>
      </c>
      <c r="AL204" s="5">
        <f>R204-S203</f>
        <v>0</v>
      </c>
      <c r="AM204" s="5">
        <f>T204-U203</f>
        <v>0</v>
      </c>
      <c r="AN204" s="5">
        <f>AN203</f>
        <v>1</v>
      </c>
      <c r="AO204" s="5">
        <f>AO203+AH204</f>
        <v>0.9163794909814381</v>
      </c>
      <c r="AP204" s="5">
        <f>AP203+AL204</f>
        <v>-2.220446049250313e-16</v>
      </c>
      <c r="AQ204" s="5">
        <f>AN204+AO204+AP204</f>
        <v>1.916379490981438</v>
      </c>
      <c r="AR204" s="5">
        <f>S204-AQ204</f>
        <v>-2.220446049250313e-16</v>
      </c>
      <c r="AS204" s="5">
        <f>AS203</f>
        <v>0</v>
      </c>
      <c r="AT204" s="5">
        <f>AT203+AI204</f>
        <v>0</v>
      </c>
      <c r="AU204" s="5">
        <f>AU203+AM204</f>
        <v>0</v>
      </c>
      <c r="AV204" s="5">
        <f>AS204+AT204+AU204</f>
        <v>0</v>
      </c>
      <c r="AW204" s="5">
        <f>U204-AV204</f>
        <v>0</v>
      </c>
      <c r="AX204" s="4">
        <v>1.9052742296504699</v>
      </c>
      <c r="AY204" s="4">
        <v>1.916379490981438</v>
      </c>
      <c r="AZ204" s="5">
        <f>S204-AY204</f>
        <v>-2.220446049250313e-16</v>
      </c>
      <c r="BA204" s="4">
        <v>0</v>
      </c>
      <c r="BB204" s="4">
        <v>0</v>
      </c>
      <c r="BC204" s="5">
        <f>U204-BB204</f>
        <v>0</v>
      </c>
      <c r="BD204" s="7">
        <f>SUM(IF(BP204="direct",CC204/F204,0),IF(CR204="direct",DE204/F204,0),IF(DT204="direct",EG204/F204,0),IF(EV204="direct",FI204/F204,0),IF(FX204="direct",GK204/F204,0),IF(GZ204="direct",HM204/F204,0),IF(IB204="direct",IO204/F204,0),IF(JD204="direct",JQ204/F204,0),IF(KF204="direct",KS204/F204,0),IF(LH204="direct",LU204/F204,0))</f>
        <v>0.0058355437665781945</v>
      </c>
      <c r="BE204" s="7">
        <f>-SUM(IF(BP204="direct",CD204/F204,0),IF(CR204="direct",DF204/F204,0),IF(DT204="direct",EH204/F204,0),IF(EV204="direct",FJ204/F204,0),IF(FX204="direct",GL204/F204,0),IF(GZ204="direct",HN204/F204,0),IF(IB204="direct",IP204/F204,0),IF(JD204="direct",JR204/F204,0),IF(KF204="direct",KT204/F204,0),IF(LH204="direct",LV204/F204,0))</f>
        <v>-0.000006849315068493151</v>
      </c>
      <c r="BF204" s="7">
        <f>BD204+BE204</f>
        <v>0.005828694451509702</v>
      </c>
      <c r="BG204" s="7">
        <f>BF204-SUM(IF(BP204="direct",CP204,0),IF(CR204="direct",DR204,0),IF(DT204="direct",ET204,0),IF(EV204="direct",FV204,0),IF(FX204="direct",GX204,0),IF(GZ204="direct",HZ204,0),IF(IB204="direct",JB204,0),IF(JD204="direct",KD204,0),IF(KF204="direct",LF204,0),IF(LH204="direct",MH204,0))</f>
        <v>-4.9439619065339e-17</v>
      </c>
      <c r="BH204" s="7">
        <f>SUM(IF(BP204="treasury",CP204,0),IF(CR204="treasury",DR204,0),IF(DT204="treasury",ET204,0),IF(EV204="treasury",FV204,0),IF(FX204="treasury",GX204,0),IF(GZ204="treasury",HZ204,0),IF(IB204="treasury",JB204,0),IF(JD204="treasury",KD204,0),IF(KF204="treasury",LF204,0),IF(LH204="treasury",MH204,0))</f>
        <v>0</v>
      </c>
      <c r="BI204" s="7">
        <f>SUM(IF(BP204="future",CP204,0),IF(CR204="future",DR204,0),IF(DT204="future",ET204,0),IF(EV204="future",FV204,0),IF(FX204="future",GX204,0),IF(GZ204="future",HZ204,0),IF(IB204="future",JB204,0),IF(JD204="future",KD204,0),IF(KF204="future",LF204,0),IF(LH204="future",MH204,0))</f>
        <v>0</v>
      </c>
      <c r="BJ204" s="7">
        <f>SUM(IF(BP204="cash",CP204,0),IF(CR204="cash",DR204,0),IF(DT204="cash",ET204,0),IF(EV204="cash",FV204,0),IF(FX204="cash",GX204,0),IF(GZ204="cash",HZ204,0),IF(IB204="cash",JB204,0),IF(JD204="cash",KD204,0),IF(KF204="cash",LF204,0),IF(LH204="cash",MH204,0))</f>
        <v>0</v>
      </c>
      <c r="BK204" s="7">
        <f>SUM(BF204,BH204,BI204,BJ204)</f>
        <v>0.005828694451509751</v>
      </c>
      <c r="BL204" s="7">
        <f>G204-BK204</f>
        <v>8.673617379884035e-19</v>
      </c>
      <c r="BM204" s="5">
        <f>MAX(ABS(CG204),ABS(DI204),ABS(EK204),ABS(FM204),ABS(GO204),ABS(HQ204),ABS(IS204),ABS(JU204),ABS(KW204),ABS(LY204))</f>
        <v>9.447636087085015e-17</v>
      </c>
      <c r="BN204" s="9">
        <f>COUNTA(BO204,CQ204,DS204,EU204,FW204,GY204,IA204,JC204,KE204,LG204)</f>
        <v>3</v>
      </c>
      <c r="BO204" t="inlineStr">
        <is>
          <t xml:space="preserve">Direct commodity holding</t>
        </is>
      </c>
      <c r="BP204" t="inlineStr">
        <is>
          <t xml:space="preserve">direct</t>
        </is>
      </c>
      <c r="BQ204" t="inlineStr">
        <is>
          <t xml:space="preserve">lease</t>
        </is>
      </c>
      <c r="BR204" t="inlineStr">
        <is>
          <t xml:space="preserve">long</t>
        </is>
      </c>
      <c r="BS204"/>
      <c r="BT204" s="4">
        <v>1.885</v>
      </c>
      <c r="BU204" s="4">
        <v>1.896</v>
      </c>
      <c r="BV204" s="6">
        <v>0.0025</v>
      </c>
      <c r="BW204" s="4">
        <v>1.0107555594962703</v>
      </c>
      <c r="BX204" s="5">
        <f>IF(BP204="direct",IFERROR(CD204/BU204,0),0)</f>
        <v>0.0000068828182968125755</v>
      </c>
      <c r="BY204" s="5">
        <f>IF(BP204="direct",BW204-BX204,IF(BP204="cash",CI204,BW204))</f>
        <v>1.0107486766779734</v>
      </c>
      <c r="BZ204" s="6">
        <v>1</v>
      </c>
      <c r="CA204" s="4">
        <v>1.9052742296504697</v>
      </c>
      <c r="CB204" s="4">
        <v>1.9052742296504697</v>
      </c>
      <c r="CC204" s="5">
        <f>IF(BP204="direct",BW204*(BU204-BT204),CF204)</f>
        <v>0.01111831115445887</v>
      </c>
      <c r="CD204" s="5">
        <f>IF(BP204="direct",CB204*BV204*C204/365,0)</f>
        <v>0.000013049823490756642</v>
      </c>
      <c r="CE204" s="5">
        <f>CC204-CD204</f>
        <v>0.011105261330968208</v>
      </c>
      <c r="CF204" s="4">
        <v>0.011105261330968208</v>
      </c>
      <c r="CG204" s="5">
        <f>CF204-CE204</f>
        <v>9.447636087085015e-17</v>
      </c>
      <c r="CH204" s="4">
        <v>0</v>
      </c>
      <c r="CI204" s="4">
        <v>1.9163794909814376</v>
      </c>
      <c r="CJ204" s="4">
        <v>1.885</v>
      </c>
      <c r="CK204" s="4">
        <v>1.896</v>
      </c>
      <c r="CL204" s="6"/>
      <c r="CM204" s="6"/>
      <c r="CN204" s="6"/>
      <c r="CO204" s="9"/>
      <c r="CP204" s="7">
        <f>IFERROR(CE204/F204,0)</f>
        <v>0.005828694451509751</v>
      </c>
      <c r="CQ204" t="inlineStr">
        <is>
          <t xml:space="preserve">Lease cash / margin / financing</t>
        </is>
      </c>
      <c r="CR204" t="inlineStr">
        <is>
          <t xml:space="preserve">cash</t>
        </is>
      </c>
      <c r="CS204" t="inlineStr">
        <is>
          <t xml:space="preserve">lease</t>
        </is>
      </c>
      <c r="CT204" t="inlineStr">
        <is>
          <t xml:space="preserve">cash</t>
        </is>
      </c>
      <c r="CU204"/>
      <c r="CV204" s="4">
        <v>1</v>
      </c>
      <c r="CW204" s="4">
        <v>1</v>
      </c>
      <c r="CX204" s="6"/>
      <c r="CY204" s="4">
        <v>2.220446049250313e-16</v>
      </c>
      <c r="CZ204" s="5">
        <f>IF(CR204="direct",IFERROR(DF204/CW204,0),0)</f>
        <v>0</v>
      </c>
      <c r="DA204" s="5">
        <f>IF(CR204="direct",CY204-CZ204,IF(CR204="cash",DK204,CY204))</f>
        <v>2.220446049250313e-16</v>
      </c>
      <c r="DB204" s="6"/>
      <c r="DC204" s="4">
        <v>2.220446049250313e-16</v>
      </c>
      <c r="DD204" s="4">
        <v>2.220446049250313e-16</v>
      </c>
      <c r="DE204" s="5">
        <f>IF(CR204="direct",CY204*(CW204-CV204),DH204)</f>
        <v>0</v>
      </c>
      <c r="DF204" s="5">
        <f>IF(CR204="direct",DD204*CX204*C204/365,0)</f>
        <v>0</v>
      </c>
      <c r="DG204" s="5">
        <f>DE204-DF204</f>
        <v>0</v>
      </c>
      <c r="DH204" s="4">
        <v>0</v>
      </c>
      <c r="DI204" s="5">
        <f>DH204-DG204</f>
        <v>0</v>
      </c>
      <c r="DJ204" s="4">
        <v>0</v>
      </c>
      <c r="DK204" s="4">
        <v>2.220446049250313e-16</v>
      </c>
      <c r="DL204" s="4">
        <v>1.885</v>
      </c>
      <c r="DM204" s="4">
        <v>1.896</v>
      </c>
      <c r="DN204" s="6"/>
      <c r="DO204" s="6"/>
      <c r="DP204" s="6"/>
      <c r="DQ204" s="9"/>
      <c r="DR204" s="7">
        <f>IFERROR(DG204/F204,0)</f>
        <v>0</v>
      </c>
      <c r="DS204" t="inlineStr">
        <is>
          <t xml:space="preserve">Keep cash / margin / financing</t>
        </is>
      </c>
      <c r="DT204" t="inlineStr">
        <is>
          <t xml:space="preserve">cash</t>
        </is>
      </c>
      <c r="DU204" t="inlineStr">
        <is>
          <t xml:space="preserve">keep</t>
        </is>
      </c>
      <c r="DV204" t="inlineStr">
        <is>
          <t xml:space="preserve">cash</t>
        </is>
      </c>
      <c r="DW204"/>
      <c r="DX204" s="4">
        <v>1</v>
      </c>
      <c r="DY204" s="4">
        <v>1</v>
      </c>
      <c r="DZ204" s="6"/>
      <c r="EA204" s="4">
        <v>0</v>
      </c>
      <c r="EB204" s="5">
        <f>IF(DT204="direct",IFERROR(EH204/DY204,0),0)</f>
        <v>0</v>
      </c>
      <c r="EC204" s="5">
        <f>IF(DT204="direct",EA204-EB204,IF(DT204="cash",EM204,EA204))</f>
        <v>0</v>
      </c>
      <c r="ED204" s="6"/>
      <c r="EE204" s="4">
        <v>0</v>
      </c>
      <c r="EF204" s="4">
        <v>0</v>
      </c>
      <c r="EG204" s="5">
        <f>IF(DT204="direct",EA204*(DY204-DX204),EJ204)</f>
        <v>0</v>
      </c>
      <c r="EH204" s="5">
        <f>IF(DT204="direct",EF204*DZ204*C204/365,0)</f>
        <v>0</v>
      </c>
      <c r="EI204" s="5">
        <f>EG204-EH204</f>
        <v>0</v>
      </c>
      <c r="EJ204" s="4">
        <v>0</v>
      </c>
      <c r="EK204" s="5">
        <f>EJ204-EI204</f>
        <v>0</v>
      </c>
      <c r="EL204" s="4">
        <v>0</v>
      </c>
      <c r="EM204" s="4">
        <v>0</v>
      </c>
      <c r="EN204" s="4">
        <v>1.885</v>
      </c>
      <c r="EO204" s="4">
        <v>1.896</v>
      </c>
      <c r="EP204" s="6"/>
      <c r="EQ204" s="6"/>
      <c r="ER204" s="6"/>
      <c r="ES204" s="9"/>
      <c r="ET204" s="7">
        <f>IFERROR(EI204/F204,0)</f>
        <v>0</v>
      </c>
      <c r="EU204"/>
      <c r="EV204"/>
      <c r="EW204"/>
      <c r="EX204"/>
      <c r="EY204"/>
      <c r="EZ204" s="4"/>
      <c r="FA204" s="4"/>
      <c r="FB204" s="6"/>
      <c r="FC204" s="4"/>
      <c r="FD204" s="5">
        <v>0</v>
      </c>
      <c r="FE204" s="5"/>
      <c r="FF204" s="6"/>
      <c r="FG204" s="4"/>
      <c r="FH204" s="4"/>
      <c r="FI204" s="5">
        <v>0</v>
      </c>
      <c r="FJ204" s="5">
        <v>0</v>
      </c>
      <c r="FK204" s="5"/>
      <c r="FL204" s="4"/>
      <c r="FM204" s="5">
        <v>0</v>
      </c>
      <c r="FN204" s="4"/>
      <c r="FO204" s="4"/>
      <c r="FP204" s="4"/>
      <c r="FQ204" s="4"/>
      <c r="FR204" s="6"/>
      <c r="FS204" s="6"/>
      <c r="FT204" s="6"/>
      <c r="FU204" s="9"/>
      <c r="FV204"/>
      <c r="FW204"/>
      <c r="FX204"/>
      <c r="FY204"/>
      <c r="FZ204"/>
      <c r="GA204"/>
      <c r="GB204" s="4"/>
      <c r="GC204" s="4"/>
      <c r="GD204" s="6"/>
      <c r="GE204" s="4"/>
      <c r="GF204" s="5">
        <v>0</v>
      </c>
      <c r="GG204" s="5"/>
      <c r="GH204" s="6"/>
      <c r="GI204" s="4"/>
      <c r="GJ204" s="4"/>
      <c r="GK204" s="5">
        <v>0</v>
      </c>
      <c r="GL204" s="5">
        <v>0</v>
      </c>
      <c r="GM204" s="5"/>
      <c r="GN204" s="4"/>
      <c r="GO204" s="5">
        <v>0</v>
      </c>
      <c r="GP204" s="4"/>
      <c r="GQ204" s="4"/>
      <c r="GR204" s="4"/>
      <c r="GS204" s="4"/>
      <c r="GT204" s="6"/>
      <c r="GU204" s="6"/>
      <c r="GV204" s="6"/>
      <c r="GW204" s="9"/>
      <c r="GX204"/>
      <c r="GY204"/>
      <c r="GZ204"/>
      <c r="HA204"/>
      <c r="HB204"/>
      <c r="HC204"/>
      <c r="HD204" s="4"/>
      <c r="HE204" s="4"/>
      <c r="HF204" s="6"/>
      <c r="HG204" s="4"/>
      <c r="HH204" s="5">
        <v>0</v>
      </c>
      <c r="HI204" s="5"/>
      <c r="HJ204" s="6"/>
      <c r="HK204" s="4"/>
      <c r="HL204" s="4"/>
      <c r="HM204" s="5">
        <v>0</v>
      </c>
      <c r="HN204" s="5">
        <v>0</v>
      </c>
      <c r="HO204" s="5"/>
      <c r="HP204" s="4"/>
      <c r="HQ204" s="5">
        <v>0</v>
      </c>
      <c r="HR204" s="4"/>
      <c r="HS204" s="4"/>
      <c r="HT204" s="4"/>
      <c r="HU204" s="4"/>
      <c r="HV204" s="6"/>
      <c r="HW204" s="6"/>
      <c r="HX204" s="6"/>
      <c r="HY204" s="9"/>
      <c r="HZ204"/>
      <c r="IA204"/>
      <c r="IB204"/>
      <c r="IC204"/>
      <c r="ID204"/>
      <c r="IE204"/>
      <c r="IF204" s="4"/>
      <c r="IG204" s="4"/>
      <c r="IH204" s="6"/>
      <c r="II204" s="4"/>
      <c r="IJ204" s="5">
        <v>0</v>
      </c>
      <c r="IK204" s="5"/>
      <c r="IL204" s="6"/>
      <c r="IM204" s="4"/>
      <c r="IN204" s="4"/>
      <c r="IO204" s="5">
        <v>0</v>
      </c>
      <c r="IP204" s="5">
        <v>0</v>
      </c>
      <c r="IQ204" s="5"/>
      <c r="IR204" s="4"/>
      <c r="IS204" s="5">
        <v>0</v>
      </c>
      <c r="IT204" s="4"/>
      <c r="IU204" s="4"/>
      <c r="IV204" s="4"/>
      <c r="IW204" s="4"/>
      <c r="IX204" s="6"/>
      <c r="IY204" s="6"/>
      <c r="IZ204" s="6"/>
      <c r="JA204" s="9"/>
      <c r="JB204"/>
      <c r="JC204"/>
      <c r="JD204"/>
      <c r="JE204"/>
      <c r="JF204"/>
      <c r="JG204"/>
      <c r="JH204" s="4"/>
      <c r="JI204" s="4"/>
      <c r="JJ204" s="6"/>
      <c r="JK204" s="4"/>
      <c r="JL204" s="5">
        <v>0</v>
      </c>
      <c r="JM204" s="5"/>
      <c r="JN204" s="6"/>
      <c r="JO204" s="4"/>
      <c r="JP204" s="4"/>
      <c r="JQ204" s="5">
        <v>0</v>
      </c>
      <c r="JR204" s="5">
        <v>0</v>
      </c>
      <c r="JS204" s="5"/>
      <c r="JT204" s="4"/>
      <c r="JU204" s="5">
        <v>0</v>
      </c>
      <c r="JV204" s="4"/>
      <c r="JW204" s="4"/>
      <c r="JX204" s="4"/>
      <c r="JY204" s="4"/>
      <c r="JZ204" s="6"/>
      <c r="KA204" s="6"/>
      <c r="KB204" s="6"/>
      <c r="KC204" s="9"/>
      <c r="KD204"/>
      <c r="KE204"/>
      <c r="KF204"/>
      <c r="KG204"/>
      <c r="KH204"/>
      <c r="KI204"/>
      <c r="KJ204" s="4"/>
      <c r="KK204" s="4"/>
      <c r="KL204" s="6"/>
      <c r="KM204" s="4"/>
      <c r="KN204" s="5">
        <v>0</v>
      </c>
      <c r="KO204" s="5"/>
      <c r="KP204" s="6"/>
      <c r="KQ204" s="4"/>
      <c r="KR204" s="4"/>
      <c r="KS204" s="5">
        <v>0</v>
      </c>
      <c r="KT204" s="5">
        <v>0</v>
      </c>
      <c r="KU204" s="5"/>
      <c r="KV204" s="4"/>
      <c r="KW204" s="5">
        <v>0</v>
      </c>
      <c r="KX204" s="4"/>
      <c r="KY204" s="4"/>
      <c r="KZ204" s="4"/>
      <c r="LA204" s="4"/>
      <c r="LB204" s="6"/>
      <c r="LC204" s="6"/>
      <c r="LD204" s="6"/>
      <c r="LE204" s="9"/>
      <c r="LF204"/>
      <c r="LG204"/>
      <c r="LH204"/>
      <c r="LI204"/>
      <c r="LJ204"/>
      <c r="LK204"/>
      <c r="LL204" s="4"/>
      <c r="LM204" s="4"/>
      <c r="LN204" s="6"/>
      <c r="LO204" s="4"/>
      <c r="LP204" s="5">
        <v>0</v>
      </c>
      <c r="LQ204" s="5"/>
      <c r="LR204" s="6"/>
      <c r="LS204" s="4"/>
      <c r="LT204" s="4"/>
      <c r="LU204" s="5">
        <v>0</v>
      </c>
      <c r="LV204" s="5">
        <v>0</v>
      </c>
      <c r="LW204" s="5"/>
      <c r="LX204" s="4"/>
      <c r="LY204" s="5">
        <v>0</v>
      </c>
      <c r="LZ204" s="4"/>
      <c r="MA204" s="4"/>
      <c r="MB204" s="4"/>
      <c r="MC204" s="4"/>
      <c r="MD204" s="6"/>
      <c r="ME204" s="6"/>
      <c r="MF204" s="6"/>
      <c r="MG204" s="9"/>
      <c r="MH204"/>
    </row>
    <row r="205">
      <c r="A205" s="8">
        <v>25505</v>
      </c>
      <c r="B205" s="8">
        <v>25506</v>
      </c>
      <c r="C205" s="9">
        <f>B205-A205</f>
        <v>1</v>
      </c>
      <c r="D205" s="8">
        <v>25505</v>
      </c>
      <c r="E205" t="inlineStr">
        <is>
          <t xml:space="preserve">neutral</t>
        </is>
      </c>
      <c r="F205" s="4">
        <v>1.916379490981438</v>
      </c>
      <c r="G205" s="6">
        <v>0.016343361655395804</v>
      </c>
      <c r="H205" s="7">
        <f>SUM(CP205,DR205,ET205,FV205,GX205,HZ205,JB205,KD205,LF205,MH205)</f>
        <v>0.016343361655395804</v>
      </c>
      <c r="I205" s="7">
        <f>G205-H205</f>
        <v>0</v>
      </c>
      <c r="J205" s="5">
        <f>F205*(1+H205)</f>
        <v>1.947699574071531</v>
      </c>
      <c r="K205" s="4">
        <v>1.947699574071531</v>
      </c>
      <c r="L205" s="5">
        <f>K205-J205</f>
        <v>0</v>
      </c>
      <c r="M205" s="4">
        <v>1.896</v>
      </c>
      <c r="N205" s="4">
        <v>1.927</v>
      </c>
      <c r="O205" s="5">
        <f>M205/$M$3</f>
        <v>0.9683350357507661</v>
      </c>
      <c r="P205" s="5">
        <f>N205/$M$3</f>
        <v>0.984167517875383</v>
      </c>
      <c r="Q205" s="7">
        <f>IFERROR(N205/M205-1,0)</f>
        <v>0.016350210970464296</v>
      </c>
      <c r="R205" s="5">
        <f>SUM(IF(BQ205="lease",CB205,0),IF(CS205="lease",DD205,0),IF(DU205="lease",EF205,0),IF(EW205="lease",FH205,0),IF(FY205="lease",GJ205,0),IF(HA205="lease",HL205,0),IF(IC205="lease",IN205,0),IF(JE205="lease",JP205,0),IF(KG205="lease",KR205,0),IF(LI205="lease",LT205,0))</f>
        <v>1.916379490981438</v>
      </c>
      <c r="S205" s="5">
        <f>SUM(IF(BQ205="lease",CI205,0),IF(CS205="lease",DK205,0),IF(DU205="lease",EM205,0),IF(EW205="lease",FO205,0),IF(FY205="lease",GQ205,0),IF(HA205="lease",HS205,0),IF(IC205="lease",IU205,0),IF(JE205="lease",JW205,0),IF(KG205="lease",KY205,0),IF(LI205="lease",MA205,0))</f>
        <v>1.9476995740715308</v>
      </c>
      <c r="T205" s="5">
        <f>SUM(IF(BQ205="keep",CB205,0),IF(CS205="keep",DD205,0),IF(DU205="keep",EF205,0),IF(EW205="keep",FH205,0),IF(FY205="keep",GJ205,0),IF(HA205="keep",HL205,0),IF(IC205="keep",IN205,0),IF(JE205="keep",JP205,0),IF(KG205="keep",KR205,0),IF(LI205="keep",LT205,0))</f>
        <v>0</v>
      </c>
      <c r="U205" s="5">
        <f>SUM(IF(BQ205="keep",CI205,0),IF(CS205="keep",DK205,0),IF(DU205="keep",EM205,0),IF(EW205="keep",FO205,0),IF(FY205="keep",GQ205,0),IF(HA205="keep",HS205,0),IF(IC205="keep",IU205,0),IF(JE205="keep",JW205,0),IF(KG205="keep",KY205,0),IF(LI205="keep",MA205,0))</f>
        <v>0</v>
      </c>
      <c r="V205" s="5">
        <f>R205/O205</f>
        <v>1.9790459089354724</v>
      </c>
      <c r="W205" s="5">
        <f>S205/P205</f>
        <v>1.9790325718900141</v>
      </c>
      <c r="X205" s="5">
        <f>T205/O205</f>
        <v>0</v>
      </c>
      <c r="Y205" s="5">
        <f>U205/P205</f>
        <v>0</v>
      </c>
      <c r="Z205" s="5">
        <f>V205+X205</f>
        <v>1.9790459089354724</v>
      </c>
      <c r="AA205" s="7">
        <f>IFERROR(W205/V205-1,0)</f>
        <v>-0.000006739128889377</v>
      </c>
      <c r="AB205" s="7">
        <f>IFERROR((W205-V205)/Z205,0)</f>
        <v>-0.0000067391288893466945</v>
      </c>
      <c r="AC205" s="7">
        <f>IFERROR(Y205/X205-1,0)</f>
        <v>0</v>
      </c>
      <c r="AD205" s="7">
        <f>IFERROR((Y205-X205)/Z205,0)</f>
        <v>0</v>
      </c>
      <c r="AE205" s="7">
        <f>AB205+AD205</f>
        <v>-0.0000067391288893466945</v>
      </c>
      <c r="AF205" s="7">
        <f>(1+Q205)*(1+AE205)-1</f>
        <v>0.01634336165539585</v>
      </c>
      <c r="AG205" s="7">
        <f>G205-AF205</f>
        <v>-4.5102810375396984e-17</v>
      </c>
      <c r="AH205" s="5">
        <f>SUM(IF(BQ205="lease",CE205,0),IF(CS205="lease",DG205,0),IF(DU205="lease",EI205,0),IF(EW205="lease",FK205,0),IF(FY205="lease",GM205,0),IF(HA205="lease",HO205,0),IF(IC205="lease",IQ205,0),IF(JE205="lease",JS205,0),IF(KG205="lease",KU205,0),IF(LI205="lease",LW205,0))</f>
        <v>0.031320083090092966</v>
      </c>
      <c r="AI205" s="5">
        <f>SUM(IF(BQ205="keep",CE205,0),IF(CS205="keep",DG205,0),IF(DU205="keep",EI205,0),IF(EW205="keep",FK205,0),IF(FY205="keep",GM205,0),IF(HA205="keep",HO205,0),IF(IC205="keep",IQ205,0),IF(JE205="keep",JS205,0),IF(KG205="keep",KU205,0),IF(LI205="keep",LW205,0))</f>
        <v>0</v>
      </c>
      <c r="AJ205" s="5">
        <f>SUM(IF(BQ205="lease",CH205,0),IF(CS205="lease",DJ205,0),IF(DU205="lease",EL205,0),IF(EW205="lease",FN205,0),IF(FY205="lease",GP205,0),IF(HA205="lease",HR205,0),IF(IC205="lease",IT205,0),IF(JE205="lease",JV205,0),IF(KG205="lease",KX205,0),IF(LI205="lease",LZ205,0))</f>
        <v>0</v>
      </c>
      <c r="AK205" s="5">
        <f>SUM(IF(BQ205="keep",CH205,0),IF(CS205="keep",DJ205,0),IF(DU205="keep",EL205,0),IF(EW205="keep",FN205,0),IF(FY205="keep",GP205,0),IF(HA205="keep",HR205,0),IF(IC205="keep",IT205,0),IF(JE205="keep",JV205,0),IF(KG205="keep",KX205,0),IF(LI205="keep",LZ205,0))</f>
        <v>0</v>
      </c>
      <c r="AL205" s="5">
        <f>R205-S204</f>
        <v>2.220446049250313e-16</v>
      </c>
      <c r="AM205" s="5">
        <f>T205-U204</f>
        <v>0</v>
      </c>
      <c r="AN205" s="5">
        <f>AN204</f>
        <v>1</v>
      </c>
      <c r="AO205" s="5">
        <f>AO204+AH205</f>
        <v>0.947699574071531</v>
      </c>
      <c r="AP205" s="5">
        <f>AP204+AL205</f>
        <v>0</v>
      </c>
      <c r="AQ205" s="5">
        <f>AN205+AO205+AP205</f>
        <v>1.947699574071531</v>
      </c>
      <c r="AR205" s="5">
        <f>S205-AQ205</f>
        <v>-2.220446049250313e-16</v>
      </c>
      <c r="AS205" s="5">
        <f>AS204</f>
        <v>0</v>
      </c>
      <c r="AT205" s="5">
        <f>AT204+AI205</f>
        <v>0</v>
      </c>
      <c r="AU205" s="5">
        <f>AU204+AM205</f>
        <v>0</v>
      </c>
      <c r="AV205" s="5">
        <f>AS205+AT205+AU205</f>
        <v>0</v>
      </c>
      <c r="AW205" s="5">
        <f>U205-AV205</f>
        <v>0</v>
      </c>
      <c r="AX205" s="4">
        <v>1.916379490981438</v>
      </c>
      <c r="AY205" s="4">
        <v>1.947699574071531</v>
      </c>
      <c r="AZ205" s="5">
        <f>S205-AY205</f>
        <v>-2.220446049250313e-16</v>
      </c>
      <c r="BA205" s="4">
        <v>0</v>
      </c>
      <c r="BB205" s="4">
        <v>0</v>
      </c>
      <c r="BC205" s="5">
        <f>U205-BB205</f>
        <v>0</v>
      </c>
      <c r="BD205" s="7">
        <f>SUM(IF(BP205="direct",CC205/F205,0),IF(CR205="direct",DE205/F205,0),IF(DT205="direct",EG205/F205,0),IF(EV205="direct",FI205/F205,0),IF(FX205="direct",GK205/F205,0),IF(GZ205="direct",HM205/F205,0),IF(IB205="direct",IO205/F205,0),IF(JD205="direct",JQ205/F205,0),IF(KF205="direct",KS205/F205,0),IF(LH205="direct",LU205/F205,0))</f>
        <v>0.01635021097046421</v>
      </c>
      <c r="BE205" s="7">
        <f>-SUM(IF(BP205="direct",CD205/F205,0),IF(CR205="direct",DF205/F205,0),IF(DT205="direct",EH205/F205,0),IF(EV205="direct",FJ205/F205,0),IF(FX205="direct",GL205/F205,0),IF(GZ205="direct",HN205/F205,0),IF(IB205="direct",IP205/F205,0),IF(JD205="direct",JR205/F205,0),IF(KF205="direct",KT205/F205,0),IF(LH205="direct",LV205/F205,0))</f>
        <v>-0.000006849315068493151</v>
      </c>
      <c r="BF205" s="7">
        <f>BD205+BE205</f>
        <v>0.016343361655395718</v>
      </c>
      <c r="BG205" s="7">
        <f>BF205-SUM(IF(BP205="direct",CP205,0),IF(CR205="direct",DR205,0),IF(DT205="direct",ET205,0),IF(EV205="direct",FV205,0),IF(FX205="direct",GX205,0),IF(GZ205="direct",HZ205,0),IF(IB205="direct",JB205,0),IF(JD205="direct",KD205,0),IF(KF205="direct",LF205,0),IF(LH205="direct",MH205,0))</f>
        <v>-8.673617379884035e-17</v>
      </c>
      <c r="BH205" s="7">
        <f>SUM(IF(BP205="treasury",CP205,0),IF(CR205="treasury",DR205,0),IF(DT205="treasury",ET205,0),IF(EV205="treasury",FV205,0),IF(FX205="treasury",GX205,0),IF(GZ205="treasury",HZ205,0),IF(IB205="treasury",JB205,0),IF(JD205="treasury",KD205,0),IF(KF205="treasury",LF205,0),IF(LH205="treasury",MH205,0))</f>
        <v>0</v>
      </c>
      <c r="BI205" s="7">
        <f>SUM(IF(BP205="future",CP205,0),IF(CR205="future",DR205,0),IF(DT205="future",ET205,0),IF(EV205="future",FV205,0),IF(FX205="future",GX205,0),IF(GZ205="future",HZ205,0),IF(IB205="future",JB205,0),IF(JD205="future",KD205,0),IF(KF205="future",LF205,0),IF(LH205="future",MH205,0))</f>
        <v>0</v>
      </c>
      <c r="BJ205" s="7">
        <f>SUM(IF(BP205="cash",CP205,0),IF(CR205="cash",DR205,0),IF(DT205="cash",ET205,0),IF(EV205="cash",FV205,0),IF(FX205="cash",GX205,0),IF(GZ205="cash",HZ205,0),IF(IB205="cash",JB205,0),IF(JD205="cash",KD205,0),IF(KF205="cash",LF205,0),IF(LH205="cash",MH205,0))</f>
        <v>0</v>
      </c>
      <c r="BK205" s="7">
        <f>SUM(BF205,BH205,BI205,BJ205)</f>
        <v>0.016343361655395804</v>
      </c>
      <c r="BL205" s="7">
        <f>G205-BK205</f>
        <v>0</v>
      </c>
      <c r="BM205" s="5">
        <f>MAX(ABS(CG205),ABS(DI205),ABS(EK205),ABS(FM205),ABS(GO205),ABS(HQ205),ABS(IS205),ABS(JU205),ABS(KW205),ABS(LY205))</f>
        <v>1.7427533483167779e-16</v>
      </c>
      <c r="BN205" s="9">
        <f>COUNTA(BO205,CQ205,DS205,EU205,FW205,GY205,IA205,JC205,KE205,LG205)</f>
        <v>3</v>
      </c>
      <c r="BO205" t="inlineStr">
        <is>
          <t xml:space="preserve">Direct commodity holding</t>
        </is>
      </c>
      <c r="BP205" t="inlineStr">
        <is>
          <t xml:space="preserve">direct</t>
        </is>
      </c>
      <c r="BQ205" t="inlineStr">
        <is>
          <t xml:space="preserve">lease</t>
        </is>
      </c>
      <c r="BR205" t="inlineStr">
        <is>
          <t xml:space="preserve">long</t>
        </is>
      </c>
      <c r="BS205"/>
      <c r="BT205" s="4">
        <v>1.896</v>
      </c>
      <c r="BU205" s="4">
        <v>1.927</v>
      </c>
      <c r="BV205" s="6">
        <v>0.0025</v>
      </c>
      <c r="BW205" s="4">
        <v>1.0107486766779736</v>
      </c>
      <c r="BX205" s="5">
        <f>IF(BP205="direct",IFERROR(CD205/BU205,0),0)</f>
        <v>0.000006811565606917695</v>
      </c>
      <c r="BY205" s="5">
        <f>IF(BP205="direct",BW205-BX205,IF(BP205="cash",CI205,BW205))</f>
        <v>1.0107418651123667</v>
      </c>
      <c r="BZ205" s="6">
        <v>1</v>
      </c>
      <c r="CA205" s="4">
        <v>1.916379490981438</v>
      </c>
      <c r="CB205" s="4">
        <v>1.916379490981438</v>
      </c>
      <c r="CC205" s="5">
        <f>IF(BP205="direct",BW205*(BU205-BT205),CF205)</f>
        <v>0.03133320897701732</v>
      </c>
      <c r="CD205" s="5">
        <f>IF(BP205="direct",CB205*BV205*C205/365,0)</f>
        <v>0.000013125886924530398</v>
      </c>
      <c r="CE205" s="5">
        <f>CC205-CD205</f>
        <v>0.031320083090092966</v>
      </c>
      <c r="CF205" s="4">
        <v>0.031320083090092966</v>
      </c>
      <c r="CG205" s="5">
        <f>CF205-CE205</f>
        <v>1.7427533483167779e-16</v>
      </c>
      <c r="CH205" s="4">
        <v>0</v>
      </c>
      <c r="CI205" s="4">
        <v>1.9476995740715308</v>
      </c>
      <c r="CJ205" s="4">
        <v>1.896</v>
      </c>
      <c r="CK205" s="4">
        <v>1.927</v>
      </c>
      <c r="CL205" s="6"/>
      <c r="CM205" s="6"/>
      <c r="CN205" s="6"/>
      <c r="CO205" s="9"/>
      <c r="CP205" s="7">
        <f>IFERROR(CE205/F205,0)</f>
        <v>0.016343361655395804</v>
      </c>
      <c r="CQ205" t="inlineStr">
        <is>
          <t xml:space="preserve">Lease cash / margin / financing</t>
        </is>
      </c>
      <c r="CR205" t="inlineStr">
        <is>
          <t xml:space="preserve">cash</t>
        </is>
      </c>
      <c r="CS205" t="inlineStr">
        <is>
          <t xml:space="preserve">lease</t>
        </is>
      </c>
      <c r="CT205" t="inlineStr">
        <is>
          <t xml:space="preserve">cash</t>
        </is>
      </c>
      <c r="CU205"/>
      <c r="CV205" s="4">
        <v>1</v>
      </c>
      <c r="CW205" s="4">
        <v>1</v>
      </c>
      <c r="CX205" s="6"/>
      <c r="CY205" s="4">
        <v>0</v>
      </c>
      <c r="CZ205" s="5">
        <f>IF(CR205="direct",IFERROR(DF205/CW205,0),0)</f>
        <v>0</v>
      </c>
      <c r="DA205" s="5">
        <f>IF(CR205="direct",CY205-CZ205,IF(CR205="cash",DK205,CY205))</f>
        <v>0</v>
      </c>
      <c r="DB205" s="6"/>
      <c r="DC205" s="4">
        <v>0</v>
      </c>
      <c r="DD205" s="4">
        <v>0</v>
      </c>
      <c r="DE205" s="5">
        <f>IF(CR205="direct",CY205*(CW205-CV205),DH205)</f>
        <v>0</v>
      </c>
      <c r="DF205" s="5">
        <f>IF(CR205="direct",DD205*CX205*C205/365,0)</f>
        <v>0</v>
      </c>
      <c r="DG205" s="5">
        <f>DE205-DF205</f>
        <v>0</v>
      </c>
      <c r="DH205" s="4">
        <v>0</v>
      </c>
      <c r="DI205" s="5">
        <f>DH205-DG205</f>
        <v>0</v>
      </c>
      <c r="DJ205" s="4">
        <v>0</v>
      </c>
      <c r="DK205" s="4">
        <v>0</v>
      </c>
      <c r="DL205" s="4">
        <v>1.896</v>
      </c>
      <c r="DM205" s="4">
        <v>1.927</v>
      </c>
      <c r="DN205" s="6"/>
      <c r="DO205" s="6"/>
      <c r="DP205" s="6"/>
      <c r="DQ205" s="9"/>
      <c r="DR205" s="7">
        <f>IFERROR(DG205/F205,0)</f>
        <v>0</v>
      </c>
      <c r="DS205" t="inlineStr">
        <is>
          <t xml:space="preserve">Keep cash / margin / financing</t>
        </is>
      </c>
      <c r="DT205" t="inlineStr">
        <is>
          <t xml:space="preserve">cash</t>
        </is>
      </c>
      <c r="DU205" t="inlineStr">
        <is>
          <t xml:space="preserve">keep</t>
        </is>
      </c>
      <c r="DV205" t="inlineStr">
        <is>
          <t xml:space="preserve">cash</t>
        </is>
      </c>
      <c r="DW205"/>
      <c r="DX205" s="4">
        <v>1</v>
      </c>
      <c r="DY205" s="4">
        <v>1</v>
      </c>
      <c r="DZ205" s="6"/>
      <c r="EA205" s="4">
        <v>0</v>
      </c>
      <c r="EB205" s="5">
        <f>IF(DT205="direct",IFERROR(EH205/DY205,0),0)</f>
        <v>0</v>
      </c>
      <c r="EC205" s="5">
        <f>IF(DT205="direct",EA205-EB205,IF(DT205="cash",EM205,EA205))</f>
        <v>0</v>
      </c>
      <c r="ED205" s="6"/>
      <c r="EE205" s="4">
        <v>0</v>
      </c>
      <c r="EF205" s="4">
        <v>0</v>
      </c>
      <c r="EG205" s="5">
        <f>IF(DT205="direct",EA205*(DY205-DX205),EJ205)</f>
        <v>0</v>
      </c>
      <c r="EH205" s="5">
        <f>IF(DT205="direct",EF205*DZ205*C205/365,0)</f>
        <v>0</v>
      </c>
      <c r="EI205" s="5">
        <f>EG205-EH205</f>
        <v>0</v>
      </c>
      <c r="EJ205" s="4">
        <v>0</v>
      </c>
      <c r="EK205" s="5">
        <f>EJ205-EI205</f>
        <v>0</v>
      </c>
      <c r="EL205" s="4">
        <v>0</v>
      </c>
      <c r="EM205" s="4">
        <v>0</v>
      </c>
      <c r="EN205" s="4">
        <v>1.896</v>
      </c>
      <c r="EO205" s="4">
        <v>1.927</v>
      </c>
      <c r="EP205" s="6"/>
      <c r="EQ205" s="6"/>
      <c r="ER205" s="6"/>
      <c r="ES205" s="9"/>
      <c r="ET205" s="7">
        <f>IFERROR(EI205/F205,0)</f>
        <v>0</v>
      </c>
      <c r="EU205"/>
      <c r="EV205"/>
      <c r="EW205"/>
      <c r="EX205"/>
      <c r="EY205"/>
      <c r="EZ205" s="4"/>
      <c r="FA205" s="4"/>
      <c r="FB205" s="6"/>
      <c r="FC205" s="4"/>
      <c r="FD205" s="5">
        <v>0</v>
      </c>
      <c r="FE205" s="5"/>
      <c r="FF205" s="6"/>
      <c r="FG205" s="4"/>
      <c r="FH205" s="4"/>
      <c r="FI205" s="5">
        <v>0</v>
      </c>
      <c r="FJ205" s="5">
        <v>0</v>
      </c>
      <c r="FK205" s="5"/>
      <c r="FL205" s="4"/>
      <c r="FM205" s="5">
        <v>0</v>
      </c>
      <c r="FN205" s="4"/>
      <c r="FO205" s="4"/>
      <c r="FP205" s="4"/>
      <c r="FQ205" s="4"/>
      <c r="FR205" s="6"/>
      <c r="FS205" s="6"/>
      <c r="FT205" s="6"/>
      <c r="FU205" s="9"/>
      <c r="FV205"/>
      <c r="FW205"/>
      <c r="FX205"/>
      <c r="FY205"/>
      <c r="FZ205"/>
      <c r="GA205"/>
      <c r="GB205" s="4"/>
      <c r="GC205" s="4"/>
      <c r="GD205" s="6"/>
      <c r="GE205" s="4"/>
      <c r="GF205" s="5">
        <v>0</v>
      </c>
      <c r="GG205" s="5"/>
      <c r="GH205" s="6"/>
      <c r="GI205" s="4"/>
      <c r="GJ205" s="4"/>
      <c r="GK205" s="5">
        <v>0</v>
      </c>
      <c r="GL205" s="5">
        <v>0</v>
      </c>
      <c r="GM205" s="5"/>
      <c r="GN205" s="4"/>
      <c r="GO205" s="5">
        <v>0</v>
      </c>
      <c r="GP205" s="4"/>
      <c r="GQ205" s="4"/>
      <c r="GR205" s="4"/>
      <c r="GS205" s="4"/>
      <c r="GT205" s="6"/>
      <c r="GU205" s="6"/>
      <c r="GV205" s="6"/>
      <c r="GW205" s="9"/>
      <c r="GX205"/>
      <c r="GY205"/>
      <c r="GZ205"/>
      <c r="HA205"/>
      <c r="HB205"/>
      <c r="HC205"/>
      <c r="HD205" s="4"/>
      <c r="HE205" s="4"/>
      <c r="HF205" s="6"/>
      <c r="HG205" s="4"/>
      <c r="HH205" s="5">
        <v>0</v>
      </c>
      <c r="HI205" s="5"/>
      <c r="HJ205" s="6"/>
      <c r="HK205" s="4"/>
      <c r="HL205" s="4"/>
      <c r="HM205" s="5">
        <v>0</v>
      </c>
      <c r="HN205" s="5">
        <v>0</v>
      </c>
      <c r="HO205" s="5"/>
      <c r="HP205" s="4"/>
      <c r="HQ205" s="5">
        <v>0</v>
      </c>
      <c r="HR205" s="4"/>
      <c r="HS205" s="4"/>
      <c r="HT205" s="4"/>
      <c r="HU205" s="4"/>
      <c r="HV205" s="6"/>
      <c r="HW205" s="6"/>
      <c r="HX205" s="6"/>
      <c r="HY205" s="9"/>
      <c r="HZ205"/>
      <c r="IA205"/>
      <c r="IB205"/>
      <c r="IC205"/>
      <c r="ID205"/>
      <c r="IE205"/>
      <c r="IF205" s="4"/>
      <c r="IG205" s="4"/>
      <c r="IH205" s="6"/>
      <c r="II205" s="4"/>
      <c r="IJ205" s="5">
        <v>0</v>
      </c>
      <c r="IK205" s="5"/>
      <c r="IL205" s="6"/>
      <c r="IM205" s="4"/>
      <c r="IN205" s="4"/>
      <c r="IO205" s="5">
        <v>0</v>
      </c>
      <c r="IP205" s="5">
        <v>0</v>
      </c>
      <c r="IQ205" s="5"/>
      <c r="IR205" s="4"/>
      <c r="IS205" s="5">
        <v>0</v>
      </c>
      <c r="IT205" s="4"/>
      <c r="IU205" s="4"/>
      <c r="IV205" s="4"/>
      <c r="IW205" s="4"/>
      <c r="IX205" s="6"/>
      <c r="IY205" s="6"/>
      <c r="IZ205" s="6"/>
      <c r="JA205" s="9"/>
      <c r="JB205"/>
      <c r="JC205"/>
      <c r="JD205"/>
      <c r="JE205"/>
      <c r="JF205"/>
      <c r="JG205"/>
      <c r="JH205" s="4"/>
      <c r="JI205" s="4"/>
      <c r="JJ205" s="6"/>
      <c r="JK205" s="4"/>
      <c r="JL205" s="5">
        <v>0</v>
      </c>
      <c r="JM205" s="5"/>
      <c r="JN205" s="6"/>
      <c r="JO205" s="4"/>
      <c r="JP205" s="4"/>
      <c r="JQ205" s="5">
        <v>0</v>
      </c>
      <c r="JR205" s="5">
        <v>0</v>
      </c>
      <c r="JS205" s="5"/>
      <c r="JT205" s="4"/>
      <c r="JU205" s="5">
        <v>0</v>
      </c>
      <c r="JV205" s="4"/>
      <c r="JW205" s="4"/>
      <c r="JX205" s="4"/>
      <c r="JY205" s="4"/>
      <c r="JZ205" s="6"/>
      <c r="KA205" s="6"/>
      <c r="KB205" s="6"/>
      <c r="KC205" s="9"/>
      <c r="KD205"/>
      <c r="KE205"/>
      <c r="KF205"/>
      <c r="KG205"/>
      <c r="KH205"/>
      <c r="KI205"/>
      <c r="KJ205" s="4"/>
      <c r="KK205" s="4"/>
      <c r="KL205" s="6"/>
      <c r="KM205" s="4"/>
      <c r="KN205" s="5">
        <v>0</v>
      </c>
      <c r="KO205" s="5"/>
      <c r="KP205" s="6"/>
      <c r="KQ205" s="4"/>
      <c r="KR205" s="4"/>
      <c r="KS205" s="5">
        <v>0</v>
      </c>
      <c r="KT205" s="5">
        <v>0</v>
      </c>
      <c r="KU205" s="5"/>
      <c r="KV205" s="4"/>
      <c r="KW205" s="5">
        <v>0</v>
      </c>
      <c r="KX205" s="4"/>
      <c r="KY205" s="4"/>
      <c r="KZ205" s="4"/>
      <c r="LA205" s="4"/>
      <c r="LB205" s="6"/>
      <c r="LC205" s="6"/>
      <c r="LD205" s="6"/>
      <c r="LE205" s="9"/>
      <c r="LF205"/>
      <c r="LG205"/>
      <c r="LH205"/>
      <c r="LI205"/>
      <c r="LJ205"/>
      <c r="LK205"/>
      <c r="LL205" s="4"/>
      <c r="LM205" s="4"/>
      <c r="LN205" s="6"/>
      <c r="LO205" s="4"/>
      <c r="LP205" s="5">
        <v>0</v>
      </c>
      <c r="LQ205" s="5"/>
      <c r="LR205" s="6"/>
      <c r="LS205" s="4"/>
      <c r="LT205" s="4"/>
      <c r="LU205" s="5">
        <v>0</v>
      </c>
      <c r="LV205" s="5">
        <v>0</v>
      </c>
      <c r="LW205" s="5"/>
      <c r="LX205" s="4"/>
      <c r="LY205" s="5">
        <v>0</v>
      </c>
      <c r="LZ205" s="4"/>
      <c r="MA205" s="4"/>
      <c r="MB205" s="4"/>
      <c r="MC205" s="4"/>
      <c r="MD205" s="6"/>
      <c r="ME205" s="6"/>
      <c r="MF205" s="6"/>
      <c r="MG205" s="9"/>
      <c r="MH205"/>
    </row>
    <row r="206">
      <c r="A206" s="8">
        <v>25506</v>
      </c>
      <c r="B206" s="8">
        <v>25507</v>
      </c>
      <c r="C206" s="9">
        <f>B206-A206</f>
        <v>1</v>
      </c>
      <c r="D206" s="8">
        <v>25506</v>
      </c>
      <c r="E206" t="inlineStr">
        <is>
          <t xml:space="preserve">neutral</t>
        </is>
      </c>
      <c r="F206" s="4">
        <v>1.947699574071531</v>
      </c>
      <c r="G206" s="6">
        <v>0.010371977877458869</v>
      </c>
      <c r="H206" s="7">
        <f>SUM(CP206,DR206,ET206,FV206,GX206,HZ206,JB206,KD206,LF206,MH206)</f>
        <v>0.01037197787745887</v>
      </c>
      <c r="I206" s="7">
        <f>G206-H206</f>
        <v>-1.734723475976807e-18</v>
      </c>
      <c r="J206" s="5">
        <f>F206*(1+H206)</f>
        <v>1.9679010709657372</v>
      </c>
      <c r="K206" s="4">
        <v>1.9679010709657372</v>
      </c>
      <c r="L206" s="5">
        <f>K206-J206</f>
        <v>0</v>
      </c>
      <c r="M206" s="4">
        <v>1.927</v>
      </c>
      <c r="N206" s="4">
        <v>1.947</v>
      </c>
      <c r="O206" s="5">
        <f>M206/$M$3</f>
        <v>0.984167517875383</v>
      </c>
      <c r="P206" s="5">
        <f>N206/$M$3</f>
        <v>0.9943820224719102</v>
      </c>
      <c r="Q206" s="7">
        <f>IFERROR(N206/M206-1,0)</f>
        <v>0.010378827192527362</v>
      </c>
      <c r="R206" s="5">
        <f>SUM(IF(BQ206="lease",CB206,0),IF(CS206="lease",DD206,0),IF(DU206="lease",EF206,0),IF(EW206="lease",FH206,0),IF(FY206="lease",GJ206,0),IF(HA206="lease",HL206,0),IF(IC206="lease",IN206,0),IF(JE206="lease",JP206,0),IF(KG206="lease",KR206,0),IF(LI206="lease",LT206,0))</f>
        <v>1.947699574071531</v>
      </c>
      <c r="S206" s="5">
        <f>SUM(IF(BQ206="lease",CI206,0),IF(CS206="lease",DK206,0),IF(DU206="lease",EM206,0),IF(EW206="lease",FO206,0),IF(FY206="lease",GQ206,0),IF(HA206="lease",HS206,0),IF(IC206="lease",IU206,0),IF(JE206="lease",JW206,0),IF(KG206="lease",KY206,0),IF(LI206="lease",MA206,0))</f>
        <v>1.9679010709657367</v>
      </c>
      <c r="T206" s="5">
        <f>SUM(IF(BQ206="keep",CB206,0),IF(CS206="keep",DD206,0),IF(DU206="keep",EF206,0),IF(EW206="keep",FH206,0),IF(FY206="keep",GJ206,0),IF(HA206="keep",HL206,0),IF(IC206="keep",IN206,0),IF(JE206="keep",JP206,0),IF(KG206="keep",KR206,0),IF(LI206="keep",LT206,0))</f>
        <v>0</v>
      </c>
      <c r="U206" s="5">
        <f>SUM(IF(BQ206="keep",CI206,0),IF(CS206="keep",DK206,0),IF(DU206="keep",EM206,0),IF(EW206="keep",FO206,0),IF(FY206="keep",GQ206,0),IF(HA206="keep",HS206,0),IF(IC206="keep",IU206,0),IF(JE206="keep",JW206,0),IF(KG206="keep",KY206,0),IF(LI206="keep",MA206,0))</f>
        <v>0</v>
      </c>
      <c r="V206" s="5">
        <f>R206/O206</f>
        <v>1.9790325718900144</v>
      </c>
      <c r="W206" s="5">
        <f>S206/P206</f>
        <v>1.9790191561124357</v>
      </c>
      <c r="X206" s="5">
        <f>T206/O206</f>
        <v>0</v>
      </c>
      <c r="Y206" s="5">
        <f>U206/P206</f>
        <v>0</v>
      </c>
      <c r="Z206" s="5">
        <f>V206+X206</f>
        <v>1.9790325718900144</v>
      </c>
      <c r="AA206" s="7">
        <f>IFERROR(W206/V206-1,0)</f>
        <v>-0.000006778957440722877</v>
      </c>
      <c r="AB206" s="7">
        <f>IFERROR((W206-V206)/Z206,0)</f>
        <v>-0.00000677895744071402</v>
      </c>
      <c r="AC206" s="7">
        <f>IFERROR(Y206/X206-1,0)</f>
        <v>0</v>
      </c>
      <c r="AD206" s="7">
        <f>IFERROR((Y206-X206)/Z206,0)</f>
        <v>0</v>
      </c>
      <c r="AE206" s="7">
        <f>AB206+AD206</f>
        <v>-0.00000677895744071402</v>
      </c>
      <c r="AF206" s="7">
        <f>(1+Q206)*(1+AE206)-1</f>
        <v>0.010371977877458916</v>
      </c>
      <c r="AG206" s="7">
        <f>G206-AF206</f>
        <v>-4.683753385137379e-17</v>
      </c>
      <c r="AH206" s="5">
        <f>SUM(IF(BQ206="lease",CE206,0),IF(CS206="lease",DG206,0),IF(DU206="lease",EI206,0),IF(EW206="lease",FK206,0),IF(FY206="lease",GM206,0),IF(HA206="lease",HO206,0),IF(IC206="lease",IQ206,0),IF(JE206="lease",JS206,0),IF(KG206="lease",KU206,0),IF(LI206="lease",LW206,0))</f>
        <v>0.020201496894205983</v>
      </c>
      <c r="AI206" s="5">
        <f>SUM(IF(BQ206="keep",CE206,0),IF(CS206="keep",DG206,0),IF(DU206="keep",EI206,0),IF(EW206="keep",FK206,0),IF(FY206="keep",GM206,0),IF(HA206="keep",HO206,0),IF(IC206="keep",IQ206,0),IF(JE206="keep",JS206,0),IF(KG206="keep",KU206,0),IF(LI206="keep",LW206,0))</f>
        <v>0</v>
      </c>
      <c r="AJ206" s="5">
        <f>SUM(IF(BQ206="lease",CH206,0),IF(CS206="lease",DJ206,0),IF(DU206="lease",EL206,0),IF(EW206="lease",FN206,0),IF(FY206="lease",GP206,0),IF(HA206="lease",HR206,0),IF(IC206="lease",IT206,0),IF(JE206="lease",JV206,0),IF(KG206="lease",KX206,0),IF(LI206="lease",LZ206,0))</f>
        <v>0</v>
      </c>
      <c r="AK206" s="5">
        <f>SUM(IF(BQ206="keep",CH206,0),IF(CS206="keep",DJ206,0),IF(DU206="keep",EL206,0),IF(EW206="keep",FN206,0),IF(FY206="keep",GP206,0),IF(HA206="keep",HR206,0),IF(IC206="keep",IT206,0),IF(JE206="keep",JV206,0),IF(KG206="keep",KX206,0),IF(LI206="keep",LZ206,0))</f>
        <v>0</v>
      </c>
      <c r="AL206" s="5">
        <f>R206-S205</f>
        <v>2.220446049250313e-16</v>
      </c>
      <c r="AM206" s="5">
        <f>T206-U205</f>
        <v>0</v>
      </c>
      <c r="AN206" s="5">
        <f>AN205</f>
        <v>1</v>
      </c>
      <c r="AO206" s="5">
        <f>AO205+AH206</f>
        <v>0.9679010709657371</v>
      </c>
      <c r="AP206" s="5">
        <f>AP205+AL206</f>
        <v>2.220446049250313e-16</v>
      </c>
      <c r="AQ206" s="5">
        <f>AN206+AO206+AP206</f>
        <v>1.9679010709657374</v>
      </c>
      <c r="AR206" s="5">
        <f>S206-AQ206</f>
        <v>-6.661338147750939e-16</v>
      </c>
      <c r="AS206" s="5">
        <f>AS205</f>
        <v>0</v>
      </c>
      <c r="AT206" s="5">
        <f>AT205+AI206</f>
        <v>0</v>
      </c>
      <c r="AU206" s="5">
        <f>AU205+AM206</f>
        <v>0</v>
      </c>
      <c r="AV206" s="5">
        <f>AS206+AT206+AU206</f>
        <v>0</v>
      </c>
      <c r="AW206" s="5">
        <f>U206-AV206</f>
        <v>0</v>
      </c>
      <c r="AX206" s="4">
        <v>1.947699574071531</v>
      </c>
      <c r="AY206" s="4">
        <v>1.967901070965737</v>
      </c>
      <c r="AZ206" s="5">
        <f>S206-AY206</f>
        <v>-2.220446049250313e-16</v>
      </c>
      <c r="BA206" s="4">
        <v>0</v>
      </c>
      <c r="BB206" s="4">
        <v>0</v>
      </c>
      <c r="BC206" s="5">
        <f>U206-BB206</f>
        <v>0</v>
      </c>
      <c r="BD206" s="7">
        <f>SUM(IF(BP206="direct",CC206/F206,0),IF(CR206="direct",DE206/F206,0),IF(DT206="direct",EG206/F206,0),IF(EV206="direct",FI206/F206,0),IF(FX206="direct",GK206/F206,0),IF(GZ206="direct",HM206/F206,0),IF(IB206="direct",IO206/F206,0),IF(JD206="direct",JQ206/F206,0),IF(KF206="direct",KS206/F206,0),IF(LH206="direct",LU206/F206,0))</f>
        <v>0.010378827192527255</v>
      </c>
      <c r="BE206" s="7">
        <f>-SUM(IF(BP206="direct",CD206/F206,0),IF(CR206="direct",DF206/F206,0),IF(DT206="direct",EH206/F206,0),IF(EV206="direct",FJ206/F206,0),IF(FX206="direct",GL206/F206,0),IF(GZ206="direct",HN206/F206,0),IF(IB206="direct",IP206/F206,0),IF(JD206="direct",JR206/F206,0),IF(KF206="direct",KT206/F206,0),IF(LH206="direct",LV206/F206,0))</f>
        <v>-0.000006849315068493151</v>
      </c>
      <c r="BF206" s="7">
        <f>BD206+BE206</f>
        <v>0.010371977877458761</v>
      </c>
      <c r="BG206" s="7">
        <f>BF206-SUM(IF(BP206="direct",CP206,0),IF(CR206="direct",DR206,0),IF(DT206="direct",ET206,0),IF(EV206="direct",FV206,0),IF(FX206="direct",GX206,0),IF(GZ206="direct",HZ206,0),IF(IB206="direct",JB206,0),IF(JD206="direct",KD206,0),IF(KF206="direct",LF206,0),IF(LH206="direct",MH206,0))</f>
        <v>-1.0928757898653885e-16</v>
      </c>
      <c r="BH206" s="7">
        <f>SUM(IF(BP206="treasury",CP206,0),IF(CR206="treasury",DR206,0),IF(DT206="treasury",ET206,0),IF(EV206="treasury",FV206,0),IF(FX206="treasury",GX206,0),IF(GZ206="treasury",HZ206,0),IF(IB206="treasury",JB206,0),IF(JD206="treasury",KD206,0),IF(KF206="treasury",LF206,0),IF(LH206="treasury",MH206,0))</f>
        <v>0</v>
      </c>
      <c r="BI206" s="7">
        <f>SUM(IF(BP206="future",CP206,0),IF(CR206="future",DR206,0),IF(DT206="future",ET206,0),IF(EV206="future",FV206,0),IF(FX206="future",GX206,0),IF(GZ206="future",HZ206,0),IF(IB206="future",JB206,0),IF(JD206="future",KD206,0),IF(KF206="future",LF206,0),IF(LH206="future",MH206,0))</f>
        <v>0</v>
      </c>
      <c r="BJ206" s="7">
        <f>SUM(IF(BP206="cash",CP206,0),IF(CR206="cash",DR206,0),IF(DT206="cash",ET206,0),IF(EV206="cash",FV206,0),IF(FX206="cash",GX206,0),IF(GZ206="cash",HZ206,0),IF(IB206="cash",JB206,0),IF(JD206="cash",KD206,0),IF(KF206="cash",LF206,0),IF(LH206="cash",MH206,0))</f>
        <v>0</v>
      </c>
      <c r="BK206" s="7">
        <f>SUM(BF206,BH206,BI206,BJ206)</f>
        <v>0.01037197787745887</v>
      </c>
      <c r="BL206" s="7">
        <f>G206-BK206</f>
        <v>-1.734723475976807e-18</v>
      </c>
      <c r="BM206" s="5">
        <f>MAX(ABS(CG206),ABS(DI206),ABS(EK206),ABS(FM206),ABS(GO206),ABS(HQ206),ABS(IS206),ABS(JU206),ABS(KW206),ABS(LY206))</f>
        <v>2.10262376628724e-16</v>
      </c>
      <c r="BN206" s="9">
        <f>COUNTA(BO206,CQ206,DS206,EU206,FW206,GY206,IA206,JC206,KE206,LG206)</f>
        <v>3</v>
      </c>
      <c r="BO206" t="inlineStr">
        <is>
          <t xml:space="preserve">Direct commodity holding</t>
        </is>
      </c>
      <c r="BP206" t="inlineStr">
        <is>
          <t xml:space="preserve">direct</t>
        </is>
      </c>
      <c r="BQ206" t="inlineStr">
        <is>
          <t xml:space="preserve">lease</t>
        </is>
      </c>
      <c r="BR206" t="inlineStr">
        <is>
          <t xml:space="preserve">long</t>
        </is>
      </c>
      <c r="BS206"/>
      <c r="BT206" s="4">
        <v>1.927</v>
      </c>
      <c r="BU206" s="4">
        <v>1.947</v>
      </c>
      <c r="BV206" s="6">
        <v>0.0025</v>
      </c>
      <c r="BW206" s="4">
        <v>1.010741865112367</v>
      </c>
      <c r="BX206" s="5">
        <f>IF(BP206="direct",IFERROR(CD206/BU206,0),0)</f>
        <v>0.000006851776087101094</v>
      </c>
      <c r="BY206" s="5">
        <f>IF(BP206="direct",BW206-BX206,IF(BP206="cash",CI206,BW206))</f>
        <v>1.0107350133362798</v>
      </c>
      <c r="BZ206" s="6">
        <v>1</v>
      </c>
      <c r="CA206" s="4">
        <v>1.947699574071531</v>
      </c>
      <c r="CB206" s="4">
        <v>1.947699574071531</v>
      </c>
      <c r="CC206" s="5">
        <f>IF(BP206="direct",BW206*(BU206-BT206),CF206)</f>
        <v>0.02021483730224736</v>
      </c>
      <c r="CD206" s="5">
        <f>IF(BP206="direct",CB206*BV206*C206/365,0)</f>
        <v>0.00001334040804158583</v>
      </c>
      <c r="CE206" s="5">
        <f>CC206-CD206</f>
        <v>0.020201496894205983</v>
      </c>
      <c r="CF206" s="4">
        <v>0.020201496894205983</v>
      </c>
      <c r="CG206" s="5">
        <f>CF206-CE206</f>
        <v>2.10262376628724e-16</v>
      </c>
      <c r="CH206" s="4">
        <v>0</v>
      </c>
      <c r="CI206" s="4">
        <v>1.9679010709657367</v>
      </c>
      <c r="CJ206" s="4">
        <v>1.927</v>
      </c>
      <c r="CK206" s="4">
        <v>1.947</v>
      </c>
      <c r="CL206" s="6"/>
      <c r="CM206" s="6"/>
      <c r="CN206" s="6"/>
      <c r="CO206" s="9"/>
      <c r="CP206" s="7">
        <f>IFERROR(CE206/F206,0)</f>
        <v>0.01037197787745887</v>
      </c>
      <c r="CQ206" t="inlineStr">
        <is>
          <t xml:space="preserve">Lease cash / margin / financing</t>
        </is>
      </c>
      <c r="CR206" t="inlineStr">
        <is>
          <t xml:space="preserve">cash</t>
        </is>
      </c>
      <c r="CS206" t="inlineStr">
        <is>
          <t xml:space="preserve">lease</t>
        </is>
      </c>
      <c r="CT206" t="inlineStr">
        <is>
          <t xml:space="preserve">cash</t>
        </is>
      </c>
      <c r="CU206"/>
      <c r="CV206" s="4">
        <v>1</v>
      </c>
      <c r="CW206" s="4">
        <v>1</v>
      </c>
      <c r="CX206" s="6"/>
      <c r="CY206" s="4">
        <v>0</v>
      </c>
      <c r="CZ206" s="5">
        <f>IF(CR206="direct",IFERROR(DF206/CW206,0),0)</f>
        <v>0</v>
      </c>
      <c r="DA206" s="5">
        <f>IF(CR206="direct",CY206-CZ206,IF(CR206="cash",DK206,CY206))</f>
        <v>0</v>
      </c>
      <c r="DB206" s="6"/>
      <c r="DC206" s="4">
        <v>0</v>
      </c>
      <c r="DD206" s="4">
        <v>0</v>
      </c>
      <c r="DE206" s="5">
        <f>IF(CR206="direct",CY206*(CW206-CV206),DH206)</f>
        <v>0</v>
      </c>
      <c r="DF206" s="5">
        <f>IF(CR206="direct",DD206*CX206*C206/365,0)</f>
        <v>0</v>
      </c>
      <c r="DG206" s="5">
        <f>DE206-DF206</f>
        <v>0</v>
      </c>
      <c r="DH206" s="4">
        <v>0</v>
      </c>
      <c r="DI206" s="5">
        <f>DH206-DG206</f>
        <v>0</v>
      </c>
      <c r="DJ206" s="4">
        <v>0</v>
      </c>
      <c r="DK206" s="4">
        <v>0</v>
      </c>
      <c r="DL206" s="4">
        <v>1.927</v>
      </c>
      <c r="DM206" s="4">
        <v>1.947</v>
      </c>
      <c r="DN206" s="6"/>
      <c r="DO206" s="6"/>
      <c r="DP206" s="6"/>
      <c r="DQ206" s="9"/>
      <c r="DR206" s="7">
        <f>IFERROR(DG206/F206,0)</f>
        <v>0</v>
      </c>
      <c r="DS206" t="inlineStr">
        <is>
          <t xml:space="preserve">Keep cash / margin / financing</t>
        </is>
      </c>
      <c r="DT206" t="inlineStr">
        <is>
          <t xml:space="preserve">cash</t>
        </is>
      </c>
      <c r="DU206" t="inlineStr">
        <is>
          <t xml:space="preserve">keep</t>
        </is>
      </c>
      <c r="DV206" t="inlineStr">
        <is>
          <t xml:space="preserve">cash</t>
        </is>
      </c>
      <c r="DW206"/>
      <c r="DX206" s="4">
        <v>1</v>
      </c>
      <c r="DY206" s="4">
        <v>1</v>
      </c>
      <c r="DZ206" s="6"/>
      <c r="EA206" s="4">
        <v>0</v>
      </c>
      <c r="EB206" s="5">
        <f>IF(DT206="direct",IFERROR(EH206/DY206,0),0)</f>
        <v>0</v>
      </c>
      <c r="EC206" s="5">
        <f>IF(DT206="direct",EA206-EB206,IF(DT206="cash",EM206,EA206))</f>
        <v>0</v>
      </c>
      <c r="ED206" s="6"/>
      <c r="EE206" s="4">
        <v>0</v>
      </c>
      <c r="EF206" s="4">
        <v>0</v>
      </c>
      <c r="EG206" s="5">
        <f>IF(DT206="direct",EA206*(DY206-DX206),EJ206)</f>
        <v>0</v>
      </c>
      <c r="EH206" s="5">
        <f>IF(DT206="direct",EF206*DZ206*C206/365,0)</f>
        <v>0</v>
      </c>
      <c r="EI206" s="5">
        <f>EG206-EH206</f>
        <v>0</v>
      </c>
      <c r="EJ206" s="4">
        <v>0</v>
      </c>
      <c r="EK206" s="5">
        <f>EJ206-EI206</f>
        <v>0</v>
      </c>
      <c r="EL206" s="4">
        <v>0</v>
      </c>
      <c r="EM206" s="4">
        <v>0</v>
      </c>
      <c r="EN206" s="4">
        <v>1.927</v>
      </c>
      <c r="EO206" s="4">
        <v>1.947</v>
      </c>
      <c r="EP206" s="6"/>
      <c r="EQ206" s="6"/>
      <c r="ER206" s="6"/>
      <c r="ES206" s="9"/>
      <c r="ET206" s="7">
        <f>IFERROR(EI206/F206,0)</f>
        <v>0</v>
      </c>
      <c r="EU206"/>
      <c r="EV206"/>
      <c r="EW206"/>
      <c r="EX206"/>
      <c r="EY206"/>
      <c r="EZ206" s="4"/>
      <c r="FA206" s="4"/>
      <c r="FB206" s="6"/>
      <c r="FC206" s="4"/>
      <c r="FD206" s="5">
        <v>0</v>
      </c>
      <c r="FE206" s="5"/>
      <c r="FF206" s="6"/>
      <c r="FG206" s="4"/>
      <c r="FH206" s="4"/>
      <c r="FI206" s="5">
        <v>0</v>
      </c>
      <c r="FJ206" s="5">
        <v>0</v>
      </c>
      <c r="FK206" s="5"/>
      <c r="FL206" s="4"/>
      <c r="FM206" s="5">
        <v>0</v>
      </c>
      <c r="FN206" s="4"/>
      <c r="FO206" s="4"/>
      <c r="FP206" s="4"/>
      <c r="FQ206" s="4"/>
      <c r="FR206" s="6"/>
      <c r="FS206" s="6"/>
      <c r="FT206" s="6"/>
      <c r="FU206" s="9"/>
      <c r="FV206"/>
      <c r="FW206"/>
      <c r="FX206"/>
      <c r="FY206"/>
      <c r="FZ206"/>
      <c r="GA206"/>
      <c r="GB206" s="4"/>
      <c r="GC206" s="4"/>
      <c r="GD206" s="6"/>
      <c r="GE206" s="4"/>
      <c r="GF206" s="5">
        <v>0</v>
      </c>
      <c r="GG206" s="5"/>
      <c r="GH206" s="6"/>
      <c r="GI206" s="4"/>
      <c r="GJ206" s="4"/>
      <c r="GK206" s="5">
        <v>0</v>
      </c>
      <c r="GL206" s="5">
        <v>0</v>
      </c>
      <c r="GM206" s="5"/>
      <c r="GN206" s="4"/>
      <c r="GO206" s="5">
        <v>0</v>
      </c>
      <c r="GP206" s="4"/>
      <c r="GQ206" s="4"/>
      <c r="GR206" s="4"/>
      <c r="GS206" s="4"/>
      <c r="GT206" s="6"/>
      <c r="GU206" s="6"/>
      <c r="GV206" s="6"/>
      <c r="GW206" s="9"/>
      <c r="GX206"/>
      <c r="GY206"/>
      <c r="GZ206"/>
      <c r="HA206"/>
      <c r="HB206"/>
      <c r="HC206"/>
      <c r="HD206" s="4"/>
      <c r="HE206" s="4"/>
      <c r="HF206" s="6"/>
      <c r="HG206" s="4"/>
      <c r="HH206" s="5">
        <v>0</v>
      </c>
      <c r="HI206" s="5"/>
      <c r="HJ206" s="6"/>
      <c r="HK206" s="4"/>
      <c r="HL206" s="4"/>
      <c r="HM206" s="5">
        <v>0</v>
      </c>
      <c r="HN206" s="5">
        <v>0</v>
      </c>
      <c r="HO206" s="5"/>
      <c r="HP206" s="4"/>
      <c r="HQ206" s="5">
        <v>0</v>
      </c>
      <c r="HR206" s="4"/>
      <c r="HS206" s="4"/>
      <c r="HT206" s="4"/>
      <c r="HU206" s="4"/>
      <c r="HV206" s="6"/>
      <c r="HW206" s="6"/>
      <c r="HX206" s="6"/>
      <c r="HY206" s="9"/>
      <c r="HZ206"/>
      <c r="IA206"/>
      <c r="IB206"/>
      <c r="IC206"/>
      <c r="ID206"/>
      <c r="IE206"/>
      <c r="IF206" s="4"/>
      <c r="IG206" s="4"/>
      <c r="IH206" s="6"/>
      <c r="II206" s="4"/>
      <c r="IJ206" s="5">
        <v>0</v>
      </c>
      <c r="IK206" s="5"/>
      <c r="IL206" s="6"/>
      <c r="IM206" s="4"/>
      <c r="IN206" s="4"/>
      <c r="IO206" s="5">
        <v>0</v>
      </c>
      <c r="IP206" s="5">
        <v>0</v>
      </c>
      <c r="IQ206" s="5"/>
      <c r="IR206" s="4"/>
      <c r="IS206" s="5">
        <v>0</v>
      </c>
      <c r="IT206" s="4"/>
      <c r="IU206" s="4"/>
      <c r="IV206" s="4"/>
      <c r="IW206" s="4"/>
      <c r="IX206" s="6"/>
      <c r="IY206" s="6"/>
      <c r="IZ206" s="6"/>
      <c r="JA206" s="9"/>
      <c r="JB206"/>
      <c r="JC206"/>
      <c r="JD206"/>
      <c r="JE206"/>
      <c r="JF206"/>
      <c r="JG206"/>
      <c r="JH206" s="4"/>
      <c r="JI206" s="4"/>
      <c r="JJ206" s="6"/>
      <c r="JK206" s="4"/>
      <c r="JL206" s="5">
        <v>0</v>
      </c>
      <c r="JM206" s="5"/>
      <c r="JN206" s="6"/>
      <c r="JO206" s="4"/>
      <c r="JP206" s="4"/>
      <c r="JQ206" s="5">
        <v>0</v>
      </c>
      <c r="JR206" s="5">
        <v>0</v>
      </c>
      <c r="JS206" s="5"/>
      <c r="JT206" s="4"/>
      <c r="JU206" s="5">
        <v>0</v>
      </c>
      <c r="JV206" s="4"/>
      <c r="JW206" s="4"/>
      <c r="JX206" s="4"/>
      <c r="JY206" s="4"/>
      <c r="JZ206" s="6"/>
      <c r="KA206" s="6"/>
      <c r="KB206" s="6"/>
      <c r="KC206" s="9"/>
      <c r="KD206"/>
      <c r="KE206"/>
      <c r="KF206"/>
      <c r="KG206"/>
      <c r="KH206"/>
      <c r="KI206"/>
      <c r="KJ206" s="4"/>
      <c r="KK206" s="4"/>
      <c r="KL206" s="6"/>
      <c r="KM206" s="4"/>
      <c r="KN206" s="5">
        <v>0</v>
      </c>
      <c r="KO206" s="5"/>
      <c r="KP206" s="6"/>
      <c r="KQ206" s="4"/>
      <c r="KR206" s="4"/>
      <c r="KS206" s="5">
        <v>0</v>
      </c>
      <c r="KT206" s="5">
        <v>0</v>
      </c>
      <c r="KU206" s="5"/>
      <c r="KV206" s="4"/>
      <c r="KW206" s="5">
        <v>0</v>
      </c>
      <c r="KX206" s="4"/>
      <c r="KY206" s="4"/>
      <c r="KZ206" s="4"/>
      <c r="LA206" s="4"/>
      <c r="LB206" s="6"/>
      <c r="LC206" s="6"/>
      <c r="LD206" s="6"/>
      <c r="LE206" s="9"/>
      <c r="LF206"/>
      <c r="LG206"/>
      <c r="LH206"/>
      <c r="LI206"/>
      <c r="LJ206"/>
      <c r="LK206"/>
      <c r="LL206" s="4"/>
      <c r="LM206" s="4"/>
      <c r="LN206" s="6"/>
      <c r="LO206" s="4"/>
      <c r="LP206" s="5">
        <v>0</v>
      </c>
      <c r="LQ206" s="5"/>
      <c r="LR206" s="6"/>
      <c r="LS206" s="4"/>
      <c r="LT206" s="4"/>
      <c r="LU206" s="5">
        <v>0</v>
      </c>
      <c r="LV206" s="5">
        <v>0</v>
      </c>
      <c r="LW206" s="5"/>
      <c r="LX206" s="4"/>
      <c r="LY206" s="5">
        <v>0</v>
      </c>
      <c r="LZ206" s="4"/>
      <c r="MA206" s="4"/>
      <c r="MB206" s="4"/>
      <c r="MC206" s="4"/>
      <c r="MD206" s="6"/>
      <c r="ME206" s="6"/>
      <c r="MF206" s="6"/>
      <c r="MG206" s="9"/>
      <c r="MH206"/>
    </row>
    <row r="207">
      <c r="A207" s="8">
        <v>25507</v>
      </c>
      <c r="B207" s="8">
        <v>25510</v>
      </c>
      <c r="C207" s="9">
        <f>B207-A207</f>
        <v>3</v>
      </c>
      <c r="D207" s="8">
        <v>25507</v>
      </c>
      <c r="E207" t="inlineStr">
        <is>
          <t xml:space="preserve">neutral</t>
        </is>
      </c>
      <c r="F207" s="4">
        <v>1.9679010709657372</v>
      </c>
      <c r="G207" s="6">
        <v>0.02514637552680274</v>
      </c>
      <c r="H207" s="7">
        <f>SUM(CP207,DR207,ET207,FV207,GX207,HZ207,JB207,KD207,LF207,MH207)</f>
        <v>0.02514637552680274</v>
      </c>
      <c r="I207" s="7">
        <f>G207-H207</f>
        <v>0</v>
      </c>
      <c r="J207" s="5">
        <f>F207*(1+H207)</f>
        <v>2.0173866502958386</v>
      </c>
      <c r="K207" s="4">
        <v>2.0173866502958386</v>
      </c>
      <c r="L207" s="5">
        <f>K207-J207</f>
        <v>0</v>
      </c>
      <c r="M207" s="4">
        <v>1.947</v>
      </c>
      <c r="N207" s="4">
        <v>1.996</v>
      </c>
      <c r="O207" s="5">
        <f>M207/$M$3</f>
        <v>0.9943820224719102</v>
      </c>
      <c r="P207" s="5">
        <f>N207/$M$3</f>
        <v>1.0194075587334015</v>
      </c>
      <c r="Q207" s="7">
        <f>IFERROR(N207/M207-1,0)</f>
        <v>0.025166923472008218</v>
      </c>
      <c r="R207" s="5">
        <f>SUM(IF(BQ207="lease",CB207,0),IF(CS207="lease",DD207,0),IF(DU207="lease",EF207,0),IF(EW207="lease",FH207,0),IF(FY207="lease",GJ207,0),IF(HA207="lease",HL207,0),IF(IC207="lease",IN207,0),IF(JE207="lease",JP207,0),IF(KG207="lease",KR207,0),IF(LI207="lease",LT207,0))</f>
        <v>1.967901070965737</v>
      </c>
      <c r="S207" s="5">
        <f>SUM(IF(BQ207="lease",CI207,0),IF(CS207="lease",DK207,0),IF(DU207="lease",EM207,0),IF(EW207="lease",FO207,0),IF(FY207="lease",GQ207,0),IF(HA207="lease",HS207,0),IF(IC207="lease",IU207,0),IF(JE207="lease",JW207,0),IF(KG207="lease",KY207,0),IF(LI207="lease",MA207,0))</f>
        <v>2.0173866502958386</v>
      </c>
      <c r="T207" s="5">
        <f>SUM(IF(BQ207="keep",CB207,0),IF(CS207="keep",DD207,0),IF(DU207="keep",EF207,0),IF(EW207="keep",FH207,0),IF(FY207="keep",GJ207,0),IF(HA207="keep",HL207,0),IF(IC207="keep",IN207,0),IF(JE207="keep",JP207,0),IF(KG207="keep",KR207,0),IF(LI207="keep",LT207,0))</f>
        <v>0</v>
      </c>
      <c r="U207" s="5">
        <f>SUM(IF(BQ207="keep",CI207,0),IF(CS207="keep",DK207,0),IF(DU207="keep",EM207,0),IF(EW207="keep",FO207,0),IF(FY207="keep",GQ207,0),IF(HA207="keep",HS207,0),IF(IC207="keep",IU207,0),IF(JE207="keep",JW207,0),IF(KG207="keep",KY207,0),IF(LI207="keep",MA207,0))</f>
        <v>0</v>
      </c>
      <c r="V207" s="5">
        <f>R207/O207</f>
        <v>1.979019156112436</v>
      </c>
      <c r="W207" s="5">
        <f>S207/P207</f>
        <v>1.9789794896188637</v>
      </c>
      <c r="X207" s="5">
        <f>T207/O207</f>
        <v>0</v>
      </c>
      <c r="Y207" s="5">
        <f>U207/P207</f>
        <v>0</v>
      </c>
      <c r="Z207" s="5">
        <f>V207+X207</f>
        <v>1.979019156112436</v>
      </c>
      <c r="AA207" s="7">
        <f>IFERROR(W207/V207-1,0)</f>
        <v>-0.00002004351168083396</v>
      </c>
      <c r="AB207" s="7">
        <f>IFERROR((W207-V207)/Z207,0)</f>
        <v>-0.000020043511680883795</v>
      </c>
      <c r="AC207" s="7">
        <f>IFERROR(Y207/X207-1,0)</f>
        <v>0</v>
      </c>
      <c r="AD207" s="7">
        <f>IFERROR((Y207-X207)/Z207,0)</f>
        <v>0</v>
      </c>
      <c r="AE207" s="7">
        <f>AB207+AD207</f>
        <v>-0.000020043511680883795</v>
      </c>
      <c r="AF207" s="7">
        <f>(1+Q207)*(1+AE207)-1</f>
        <v>0.025146375526802878</v>
      </c>
      <c r="AG207" s="7">
        <f>G207-AF207</f>
        <v>-1.3877787807814457e-16</v>
      </c>
      <c r="AH207" s="5">
        <f>SUM(IF(BQ207="lease",CE207,0),IF(CS207="lease",DG207,0),IF(DU207="lease",EI207,0),IF(EW207="lease",FK207,0),IF(FY207="lease",GM207,0),IF(HA207="lease",HO207,0),IF(IC207="lease",IQ207,0),IF(JE207="lease",JS207,0),IF(KG207="lease",KU207,0),IF(LI207="lease",LW207,0))</f>
        <v>0.04948557933010171</v>
      </c>
      <c r="AI207" s="5">
        <f>SUM(IF(BQ207="keep",CE207,0),IF(CS207="keep",DG207,0),IF(DU207="keep",EI207,0),IF(EW207="keep",FK207,0),IF(FY207="keep",GM207,0),IF(HA207="keep",HO207,0),IF(IC207="keep",IQ207,0),IF(JE207="keep",JS207,0),IF(KG207="keep",KU207,0),IF(LI207="keep",LW207,0))</f>
        <v>0</v>
      </c>
      <c r="AJ207" s="5">
        <f>SUM(IF(BQ207="lease",CH207,0),IF(CS207="lease",DJ207,0),IF(DU207="lease",EL207,0),IF(EW207="lease",FN207,0),IF(FY207="lease",GP207,0),IF(HA207="lease",HR207,0),IF(IC207="lease",IT207,0),IF(JE207="lease",JV207,0),IF(KG207="lease",KX207,0),IF(LI207="lease",LZ207,0))</f>
        <v>0</v>
      </c>
      <c r="AK207" s="5">
        <f>SUM(IF(BQ207="keep",CH207,0),IF(CS207="keep",DJ207,0),IF(DU207="keep",EL207,0),IF(EW207="keep",FN207,0),IF(FY207="keep",GP207,0),IF(HA207="keep",HR207,0),IF(IC207="keep",IT207,0),IF(JE207="keep",JV207,0),IF(KG207="keep",KX207,0),IF(LI207="keep",LZ207,0))</f>
        <v>0</v>
      </c>
      <c r="AL207" s="5">
        <f>R207-S206</f>
        <v>2.220446049250313e-16</v>
      </c>
      <c r="AM207" s="5">
        <f>T207-U206</f>
        <v>0</v>
      </c>
      <c r="AN207" s="5">
        <f>AN206</f>
        <v>1</v>
      </c>
      <c r="AO207" s="5">
        <f>AO206+AH207</f>
        <v>1.0173866502958389</v>
      </c>
      <c r="AP207" s="5">
        <f>AP206+AL207</f>
        <v>4.440892098500626e-16</v>
      </c>
      <c r="AQ207" s="5">
        <f>AN207+AO207+AP207</f>
        <v>2.017386650295839</v>
      </c>
      <c r="AR207" s="5">
        <f>S207-AQ207</f>
        <v>-4.440892098500626e-16</v>
      </c>
      <c r="AS207" s="5">
        <f>AS206</f>
        <v>0</v>
      </c>
      <c r="AT207" s="5">
        <f>AT206+AI207</f>
        <v>0</v>
      </c>
      <c r="AU207" s="5">
        <f>AU206+AM207</f>
        <v>0</v>
      </c>
      <c r="AV207" s="5">
        <f>AS207+AT207+AU207</f>
        <v>0</v>
      </c>
      <c r="AW207" s="5">
        <f>U207-AV207</f>
        <v>0</v>
      </c>
      <c r="AX207" s="4">
        <v>1.967901070965737</v>
      </c>
      <c r="AY207" s="4">
        <v>2.0173866502958386</v>
      </c>
      <c r="AZ207" s="5">
        <f>S207-AY207</f>
        <v>0</v>
      </c>
      <c r="BA207" s="4">
        <v>0</v>
      </c>
      <c r="BB207" s="4">
        <v>0</v>
      </c>
      <c r="BC207" s="5">
        <f>U207-BB207</f>
        <v>0</v>
      </c>
      <c r="BD207" s="7">
        <f>SUM(IF(BP207="direct",CC207/F207,0),IF(CR207="direct",DE207/F207,0),IF(DT207="direct",EG207/F207,0),IF(EV207="direct",FI207/F207,0),IF(FX207="direct",GK207/F207,0),IF(GZ207="direct",HM207/F207,0),IF(IB207="direct",IO207/F207,0),IF(JD207="direct",JQ207/F207,0),IF(KF207="direct",KS207/F207,0),IF(LH207="direct",LU207/F207,0))</f>
        <v>0.025166923472008183</v>
      </c>
      <c r="BE207" s="7">
        <f>-SUM(IF(BP207="direct",CD207/F207,0),IF(CR207="direct",DF207/F207,0),IF(DT207="direct",EH207/F207,0),IF(EV207="direct",FJ207/F207,0),IF(FX207="direct",GL207/F207,0),IF(GZ207="direct",HN207/F207,0),IF(IB207="direct",IP207/F207,0),IF(JD207="direct",JR207/F207,0),IF(KF207="direct",KT207/F207,0),IF(LH207="direct",LV207/F207,0))</f>
        <v>-0.000020547945205479453</v>
      </c>
      <c r="BF207" s="7">
        <f>BD207+BE207</f>
        <v>0.025146375526802704</v>
      </c>
      <c r="BG207" s="7">
        <f>BF207-SUM(IF(BP207="direct",CP207,0),IF(CR207="direct",DR207,0),IF(DT207="direct",ET207,0),IF(EV207="direct",FV207,0),IF(FX207="direct",GX207,0),IF(GZ207="direct",HZ207,0),IF(IB207="direct",JB207,0),IF(JD207="direct",KD207,0),IF(KF207="direct",LF207,0),IF(LH207="direct",MH207,0))</f>
        <v>-3.469446951953614e-17</v>
      </c>
      <c r="BH207" s="7">
        <f>SUM(IF(BP207="treasury",CP207,0),IF(CR207="treasury",DR207,0),IF(DT207="treasury",ET207,0),IF(EV207="treasury",FV207,0),IF(FX207="treasury",GX207,0),IF(GZ207="treasury",HZ207,0),IF(IB207="treasury",JB207,0),IF(JD207="treasury",KD207,0),IF(KF207="treasury",LF207,0),IF(LH207="treasury",MH207,0))</f>
        <v>0</v>
      </c>
      <c r="BI207" s="7">
        <f>SUM(IF(BP207="future",CP207,0),IF(CR207="future",DR207,0),IF(DT207="future",ET207,0),IF(EV207="future",FV207,0),IF(FX207="future",GX207,0),IF(GZ207="future",HZ207,0),IF(IB207="future",JB207,0),IF(JD207="future",KD207,0),IF(KF207="future",LF207,0),IF(LH207="future",MH207,0))</f>
        <v>0</v>
      </c>
      <c r="BJ207" s="7">
        <f>SUM(IF(BP207="cash",CP207,0),IF(CR207="cash",DR207,0),IF(DT207="cash",ET207,0),IF(EV207="cash",FV207,0),IF(FX207="cash",GX207,0),IF(GZ207="cash",HZ207,0),IF(IB207="cash",JB207,0),IF(JD207="cash",KD207,0),IF(KF207="cash",LF207,0),IF(LH207="cash",MH207,0))</f>
        <v>0</v>
      </c>
      <c r="BK207" s="7">
        <f>SUM(BF207,BH207,BI207,BJ207)</f>
        <v>0.02514637552680274</v>
      </c>
      <c r="BL207" s="7">
        <f>G207-BK207</f>
        <v>0</v>
      </c>
      <c r="BM207" s="5">
        <f>MAX(ABS(CG207),ABS(DI207),ABS(EK207),ABS(FM207),ABS(GO207),ABS(HQ207),ABS(IS207),ABS(JU207),ABS(KW207),ABS(LY207))</f>
        <v>6.63599492196909e-17</v>
      </c>
      <c r="BN207" s="9">
        <f>COUNTA(BO207,CQ207,DS207,EU207,FW207,GY207,IA207,JC207,KE207,LG207)</f>
        <v>3</v>
      </c>
      <c r="BO207" t="inlineStr">
        <is>
          <t xml:space="preserve">Direct commodity holding</t>
        </is>
      </c>
      <c r="BP207" t="inlineStr">
        <is>
          <t xml:space="preserve">direct</t>
        </is>
      </c>
      <c r="BQ207" t="inlineStr">
        <is>
          <t xml:space="preserve">lease</t>
        </is>
      </c>
      <c r="BR207" t="inlineStr">
        <is>
          <t xml:space="preserve">long</t>
        </is>
      </c>
      <c r="BS207"/>
      <c r="BT207" s="4">
        <v>1.947</v>
      </c>
      <c r="BU207" s="4">
        <v>1.996</v>
      </c>
      <c r="BV207" s="6">
        <v>0.0025</v>
      </c>
      <c r="BW207" s="4">
        <v>1.01073501333628</v>
      </c>
      <c r="BX207" s="5">
        <f>IF(BP207="direct",IFERROR(CD207/BU207,0),0)</f>
        <v>0.00002025867904609634</v>
      </c>
      <c r="BY207" s="5">
        <f>IF(BP207="direct",BW207-BX207,IF(BP207="cash",CI207,BW207))</f>
        <v>1.010714754657234</v>
      </c>
      <c r="BZ207" s="6">
        <v>1</v>
      </c>
      <c r="CA207" s="4">
        <v>1.9679010709657372</v>
      </c>
      <c r="CB207" s="4">
        <v>1.9679010709657372</v>
      </c>
      <c r="CC207" s="5">
        <f>IF(BP207="direct",BW207*(BU207-BT207),CF207)</f>
        <v>0.049526015653477654</v>
      </c>
      <c r="CD207" s="5">
        <f>IF(BP207="direct",CB207*BV207*C207/365,0)</f>
        <v>0.0000404363233760083</v>
      </c>
      <c r="CE207" s="5">
        <f>CC207-CD207</f>
        <v>0.04948557933010171</v>
      </c>
      <c r="CF207" s="4">
        <v>0.04948557933010171</v>
      </c>
      <c r="CG207" s="5">
        <f>CF207-CE207</f>
        <v>6.63599492196909e-17</v>
      </c>
      <c r="CH207" s="4">
        <v>0</v>
      </c>
      <c r="CI207" s="4">
        <v>2.017386650295839</v>
      </c>
      <c r="CJ207" s="4">
        <v>1.947</v>
      </c>
      <c r="CK207" s="4">
        <v>1.996</v>
      </c>
      <c r="CL207" s="6"/>
      <c r="CM207" s="6"/>
      <c r="CN207" s="6"/>
      <c r="CO207" s="9"/>
      <c r="CP207" s="7">
        <f>IFERROR(CE207/F207,0)</f>
        <v>0.02514637552680274</v>
      </c>
      <c r="CQ207" t="inlineStr">
        <is>
          <t xml:space="preserve">Lease cash / margin / financing</t>
        </is>
      </c>
      <c r="CR207" t="inlineStr">
        <is>
          <t xml:space="preserve">cash</t>
        </is>
      </c>
      <c r="CS207" t="inlineStr">
        <is>
          <t xml:space="preserve">lease</t>
        </is>
      </c>
      <c r="CT207" t="inlineStr">
        <is>
          <t xml:space="preserve">cash</t>
        </is>
      </c>
      <c r="CU207"/>
      <c r="CV207" s="4">
        <v>1</v>
      </c>
      <c r="CW207" s="4">
        <v>1</v>
      </c>
      <c r="CX207" s="6"/>
      <c r="CY207" s="4">
        <v>-2.220446049250313e-16</v>
      </c>
      <c r="CZ207" s="5">
        <f>IF(CR207="direct",IFERROR(DF207/CW207,0),0)</f>
        <v>0</v>
      </c>
      <c r="DA207" s="5">
        <f>IF(CR207="direct",CY207-CZ207,IF(CR207="cash",DK207,CY207))</f>
        <v>-2.220446049250313e-16</v>
      </c>
      <c r="DB207" s="6"/>
      <c r="DC207" s="4">
        <v>-2.220446049250313e-16</v>
      </c>
      <c r="DD207" s="4">
        <v>-2.220446049250313e-16</v>
      </c>
      <c r="DE207" s="5">
        <f>IF(CR207="direct",CY207*(CW207-CV207),DH207)</f>
        <v>0</v>
      </c>
      <c r="DF207" s="5">
        <f>IF(CR207="direct",DD207*CX207*C207/365,0)</f>
        <v>0</v>
      </c>
      <c r="DG207" s="5">
        <f>DE207-DF207</f>
        <v>0</v>
      </c>
      <c r="DH207" s="4">
        <v>0</v>
      </c>
      <c r="DI207" s="5">
        <f>DH207-DG207</f>
        <v>0</v>
      </c>
      <c r="DJ207" s="4">
        <v>0</v>
      </c>
      <c r="DK207" s="4">
        <v>-2.220446049250313e-16</v>
      </c>
      <c r="DL207" s="4">
        <v>1.947</v>
      </c>
      <c r="DM207" s="4">
        <v>1.996</v>
      </c>
      <c r="DN207" s="6"/>
      <c r="DO207" s="6"/>
      <c r="DP207" s="6"/>
      <c r="DQ207" s="9"/>
      <c r="DR207" s="7">
        <f>IFERROR(DG207/F207,0)</f>
        <v>0</v>
      </c>
      <c r="DS207" t="inlineStr">
        <is>
          <t xml:space="preserve">Keep cash / margin / financing</t>
        </is>
      </c>
      <c r="DT207" t="inlineStr">
        <is>
          <t xml:space="preserve">cash</t>
        </is>
      </c>
      <c r="DU207" t="inlineStr">
        <is>
          <t xml:space="preserve">keep</t>
        </is>
      </c>
      <c r="DV207" t="inlineStr">
        <is>
          <t xml:space="preserve">cash</t>
        </is>
      </c>
      <c r="DW207"/>
      <c r="DX207" s="4">
        <v>1</v>
      </c>
      <c r="DY207" s="4">
        <v>1</v>
      </c>
      <c r="DZ207" s="6"/>
      <c r="EA207" s="4">
        <v>0</v>
      </c>
      <c r="EB207" s="5">
        <f>IF(DT207="direct",IFERROR(EH207/DY207,0),0)</f>
        <v>0</v>
      </c>
      <c r="EC207" s="5">
        <f>IF(DT207="direct",EA207-EB207,IF(DT207="cash",EM207,EA207))</f>
        <v>0</v>
      </c>
      <c r="ED207" s="6"/>
      <c r="EE207" s="4">
        <v>0</v>
      </c>
      <c r="EF207" s="4">
        <v>0</v>
      </c>
      <c r="EG207" s="5">
        <f>IF(DT207="direct",EA207*(DY207-DX207),EJ207)</f>
        <v>0</v>
      </c>
      <c r="EH207" s="5">
        <f>IF(DT207="direct",EF207*DZ207*C207/365,0)</f>
        <v>0</v>
      </c>
      <c r="EI207" s="5">
        <f>EG207-EH207</f>
        <v>0</v>
      </c>
      <c r="EJ207" s="4">
        <v>0</v>
      </c>
      <c r="EK207" s="5">
        <f>EJ207-EI207</f>
        <v>0</v>
      </c>
      <c r="EL207" s="4">
        <v>0</v>
      </c>
      <c r="EM207" s="4">
        <v>0</v>
      </c>
      <c r="EN207" s="4">
        <v>1.947</v>
      </c>
      <c r="EO207" s="4">
        <v>1.996</v>
      </c>
      <c r="EP207" s="6"/>
      <c r="EQ207" s="6"/>
      <c r="ER207" s="6"/>
      <c r="ES207" s="9"/>
      <c r="ET207" s="7">
        <f>IFERROR(EI207/F207,0)</f>
        <v>0</v>
      </c>
      <c r="EU207"/>
      <c r="EV207"/>
      <c r="EW207"/>
      <c r="EX207"/>
      <c r="EY207"/>
      <c r="EZ207" s="4"/>
      <c r="FA207" s="4"/>
      <c r="FB207" s="6"/>
      <c r="FC207" s="4"/>
      <c r="FD207" s="5">
        <v>0</v>
      </c>
      <c r="FE207" s="5"/>
      <c r="FF207" s="6"/>
      <c r="FG207" s="4"/>
      <c r="FH207" s="4"/>
      <c r="FI207" s="5">
        <v>0</v>
      </c>
      <c r="FJ207" s="5">
        <v>0</v>
      </c>
      <c r="FK207" s="5"/>
      <c r="FL207" s="4"/>
      <c r="FM207" s="5">
        <v>0</v>
      </c>
      <c r="FN207" s="4"/>
      <c r="FO207" s="4"/>
      <c r="FP207" s="4"/>
      <c r="FQ207" s="4"/>
      <c r="FR207" s="6"/>
      <c r="FS207" s="6"/>
      <c r="FT207" s="6"/>
      <c r="FU207" s="9"/>
      <c r="FV207"/>
      <c r="FW207"/>
      <c r="FX207"/>
      <c r="FY207"/>
      <c r="FZ207"/>
      <c r="GA207"/>
      <c r="GB207" s="4"/>
      <c r="GC207" s="4"/>
      <c r="GD207" s="6"/>
      <c r="GE207" s="4"/>
      <c r="GF207" s="5">
        <v>0</v>
      </c>
      <c r="GG207" s="5"/>
      <c r="GH207" s="6"/>
      <c r="GI207" s="4"/>
      <c r="GJ207" s="4"/>
      <c r="GK207" s="5">
        <v>0</v>
      </c>
      <c r="GL207" s="5">
        <v>0</v>
      </c>
      <c r="GM207" s="5"/>
      <c r="GN207" s="4"/>
      <c r="GO207" s="5">
        <v>0</v>
      </c>
      <c r="GP207" s="4"/>
      <c r="GQ207" s="4"/>
      <c r="GR207" s="4"/>
      <c r="GS207" s="4"/>
      <c r="GT207" s="6"/>
      <c r="GU207" s="6"/>
      <c r="GV207" s="6"/>
      <c r="GW207" s="9"/>
      <c r="GX207"/>
      <c r="GY207"/>
      <c r="GZ207"/>
      <c r="HA207"/>
      <c r="HB207"/>
      <c r="HC207"/>
      <c r="HD207" s="4"/>
      <c r="HE207" s="4"/>
      <c r="HF207" s="6"/>
      <c r="HG207" s="4"/>
      <c r="HH207" s="5">
        <v>0</v>
      </c>
      <c r="HI207" s="5"/>
      <c r="HJ207" s="6"/>
      <c r="HK207" s="4"/>
      <c r="HL207" s="4"/>
      <c r="HM207" s="5">
        <v>0</v>
      </c>
      <c r="HN207" s="5">
        <v>0</v>
      </c>
      <c r="HO207" s="5"/>
      <c r="HP207" s="4"/>
      <c r="HQ207" s="5">
        <v>0</v>
      </c>
      <c r="HR207" s="4"/>
      <c r="HS207" s="4"/>
      <c r="HT207" s="4"/>
      <c r="HU207" s="4"/>
      <c r="HV207" s="6"/>
      <c r="HW207" s="6"/>
      <c r="HX207" s="6"/>
      <c r="HY207" s="9"/>
      <c r="HZ207"/>
      <c r="IA207"/>
      <c r="IB207"/>
      <c r="IC207"/>
      <c r="ID207"/>
      <c r="IE207"/>
      <c r="IF207" s="4"/>
      <c r="IG207" s="4"/>
      <c r="IH207" s="6"/>
      <c r="II207" s="4"/>
      <c r="IJ207" s="5">
        <v>0</v>
      </c>
      <c r="IK207" s="5"/>
      <c r="IL207" s="6"/>
      <c r="IM207" s="4"/>
      <c r="IN207" s="4"/>
      <c r="IO207" s="5">
        <v>0</v>
      </c>
      <c r="IP207" s="5">
        <v>0</v>
      </c>
      <c r="IQ207" s="5"/>
      <c r="IR207" s="4"/>
      <c r="IS207" s="5">
        <v>0</v>
      </c>
      <c r="IT207" s="4"/>
      <c r="IU207" s="4"/>
      <c r="IV207" s="4"/>
      <c r="IW207" s="4"/>
      <c r="IX207" s="6"/>
      <c r="IY207" s="6"/>
      <c r="IZ207" s="6"/>
      <c r="JA207" s="9"/>
      <c r="JB207"/>
      <c r="JC207"/>
      <c r="JD207"/>
      <c r="JE207"/>
      <c r="JF207"/>
      <c r="JG207"/>
      <c r="JH207" s="4"/>
      <c r="JI207" s="4"/>
      <c r="JJ207" s="6"/>
      <c r="JK207" s="4"/>
      <c r="JL207" s="5">
        <v>0</v>
      </c>
      <c r="JM207" s="5"/>
      <c r="JN207" s="6"/>
      <c r="JO207" s="4"/>
      <c r="JP207" s="4"/>
      <c r="JQ207" s="5">
        <v>0</v>
      </c>
      <c r="JR207" s="5">
        <v>0</v>
      </c>
      <c r="JS207" s="5"/>
      <c r="JT207" s="4"/>
      <c r="JU207" s="5">
        <v>0</v>
      </c>
      <c r="JV207" s="4"/>
      <c r="JW207" s="4"/>
      <c r="JX207" s="4"/>
      <c r="JY207" s="4"/>
      <c r="JZ207" s="6"/>
      <c r="KA207" s="6"/>
      <c r="KB207" s="6"/>
      <c r="KC207" s="9"/>
      <c r="KD207"/>
      <c r="KE207"/>
      <c r="KF207"/>
      <c r="KG207"/>
      <c r="KH207"/>
      <c r="KI207"/>
      <c r="KJ207" s="4"/>
      <c r="KK207" s="4"/>
      <c r="KL207" s="6"/>
      <c r="KM207" s="4"/>
      <c r="KN207" s="5">
        <v>0</v>
      </c>
      <c r="KO207" s="5"/>
      <c r="KP207" s="6"/>
      <c r="KQ207" s="4"/>
      <c r="KR207" s="4"/>
      <c r="KS207" s="5">
        <v>0</v>
      </c>
      <c r="KT207" s="5">
        <v>0</v>
      </c>
      <c r="KU207" s="5"/>
      <c r="KV207" s="4"/>
      <c r="KW207" s="5">
        <v>0</v>
      </c>
      <c r="KX207" s="4"/>
      <c r="KY207" s="4"/>
      <c r="KZ207" s="4"/>
      <c r="LA207" s="4"/>
      <c r="LB207" s="6"/>
      <c r="LC207" s="6"/>
      <c r="LD207" s="6"/>
      <c r="LE207" s="9"/>
      <c r="LF207"/>
      <c r="LG207"/>
      <c r="LH207"/>
      <c r="LI207"/>
      <c r="LJ207"/>
      <c r="LK207"/>
      <c r="LL207" s="4"/>
      <c r="LM207" s="4"/>
      <c r="LN207" s="6"/>
      <c r="LO207" s="4"/>
      <c r="LP207" s="5">
        <v>0</v>
      </c>
      <c r="LQ207" s="5"/>
      <c r="LR207" s="6"/>
      <c r="LS207" s="4"/>
      <c r="LT207" s="4"/>
      <c r="LU207" s="5">
        <v>0</v>
      </c>
      <c r="LV207" s="5">
        <v>0</v>
      </c>
      <c r="LW207" s="5"/>
      <c r="LX207" s="4"/>
      <c r="LY207" s="5">
        <v>0</v>
      </c>
      <c r="LZ207" s="4"/>
      <c r="MA207" s="4"/>
      <c r="MB207" s="4"/>
      <c r="MC207" s="4"/>
      <c r="MD207" s="6"/>
      <c r="ME207" s="6"/>
      <c r="MF207" s="6"/>
      <c r="MG207" s="9"/>
      <c r="MH207"/>
    </row>
    <row r="208">
      <c r="A208" s="8">
        <v>25510</v>
      </c>
      <c r="B208" s="8">
        <v>25512</v>
      </c>
      <c r="C208" s="9">
        <f>B208-A208</f>
        <v>2</v>
      </c>
      <c r="D208" s="8">
        <v>25510</v>
      </c>
      <c r="E208" t="inlineStr">
        <is>
          <t xml:space="preserve">positive</t>
        </is>
      </c>
      <c r="F208" s="4">
        <v>2.0173866502958386</v>
      </c>
      <c r="G208" s="6">
        <v>0.016049604724310097</v>
      </c>
      <c r="H208" s="7">
        <f>SUM(CP208,DR208,ET208,FV208,GX208,HZ208,JB208,KD208,LF208,MH208)</f>
        <v>0.016049604724310093</v>
      </c>
      <c r="I208" s="7">
        <f>G208-H208</f>
        <v>3.469446951953614e-18</v>
      </c>
      <c r="J208" s="5">
        <f>F208*(1+H208)</f>
        <v>2.049764908609187</v>
      </c>
      <c r="K208" s="4">
        <v>2.049764908609187</v>
      </c>
      <c r="L208" s="5">
        <f>K208-J208</f>
        <v>0</v>
      </c>
      <c r="M208" s="4">
        <v>1.996</v>
      </c>
      <c r="N208" s="4">
        <v>1.993</v>
      </c>
      <c r="O208" s="5">
        <f>M208/$M$3</f>
        <v>1.0194075587334015</v>
      </c>
      <c r="P208" s="5">
        <f>N208/$M$3</f>
        <v>1.0178753830439224</v>
      </c>
      <c r="Q208" s="7">
        <f>IFERROR(N208/M208-1,0)</f>
        <v>-0.0015030060120240218</v>
      </c>
      <c r="R208" s="5">
        <f>SUM(IF(BQ208="lease",CB208,0),IF(CS208="lease",DD208,0),IF(DU208="lease",EF208,0),IF(EW208="lease",FH208,0),IF(FY208="lease",GJ208,0),IF(HA208="lease",HL208,0),IF(IC208="lease",IN208,0),IF(JE208="lease",JP208,0),IF(KG208="lease",KR208,0),IF(LI208="lease",LT208,0))</f>
        <v>2.0173866502958386</v>
      </c>
      <c r="S208" s="5">
        <f>SUM(IF(BQ208="lease",CI208,0),IF(CS208="lease",DK208,0),IF(DU208="lease",EM208,0),IF(EW208="lease",FO208,0),IF(FY208="lease",GQ208,0),IF(HA208="lease",HS208,0),IF(IC208="lease",IU208,0),IF(JE208="lease",JW208,0),IF(KG208="lease",KY208,0),IF(LI208="lease",MA208,0))</f>
        <v>2.0497649086091867</v>
      </c>
      <c r="T208" s="5">
        <f>SUM(IF(BQ208="keep",CB208,0),IF(CS208="keep",DD208,0),IF(DU208="keep",EF208,0),IF(EW208="keep",FH208,0),IF(FY208="keep",GJ208,0),IF(HA208="keep",HL208,0),IF(IC208="keep",IN208,0),IF(JE208="keep",JP208,0),IF(KG208="keep",KR208,0),IF(LI208="keep",LT208,0))</f>
        <v>0</v>
      </c>
      <c r="U208" s="5">
        <f>SUM(IF(BQ208="keep",CI208,0),IF(CS208="keep",DK208,0),IF(DU208="keep",EM208,0),IF(EW208="keep",FO208,0),IF(FY208="keep",GQ208,0),IF(HA208="keep",HS208,0),IF(IC208="keep",IU208,0),IF(JE208="keep",JW208,0),IF(KG208="keep",KY208,0),IF(LI208="keep",MA208,0))</f>
        <v>0</v>
      </c>
      <c r="V208" s="5">
        <f>R208/O208</f>
        <v>1.9789794896188637</v>
      </c>
      <c r="W208" s="5">
        <f>S208/P208</f>
        <v>2.013768033646155</v>
      </c>
      <c r="X208" s="5">
        <f>T208/O208</f>
        <v>0</v>
      </c>
      <c r="Y208" s="5">
        <f>U208/P208</f>
        <v>0</v>
      </c>
      <c r="Z208" s="5">
        <f>V208+X208</f>
        <v>1.9789794896188637</v>
      </c>
      <c r="AA208" s="7">
        <f>IFERROR(W208/V208-1,0)</f>
        <v>0.017579032127306826</v>
      </c>
      <c r="AB208" s="7">
        <f>IFERROR((W208-V208)/Z208,0)</f>
        <v>0.01757903212730682</v>
      </c>
      <c r="AC208" s="7">
        <f>IFERROR(Y208/X208-1,0)</f>
        <v>0</v>
      </c>
      <c r="AD208" s="7">
        <f>IFERROR((Y208-X208)/Z208,0)</f>
        <v>0</v>
      </c>
      <c r="AE208" s="7">
        <f>AB208+AD208</f>
        <v>0.01757903212730682</v>
      </c>
      <c r="AF208" s="7">
        <f>(1+Q208)*(1+AE208)-1</f>
        <v>0.01604960472430994</v>
      </c>
      <c r="AG208" s="7">
        <f>G208-AF208</f>
        <v>1.5612511283791264e-16</v>
      </c>
      <c r="AH208" s="5">
        <f>SUM(IF(BQ208="lease",CE208,0),IF(CS208="lease",DG208,0),IF(DU208="lease",EI208,0),IF(EW208="lease",FK208,0),IF(FY208="lease",GM208,0),IF(HA208="lease",HO208,0),IF(IC208="lease",IQ208,0),IF(JE208="lease",JS208,0),IF(KG208="lease",KU208,0),IF(LI208="lease",LW208,0))</f>
        <v>0.03237825831334821</v>
      </c>
      <c r="AI208" s="5">
        <f>SUM(IF(BQ208="keep",CE208,0),IF(CS208="keep",DG208,0),IF(DU208="keep",EI208,0),IF(EW208="keep",FK208,0),IF(FY208="keep",GM208,0),IF(HA208="keep",HO208,0),IF(IC208="keep",IQ208,0),IF(JE208="keep",JS208,0),IF(KG208="keep",KU208,0),IF(LI208="keep",LW208,0))</f>
        <v>0</v>
      </c>
      <c r="AJ208" s="5">
        <f>SUM(IF(BQ208="lease",CH208,0),IF(CS208="lease",DJ208,0),IF(DU208="lease",EL208,0),IF(EW208="lease",FN208,0),IF(FY208="lease",GP208,0),IF(HA208="lease",HR208,0),IF(IC208="lease",IT208,0),IF(JE208="lease",JV208,0),IF(KG208="lease",KX208,0),IF(LI208="lease",LZ208,0))</f>
        <v>0</v>
      </c>
      <c r="AK208" s="5">
        <f>SUM(IF(BQ208="keep",CH208,0),IF(CS208="keep",DJ208,0),IF(DU208="keep",EL208,0),IF(EW208="keep",FN208,0),IF(FY208="keep",GP208,0),IF(HA208="keep",HR208,0),IF(IC208="keep",IT208,0),IF(JE208="keep",JV208,0),IF(KG208="keep",KX208,0),IF(LI208="keep",LZ208,0))</f>
        <v>0</v>
      </c>
      <c r="AL208" s="5">
        <f>R208-S207</f>
        <v>0</v>
      </c>
      <c r="AM208" s="5">
        <f>T208-U207</f>
        <v>0</v>
      </c>
      <c r="AN208" s="5">
        <f>AN207</f>
        <v>1</v>
      </c>
      <c r="AO208" s="5">
        <f>AO207+AH208</f>
        <v>1.0497649086091871</v>
      </c>
      <c r="AP208" s="5">
        <f>AP207+AL208</f>
        <v>4.440892098500626e-16</v>
      </c>
      <c r="AQ208" s="5">
        <f>AN208+AO208+AP208</f>
        <v>2.0497649086091876</v>
      </c>
      <c r="AR208" s="5">
        <f>S208-AQ208</f>
        <v>-8.881784197001252e-16</v>
      </c>
      <c r="AS208" s="5">
        <f>AS207</f>
        <v>0</v>
      </c>
      <c r="AT208" s="5">
        <f>AT207+AI208</f>
        <v>0</v>
      </c>
      <c r="AU208" s="5">
        <f>AU207+AM208</f>
        <v>0</v>
      </c>
      <c r="AV208" s="5">
        <f>AS208+AT208+AU208</f>
        <v>0</v>
      </c>
      <c r="AW208" s="5">
        <f>U208-AV208</f>
        <v>0</v>
      </c>
      <c r="AX208" s="4">
        <v>2.0173866502958386</v>
      </c>
      <c r="AY208" s="4">
        <v>2.0497649086091867</v>
      </c>
      <c r="AZ208" s="5">
        <f>S208-AY208</f>
        <v>0</v>
      </c>
      <c r="BA208" s="4">
        <v>0</v>
      </c>
      <c r="BB208" s="4">
        <v>0</v>
      </c>
      <c r="BC208" s="5">
        <f>U208-BB208</f>
        <v>0</v>
      </c>
      <c r="BD208" s="7">
        <f>SUM(IF(BP208="direct",CC208/F208,0),IF(CR208="direct",DE208/F208,0),IF(DT208="direct",EG208/F208,0),IF(EV208="direct",FI208/F208,0),IF(FX208="direct",GK208/F208,0),IF(GZ208="direct",HM208/F208,0),IF(IB208="direct",IO208/F208,0),IF(JD208="direct",JQ208/F208,0),IF(KF208="direct",KS208/F208,0),IF(LH208="direct",LU208/F208,0))</f>
        <v>-0.00008476844900794982</v>
      </c>
      <c r="BE208" s="7">
        <f>-SUM(IF(BP208="direct",CD208/F208,0),IF(CR208="direct",DF208/F208,0),IF(DT208="direct",EH208/F208,0),IF(EV208="direct",FJ208/F208,0),IF(FX208="direct",GL208/F208,0),IF(GZ208="direct",HN208/F208,0),IF(IB208="direct",IP208/F208,0),IF(JD208="direct",JR208/F208,0),IF(KF208="direct",KT208/F208,0),IF(LH208="direct",LV208/F208,0))</f>
        <v>-7.725928046569588e-7</v>
      </c>
      <c r="BF208" s="7">
        <f>BD208+BE208</f>
        <v>-0.00008554104181260679</v>
      </c>
      <c r="BG208" s="7">
        <f>BF208-SUM(IF(BP208="direct",CP208,0),IF(CR208="direct",DR208,0),IF(DT208="direct",ET208,0),IF(EV208="direct",FV208,0),IF(FX208="direct",GX208,0),IF(GZ208="direct",HZ208,0),IF(IB208="direct",JB208,0),IF(JD208="direct",KD208,0),IF(KF208="direct",LF208,0),IF(LH208="direct",MH208,0))</f>
        <v>1.5720931501039814e-18</v>
      </c>
      <c r="BH208" s="7">
        <f>SUM(IF(BP208="treasury",CP208,0),IF(CR208="treasury",DR208,0),IF(DT208="treasury",ET208,0),IF(EV208="treasury",FV208,0),IF(FX208="treasury",GX208,0),IF(GZ208="treasury",HZ208,0),IF(IB208="treasury",JB208,0),IF(JD208="treasury",KD208,0),IF(KF208="treasury",LF208,0),IF(LH208="treasury",MH208,0))</f>
        <v>0.000360377920825342</v>
      </c>
      <c r="BI208" s="7">
        <f>SUM(IF(BP208="future",CP208,0),IF(CR208="future",DR208,0),IF(DT208="future",ET208,0),IF(EV208="future",FV208,0),IF(FX208="future",GX208,0),IF(GZ208="future",HZ208,0),IF(IB208="future",JB208,0),IF(JD208="future",KD208,0),IF(KF208="future",LF208,0),IF(LH208="future",MH208,0))</f>
        <v>0.015774767845297362</v>
      </c>
      <c r="BJ208" s="7">
        <f>SUM(IF(BP208="cash",CP208,0),IF(CR208="cash",DR208,0),IF(DT208="cash",ET208,0),IF(EV208="cash",FV208,0),IF(FX208="cash",GX208,0),IF(GZ208="cash",HZ208,0),IF(IB208="cash",JB208,0),IF(JD208="cash",KD208,0),IF(KF208="cash",LF208,0),IF(LH208="cash",MH208,0))</f>
        <v>0</v>
      </c>
      <c r="BK208" s="7">
        <f>SUM(BF208,BH208,BI208,BJ208)</f>
        <v>0.016049604724310097</v>
      </c>
      <c r="BL208" s="7">
        <f>G208-BK208</f>
        <v>0</v>
      </c>
      <c r="BM208" s="5">
        <f>MAX(ABS(CG208),ABS(DI208),ABS(EK208),ABS(FM208),ABS(GO208),ABS(HQ208),ABS(IS208),ABS(JU208),ABS(KW208),ABS(LY208))</f>
        <v>1.6338926739356552e-16</v>
      </c>
      <c r="BN208" s="9">
        <f>COUNTA(BO208,CQ208,DS208,EU208,FW208,GY208,IA208,JC208,KE208,LG208)</f>
        <v>7</v>
      </c>
      <c r="BO208" t="inlineStr">
        <is>
          <t xml:space="preserve">Direct commodity holding</t>
        </is>
      </c>
      <c r="BP208" t="inlineStr">
        <is>
          <t xml:space="preserve">direct</t>
        </is>
      </c>
      <c r="BQ208" t="inlineStr">
        <is>
          <t xml:space="preserve">lease</t>
        </is>
      </c>
      <c r="BR208" t="inlineStr">
        <is>
          <t xml:space="preserve">long</t>
        </is>
      </c>
      <c r="BS208"/>
      <c r="BT208" s="4">
        <v>1.996</v>
      </c>
      <c r="BU208" s="4">
        <v>1.993</v>
      </c>
      <c r="BV208" s="6">
        <v>0.0025</v>
      </c>
      <c r="BW208" s="4">
        <v>0.05700357913164256</v>
      </c>
      <c r="BX208" s="5">
        <f>IF(BP208="direct",IFERROR(CD208/BU208,0),0)</f>
        <v>7.82046367400687e-7</v>
      </c>
      <c r="BY208" s="5">
        <f>IF(BP208="direct",BW208-BX208,IF(BP208="cash",CI208,BW208))</f>
        <v>0.057002797085275156</v>
      </c>
      <c r="BZ208" s="6">
        <v>0.05639927473995798</v>
      </c>
      <c r="CA208" s="4">
        <v>0.11377914394675855</v>
      </c>
      <c r="CB208" s="4">
        <v>0.11377914394675855</v>
      </c>
      <c r="CC208" s="5">
        <f>IF(BP208="direct",BW208*(BU208-BT208),CF208)</f>
        <v>-0.0001710107373949215</v>
      </c>
      <c r="CD208" s="5">
        <f>IF(BP208="direct",CB208*BV208*C208/365,0)</f>
        <v>0.0000015586184102295693</v>
      </c>
      <c r="CE208" s="5">
        <f>CC208-CD208</f>
        <v>-0.00017256935580515427</v>
      </c>
      <c r="CF208" s="4">
        <v>-0.00017256935580515427</v>
      </c>
      <c r="CG208" s="5">
        <f>CF208-CE208</f>
        <v>-3.2032668482789503e-18</v>
      </c>
      <c r="CH208" s="4">
        <v>0</v>
      </c>
      <c r="CI208" s="4">
        <v>0.11360657459095339</v>
      </c>
      <c r="CJ208" s="4">
        <v>1.996</v>
      </c>
      <c r="CK208" s="4">
        <v>1.993</v>
      </c>
      <c r="CL208" s="6"/>
      <c r="CM208" s="6"/>
      <c r="CN208" s="6"/>
      <c r="CO208" s="9"/>
      <c r="CP208" s="7">
        <f>IFERROR(CE208/F208,0)</f>
        <v>-0.00008554104181260836</v>
      </c>
      <c r="CQ208" t="inlineStr">
        <is>
          <t xml:space="preserve">Treasury collateral</t>
        </is>
      </c>
      <c r="CR208" t="inlineStr">
        <is>
          <t xml:space="preserve">treasury</t>
        </is>
      </c>
      <c r="CS208" t="inlineStr">
        <is>
          <t xml:space="preserve">lease</t>
        </is>
      </c>
      <c r="CT208" t="inlineStr">
        <is>
          <t xml:space="preserve">long</t>
        </is>
      </c>
      <c r="CU208"/>
      <c r="CV208" s="4">
        <v>105.57854075039353</v>
      </c>
      <c r="CW208" s="4">
        <v>105.61886307527189</v>
      </c>
      <c r="CX208" s="6"/>
      <c r="CY208" s="4">
        <v>0.018030250208226947</v>
      </c>
      <c r="CZ208" s="5">
        <f>IF(CR208="direct",IFERROR(DF208/CW208,0),0)</f>
        <v>0</v>
      </c>
      <c r="DA208" s="5">
        <f>IF(CR208="direct",CY208-CZ208,IF(CR208="cash",DK208,CY208))</f>
        <v>0.018030250208226947</v>
      </c>
      <c r="DB208" s="6">
        <v>0.943600725260042</v>
      </c>
      <c r="DC208" s="4">
        <v>1.90360750634908</v>
      </c>
      <c r="DD208" s="4">
        <v>1.90360750634908</v>
      </c>
      <c r="DE208" s="5">
        <f>IF(CR208="direct",CY208*(CW208-CV208),DH208)</f>
        <v>0.0007270216065342523</v>
      </c>
      <c r="DF208" s="5">
        <f>IF(CR208="direct",DD208*CX208*C208/365,0)</f>
        <v>0</v>
      </c>
      <c r="DG208" s="5">
        <f>DE208-DF208</f>
        <v>0.0007270216065344157</v>
      </c>
      <c r="DH208" s="4">
        <v>0.0007270216065344157</v>
      </c>
      <c r="DI208" s="5">
        <f>DH208-DG208</f>
        <v>1.6338926739356552e-16</v>
      </c>
      <c r="DJ208" s="4">
        <v>-1.5406512871019018e-16</v>
      </c>
      <c r="DK208" s="4">
        <v>1.9043345279556143</v>
      </c>
      <c r="DL208" s="4">
        <v>1.996</v>
      </c>
      <c r="DM208" s="4">
        <v>1.993</v>
      </c>
      <c r="DN208" s="6"/>
      <c r="DO208" s="6"/>
      <c r="DP208" s="6"/>
      <c r="DQ208" s="9">
        <v>56</v>
      </c>
      <c r="DR208" s="7">
        <f>IFERROR(DG208/F208,0)</f>
        <v>0.000360377920825342</v>
      </c>
      <c r="DS208" t="inlineStr">
        <is>
          <t xml:space="preserve">SI69Z</t>
        </is>
      </c>
      <c r="DT208" t="inlineStr">
        <is>
          <t xml:space="preserve">future</t>
        </is>
      </c>
      <c r="DU208" t="inlineStr">
        <is>
          <t xml:space="preserve">lease</t>
        </is>
      </c>
      <c r="DV208" t="inlineStr">
        <is>
          <t xml:space="preserve">long</t>
        </is>
      </c>
      <c r="DW208" t="inlineStr">
        <is>
          <t xml:space="preserve">regular</t>
        </is>
      </c>
      <c r="DX208" s="4">
        <v>1.974</v>
      </c>
      <c r="DY208" s="4">
        <v>2.0069999999999997</v>
      </c>
      <c r="DZ208" s="6"/>
      <c r="EA208" s="4">
        <v>0.9634359164886036</v>
      </c>
      <c r="EB208" s="5">
        <f>IF(DT208="direct",IFERROR(EH208/DY208,0),0)</f>
        <v>0</v>
      </c>
      <c r="EC208" s="5">
        <f>IF(DT208="direct",EA208-EB208,IF(DT208="cash",EM208,EA208))</f>
        <v>0.9634359164886036</v>
      </c>
      <c r="ED208" s="6">
        <v>0.9427159136150781</v>
      </c>
      <c r="EE208" s="4">
        <v>1.9018224991485035</v>
      </c>
      <c r="EF208" s="4">
        <v>0</v>
      </c>
      <c r="EG208" s="5">
        <f>IF(DT208="direct",EA208*(DY208-DX208),EJ208)</f>
        <v>0.03179338524412353</v>
      </c>
      <c r="EH208" s="5">
        <f>IF(DT208="direct",EF208*DZ208*C208/365,0)</f>
        <v>0</v>
      </c>
      <c r="EI208" s="5">
        <f>EG208-EH208</f>
        <v>0.03179338524412353</v>
      </c>
      <c r="EJ208" s="4">
        <v>0.03179338524412353</v>
      </c>
      <c r="EK208" s="5">
        <f>EJ208-EI208</f>
        <v>0</v>
      </c>
      <c r="EL208" s="4">
        <v>-0.03179338524412353</v>
      </c>
      <c r="EM208" s="4">
        <v>0</v>
      </c>
      <c r="EN208" s="4">
        <v>1.996</v>
      </c>
      <c r="EO208" s="4">
        <v>1.993</v>
      </c>
      <c r="EP208" s="6">
        <v>-0.011022044088176308</v>
      </c>
      <c r="EQ208" s="6">
        <v>0.0697</v>
      </c>
      <c r="ER208" s="6">
        <v>0.1415401087890063</v>
      </c>
      <c r="ES208" s="9">
        <v>56</v>
      </c>
      <c r="ET208" s="7">
        <f>IFERROR(EI208/F208,0)</f>
        <v>0.015759688525479834</v>
      </c>
      <c r="EU208" t="inlineStr">
        <is>
          <t xml:space="preserve">SI70F</t>
        </is>
      </c>
      <c r="EV208" t="inlineStr">
        <is>
          <t xml:space="preserve">future</t>
        </is>
      </c>
      <c r="EW208" t="inlineStr">
        <is>
          <t xml:space="preserve">lease</t>
        </is>
      </c>
      <c r="EX208" t="inlineStr">
        <is>
          <t xml:space="preserve">long</t>
        </is>
      </c>
      <c r="EY208" t="inlineStr">
        <is>
          <t xml:space="preserve">regular</t>
        </is>
      </c>
      <c r="EZ208" s="4">
        <v>1.995</v>
      </c>
      <c r="FA208" s="4">
        <v>2.029</v>
      </c>
      <c r="FB208" s="6"/>
      <c r="FC208" s="4">
        <v>0.0008945339323776568</v>
      </c>
      <c r="FD208" s="5">
        <f>IF(EV208="direct",IFERROR(FJ208/FA208,0),0)</f>
        <v>0</v>
      </c>
      <c r="FE208" s="5">
        <f>IF(EV208="direct",FC208-FD208,IF(EV208="cash",FO208,FC208))</f>
        <v>0.0008945339323776568</v>
      </c>
      <c r="FF208" s="6">
        <v>0.0008846074176369336</v>
      </c>
      <c r="FG208" s="4">
        <v>0.0017845951950934255</v>
      </c>
      <c r="FH208" s="4">
        <v>0</v>
      </c>
      <c r="FI208" s="5">
        <f>IF(EV208="direct",FC208*(FA208-EZ208),FL208)</f>
        <v>0.000030414153700839976</v>
      </c>
      <c r="FJ208" s="5">
        <f>IF(EV208="direct",FH208*FB208*C208/365,0)</f>
        <v>0</v>
      </c>
      <c r="FK208" s="5">
        <f>FI208-FJ208</f>
        <v>0.000030414153700839976</v>
      </c>
      <c r="FL208" s="4">
        <v>0.000030414153700839976</v>
      </c>
      <c r="FM208" s="5">
        <f>FL208-FK208</f>
        <v>0</v>
      </c>
      <c r="FN208" s="4">
        <v>-0.000030414153700839976</v>
      </c>
      <c r="FO208" s="4">
        <v>0</v>
      </c>
      <c r="FP208" s="4">
        <v>1.996</v>
      </c>
      <c r="FQ208" s="4">
        <v>1.993</v>
      </c>
      <c r="FR208" s="6">
        <v>-0.0005010020040079333</v>
      </c>
      <c r="FS208" s="6">
        <v>0.0697</v>
      </c>
      <c r="FT208" s="6">
        <v>0.07182634571468482</v>
      </c>
      <c r="FU208" s="9">
        <v>86</v>
      </c>
      <c r="FV208" s="7">
        <f>IFERROR(FK208/F208,0)</f>
        <v>0.00001507601614017814</v>
      </c>
      <c r="FW208" t="inlineStr">
        <is>
          <t xml:space="preserve">SI70H</t>
        </is>
      </c>
      <c r="FX208" t="inlineStr">
        <is>
          <t xml:space="preserve">future</t>
        </is>
      </c>
      <c r="FY208" t="inlineStr">
        <is>
          <t xml:space="preserve">lease</t>
        </is>
      </c>
      <c r="FZ208" t="inlineStr">
        <is>
          <t xml:space="preserve">long</t>
        </is>
      </c>
      <c r="GA208" t="inlineStr">
        <is>
          <t xml:space="preserve">regular</t>
        </is>
      </c>
      <c r="GB208" s="4">
        <v>2.04</v>
      </c>
      <c r="GC208" s="4">
        <v>2.073</v>
      </c>
      <c r="GD208" s="6"/>
      <c r="GE208" s="4">
        <v>2.0196347208354742e-7</v>
      </c>
      <c r="GF208" s="5">
        <f>IF(FX208="direct",IFERROR(GL208/GC208,0),0)</f>
        <v>0</v>
      </c>
      <c r="GG208" s="5">
        <f>IF(FX208="direct",GE208-GF208,IF(FX208="cash",GQ208,GE208))</f>
        <v>2.0196347208354742e-7</v>
      </c>
      <c r="GH208" s="6">
        <v>2.0422732696779688e-7</v>
      </c>
      <c r="GI208" s="4">
        <v>4.1200548305043676e-7</v>
      </c>
      <c r="GJ208" s="4">
        <v>0</v>
      </c>
      <c r="GK208" s="5">
        <f>IF(FX208="direct",GE208*(GC208-GB208),GN208)</f>
        <v>6.664794578757041e-9</v>
      </c>
      <c r="GL208" s="5">
        <f>IF(FX208="direct",GJ208*GD208*C208/365,0)</f>
        <v>0</v>
      </c>
      <c r="GM208" s="5">
        <f>GK208-GL208</f>
        <v>6.664794578757041e-9</v>
      </c>
      <c r="GN208" s="4">
        <v>6.664794578757041e-9</v>
      </c>
      <c r="GO208" s="5">
        <f>GN208-GM208</f>
        <v>0</v>
      </c>
      <c r="GP208" s="4">
        <v>-6.664794578757041e-9</v>
      </c>
      <c r="GQ208" s="4">
        <v>0</v>
      </c>
      <c r="GR208" s="4">
        <v>1.996</v>
      </c>
      <c r="GS208" s="4">
        <v>1.993</v>
      </c>
      <c r="GT208" s="6">
        <v>0.022044088176352616</v>
      </c>
      <c r="GU208" s="6">
        <v>0.07162197802197802</v>
      </c>
      <c r="GV208" s="6">
        <v>0.015746337852750904</v>
      </c>
      <c r="GW208" s="9">
        <v>144</v>
      </c>
      <c r="GX208" s="7">
        <f>IFERROR(GM208/F208,0)</f>
        <v>3.303677348008467e-9</v>
      </c>
      <c r="GY208" t="inlineStr">
        <is>
          <t xml:space="preserve">Lease cash / margin / financing</t>
        </is>
      </c>
      <c r="GZ208" t="inlineStr">
        <is>
          <t xml:space="preserve">cash</t>
        </is>
      </c>
      <c r="HA208" t="inlineStr">
        <is>
          <t xml:space="preserve">lease</t>
        </is>
      </c>
      <c r="HB208" t="inlineStr">
        <is>
          <t xml:space="preserve">cash</t>
        </is>
      </c>
      <c r="HC208"/>
      <c r="HD208" s="4">
        <v>1</v>
      </c>
      <c r="HE208" s="4">
        <v>1</v>
      </c>
      <c r="HF208" s="6"/>
      <c r="HG208" s="4">
        <v>0</v>
      </c>
      <c r="HH208" s="5">
        <f>IF(GZ208="direct",IFERROR(HN208/HE208,0),0)</f>
        <v>0</v>
      </c>
      <c r="HI208" s="5">
        <f>IF(GZ208="direct",HG208-HH208,IF(GZ208="cash",HS208,HG208))</f>
        <v>0.0318238060626191</v>
      </c>
      <c r="HJ208" s="6"/>
      <c r="HK208" s="4">
        <v>0</v>
      </c>
      <c r="HL208" s="4">
        <v>0</v>
      </c>
      <c r="HM208" s="5">
        <f>IF(GZ208="direct",HG208*(HE208-HD208),HP208)</f>
        <v>0</v>
      </c>
      <c r="HN208" s="5">
        <f>IF(GZ208="direct",HL208*HF208*C208/365,0)</f>
        <v>0</v>
      </c>
      <c r="HO208" s="5">
        <f>HM208-HN208</f>
        <v>0</v>
      </c>
      <c r="HP208" s="4">
        <v>0</v>
      </c>
      <c r="HQ208" s="5">
        <f>HP208-HO208</f>
        <v>0</v>
      </c>
      <c r="HR208" s="4">
        <v>0.0318238060626191</v>
      </c>
      <c r="HS208" s="4">
        <v>0.0318238060626191</v>
      </c>
      <c r="HT208" s="4">
        <v>1.996</v>
      </c>
      <c r="HU208" s="4">
        <v>1.993</v>
      </c>
      <c r="HV208" s="6"/>
      <c r="HW208" s="6"/>
      <c r="HX208" s="6"/>
      <c r="HY208" s="9"/>
      <c r="HZ208" s="7">
        <f>IFERROR(HO208/F208,0)</f>
        <v>0</v>
      </c>
      <c r="IA208" t="inlineStr">
        <is>
          <t xml:space="preserve">Keep cash / margin / financing</t>
        </is>
      </c>
      <c r="IB208" t="inlineStr">
        <is>
          <t xml:space="preserve">cash</t>
        </is>
      </c>
      <c r="IC208" t="inlineStr">
        <is>
          <t xml:space="preserve">keep</t>
        </is>
      </c>
      <c r="ID208" t="inlineStr">
        <is>
          <t xml:space="preserve">cash</t>
        </is>
      </c>
      <c r="IE208"/>
      <c r="IF208" s="4">
        <v>1</v>
      </c>
      <c r="IG208" s="4">
        <v>1</v>
      </c>
      <c r="IH208" s="6"/>
      <c r="II208" s="4">
        <v>0</v>
      </c>
      <c r="IJ208" s="5">
        <f>IF(IB208="direct",IFERROR(IP208/IG208,0),0)</f>
        <v>0</v>
      </c>
      <c r="IK208" s="5">
        <f>IF(IB208="direct",II208-IJ208,IF(IB208="cash",IU208,II208))</f>
        <v>0</v>
      </c>
      <c r="IL208" s="6"/>
      <c r="IM208" s="4">
        <v>0</v>
      </c>
      <c r="IN208" s="4">
        <v>0</v>
      </c>
      <c r="IO208" s="5">
        <f>IF(IB208="direct",II208*(IG208-IF208),IR208)</f>
        <v>0</v>
      </c>
      <c r="IP208" s="5">
        <f>IF(IB208="direct",IN208*IH208*C208/365,0)</f>
        <v>0</v>
      </c>
      <c r="IQ208" s="5">
        <f>IO208-IP208</f>
        <v>0</v>
      </c>
      <c r="IR208" s="4">
        <v>0</v>
      </c>
      <c r="IS208" s="5">
        <f>IR208-IQ208</f>
        <v>0</v>
      </c>
      <c r="IT208" s="4">
        <v>0</v>
      </c>
      <c r="IU208" s="4">
        <v>0</v>
      </c>
      <c r="IV208" s="4">
        <v>1.996</v>
      </c>
      <c r="IW208" s="4">
        <v>1.993</v>
      </c>
      <c r="IX208" s="6"/>
      <c r="IY208" s="6"/>
      <c r="IZ208" s="6"/>
      <c r="JA208" s="9"/>
      <c r="JB208" s="7">
        <f>IFERROR(IQ208/F208,0)</f>
        <v>0</v>
      </c>
      <c r="JC208"/>
      <c r="JD208"/>
      <c r="JE208"/>
      <c r="JF208"/>
      <c r="JG208"/>
      <c r="JH208" s="4"/>
      <c r="JI208" s="4"/>
      <c r="JJ208" s="6"/>
      <c r="JK208" s="4"/>
      <c r="JL208" s="5">
        <v>0</v>
      </c>
      <c r="JM208" s="5"/>
      <c r="JN208" s="6"/>
      <c r="JO208" s="4"/>
      <c r="JP208" s="4"/>
      <c r="JQ208" s="5">
        <v>0</v>
      </c>
      <c r="JR208" s="5">
        <v>0</v>
      </c>
      <c r="JS208" s="5"/>
      <c r="JT208" s="4"/>
      <c r="JU208" s="5">
        <v>0</v>
      </c>
      <c r="JV208" s="4"/>
      <c r="JW208" s="4"/>
      <c r="JX208" s="4"/>
      <c r="JY208" s="4"/>
      <c r="JZ208" s="6"/>
      <c r="KA208" s="6"/>
      <c r="KB208" s="6"/>
      <c r="KC208" s="9"/>
      <c r="KD208"/>
      <c r="KE208"/>
      <c r="KF208"/>
      <c r="KG208"/>
      <c r="KH208"/>
      <c r="KI208"/>
      <c r="KJ208" s="4"/>
      <c r="KK208" s="4"/>
      <c r="KL208" s="6"/>
      <c r="KM208" s="4"/>
      <c r="KN208" s="5">
        <v>0</v>
      </c>
      <c r="KO208" s="5"/>
      <c r="KP208" s="6"/>
      <c r="KQ208" s="4"/>
      <c r="KR208" s="4"/>
      <c r="KS208" s="5">
        <v>0</v>
      </c>
      <c r="KT208" s="5">
        <v>0</v>
      </c>
      <c r="KU208" s="5"/>
      <c r="KV208" s="4"/>
      <c r="KW208" s="5">
        <v>0</v>
      </c>
      <c r="KX208" s="4"/>
      <c r="KY208" s="4"/>
      <c r="KZ208" s="4"/>
      <c r="LA208" s="4"/>
      <c r="LB208" s="6"/>
      <c r="LC208" s="6"/>
      <c r="LD208" s="6"/>
      <c r="LE208" s="9"/>
      <c r="LF208"/>
      <c r="LG208"/>
      <c r="LH208"/>
      <c r="LI208"/>
      <c r="LJ208"/>
      <c r="LK208"/>
      <c r="LL208" s="4"/>
      <c r="LM208" s="4"/>
      <c r="LN208" s="6"/>
      <c r="LO208" s="4"/>
      <c r="LP208" s="5">
        <v>0</v>
      </c>
      <c r="LQ208" s="5"/>
      <c r="LR208" s="6"/>
      <c r="LS208" s="4"/>
      <c r="LT208" s="4"/>
      <c r="LU208" s="5">
        <v>0</v>
      </c>
      <c r="LV208" s="5">
        <v>0</v>
      </c>
      <c r="LW208" s="5"/>
      <c r="LX208" s="4"/>
      <c r="LY208" s="5">
        <v>0</v>
      </c>
      <c r="LZ208" s="4"/>
      <c r="MA208" s="4"/>
      <c r="MB208" s="4"/>
      <c r="MC208" s="4"/>
      <c r="MD208" s="6"/>
      <c r="ME208" s="6"/>
      <c r="MF208" s="6"/>
      <c r="MG208" s="9"/>
      <c r="MH208"/>
    </row>
    <row r="209">
      <c r="A209" s="8">
        <v>25512</v>
      </c>
      <c r="B209" s="8">
        <v>25513</v>
      </c>
      <c r="C209" s="9">
        <f>B209-A209</f>
        <v>1</v>
      </c>
      <c r="D209" s="8">
        <v>25512</v>
      </c>
      <c r="E209" t="inlineStr">
        <is>
          <t xml:space="preserve">positive</t>
        </is>
      </c>
      <c r="F209" s="4">
        <v>2.049764908609187</v>
      </c>
      <c r="G209" s="6">
        <v>-0.002751930568085771</v>
      </c>
      <c r="H209" s="7">
        <f>SUM(CP209,DR209,ET209,FV209,GX209,HZ209,JB209,KD209,LF209,MH209)</f>
        <v>-0.002751930568085771</v>
      </c>
      <c r="I209" s="7">
        <f>G209-H209</f>
        <v>0</v>
      </c>
      <c r="J209" s="5">
        <f>F209*(1+H209)</f>
        <v>2.044124097899796</v>
      </c>
      <c r="K209" s="4">
        <v>2.044124097899796</v>
      </c>
      <c r="L209" s="5">
        <f>K209-J209</f>
        <v>0</v>
      </c>
      <c r="M209" s="4">
        <v>1.993</v>
      </c>
      <c r="N209" s="4">
        <v>1.989</v>
      </c>
      <c r="O209" s="5">
        <f>M209/$M$3</f>
        <v>1.0178753830439224</v>
      </c>
      <c r="P209" s="5">
        <f>N209/$M$3</f>
        <v>1.015832482124617</v>
      </c>
      <c r="Q209" s="7">
        <f>IFERROR(N209/M209-1,0)</f>
        <v>-0.002007024586051176</v>
      </c>
      <c r="R209" s="5">
        <f>SUM(IF(BQ209="lease",CB209,0),IF(CS209="lease",DD209,0),IF(DU209="lease",EF209,0),IF(EW209="lease",FH209,0),IF(FY209="lease",GJ209,0),IF(HA209="lease",HL209,0),IF(IC209="lease",IN209,0),IF(JE209="lease",JP209,0),IF(KG209="lease",KR209,0),IF(LI209="lease",LT209,0))</f>
        <v>2.0497649086091867</v>
      </c>
      <c r="S209" s="5">
        <f>SUM(IF(BQ209="lease",CI209,0),IF(CS209="lease",DK209,0),IF(DU209="lease",EM209,0),IF(EW209="lease",FO209,0),IF(FY209="lease",GQ209,0),IF(HA209="lease",HS209,0),IF(IC209="lease",IU209,0),IF(JE209="lease",JW209,0),IF(KG209="lease",KY209,0),IF(LI209="lease",MA209,0))</f>
        <v>2.0441240978997954</v>
      </c>
      <c r="T209" s="5">
        <f>SUM(IF(BQ209="keep",CB209,0),IF(CS209="keep",DD209,0),IF(DU209="keep",EF209,0),IF(EW209="keep",FH209,0),IF(FY209="keep",GJ209,0),IF(HA209="keep",HL209,0),IF(IC209="keep",IN209,0),IF(JE209="keep",JP209,0),IF(KG209="keep",KR209,0),IF(LI209="keep",LT209,0))</f>
        <v>0</v>
      </c>
      <c r="U209" s="5">
        <f>SUM(IF(BQ209="keep",CI209,0),IF(CS209="keep",DK209,0),IF(DU209="keep",EM209,0),IF(EW209="keep",FO209,0),IF(FY209="keep",GQ209,0),IF(HA209="keep",HS209,0),IF(IC209="keep",IU209,0),IF(JE209="keep",JW209,0),IF(KG209="keep",KY209,0),IF(LI209="keep",MA209,0))</f>
        <v>0</v>
      </c>
      <c r="V209" s="5">
        <f>R209/O209</f>
        <v>2.013768033646155</v>
      </c>
      <c r="W209" s="5">
        <f>S209/P209</f>
        <v>2.0122649490637503</v>
      </c>
      <c r="X209" s="5">
        <f>T209/O209</f>
        <v>0</v>
      </c>
      <c r="Y209" s="5">
        <f>U209/P209</f>
        <v>0</v>
      </c>
      <c r="Z209" s="5">
        <f>V209+X209</f>
        <v>2.013768033646155</v>
      </c>
      <c r="AA209" s="7">
        <f>IFERROR(W209/V209-1,0)</f>
        <v>-0.0007464040332804123</v>
      </c>
      <c r="AB209" s="7">
        <f>IFERROR((W209-V209)/Z209,0)</f>
        <v>-0.0007464040332804187</v>
      </c>
      <c r="AC209" s="7">
        <f>IFERROR(Y209/X209-1,0)</f>
        <v>0</v>
      </c>
      <c r="AD209" s="7">
        <f>IFERROR((Y209-X209)/Z209,0)</f>
        <v>0</v>
      </c>
      <c r="AE209" s="7">
        <f>AB209+AD209</f>
        <v>-0.0007464040332804187</v>
      </c>
      <c r="AF209" s="7">
        <f>(1+Q209)*(1+AE209)-1</f>
        <v>-0.0027519305680856476</v>
      </c>
      <c r="AG209" s="7">
        <f>G209-AF209</f>
        <v>-1.231653667943533e-16</v>
      </c>
      <c r="AH209" s="5">
        <f>SUM(IF(BQ209="lease",CE209,0),IF(CS209="lease",DG209,0),IF(DU209="lease",EI209,0),IF(EW209="lease",FK209,0),IF(FY209="lease",GM209,0),IF(HA209="lease",HO209,0),IF(IC209="lease",IQ209,0),IF(JE209="lease",JS209,0),IF(KG209="lease",KU209,0),IF(LI209="lease",LW209,0))</f>
        <v>-0.005640810709391158</v>
      </c>
      <c r="AI209" s="5">
        <f>SUM(IF(BQ209="keep",CE209,0),IF(CS209="keep",DG209,0),IF(DU209="keep",EI209,0),IF(EW209="keep",FK209,0),IF(FY209="keep",GM209,0),IF(HA209="keep",HO209,0),IF(IC209="keep",IQ209,0),IF(JE209="keep",JS209,0),IF(KG209="keep",KU209,0),IF(LI209="keep",LW209,0))</f>
        <v>0</v>
      </c>
      <c r="AJ209" s="5">
        <f>SUM(IF(BQ209="lease",CH209,0),IF(CS209="lease",DJ209,0),IF(DU209="lease",EL209,0),IF(EW209="lease",FN209,0),IF(FY209="lease",GP209,0),IF(HA209="lease",HR209,0),IF(IC209="lease",IT209,0),IF(JE209="lease",JV209,0),IF(KG209="lease",KX209,0),IF(LI209="lease",LZ209,0))</f>
        <v>0</v>
      </c>
      <c r="AK209" s="5">
        <f>SUM(IF(BQ209="keep",CH209,0),IF(CS209="keep",DJ209,0),IF(DU209="keep",EL209,0),IF(EW209="keep",FN209,0),IF(FY209="keep",GP209,0),IF(HA209="keep",HR209,0),IF(IC209="keep",IT209,0),IF(JE209="keep",JV209,0),IF(KG209="keep",KX209,0),IF(LI209="keep",LZ209,0))</f>
        <v>0</v>
      </c>
      <c r="AL209" s="5">
        <f>R209-S208</f>
        <v>0</v>
      </c>
      <c r="AM209" s="5">
        <f>T209-U208</f>
        <v>0</v>
      </c>
      <c r="AN209" s="5">
        <f>AN208</f>
        <v>1</v>
      </c>
      <c r="AO209" s="5">
        <f>AO208+AH209</f>
        <v>1.0441240978997959</v>
      </c>
      <c r="AP209" s="5">
        <f>AP208+AL209</f>
        <v>4.440892098500626e-16</v>
      </c>
      <c r="AQ209" s="5">
        <f>AN209+AO209+AP209</f>
        <v>2.0441240978997963</v>
      </c>
      <c r="AR209" s="5">
        <f>S209-AQ209</f>
        <v>-8.881784197001252e-16</v>
      </c>
      <c r="AS209" s="5">
        <f>AS208</f>
        <v>0</v>
      </c>
      <c r="AT209" s="5">
        <f>AT208+AI209</f>
        <v>0</v>
      </c>
      <c r="AU209" s="5">
        <f>AU208+AM209</f>
        <v>0</v>
      </c>
      <c r="AV209" s="5">
        <f>AS209+AT209+AU209</f>
        <v>0</v>
      </c>
      <c r="AW209" s="5">
        <f>U209-AV209</f>
        <v>0</v>
      </c>
      <c r="AX209" s="4">
        <v>2.0497649086091867</v>
      </c>
      <c r="AY209" s="4">
        <v>2.0441240978997954</v>
      </c>
      <c r="AZ209" s="5">
        <f>S209-AY209</f>
        <v>0</v>
      </c>
      <c r="BA209" s="4">
        <v>0</v>
      </c>
      <c r="BB209" s="4">
        <v>0</v>
      </c>
      <c r="BC209" s="5">
        <f>U209-BB209</f>
        <v>0</v>
      </c>
      <c r="BD209" s="7">
        <f>SUM(IF(BP209="direct",CC209/F209,0),IF(CR209="direct",DE209/F209,0),IF(DT209="direct",EG209/F209,0),IF(EV209="direct",FI209/F209,0),IF(FX209="direct",GK209/F209,0),IF(GZ209="direct",HM209/F209,0),IF(IB209="direct",IO209/F209,0),IF(JD209="direct",JQ209/F209,0),IF(KF209="direct",KS209/F209,0),IF(LH209="direct",LU209/F209,0))</f>
        <v>-0.0016963505376670896</v>
      </c>
      <c r="BE209" s="7">
        <f>-SUM(IF(BP209="direct",CD209/F209,0),IF(CR209="direct",DF209/F209,0),IF(DT209="direct",EH209/F209,0),IF(EV209="direct",FJ209/F209,0),IF(FX209="direct",GL209/F209,0),IF(GZ209="direct",HN209/F209,0),IF(IB209="direct",IP209/F209,0),IF(JD209="direct",JR209/F209,0),IF(KF209="direct",KT209/F209,0),IF(LH209="direct",LV209/F209,0))</f>
        <v>-0.000005789086680771415</v>
      </c>
      <c r="BF209" s="7">
        <f>BD209+BE209</f>
        <v>-0.001702139624347861</v>
      </c>
      <c r="BG209" s="7">
        <f>BF209-SUM(IF(BP209="direct",CP209,0),IF(CR209="direct",DR209,0),IF(DT209="direct",ET209,0),IF(EV209="direct",FV209,0),IF(FX209="direct",GX209,0),IF(GZ209="direct",HZ209,0),IF(IB209="direct",JB209,0),IF(JD209="direct",KD209,0),IF(KF209="direct",LF209,0),IF(LH209="direct",MH209,0))</f>
        <v>-4.119968255444917e-18</v>
      </c>
      <c r="BH209" s="7">
        <f>SUM(IF(BP209="treasury",CP209,0),IF(CR209="treasury",DR209,0),IF(DT209="treasury",ET209,0),IF(EV209="treasury",FV209,0),IF(FX209="treasury",GX209,0),IF(GZ209="treasury",HZ209,0),IF(IB209="treasury",JB209,0),IF(JD209="treasury",KD209,0),IF(KF209="treasury",LF209,0),IF(LH209="treasury",MH209,0))</f>
        <v>0.00002998325880477067</v>
      </c>
      <c r="BI209" s="7">
        <f>SUM(IF(BP209="future",CP209,0),IF(CR209="future",DR209,0),IF(DT209="future",ET209,0),IF(EV209="future",FV209,0),IF(FX209="future",GX209,0),IF(GZ209="future",HZ209,0),IF(IB209="future",JB209,0),IF(JD209="future",KD209,0),IF(KF209="future",LF209,0),IF(LH209="future",MH209,0))</f>
        <v>-0.0010797742025426846</v>
      </c>
      <c r="BJ209" s="7">
        <f>SUM(IF(BP209="cash",CP209,0),IF(CR209="cash",DR209,0),IF(DT209="cash",ET209,0),IF(EV209="cash",FV209,0),IF(FX209="cash",GX209,0),IF(GZ209="cash",HZ209,0),IF(IB209="cash",JB209,0),IF(JD209="cash",KD209,0),IF(KF209="cash",LF209,0),IF(LH209="cash",MH209,0))</f>
        <v>0</v>
      </c>
      <c r="BK209" s="7">
        <f>SUM(BF209,BH209,BI209,BJ209)</f>
        <v>-0.002751930568085771</v>
      </c>
      <c r="BL209" s="7">
        <f>G209-BK209</f>
        <v>0</v>
      </c>
      <c r="BM209" s="5">
        <f>MAX(ABS(CG209),ABS(DI209),ABS(EK209),ABS(FM209),ABS(GO209),ABS(HQ209),ABS(IS209),ABS(JU209),ABS(KW209),ABS(LY209))</f>
        <v>1.1438332919722072e-17</v>
      </c>
      <c r="BN209" s="9">
        <f>COUNTA(BO209,CQ209,DS209,EU209,FW209,GY209,IA209,JC209,KE209,LG209)</f>
        <v>5</v>
      </c>
      <c r="BO209" t="inlineStr">
        <is>
          <t xml:space="preserve">Direct commodity holding</t>
        </is>
      </c>
      <c r="BP209" t="inlineStr">
        <is>
          <t xml:space="preserve">direct</t>
        </is>
      </c>
      <c r="BQ209" t="inlineStr">
        <is>
          <t xml:space="preserve">lease</t>
        </is>
      </c>
      <c r="BR209" t="inlineStr">
        <is>
          <t xml:space="preserve">long</t>
        </is>
      </c>
      <c r="BS209"/>
      <c r="BT209" s="4">
        <v>1.993</v>
      </c>
      <c r="BU209" s="4">
        <v>1.989</v>
      </c>
      <c r="BV209" s="6">
        <v>0.0025</v>
      </c>
      <c r="BW209" s="4">
        <v>0.8692799512025811</v>
      </c>
      <c r="BX209" s="5">
        <f>IF(BP209="direct",IFERROR(CD209/BU209,0),0)</f>
        <v>0.000005965946068950267</v>
      </c>
      <c r="BY209" s="5">
        <f>IF(BP209="direct",BW209-BX209,IF(BP209="cash",CI209,BW209))</f>
        <v>0.8692739852565121</v>
      </c>
      <c r="BZ209" s="6">
        <v>0.8452066553926266</v>
      </c>
      <c r="CA209" s="4">
        <v>1.732474942746744</v>
      </c>
      <c r="CB209" s="4">
        <v>1.732474942746744</v>
      </c>
      <c r="CC209" s="5">
        <f>IF(BP209="direct",BW209*(BU209-BT209),CF209)</f>
        <v>-0.003477119804810327</v>
      </c>
      <c r="CD209" s="5">
        <f>IF(BP209="direct",CB209*BV209*C209/365,0)</f>
        <v>0.000011866266731142083</v>
      </c>
      <c r="CE209" s="5">
        <f>CC209-CD209</f>
        <v>-0.003488986071541461</v>
      </c>
      <c r="CF209" s="4">
        <v>-0.003488986071541461</v>
      </c>
      <c r="CG209" s="5">
        <f>CF209-CE209</f>
        <v>8.241630576784342e-18</v>
      </c>
      <c r="CH209" s="4">
        <v>0</v>
      </c>
      <c r="CI209" s="4">
        <v>1.7289859566752026</v>
      </c>
      <c r="CJ209" s="4">
        <v>1.993</v>
      </c>
      <c r="CK209" s="4">
        <v>1.989</v>
      </c>
      <c r="CL209" s="6"/>
      <c r="CM209" s="6"/>
      <c r="CN209" s="6"/>
      <c r="CO209" s="9"/>
      <c r="CP209" s="7">
        <f>IFERROR(CE209/F209,0)</f>
        <v>-0.001702139624347857</v>
      </c>
      <c r="CQ209" t="inlineStr">
        <is>
          <t xml:space="preserve">Treasury collateral</t>
        </is>
      </c>
      <c r="CR209" t="inlineStr">
        <is>
          <t xml:space="preserve">treasury</t>
        </is>
      </c>
      <c r="CS209" t="inlineStr">
        <is>
          <t xml:space="preserve">lease</t>
        </is>
      </c>
      <c r="CT209" t="inlineStr">
        <is>
          <t xml:space="preserve">long</t>
        </is>
      </c>
      <c r="CU209"/>
      <c r="CV209" s="4">
        <v>105.61886307527189</v>
      </c>
      <c r="CW209" s="4">
        <v>105.63932130436619</v>
      </c>
      <c r="CX209" s="6"/>
      <c r="CY209" s="4">
        <v>0.003004103212475583</v>
      </c>
      <c r="CZ209" s="5">
        <f>IF(CR209="direct",IFERROR(DF209/CW209,0),0)</f>
        <v>0</v>
      </c>
      <c r="DA209" s="5">
        <f>IF(CR209="direct",CY209-CZ209,IF(CR209="cash",DK209,CY209))</f>
        <v>0.003004103212475583</v>
      </c>
      <c r="DB209" s="6">
        <v>0.15479334460737335</v>
      </c>
      <c r="DC209" s="4">
        <v>0.317289965862443</v>
      </c>
      <c r="DD209" s="4">
        <v>0.317289965862443</v>
      </c>
      <c r="DE209" s="5">
        <f>IF(CR209="direct",CY209*(CW209-CV209),DH209)</f>
        <v>0.00006145863174375492</v>
      </c>
      <c r="DF209" s="5">
        <f>IF(CR209="direct",DD209*CX209*C209/365,0)</f>
        <v>0</v>
      </c>
      <c r="DG209" s="5">
        <f>DE209-DF209</f>
        <v>0.00006145863174376636</v>
      </c>
      <c r="DH209" s="4">
        <v>0.00006145863174376636</v>
      </c>
      <c r="DI209" s="5">
        <f>DH209-DG209</f>
        <v>1.1438332919722072e-17</v>
      </c>
      <c r="DJ209" s="4">
        <v>-3.923456611681919e-17</v>
      </c>
      <c r="DK209" s="4">
        <v>0.31735142449418674</v>
      </c>
      <c r="DL209" s="4">
        <v>1.993</v>
      </c>
      <c r="DM209" s="4">
        <v>1.989</v>
      </c>
      <c r="DN209" s="6"/>
      <c r="DO209" s="6"/>
      <c r="DP209" s="6"/>
      <c r="DQ209" s="9">
        <v>54</v>
      </c>
      <c r="DR209" s="7">
        <f>IFERROR(DG209/F209,0)</f>
        <v>0.00002998325880477067</v>
      </c>
      <c r="DS209" t="inlineStr">
        <is>
          <t xml:space="preserve">SI69Z</t>
        </is>
      </c>
      <c r="DT209" t="inlineStr">
        <is>
          <t xml:space="preserve">future</t>
        </is>
      </c>
      <c r="DU209" t="inlineStr">
        <is>
          <t xml:space="preserve">lease</t>
        </is>
      </c>
      <c r="DV209" t="inlineStr">
        <is>
          <t xml:space="preserve">long</t>
        </is>
      </c>
      <c r="DW209" t="inlineStr">
        <is>
          <t xml:space="preserve">regular</t>
        </is>
      </c>
      <c r="DX209" s="4">
        <v>2.0069999999999997</v>
      </c>
      <c r="DY209" s="4">
        <v>1.993</v>
      </c>
      <c r="DZ209" s="6"/>
      <c r="EA209" s="4">
        <v>0.15809166211382314</v>
      </c>
      <c r="EB209" s="5">
        <f>IF(DT209="direct",IFERROR(EH209/DY209,0),0)</f>
        <v>0</v>
      </c>
      <c r="EC209" s="5">
        <f>IF(DT209="direct",EA209-EB209,IF(DT209="cash",EM209,EA209))</f>
        <v>0.15809166211382314</v>
      </c>
      <c r="ED209" s="6">
        <v>0.15479334460737335</v>
      </c>
      <c r="EE209" s="4">
        <v>0.317289965862443</v>
      </c>
      <c r="EF209" s="4">
        <v>0</v>
      </c>
      <c r="EG209" s="5">
        <f>IF(DT209="direct",EA209*(DY209-DX209),EJ209)</f>
        <v>-0.002213283269593464</v>
      </c>
      <c r="EH209" s="5">
        <f>IF(DT209="direct",EF209*DZ209*C209/365,0)</f>
        <v>0</v>
      </c>
      <c r="EI209" s="5">
        <f>EG209-EH209</f>
        <v>-0.002213283269593464</v>
      </c>
      <c r="EJ209" s="4">
        <v>-0.002213283269593464</v>
      </c>
      <c r="EK209" s="5">
        <f>EJ209-EI209</f>
        <v>0</v>
      </c>
      <c r="EL209" s="4">
        <v>0.002213283269593464</v>
      </c>
      <c r="EM209" s="4">
        <v>0</v>
      </c>
      <c r="EN209" s="4">
        <v>1.993</v>
      </c>
      <c r="EO209" s="4">
        <v>1.989</v>
      </c>
      <c r="EP209" s="6">
        <v>0.007024586051178838</v>
      </c>
      <c r="EQ209" s="6">
        <v>0.0707</v>
      </c>
      <c r="ER209" s="6">
        <v>0.023219001691106002</v>
      </c>
      <c r="ES209" s="9">
        <v>54</v>
      </c>
      <c r="ET209" s="7">
        <f>IFERROR(EI209/F209,0)</f>
        <v>-0.0010797742025426846</v>
      </c>
      <c r="EU209" t="inlineStr">
        <is>
          <t xml:space="preserve">Lease cash / margin / financing</t>
        </is>
      </c>
      <c r="EV209" t="inlineStr">
        <is>
          <t xml:space="preserve">cash</t>
        </is>
      </c>
      <c r="EW209" t="inlineStr">
        <is>
          <t xml:space="preserve">lease</t>
        </is>
      </c>
      <c r="EX209" t="inlineStr">
        <is>
          <t xml:space="preserve">cash</t>
        </is>
      </c>
      <c r="EY209"/>
      <c r="EZ209" s="4">
        <v>1</v>
      </c>
      <c r="FA209" s="4">
        <v>1</v>
      </c>
      <c r="FB209" s="6"/>
      <c r="FC209" s="4">
        <v>-4.440892098500626e-16</v>
      </c>
      <c r="FD209" s="5">
        <f>IF(EV209="direct",IFERROR(FJ209/FA209,0),0)</f>
        <v>0</v>
      </c>
      <c r="FE209" s="5">
        <f>IF(EV209="direct",FC209-FD209,IF(EV209="cash",FO209,FC209))</f>
        <v>-0.002213283269593869</v>
      </c>
      <c r="FF209" s="6"/>
      <c r="FG209" s="4">
        <v>-4.440892098500626e-16</v>
      </c>
      <c r="FH209" s="4">
        <v>-4.440892098500626e-16</v>
      </c>
      <c r="FI209" s="5">
        <f>IF(EV209="direct",FC209*(FA209-EZ209),FL209)</f>
        <v>0</v>
      </c>
      <c r="FJ209" s="5">
        <f>IF(EV209="direct",FH209*FB209*C209/365,0)</f>
        <v>0</v>
      </c>
      <c r="FK209" s="5">
        <f>FI209-FJ209</f>
        <v>0</v>
      </c>
      <c r="FL209" s="4">
        <v>0</v>
      </c>
      <c r="FM209" s="5">
        <f>FL209-FK209</f>
        <v>0</v>
      </c>
      <c r="FN209" s="4">
        <v>-0.0022132832695934248</v>
      </c>
      <c r="FO209" s="4">
        <v>-0.002213283269593869</v>
      </c>
      <c r="FP209" s="4">
        <v>1.993</v>
      </c>
      <c r="FQ209" s="4">
        <v>1.989</v>
      </c>
      <c r="FR209" s="6"/>
      <c r="FS209" s="6"/>
      <c r="FT209" s="6"/>
      <c r="FU209" s="9"/>
      <c r="FV209" s="7">
        <f>IFERROR(FK209/F209,0)</f>
        <v>0</v>
      </c>
      <c r="FW209" t="inlineStr">
        <is>
          <t xml:space="preserve">Keep cash / margin / financing</t>
        </is>
      </c>
      <c r="FX209" t="inlineStr">
        <is>
          <t xml:space="preserve">cash</t>
        </is>
      </c>
      <c r="FY209" t="inlineStr">
        <is>
          <t xml:space="preserve">keep</t>
        </is>
      </c>
      <c r="FZ209" t="inlineStr">
        <is>
          <t xml:space="preserve">cash</t>
        </is>
      </c>
      <c r="GA209"/>
      <c r="GB209" s="4">
        <v>1</v>
      </c>
      <c r="GC209" s="4">
        <v>1</v>
      </c>
      <c r="GD209" s="6"/>
      <c r="GE209" s="4">
        <v>0</v>
      </c>
      <c r="GF209" s="5">
        <f>IF(FX209="direct",IFERROR(GL209/GC209,0),0)</f>
        <v>0</v>
      </c>
      <c r="GG209" s="5">
        <f>IF(FX209="direct",GE209-GF209,IF(FX209="cash",GQ209,GE209))</f>
        <v>0</v>
      </c>
      <c r="GH209" s="6"/>
      <c r="GI209" s="4">
        <v>0</v>
      </c>
      <c r="GJ209" s="4">
        <v>0</v>
      </c>
      <c r="GK209" s="5">
        <f>IF(FX209="direct",GE209*(GC209-GB209),GN209)</f>
        <v>0</v>
      </c>
      <c r="GL209" s="5">
        <f>IF(FX209="direct",GJ209*GD209*C209/365,0)</f>
        <v>0</v>
      </c>
      <c r="GM209" s="5">
        <f>GK209-GL209</f>
        <v>0</v>
      </c>
      <c r="GN209" s="4">
        <v>0</v>
      </c>
      <c r="GO209" s="5">
        <f>GN209-GM209</f>
        <v>0</v>
      </c>
      <c r="GP209" s="4">
        <v>0</v>
      </c>
      <c r="GQ209" s="4">
        <v>0</v>
      </c>
      <c r="GR209" s="4">
        <v>1.993</v>
      </c>
      <c r="GS209" s="4">
        <v>1.989</v>
      </c>
      <c r="GT209" s="6"/>
      <c r="GU209" s="6"/>
      <c r="GV209" s="6"/>
      <c r="GW209" s="9"/>
      <c r="GX209" s="7">
        <f>IFERROR(GM209/F209,0)</f>
        <v>0</v>
      </c>
      <c r="GY209"/>
      <c r="GZ209"/>
      <c r="HA209"/>
      <c r="HB209"/>
      <c r="HC209"/>
      <c r="HD209" s="4"/>
      <c r="HE209" s="4"/>
      <c r="HF209" s="6"/>
      <c r="HG209" s="4"/>
      <c r="HH209" s="5">
        <v>0</v>
      </c>
      <c r="HI209" s="5"/>
      <c r="HJ209" s="6"/>
      <c r="HK209" s="4"/>
      <c r="HL209" s="4"/>
      <c r="HM209" s="5">
        <v>0</v>
      </c>
      <c r="HN209" s="5">
        <v>0</v>
      </c>
      <c r="HO209" s="5"/>
      <c r="HP209" s="4"/>
      <c r="HQ209" s="5">
        <v>0</v>
      </c>
      <c r="HR209" s="4"/>
      <c r="HS209" s="4"/>
      <c r="HT209" s="4"/>
      <c r="HU209" s="4"/>
      <c r="HV209" s="6"/>
      <c r="HW209" s="6"/>
      <c r="HX209" s="6"/>
      <c r="HY209" s="9"/>
      <c r="HZ209"/>
      <c r="IA209"/>
      <c r="IB209"/>
      <c r="IC209"/>
      <c r="ID209"/>
      <c r="IE209"/>
      <c r="IF209" s="4"/>
      <c r="IG209" s="4"/>
      <c r="IH209" s="6"/>
      <c r="II209" s="4"/>
      <c r="IJ209" s="5">
        <v>0</v>
      </c>
      <c r="IK209" s="5"/>
      <c r="IL209" s="6"/>
      <c r="IM209" s="4"/>
      <c r="IN209" s="4"/>
      <c r="IO209" s="5">
        <v>0</v>
      </c>
      <c r="IP209" s="5">
        <v>0</v>
      </c>
      <c r="IQ209" s="5"/>
      <c r="IR209" s="4"/>
      <c r="IS209" s="5">
        <v>0</v>
      </c>
      <c r="IT209" s="4"/>
      <c r="IU209" s="4"/>
      <c r="IV209" s="4"/>
      <c r="IW209" s="4"/>
      <c r="IX209" s="6"/>
      <c r="IY209" s="6"/>
      <c r="IZ209" s="6"/>
      <c r="JA209" s="9"/>
      <c r="JB209"/>
      <c r="JC209"/>
      <c r="JD209"/>
      <c r="JE209"/>
      <c r="JF209"/>
      <c r="JG209"/>
      <c r="JH209" s="4"/>
      <c r="JI209" s="4"/>
      <c r="JJ209" s="6"/>
      <c r="JK209" s="4"/>
      <c r="JL209" s="5">
        <v>0</v>
      </c>
      <c r="JM209" s="5"/>
      <c r="JN209" s="6"/>
      <c r="JO209" s="4"/>
      <c r="JP209" s="4"/>
      <c r="JQ209" s="5">
        <v>0</v>
      </c>
      <c r="JR209" s="5">
        <v>0</v>
      </c>
      <c r="JS209" s="5"/>
      <c r="JT209" s="4"/>
      <c r="JU209" s="5">
        <v>0</v>
      </c>
      <c r="JV209" s="4"/>
      <c r="JW209" s="4"/>
      <c r="JX209" s="4"/>
      <c r="JY209" s="4"/>
      <c r="JZ209" s="6"/>
      <c r="KA209" s="6"/>
      <c r="KB209" s="6"/>
      <c r="KC209" s="9"/>
      <c r="KD209"/>
      <c r="KE209"/>
      <c r="KF209"/>
      <c r="KG209"/>
      <c r="KH209"/>
      <c r="KI209"/>
      <c r="KJ209" s="4"/>
      <c r="KK209" s="4"/>
      <c r="KL209" s="6"/>
      <c r="KM209" s="4"/>
      <c r="KN209" s="5">
        <v>0</v>
      </c>
      <c r="KO209" s="5"/>
      <c r="KP209" s="6"/>
      <c r="KQ209" s="4"/>
      <c r="KR209" s="4"/>
      <c r="KS209" s="5">
        <v>0</v>
      </c>
      <c r="KT209" s="5">
        <v>0</v>
      </c>
      <c r="KU209" s="5"/>
      <c r="KV209" s="4"/>
      <c r="KW209" s="5">
        <v>0</v>
      </c>
      <c r="KX209" s="4"/>
      <c r="KY209" s="4"/>
      <c r="KZ209" s="4"/>
      <c r="LA209" s="4"/>
      <c r="LB209" s="6"/>
      <c r="LC209" s="6"/>
      <c r="LD209" s="6"/>
      <c r="LE209" s="9"/>
      <c r="LF209"/>
      <c r="LG209"/>
      <c r="LH209"/>
      <c r="LI209"/>
      <c r="LJ209"/>
      <c r="LK209"/>
      <c r="LL209" s="4"/>
      <c r="LM209" s="4"/>
      <c r="LN209" s="6"/>
      <c r="LO209" s="4"/>
      <c r="LP209" s="5">
        <v>0</v>
      </c>
      <c r="LQ209" s="5"/>
      <c r="LR209" s="6"/>
      <c r="LS209" s="4"/>
      <c r="LT209" s="4"/>
      <c r="LU209" s="5">
        <v>0</v>
      </c>
      <c r="LV209" s="5">
        <v>0</v>
      </c>
      <c r="LW209" s="5"/>
      <c r="LX209" s="4"/>
      <c r="LY209" s="5">
        <v>0</v>
      </c>
      <c r="LZ209" s="4"/>
      <c r="MA209" s="4"/>
      <c r="MB209" s="4"/>
      <c r="MC209" s="4"/>
      <c r="MD209" s="6"/>
      <c r="ME209" s="6"/>
      <c r="MF209" s="6"/>
      <c r="MG209" s="9"/>
      <c r="MH209"/>
    </row>
    <row r="210">
      <c r="A210" s="8">
        <v>25513</v>
      </c>
      <c r="B210" s="8">
        <v>25514</v>
      </c>
      <c r="C210" s="9">
        <f>B210-A210</f>
        <v>1</v>
      </c>
      <c r="D210" s="8">
        <v>25513</v>
      </c>
      <c r="E210" t="inlineStr">
        <is>
          <t xml:space="preserve">positive</t>
        </is>
      </c>
      <c r="F210" s="4">
        <v>2.044124097899796</v>
      </c>
      <c r="G210" s="6">
        <v>-0.014791201195764098</v>
      </c>
      <c r="H210" s="7">
        <f>SUM(CP210,DR210,ET210,FV210,GX210,HZ210,JB210,KD210,LF210,MH210)</f>
        <v>-0.014791201195764098</v>
      </c>
      <c r="I210" s="7">
        <f>G210-H210</f>
        <v>0</v>
      </c>
      <c r="J210" s="5">
        <f>F210*(1+H210)</f>
        <v>2.01388904709865</v>
      </c>
      <c r="K210" s="4">
        <v>2.01388904709865</v>
      </c>
      <c r="L210" s="5">
        <f>K210-J210</f>
        <v>0</v>
      </c>
      <c r="M210" s="4">
        <v>1.989</v>
      </c>
      <c r="N210" s="4">
        <v>1.964</v>
      </c>
      <c r="O210" s="5">
        <f>M210/$M$3</f>
        <v>1.015832482124617</v>
      </c>
      <c r="P210" s="5">
        <f>N210/$M$3</f>
        <v>1.003064351378958</v>
      </c>
      <c r="Q210" s="7">
        <f>IFERROR(N210/M210-1,0)</f>
        <v>-0.012569130216189106</v>
      </c>
      <c r="R210" s="5">
        <f>SUM(IF(BQ210="lease",CB210,0),IF(CS210="lease",DD210,0),IF(DU210="lease",EF210,0),IF(EW210="lease",FH210,0),IF(FY210="lease",GJ210,0),IF(HA210="lease",HL210,0),IF(IC210="lease",IN210,0),IF(JE210="lease",JP210,0),IF(KG210="lease",KR210,0),IF(LI210="lease",LT210,0))</f>
        <v>2.0441240978997954</v>
      </c>
      <c r="S210" s="5">
        <f>SUM(IF(BQ210="lease",CI210,0),IF(CS210="lease",DK210,0),IF(DU210="lease",EM210,0),IF(EW210="lease",FO210,0),IF(FY210="lease",GQ210,0),IF(HA210="lease",HS210,0),IF(IC210="lease",IU210,0),IF(JE210="lease",JW210,0),IF(KG210="lease",KY210,0),IF(LI210="lease",MA210,0))</f>
        <v>2.0138890470986497</v>
      </c>
      <c r="T210" s="5">
        <f>SUM(IF(BQ210="keep",CB210,0),IF(CS210="keep",DD210,0),IF(DU210="keep",EF210,0),IF(EW210="keep",FH210,0),IF(FY210="keep",GJ210,0),IF(HA210="keep",HL210,0),IF(IC210="keep",IN210,0),IF(JE210="keep",JP210,0),IF(KG210="keep",KR210,0),IF(LI210="keep",LT210,0))</f>
        <v>0</v>
      </c>
      <c r="U210" s="5">
        <f>SUM(IF(BQ210="keep",CI210,0),IF(CS210="keep",DK210,0),IF(DU210="keep",EM210,0),IF(EW210="keep",FO210,0),IF(FY210="keep",GQ210,0),IF(HA210="keep",HS210,0),IF(IC210="keep",IU210,0),IF(JE210="keep",JW210,0),IF(KG210="keep",KY210,0),IF(LI210="keep",MA210,0))</f>
        <v>0</v>
      </c>
      <c r="V210" s="5">
        <f>R210/O210</f>
        <v>2.0122649490637503</v>
      </c>
      <c r="W210" s="5">
        <f>S210/P210</f>
        <v>2.0077366365677984</v>
      </c>
      <c r="X210" s="5">
        <f>T210/O210</f>
        <v>0</v>
      </c>
      <c r="Y210" s="5">
        <f>U210/P210</f>
        <v>0</v>
      </c>
      <c r="Z210" s="5">
        <f>V210+X210</f>
        <v>2.0122649490637503</v>
      </c>
      <c r="AA210" s="7">
        <f>IFERROR(W210/V210-1,0)</f>
        <v>-0.0022503559971358555</v>
      </c>
      <c r="AB210" s="7">
        <f>IFERROR((W210-V210)/Z210,0)</f>
        <v>-0.0022503559971358464</v>
      </c>
      <c r="AC210" s="7">
        <f>IFERROR(Y210/X210-1,0)</f>
        <v>0</v>
      </c>
      <c r="AD210" s="7">
        <f>IFERROR((Y210-X210)/Z210,0)</f>
        <v>0</v>
      </c>
      <c r="AE210" s="7">
        <f>AB210+AD210</f>
        <v>-0.0022503559971358464</v>
      </c>
      <c r="AF210" s="7">
        <f>(1+Q210)*(1+AE210)-1</f>
        <v>-0.014791201195764159</v>
      </c>
      <c r="AG210" s="7">
        <f>G210-AF210</f>
        <v>6.071532165918825e-17</v>
      </c>
      <c r="AH210" s="5">
        <f>SUM(IF(BQ210="lease",CE210,0),IF(CS210="lease",DG210,0),IF(DU210="lease",EI210,0),IF(EW210="lease",FK210,0),IF(FY210="lease",GM210,0),IF(HA210="lease",HO210,0),IF(IC210="lease",IQ210,0),IF(JE210="lease",JS210,0),IF(KG210="lease",KU210,0),IF(LI210="lease",LW210,0))</f>
        <v>-0.03023505080114567</v>
      </c>
      <c r="AI210" s="5">
        <f>SUM(IF(BQ210="keep",CE210,0),IF(CS210="keep",DG210,0),IF(DU210="keep",EI210,0),IF(EW210="keep",FK210,0),IF(FY210="keep",GM210,0),IF(HA210="keep",HO210,0),IF(IC210="keep",IQ210,0),IF(JE210="keep",JS210,0),IF(KG210="keep",KU210,0),IF(LI210="keep",LW210,0))</f>
        <v>0</v>
      </c>
      <c r="AJ210" s="5">
        <f>SUM(IF(BQ210="lease",CH210,0),IF(CS210="lease",DJ210,0),IF(DU210="lease",EL210,0),IF(EW210="lease",FN210,0),IF(FY210="lease",GP210,0),IF(HA210="lease",HR210,0),IF(IC210="lease",IT210,0),IF(JE210="lease",JV210,0),IF(KG210="lease",KX210,0),IF(LI210="lease",LZ210,0))</f>
        <v>0</v>
      </c>
      <c r="AK210" s="5">
        <f>SUM(IF(BQ210="keep",CH210,0),IF(CS210="keep",DJ210,0),IF(DU210="keep",EL210,0),IF(EW210="keep",FN210,0),IF(FY210="keep",GP210,0),IF(HA210="keep",HR210,0),IF(IC210="keep",IT210,0),IF(JE210="keep",JV210,0),IF(KG210="keep",KX210,0),IF(LI210="keep",LZ210,0))</f>
        <v>0</v>
      </c>
      <c r="AL210" s="5">
        <f>R210-S209</f>
        <v>0</v>
      </c>
      <c r="AM210" s="5">
        <f>T210-U209</f>
        <v>0</v>
      </c>
      <c r="AN210" s="5">
        <f>AN209</f>
        <v>1</v>
      </c>
      <c r="AO210" s="5">
        <f>AO209+AH210</f>
        <v>1.0138890470986501</v>
      </c>
      <c r="AP210" s="5">
        <f>AP209+AL210</f>
        <v>4.440892098500626e-16</v>
      </c>
      <c r="AQ210" s="5">
        <f>AN210+AO210+AP210</f>
        <v>2.0138890470986506</v>
      </c>
      <c r="AR210" s="5">
        <f>S210-AQ210</f>
        <v>-8.881784197001252e-16</v>
      </c>
      <c r="AS210" s="5">
        <f>AS209</f>
        <v>0</v>
      </c>
      <c r="AT210" s="5">
        <f>AT209+AI210</f>
        <v>0</v>
      </c>
      <c r="AU210" s="5">
        <f>AU209+AM210</f>
        <v>0</v>
      </c>
      <c r="AV210" s="5">
        <f>AS210+AT210+AU210</f>
        <v>0</v>
      </c>
      <c r="AW210" s="5">
        <f>U210-AV210</f>
        <v>0</v>
      </c>
      <c r="AX210" s="4">
        <v>2.0441240978997954</v>
      </c>
      <c r="AY210" s="4">
        <v>2.0138890470986497</v>
      </c>
      <c r="AZ210" s="5">
        <f>S210-AY210</f>
        <v>0</v>
      </c>
      <c r="BA210" s="4">
        <v>0</v>
      </c>
      <c r="BB210" s="4">
        <v>0</v>
      </c>
      <c r="BC210" s="5">
        <f>U210-BB210</f>
        <v>0</v>
      </c>
      <c r="BD210" s="7">
        <f>SUM(IF(BP210="direct",CC210/F210,0),IF(CR210="direct",DE210/F210,0),IF(DT210="direct",EG210/F210,0),IF(EV210="direct",FI210/F210,0),IF(FX210="direct",GK210/F210,0),IF(GZ210="direct",HM210/F210,0),IF(IB210="direct",IO210/F210,0),IF(JD210="direct",JQ210/F210,0),IF(KF210="direct",KS210/F210,0),IF(LH210="direct",LU210/F210,0))</f>
        <v>-0.007763512533755568</v>
      </c>
      <c r="BE210" s="7">
        <f>-SUM(IF(BP210="direct",CD210/F210,0),IF(CR210="direct",DF210/F210,0),IF(DT210="direct",EH210/F210,0),IF(EV210="direct",FJ210/F210,0),IF(FX210="direct",GL210/F210,0),IF(GZ210="direct",HN210/F210,0),IF(IB210="direct",IP210/F210,0),IF(JD210="direct",JR210/F210,0),IF(KF210="direct",KT210/F210,0),IF(LH210="direct",LV210/F210,0))</f>
        <v>-0.000004230582583462943</v>
      </c>
      <c r="BF210" s="7">
        <f>BD210+BE210</f>
        <v>-0.007767743116339031</v>
      </c>
      <c r="BG210" s="7">
        <f>BF210-SUM(IF(BP210="direct",CP210,0),IF(CR210="direct",DR210,0),IF(DT210="direct",ET210,0),IF(EV210="direct",FV210,0),IF(FX210="direct",GX210,0),IF(GZ210="direct",HZ210,0),IF(IB210="direct",JB210,0),IF(JD210="direct",KD210,0),IF(KF210="direct",LF210,0),IF(LH210="direct",MH210,0))</f>
        <v>-8.673617379884035e-19</v>
      </c>
      <c r="BH210" s="7">
        <f>SUM(IF(BP210="treasury",CP210,0),IF(CR210="treasury",DR210,0),IF(DT210="treasury",ET210,0),IF(EV210="treasury",FV210,0),IF(FX210="treasury",GX210,0),IF(GZ210="treasury",HZ210,0),IF(IB210="treasury",JB210,0),IF(JD210="treasury",KD210,0),IF(KF210="treasury",LF210,0),IF(LH210="treasury",MH210,0))</f>
        <v>0.00007458150117366032</v>
      </c>
      <c r="BI210" s="7">
        <f>SUM(IF(BP210="future",CP210,0),IF(CR210="future",DR210,0),IF(DT210="future",ET210,0),IF(EV210="future",FV210,0),IF(FX210="future",GX210,0),IF(GZ210="future",HZ210,0),IF(IB210="future",JB210,0),IF(JD210="future",KD210,0),IF(KF210="future",LF210,0),IF(LH210="future",MH210,0))</f>
        <v>-0.007098039580598729</v>
      </c>
      <c r="BJ210" s="7">
        <f>SUM(IF(BP210="cash",CP210,0),IF(CR210="cash",DR210,0),IF(DT210="cash",ET210,0),IF(EV210="cash",FV210,0),IF(FX210="cash",GX210,0),IF(GZ210="cash",HZ210,0),IF(IB210="cash",JB210,0),IF(JD210="cash",KD210,0),IF(KF210="cash",LF210,0),IF(LH210="cash",MH210,0))</f>
        <v>0</v>
      </c>
      <c r="BK210" s="7">
        <f>SUM(BF210,BH210,BI210,BJ210)</f>
        <v>-0.0147912011957641</v>
      </c>
      <c r="BL210" s="7">
        <f>G210-BK210</f>
        <v>1.734723475976807e-18</v>
      </c>
      <c r="BM210" s="5">
        <f>MAX(ABS(CG210),ABS(DI210),ABS(EK210),ABS(FM210),ABS(GO210),ABS(HQ210),ABS(IS210),ABS(JU210),ABS(KW210),ABS(LY210))</f>
        <v>9.378348791999613e-18</v>
      </c>
      <c r="BN210" s="9">
        <f>COUNTA(BO210,CQ210,DS210,EU210,FW210,GY210,IA210,JC210,KE210,LG210)</f>
        <v>5</v>
      </c>
      <c r="BO210" t="inlineStr">
        <is>
          <t xml:space="preserve">Direct commodity holding</t>
        </is>
      </c>
      <c r="BP210" t="inlineStr">
        <is>
          <t xml:space="preserve">direct</t>
        </is>
      </c>
      <c r="BQ210" t="inlineStr">
        <is>
          <t xml:space="preserve">lease</t>
        </is>
      </c>
      <c r="BR210" t="inlineStr">
        <is>
          <t xml:space="preserve">long</t>
        </is>
      </c>
      <c r="BS210"/>
      <c r="BT210" s="4">
        <v>1.989</v>
      </c>
      <c r="BU210" s="4">
        <v>1.964</v>
      </c>
      <c r="BV210" s="6">
        <v>0.0025</v>
      </c>
      <c r="BW210" s="4">
        <v>0.6347833221838709</v>
      </c>
      <c r="BX210" s="5">
        <f>IF(BP210="direct",IFERROR(CD210/BU210,0),0)</f>
        <v>0.000004403175054486648</v>
      </c>
      <c r="BY210" s="5">
        <f>IF(BP210="direct",BW210-BX210,IF(BP210="cash",CI210,BW210))</f>
        <v>0.6347789190088164</v>
      </c>
      <c r="BZ210" s="6">
        <v>0.6176650571855896</v>
      </c>
      <c r="CA210" s="4">
        <v>1.2625840278237193</v>
      </c>
      <c r="CB210" s="4">
        <v>1.2625840278237193</v>
      </c>
      <c r="CC210" s="5">
        <f>IF(BP210="direct",BW210*(BU210-BT210),CF210)</f>
        <v>-0.015869583054596858</v>
      </c>
      <c r="CD210" s="5">
        <f>IF(BP210="direct",CB210*BV210*C210/365,0)</f>
        <v>0.000008647835807011777</v>
      </c>
      <c r="CE210" s="5">
        <f>CC210-CD210</f>
        <v>-0.01587823089040387</v>
      </c>
      <c r="CF210" s="4">
        <v>-0.01587823089040387</v>
      </c>
      <c r="CG210" s="5">
        <f>CF210-CE210</f>
        <v>8.538092108323347e-19</v>
      </c>
      <c r="CH210" s="4">
        <v>0</v>
      </c>
      <c r="CI210" s="4">
        <v>1.2467057969333155</v>
      </c>
      <c r="CJ210" s="4">
        <v>1.989</v>
      </c>
      <c r="CK210" s="4">
        <v>1.964</v>
      </c>
      <c r="CL210" s="6"/>
      <c r="CM210" s="6"/>
      <c r="CN210" s="6"/>
      <c r="CO210" s="9"/>
      <c r="CP210" s="7">
        <f>IFERROR(CE210/F210,0)</f>
        <v>-0.00776774311633903</v>
      </c>
      <c r="CQ210" t="inlineStr">
        <is>
          <t xml:space="preserve">Treasury collateral</t>
        </is>
      </c>
      <c r="CR210" t="inlineStr">
        <is>
          <t xml:space="preserve">treasury</t>
        </is>
      </c>
      <c r="CS210" t="inlineStr">
        <is>
          <t xml:space="preserve">lease</t>
        </is>
      </c>
      <c r="CT210" t="inlineStr">
        <is>
          <t xml:space="preserve">long</t>
        </is>
      </c>
      <c r="CU210"/>
      <c r="CV210" s="4">
        <v>105.63932130436619</v>
      </c>
      <c r="CW210" s="4">
        <v>105.6599282075905</v>
      </c>
      <c r="CX210" s="6"/>
      <c r="CY210" s="4">
        <v>0.007398192836020944</v>
      </c>
      <c r="CZ210" s="5">
        <f>IF(CR210="direct",IFERROR(DF210/CW210,0),0)</f>
        <v>0</v>
      </c>
      <c r="DA210" s="5">
        <f>IF(CR210="direct",CY210-CZ210,IF(CR210="cash",DK210,CY210))</f>
        <v>0.007398192836020944</v>
      </c>
      <c r="DB210" s="6">
        <v>0.3823349428144104</v>
      </c>
      <c r="DC210" s="4">
        <v>0.7815400700760766</v>
      </c>
      <c r="DD210" s="4">
        <v>0.7815400700760766</v>
      </c>
      <c r="DE210" s="5">
        <f>IF(CR210="direct",CY210*(CW210-CV210),DH210)</f>
        <v>0.00015245384380663035</v>
      </c>
      <c r="DF210" s="5">
        <f>IF(CR210="direct",DD210*CX210*C210/365,0)</f>
        <v>0</v>
      </c>
      <c r="DG210" s="5">
        <f>DE210-DF210</f>
        <v>0.00015245384380662097</v>
      </c>
      <c r="DH210" s="4">
        <v>0.00015245384380662097</v>
      </c>
      <c r="DI210" s="5">
        <f>DH210-DG210</f>
        <v>-9.378348791999613e-18</v>
      </c>
      <c r="DJ210" s="4">
        <v>6.705790436822845e-17</v>
      </c>
      <c r="DK210" s="4">
        <v>0.7816925239198833</v>
      </c>
      <c r="DL210" s="4">
        <v>1.989</v>
      </c>
      <c r="DM210" s="4">
        <v>1.964</v>
      </c>
      <c r="DN210" s="6"/>
      <c r="DO210" s="6"/>
      <c r="DP210" s="6"/>
      <c r="DQ210" s="9">
        <v>53</v>
      </c>
      <c r="DR210" s="7">
        <f>IFERROR(DG210/F210,0)</f>
        <v>0.00007458150117366032</v>
      </c>
      <c r="DS210" t="inlineStr">
        <is>
          <t xml:space="preserve">SI69Z</t>
        </is>
      </c>
      <c r="DT210" t="inlineStr">
        <is>
          <t xml:space="preserve">future</t>
        </is>
      </c>
      <c r="DU210" t="inlineStr">
        <is>
          <t xml:space="preserve">lease</t>
        </is>
      </c>
      <c r="DV210" t="inlineStr">
        <is>
          <t xml:space="preserve">long</t>
        </is>
      </c>
      <c r="DW210" t="inlineStr">
        <is>
          <t xml:space="preserve">regular</t>
        </is>
      </c>
      <c r="DX210" s="4">
        <v>1.993</v>
      </c>
      <c r="DY210" s="4">
        <v>1.956</v>
      </c>
      <c r="DZ210" s="6"/>
      <c r="EA210" s="4">
        <v>0.3921425339067118</v>
      </c>
      <c r="EB210" s="5">
        <f>IF(DT210="direct",IFERROR(EH210/DY210,0),0)</f>
        <v>0</v>
      </c>
      <c r="EC210" s="5">
        <f>IF(DT210="direct",EA210-EB210,IF(DT210="cash",EM210,EA210))</f>
        <v>0.3921425339067118</v>
      </c>
      <c r="ED210" s="6">
        <v>0.3823349428144104</v>
      </c>
      <c r="EE210" s="4">
        <v>0.7815400700760766</v>
      </c>
      <c r="EF210" s="4">
        <v>0</v>
      </c>
      <c r="EG210" s="5">
        <f>IF(DT210="direct",EA210*(DY210-DX210),EJ210)</f>
        <v>-0.014509273754548423</v>
      </c>
      <c r="EH210" s="5">
        <f>IF(DT210="direct",EF210*DZ210*C210/365,0)</f>
        <v>0</v>
      </c>
      <c r="EI210" s="5">
        <f>EG210-EH210</f>
        <v>-0.014509273754548423</v>
      </c>
      <c r="EJ210" s="4">
        <v>-0.014509273754548423</v>
      </c>
      <c r="EK210" s="5">
        <f>EJ210-EI210</f>
        <v>0</v>
      </c>
      <c r="EL210" s="4">
        <v>0.014509273754548423</v>
      </c>
      <c r="EM210" s="4">
        <v>0</v>
      </c>
      <c r="EN210" s="4">
        <v>1.989</v>
      </c>
      <c r="EO210" s="4">
        <v>1.964</v>
      </c>
      <c r="EP210" s="6">
        <v>0.002011060834590239</v>
      </c>
      <c r="EQ210" s="6">
        <v>0.0712</v>
      </c>
      <c r="ER210" s="6">
        <v>0.057350241422161566</v>
      </c>
      <c r="ES210" s="9">
        <v>53</v>
      </c>
      <c r="ET210" s="7">
        <f>IFERROR(EI210/F210,0)</f>
        <v>-0.007098039580598729</v>
      </c>
      <c r="EU210" t="inlineStr">
        <is>
          <t xml:space="preserve">Lease cash / margin / financing</t>
        </is>
      </c>
      <c r="EV210" t="inlineStr">
        <is>
          <t xml:space="preserve">cash</t>
        </is>
      </c>
      <c r="EW210" t="inlineStr">
        <is>
          <t xml:space="preserve">lease</t>
        </is>
      </c>
      <c r="EX210" t="inlineStr">
        <is>
          <t xml:space="preserve">cash</t>
        </is>
      </c>
      <c r="EY210"/>
      <c r="EZ210" s="4">
        <v>1</v>
      </c>
      <c r="FA210" s="4">
        <v>1</v>
      </c>
      <c r="FB210" s="6"/>
      <c r="FC210" s="4">
        <v>-4.440892098500626e-16</v>
      </c>
      <c r="FD210" s="5">
        <f>IF(EV210="direct",IFERROR(FJ210/FA210,0),0)</f>
        <v>0</v>
      </c>
      <c r="FE210" s="5">
        <f>IF(EV210="direct",FC210-FD210,IF(EV210="cash",FO210,FC210))</f>
        <v>-0.014509273754548935</v>
      </c>
      <c r="FF210" s="6"/>
      <c r="FG210" s="4">
        <v>-4.440892098500626e-16</v>
      </c>
      <c r="FH210" s="4">
        <v>-4.440892098500626e-16</v>
      </c>
      <c r="FI210" s="5">
        <f>IF(EV210="direct",FC210*(FA210-EZ210),FL210)</f>
        <v>0</v>
      </c>
      <c r="FJ210" s="5">
        <f>IF(EV210="direct",FH210*FB210*C210/365,0)</f>
        <v>0</v>
      </c>
      <c r="FK210" s="5">
        <f>FI210-FJ210</f>
        <v>0</v>
      </c>
      <c r="FL210" s="4">
        <v>0</v>
      </c>
      <c r="FM210" s="5">
        <f>FL210-FK210</f>
        <v>0</v>
      </c>
      <c r="FN210" s="4">
        <v>-0.014509273754548491</v>
      </c>
      <c r="FO210" s="4">
        <v>-0.014509273754548935</v>
      </c>
      <c r="FP210" s="4">
        <v>1.989</v>
      </c>
      <c r="FQ210" s="4">
        <v>1.964</v>
      </c>
      <c r="FR210" s="6"/>
      <c r="FS210" s="6"/>
      <c r="FT210" s="6"/>
      <c r="FU210" s="9"/>
      <c r="FV210" s="7">
        <f>IFERROR(FK210/F210,0)</f>
        <v>0</v>
      </c>
      <c r="FW210" t="inlineStr">
        <is>
          <t xml:space="preserve">Keep cash / margin / financing</t>
        </is>
      </c>
      <c r="FX210" t="inlineStr">
        <is>
          <t xml:space="preserve">cash</t>
        </is>
      </c>
      <c r="FY210" t="inlineStr">
        <is>
          <t xml:space="preserve">keep</t>
        </is>
      </c>
      <c r="FZ210" t="inlineStr">
        <is>
          <t xml:space="preserve">cash</t>
        </is>
      </c>
      <c r="GA210"/>
      <c r="GB210" s="4">
        <v>1</v>
      </c>
      <c r="GC210" s="4">
        <v>1</v>
      </c>
      <c r="GD210" s="6"/>
      <c r="GE210" s="4">
        <v>0</v>
      </c>
      <c r="GF210" s="5">
        <f>IF(FX210="direct",IFERROR(GL210/GC210,0),0)</f>
        <v>0</v>
      </c>
      <c r="GG210" s="5">
        <f>IF(FX210="direct",GE210-GF210,IF(FX210="cash",GQ210,GE210))</f>
        <v>0</v>
      </c>
      <c r="GH210" s="6"/>
      <c r="GI210" s="4">
        <v>0</v>
      </c>
      <c r="GJ210" s="4">
        <v>0</v>
      </c>
      <c r="GK210" s="5">
        <f>IF(FX210="direct",GE210*(GC210-GB210),GN210)</f>
        <v>0</v>
      </c>
      <c r="GL210" s="5">
        <f>IF(FX210="direct",GJ210*GD210*C210/365,0)</f>
        <v>0</v>
      </c>
      <c r="GM210" s="5">
        <f>GK210-GL210</f>
        <v>0</v>
      </c>
      <c r="GN210" s="4">
        <v>0</v>
      </c>
      <c r="GO210" s="5">
        <f>GN210-GM210</f>
        <v>0</v>
      </c>
      <c r="GP210" s="4">
        <v>0</v>
      </c>
      <c r="GQ210" s="4">
        <v>0</v>
      </c>
      <c r="GR210" s="4">
        <v>1.989</v>
      </c>
      <c r="GS210" s="4">
        <v>1.964</v>
      </c>
      <c r="GT210" s="6"/>
      <c r="GU210" s="6"/>
      <c r="GV210" s="6"/>
      <c r="GW210" s="9"/>
      <c r="GX210" s="7">
        <f>IFERROR(GM210/F210,0)</f>
        <v>0</v>
      </c>
      <c r="GY210"/>
      <c r="GZ210"/>
      <c r="HA210"/>
      <c r="HB210"/>
      <c r="HC210"/>
      <c r="HD210" s="4"/>
      <c r="HE210" s="4"/>
      <c r="HF210" s="6"/>
      <c r="HG210" s="4"/>
      <c r="HH210" s="5">
        <v>0</v>
      </c>
      <c r="HI210" s="5"/>
      <c r="HJ210" s="6"/>
      <c r="HK210" s="4"/>
      <c r="HL210" s="4"/>
      <c r="HM210" s="5">
        <v>0</v>
      </c>
      <c r="HN210" s="5">
        <v>0</v>
      </c>
      <c r="HO210" s="5"/>
      <c r="HP210" s="4"/>
      <c r="HQ210" s="5">
        <v>0</v>
      </c>
      <c r="HR210" s="4"/>
      <c r="HS210" s="4"/>
      <c r="HT210" s="4"/>
      <c r="HU210" s="4"/>
      <c r="HV210" s="6"/>
      <c r="HW210" s="6"/>
      <c r="HX210" s="6"/>
      <c r="HY210" s="9"/>
      <c r="HZ210"/>
      <c r="IA210"/>
      <c r="IB210"/>
      <c r="IC210"/>
      <c r="ID210"/>
      <c r="IE210"/>
      <c r="IF210" s="4"/>
      <c r="IG210" s="4"/>
      <c r="IH210" s="6"/>
      <c r="II210" s="4"/>
      <c r="IJ210" s="5">
        <v>0</v>
      </c>
      <c r="IK210" s="5"/>
      <c r="IL210" s="6"/>
      <c r="IM210" s="4"/>
      <c r="IN210" s="4"/>
      <c r="IO210" s="5">
        <v>0</v>
      </c>
      <c r="IP210" s="5">
        <v>0</v>
      </c>
      <c r="IQ210" s="5"/>
      <c r="IR210" s="4"/>
      <c r="IS210" s="5">
        <v>0</v>
      </c>
      <c r="IT210" s="4"/>
      <c r="IU210" s="4"/>
      <c r="IV210" s="4"/>
      <c r="IW210" s="4"/>
      <c r="IX210" s="6"/>
      <c r="IY210" s="6"/>
      <c r="IZ210" s="6"/>
      <c r="JA210" s="9"/>
      <c r="JB210"/>
      <c r="JC210"/>
      <c r="JD210"/>
      <c r="JE210"/>
      <c r="JF210"/>
      <c r="JG210"/>
      <c r="JH210" s="4"/>
      <c r="JI210" s="4"/>
      <c r="JJ210" s="6"/>
      <c r="JK210" s="4"/>
      <c r="JL210" s="5">
        <v>0</v>
      </c>
      <c r="JM210" s="5"/>
      <c r="JN210" s="6"/>
      <c r="JO210" s="4"/>
      <c r="JP210" s="4"/>
      <c r="JQ210" s="5">
        <v>0</v>
      </c>
      <c r="JR210" s="5">
        <v>0</v>
      </c>
      <c r="JS210" s="5"/>
      <c r="JT210" s="4"/>
      <c r="JU210" s="5">
        <v>0</v>
      </c>
      <c r="JV210" s="4"/>
      <c r="JW210" s="4"/>
      <c r="JX210" s="4"/>
      <c r="JY210" s="4"/>
      <c r="JZ210" s="6"/>
      <c r="KA210" s="6"/>
      <c r="KB210" s="6"/>
      <c r="KC210" s="9"/>
      <c r="KD210"/>
      <c r="KE210"/>
      <c r="KF210"/>
      <c r="KG210"/>
      <c r="KH210"/>
      <c r="KI210"/>
      <c r="KJ210" s="4"/>
      <c r="KK210" s="4"/>
      <c r="KL210" s="6"/>
      <c r="KM210" s="4"/>
      <c r="KN210" s="5">
        <v>0</v>
      </c>
      <c r="KO210" s="5"/>
      <c r="KP210" s="6"/>
      <c r="KQ210" s="4"/>
      <c r="KR210" s="4"/>
      <c r="KS210" s="5">
        <v>0</v>
      </c>
      <c r="KT210" s="5">
        <v>0</v>
      </c>
      <c r="KU210" s="5"/>
      <c r="KV210" s="4"/>
      <c r="KW210" s="5">
        <v>0</v>
      </c>
      <c r="KX210" s="4"/>
      <c r="KY210" s="4"/>
      <c r="KZ210" s="4"/>
      <c r="LA210" s="4"/>
      <c r="LB210" s="6"/>
      <c r="LC210" s="6"/>
      <c r="LD210" s="6"/>
      <c r="LE210" s="9"/>
      <c r="LF210"/>
      <c r="LG210"/>
      <c r="LH210"/>
      <c r="LI210"/>
      <c r="LJ210"/>
      <c r="LK210"/>
      <c r="LL210" s="4"/>
      <c r="LM210" s="4"/>
      <c r="LN210" s="6"/>
      <c r="LO210" s="4"/>
      <c r="LP210" s="5">
        <v>0</v>
      </c>
      <c r="LQ210" s="5"/>
      <c r="LR210" s="6"/>
      <c r="LS210" s="4"/>
      <c r="LT210" s="4"/>
      <c r="LU210" s="5">
        <v>0</v>
      </c>
      <c r="LV210" s="5">
        <v>0</v>
      </c>
      <c r="LW210" s="5"/>
      <c r="LX210" s="4"/>
      <c r="LY210" s="5">
        <v>0</v>
      </c>
      <c r="LZ210" s="4"/>
      <c r="MA210" s="4"/>
      <c r="MB210" s="4"/>
      <c r="MC210" s="4"/>
      <c r="MD210" s="6"/>
      <c r="ME210" s="6"/>
      <c r="MF210" s="6"/>
      <c r="MG210" s="9"/>
      <c r="MH210"/>
    </row>
    <row r="211">
      <c r="A211" s="8">
        <v>25514</v>
      </c>
      <c r="B211" s="8">
        <v>25517</v>
      </c>
      <c r="C211" s="9">
        <f>B211-A211</f>
        <v>3</v>
      </c>
      <c r="D211" s="8">
        <v>25514</v>
      </c>
      <c r="E211" t="inlineStr">
        <is>
          <t xml:space="preserve">positive</t>
        </is>
      </c>
      <c r="F211" s="4">
        <v>2.01388904709865</v>
      </c>
      <c r="G211" s="6">
        <v>-0.0008052522757661675</v>
      </c>
      <c r="H211" s="7">
        <f>SUM(CP211,DR211,ET211,FV211,GX211,HZ211,JB211,KD211,LF211,MH211)</f>
        <v>-0.0008052522757661676</v>
      </c>
      <c r="I211" s="7">
        <f>G211-H211</f>
        <v>1.0842021724855044e-19</v>
      </c>
      <c r="J211" s="5">
        <f>F211*(1+H211)</f>
        <v>2.0122673583603334</v>
      </c>
      <c r="K211" s="4">
        <v>2.0122673583603334</v>
      </c>
      <c r="L211" s="5">
        <f>K211-J211</f>
        <v>0</v>
      </c>
      <c r="M211" s="4">
        <v>1.964</v>
      </c>
      <c r="N211" s="4">
        <v>1.943</v>
      </c>
      <c r="O211" s="5">
        <f>M211/$M$3</f>
        <v>1.003064351378958</v>
      </c>
      <c r="P211" s="5">
        <f>N211/$M$3</f>
        <v>0.9923391215526047</v>
      </c>
      <c r="Q211" s="7">
        <f>IFERROR(N211/M211-1,0)</f>
        <v>-0.010692464358452058</v>
      </c>
      <c r="R211" s="5">
        <f>SUM(IF(BQ211="lease",CB211,0),IF(CS211="lease",DD211,0),IF(DU211="lease",EF211,0),IF(EW211="lease",FH211,0),IF(FY211="lease",GJ211,0),IF(HA211="lease",HL211,0),IF(IC211="lease",IN211,0),IF(JE211="lease",JP211,0),IF(KG211="lease",KR211,0),IF(LI211="lease",LT211,0))</f>
        <v>2.0138890470986497</v>
      </c>
      <c r="S211" s="5">
        <f>SUM(IF(BQ211="lease",CI211,0),IF(CS211="lease",DK211,0),IF(DU211="lease",EM211,0),IF(EW211="lease",FO211,0),IF(FY211="lease",GQ211,0),IF(HA211="lease",HS211,0),IF(IC211="lease",IU211,0),IF(JE211="lease",JW211,0),IF(KG211="lease",KY211,0),IF(LI211="lease",MA211,0))</f>
        <v>2.012267358360333</v>
      </c>
      <c r="T211" s="5">
        <f>SUM(IF(BQ211="keep",CB211,0),IF(CS211="keep",DD211,0),IF(DU211="keep",EF211,0),IF(EW211="keep",FH211,0),IF(FY211="keep",GJ211,0),IF(HA211="keep",HL211,0),IF(IC211="keep",IN211,0),IF(JE211="keep",JP211,0),IF(KG211="keep",KR211,0),IF(LI211="keep",LT211,0))</f>
        <v>0</v>
      </c>
      <c r="U211" s="5">
        <f>SUM(IF(BQ211="keep",CI211,0),IF(CS211="keep",DK211,0),IF(DU211="keep",EM211,0),IF(EW211="keep",FO211,0),IF(FY211="keep",GQ211,0),IF(HA211="keep",HS211,0),IF(IC211="keep",IU211,0),IF(JE211="keep",JW211,0),IF(KG211="keep",KY211,0),IF(LI211="keep",MA211,0))</f>
        <v>0</v>
      </c>
      <c r="V211" s="5">
        <f>R211/O211</f>
        <v>2.0077366365677984</v>
      </c>
      <c r="W211" s="5">
        <f>S211/P211</f>
        <v>2.0278021037928626</v>
      </c>
      <c r="X211" s="5">
        <f>T211/O211</f>
        <v>0</v>
      </c>
      <c r="Y211" s="5">
        <f>U211/P211</f>
        <v>0</v>
      </c>
      <c r="Z211" s="5">
        <f>V211+X211</f>
        <v>2.0077366365677984</v>
      </c>
      <c r="AA211" s="7">
        <f>IFERROR(W211/V211-1,0)</f>
        <v>0.009994073355839017</v>
      </c>
      <c r="AB211" s="7">
        <f>IFERROR((W211-V211)/Z211,0)</f>
        <v>0.009994073355839074</v>
      </c>
      <c r="AC211" s="7">
        <f>IFERROR(Y211/X211-1,0)</f>
        <v>0</v>
      </c>
      <c r="AD211" s="7">
        <f>IFERROR((Y211-X211)/Z211,0)</f>
        <v>0</v>
      </c>
      <c r="AE211" s="7">
        <f>AB211+AD211</f>
        <v>0.009994073355839074</v>
      </c>
      <c r="AF211" s="7">
        <f>(1+Q211)*(1+AE211)-1</f>
        <v>-0.0008052522757661107</v>
      </c>
      <c r="AG211" s="7">
        <f>G211-AF211</f>
        <v>-5.681219383824043e-17</v>
      </c>
      <c r="AH211" s="5">
        <f>SUM(IF(BQ211="lease",CE211,0),IF(CS211="lease",DG211,0),IF(DU211="lease",EI211,0),IF(EW211="lease",FK211,0),IF(FY211="lease",GM211,0),IF(HA211="lease",HO211,0),IF(IC211="lease",IQ211,0),IF(JE211="lease",JS211,0),IF(KG211="lease",KU211,0),IF(LI211="lease",LW211,0))</f>
        <v>-0.0016216887383167468</v>
      </c>
      <c r="AI211" s="5">
        <f>SUM(IF(BQ211="keep",CE211,0),IF(CS211="keep",DG211,0),IF(DU211="keep",EI211,0),IF(EW211="keep",FK211,0),IF(FY211="keep",GM211,0),IF(HA211="keep",HO211,0),IF(IC211="keep",IQ211,0),IF(JE211="keep",JS211,0),IF(KG211="keep",KU211,0),IF(LI211="keep",LW211,0))</f>
        <v>0</v>
      </c>
      <c r="AJ211" s="5">
        <f>SUM(IF(BQ211="lease",CH211,0),IF(CS211="lease",DJ211,0),IF(DU211="lease",EL211,0),IF(EW211="lease",FN211,0),IF(FY211="lease",GP211,0),IF(HA211="lease",HR211,0),IF(IC211="lease",IT211,0),IF(JE211="lease",JV211,0),IF(KG211="lease",KX211,0),IF(LI211="lease",LZ211,0))</f>
        <v>0</v>
      </c>
      <c r="AK211" s="5">
        <f>SUM(IF(BQ211="keep",CH211,0),IF(CS211="keep",DJ211,0),IF(DU211="keep",EL211,0),IF(EW211="keep",FN211,0),IF(FY211="keep",GP211,0),IF(HA211="keep",HR211,0),IF(IC211="keep",IT211,0),IF(JE211="keep",JV211,0),IF(KG211="keep",KX211,0),IF(LI211="keep",LZ211,0))</f>
        <v>0</v>
      </c>
      <c r="AL211" s="5">
        <f>R211-S210</f>
        <v>0</v>
      </c>
      <c r="AM211" s="5">
        <f>T211-U210</f>
        <v>0</v>
      </c>
      <c r="AN211" s="5">
        <f>AN210</f>
        <v>1</v>
      </c>
      <c r="AO211" s="5">
        <f>AO210+AH211</f>
        <v>1.0122673583603334</v>
      </c>
      <c r="AP211" s="5">
        <f>AP210+AL211</f>
        <v>4.440892098500626e-16</v>
      </c>
      <c r="AQ211" s="5">
        <f>AN211+AO211+AP211</f>
        <v>2.012267358360334</v>
      </c>
      <c r="AR211" s="5">
        <f>S211-AQ211</f>
        <v>-8.881784197001252e-16</v>
      </c>
      <c r="AS211" s="5">
        <f>AS210</f>
        <v>0</v>
      </c>
      <c r="AT211" s="5">
        <f>AT210+AI211</f>
        <v>0</v>
      </c>
      <c r="AU211" s="5">
        <f>AU210+AM211</f>
        <v>0</v>
      </c>
      <c r="AV211" s="5">
        <f>AS211+AT211+AU211</f>
        <v>0</v>
      </c>
      <c r="AW211" s="5">
        <f>U211-AV211</f>
        <v>0</v>
      </c>
      <c r="AX211" s="4">
        <v>2.0138890470986497</v>
      </c>
      <c r="AY211" s="4">
        <v>2.012267358360333</v>
      </c>
      <c r="AZ211" s="5">
        <f>S211-AY211</f>
        <v>0</v>
      </c>
      <c r="BA211" s="4">
        <v>0</v>
      </c>
      <c r="BB211" s="4">
        <v>0</v>
      </c>
      <c r="BC211" s="5">
        <f>U211-BB211</f>
        <v>0</v>
      </c>
      <c r="BD211" s="7">
        <f>SUM(IF(BP211="direct",CC211/F211,0),IF(CR211="direct",DE211/F211,0),IF(DT211="direct",EG211/F211,0),IF(EV211="direct",FI211/F211,0),IF(FX211="direct",GK211/F211,0),IF(GZ211="direct",HM211/F211,0),IF(IB211="direct",IO211/F211,0),IF(JD211="direct",JQ211/F211,0),IF(KF211="direct",KS211/F211,0),IF(LH211="direct",LU211/F211,0))</f>
        <v>-0.0035718839151731084</v>
      </c>
      <c r="BE211" s="7">
        <f>-SUM(IF(BP211="direct",CD211/F211,0),IF(CR211="direct",DF211/F211,0),IF(DT211="direct",EH211/F211,0),IF(EV211="direct",FJ211/F211,0),IF(FX211="direct",GL211/F211,0),IF(GZ211="direct",HN211/F211,0),IF(IB211="direct",IP211/F211,0),IF(JD211="direct",JR211/F211,0),IF(KF211="direct",KT211/F211,0),IF(LH211="direct",LV211/F211,0))</f>
        <v>-0.000006864168306653635</v>
      </c>
      <c r="BF211" s="7">
        <f>BD211+BE211</f>
        <v>-0.003578748083479762</v>
      </c>
      <c r="BG211" s="7">
        <f>BF211-SUM(IF(BP211="direct",CP211,0),IF(CR211="direct",DR211,0),IF(DT211="direct",ET211,0),IF(EV211="direct",FV211,0),IF(FX211="direct",GX211,0),IF(GZ211="direct",HZ211,0),IF(IB211="direct",JB211,0),IF(JD211="direct",KD211,0),IF(KF211="direct",LF211,0),IF(LH211="direct",MH211,0))</f>
        <v>-1.1275702593849246e-17</v>
      </c>
      <c r="BH211" s="7">
        <f>SUM(IF(BP211="treasury",CP211,0),IF(CR211="treasury",DR211,0),IF(DT211="treasury",ET211,0),IF(EV211="treasury",FV211,0),IF(FX211="treasury",GX211,0),IF(GZ211="treasury",HZ211,0),IF(IB211="treasury",JB211,0),IF(JD211="treasury",KD211,0),IF(KF211="treasury",LF211,0),IF(LH211="treasury",MH211,0))</f>
        <v>0.0003902613171545123</v>
      </c>
      <c r="BI211" s="7">
        <f>SUM(IF(BP211="future",CP211,0),IF(CR211="future",DR211,0),IF(DT211="future",ET211,0),IF(EV211="future",FV211,0),IF(FX211="future",GX211,0),IF(GZ211="future",HZ211,0),IF(IB211="future",JB211,0),IF(JD211="future",KD211,0),IF(KF211="future",LF211,0),IF(LH211="future",MH211,0))</f>
        <v>0.002383234490559071</v>
      </c>
      <c r="BJ211" s="7">
        <f>SUM(IF(BP211="cash",CP211,0),IF(CR211="cash",DR211,0),IF(DT211="cash",ET211,0),IF(EV211="cash",FV211,0),IF(FX211="cash",GX211,0),IF(GZ211="cash",HZ211,0),IF(IB211="cash",JB211,0),IF(JD211="cash",KD211,0),IF(KF211="cash",LF211,0),IF(LH211="cash",MH211,0))</f>
        <v>0</v>
      </c>
      <c r="BK211" s="7">
        <f>SUM(BF211,BH211,BI211,BJ211)</f>
        <v>-0.0008052522757661675</v>
      </c>
      <c r="BL211" s="7">
        <f>G211-BK211</f>
        <v>0</v>
      </c>
      <c r="BM211" s="5">
        <f>MAX(ABS(CG211),ABS(DI211),ABS(EK211),ABS(FM211),ABS(GO211),ABS(HQ211),ABS(IS211),ABS(JU211),ABS(KW211),ABS(LY211))</f>
        <v>1.1514227071796057e-16</v>
      </c>
      <c r="BN211" s="9">
        <f>COUNTA(BO211,CQ211,DS211,EU211,FW211,GY211,IA211,JC211,KE211,LG211)</f>
        <v>5</v>
      </c>
      <c r="BO211" t="inlineStr">
        <is>
          <t xml:space="preserve">Direct commodity holding</t>
        </is>
      </c>
      <c r="BP211" t="inlineStr">
        <is>
          <t xml:space="preserve">direct</t>
        </is>
      </c>
      <c r="BQ211" t="inlineStr">
        <is>
          <t xml:space="preserve">lease</t>
        </is>
      </c>
      <c r="BR211" t="inlineStr">
        <is>
          <t xml:space="preserve">long</t>
        </is>
      </c>
      <c r="BS211"/>
      <c r="BT211" s="4">
        <v>1.964</v>
      </c>
      <c r="BU211" s="4">
        <v>1.943</v>
      </c>
      <c r="BV211" s="6">
        <v>0.0025</v>
      </c>
      <c r="BW211" s="4">
        <v>0.3425418044892856</v>
      </c>
      <c r="BX211" s="5">
        <f>IF(BP211="direct",IFERROR(CD211/BU211,0),0)</f>
        <v>0.000007114602866809801</v>
      </c>
      <c r="BY211" s="5">
        <f>IF(BP211="direct",BW211-BX211,IF(BP211="cash",CI211,BW211))</f>
        <v>0.34253468988641883</v>
      </c>
      <c r="BZ211" s="6">
        <v>0.3340561909238102</v>
      </c>
      <c r="CA211" s="4">
        <v>0.672752104016957</v>
      </c>
      <c r="CB211" s="4">
        <v>0.672752104016957</v>
      </c>
      <c r="CC211" s="5">
        <f>IF(BP211="direct",BW211*(BU211-BT211),CF211)</f>
        <v>-0.0071933778942749665</v>
      </c>
      <c r="CD211" s="5">
        <f>IF(BP211="direct",CB211*BV211*C211/365,0)</f>
        <v>0.000013823673370211444</v>
      </c>
      <c r="CE211" s="5">
        <f>CC211-CD211</f>
        <v>-0.007207201567645156</v>
      </c>
      <c r="CF211" s="4">
        <v>-0.007207201567645156</v>
      </c>
      <c r="CG211" s="5">
        <f>CF211-CE211</f>
        <v>2.236166980751353e-17</v>
      </c>
      <c r="CH211" s="4">
        <v>0</v>
      </c>
      <c r="CI211" s="4">
        <v>0.6655449024493119</v>
      </c>
      <c r="CJ211" s="4">
        <v>1.964</v>
      </c>
      <c r="CK211" s="4">
        <v>1.943</v>
      </c>
      <c r="CL211" s="6"/>
      <c r="CM211" s="6"/>
      <c r="CN211" s="6"/>
      <c r="CO211" s="9"/>
      <c r="CP211" s="7">
        <f>IFERROR(CE211/F211,0)</f>
        <v>-0.0035787480834797505</v>
      </c>
      <c r="CQ211" t="inlineStr">
        <is>
          <t xml:space="preserve">Treasury collateral</t>
        </is>
      </c>
      <c r="CR211" t="inlineStr">
        <is>
          <t xml:space="preserve">treasury</t>
        </is>
      </c>
      <c r="CS211" t="inlineStr">
        <is>
          <t xml:space="preserve">lease</t>
        </is>
      </c>
      <c r="CT211" t="inlineStr">
        <is>
          <t xml:space="preserve">long</t>
        </is>
      </c>
      <c r="CU211"/>
      <c r="CV211" s="4">
        <v>105.6599282075905</v>
      </c>
      <c r="CW211" s="4">
        <v>105.72184782031269</v>
      </c>
      <c r="CX211" s="6"/>
      <c r="CY211" s="4">
        <v>0.012692957167704638</v>
      </c>
      <c r="CZ211" s="5">
        <f>IF(CR211="direct",IFERROR(DF211/CW211,0),0)</f>
        <v>0</v>
      </c>
      <c r="DA211" s="5">
        <f>IF(CR211="direct",CY211-CZ211,IF(CR211="cash",DK211,CY211))</f>
        <v>0.012692957167704638</v>
      </c>
      <c r="DB211" s="6">
        <v>0.6659438090761899</v>
      </c>
      <c r="DC211" s="4">
        <v>1.3411369430816933</v>
      </c>
      <c r="DD211" s="4">
        <v>1.3411369430816933</v>
      </c>
      <c r="DE211" s="5">
        <f>IF(CR211="direct",CY211*(CW211-CV211),DH211)</f>
        <v>0.0007859429921236498</v>
      </c>
      <c r="DF211" s="5">
        <f>IF(CR211="direct",DD211*CX211*C211/365,0)</f>
        <v>0</v>
      </c>
      <c r="DG211" s="5">
        <f>DE211-DF211</f>
        <v>0.000785942992123765</v>
      </c>
      <c r="DH211" s="4">
        <v>0.000785942992123765</v>
      </c>
      <c r="DI211" s="5">
        <f>DH211-DG211</f>
        <v>1.1514227071796057e-16</v>
      </c>
      <c r="DJ211" s="4">
        <v>-2.31043482956661e-16</v>
      </c>
      <c r="DK211" s="4">
        <v>1.3419228860738168</v>
      </c>
      <c r="DL211" s="4">
        <v>1.964</v>
      </c>
      <c r="DM211" s="4">
        <v>1.943</v>
      </c>
      <c r="DN211" s="6"/>
      <c r="DO211" s="6"/>
      <c r="DP211" s="6"/>
      <c r="DQ211" s="9">
        <v>52</v>
      </c>
      <c r="DR211" s="7">
        <f>IFERROR(DG211/F211,0)</f>
        <v>0.0003902613171545123</v>
      </c>
      <c r="DS211" t="inlineStr">
        <is>
          <t xml:space="preserve">SI69Z</t>
        </is>
      </c>
      <c r="DT211" t="inlineStr">
        <is>
          <t xml:space="preserve">future</t>
        </is>
      </c>
      <c r="DU211" t="inlineStr">
        <is>
          <t xml:space="preserve">lease</t>
        </is>
      </c>
      <c r="DV211" t="inlineStr">
        <is>
          <t xml:space="preserve">long</t>
        </is>
      </c>
      <c r="DW211" t="inlineStr">
        <is>
          <t xml:space="preserve">regular</t>
        </is>
      </c>
      <c r="DX211" s="4">
        <v>1.956</v>
      </c>
      <c r="DY211" s="4">
        <v>1.963</v>
      </c>
      <c r="DZ211" s="6"/>
      <c r="EA211" s="4">
        <v>0.6856528338863462</v>
      </c>
      <c r="EB211" s="5">
        <f>IF(DT211="direct",IFERROR(EH211/DY211,0),0)</f>
        <v>0</v>
      </c>
      <c r="EC211" s="5">
        <f>IF(DT211="direct",EA211-EB211,IF(DT211="cash",EM211,EA211))</f>
        <v>0.6856528338863462</v>
      </c>
      <c r="ED211" s="6">
        <v>0.6659438090761899</v>
      </c>
      <c r="EE211" s="4">
        <v>1.3411369430816933</v>
      </c>
      <c r="EF211" s="4">
        <v>0</v>
      </c>
      <c r="EG211" s="5">
        <f>IF(DT211="direct",EA211*(DY211-DX211),EJ211)</f>
        <v>0.004799569837204644</v>
      </c>
      <c r="EH211" s="5">
        <f>IF(DT211="direct",EF211*DZ211*C211/365,0)</f>
        <v>0</v>
      </c>
      <c r="EI211" s="5">
        <f>EG211-EH211</f>
        <v>0.004799569837204644</v>
      </c>
      <c r="EJ211" s="4">
        <v>0.004799569837204644</v>
      </c>
      <c r="EK211" s="5">
        <f>EJ211-EI211</f>
        <v>0</v>
      </c>
      <c r="EL211" s="4">
        <v>-0.004799569837204644</v>
      </c>
      <c r="EM211" s="4">
        <v>0</v>
      </c>
      <c r="EN211" s="4">
        <v>1.964</v>
      </c>
      <c r="EO211" s="4">
        <v>1.943</v>
      </c>
      <c r="EP211" s="6">
        <v>-0.004073319755600768</v>
      </c>
      <c r="EQ211" s="6">
        <v>0.0713</v>
      </c>
      <c r="ER211" s="6">
        <v>0.09989157136142847</v>
      </c>
      <c r="ES211" s="9">
        <v>52</v>
      </c>
      <c r="ET211" s="7">
        <f>IFERROR(EI211/F211,0)</f>
        <v>0.002383234490559071</v>
      </c>
      <c r="EU211" t="inlineStr">
        <is>
          <t xml:space="preserve">Lease cash / margin / financing</t>
        </is>
      </c>
      <c r="EV211" t="inlineStr">
        <is>
          <t xml:space="preserve">cash</t>
        </is>
      </c>
      <c r="EW211" t="inlineStr">
        <is>
          <t xml:space="preserve">lease</t>
        </is>
      </c>
      <c r="EX211" t="inlineStr">
        <is>
          <t xml:space="preserve">cash</t>
        </is>
      </c>
      <c r="EY211"/>
      <c r="EZ211" s="4">
        <v>1</v>
      </c>
      <c r="FA211" s="4">
        <v>1</v>
      </c>
      <c r="FB211" s="6"/>
      <c r="FC211" s="4">
        <v>-4.440892098500626e-16</v>
      </c>
      <c r="FD211" s="5">
        <f>IF(EV211="direct",IFERROR(FJ211/FA211,0),0)</f>
        <v>0</v>
      </c>
      <c r="FE211" s="5">
        <f>IF(EV211="direct",FC211-FD211,IF(EV211="cash",FO211,FC211))</f>
        <v>0.004799569837204431</v>
      </c>
      <c r="FF211" s="6"/>
      <c r="FG211" s="4">
        <v>-4.440892098500626e-16</v>
      </c>
      <c r="FH211" s="4">
        <v>-4.440892098500626e-16</v>
      </c>
      <c r="FI211" s="5">
        <f>IF(EV211="direct",FC211*(FA211-EZ211),FL211)</f>
        <v>0</v>
      </c>
      <c r="FJ211" s="5">
        <f>IF(EV211="direct",FH211*FB211*C211/365,0)</f>
        <v>0</v>
      </c>
      <c r="FK211" s="5">
        <f>FI211-FJ211</f>
        <v>0</v>
      </c>
      <c r="FL211" s="4">
        <v>0</v>
      </c>
      <c r="FM211" s="5">
        <f>FL211-FK211</f>
        <v>0</v>
      </c>
      <c r="FN211" s="4">
        <v>0.004799569837204875</v>
      </c>
      <c r="FO211" s="4">
        <v>0.004799569837204431</v>
      </c>
      <c r="FP211" s="4">
        <v>1.964</v>
      </c>
      <c r="FQ211" s="4">
        <v>1.943</v>
      </c>
      <c r="FR211" s="6"/>
      <c r="FS211" s="6"/>
      <c r="FT211" s="6"/>
      <c r="FU211" s="9"/>
      <c r="FV211" s="7">
        <f>IFERROR(FK211/F211,0)</f>
        <v>0</v>
      </c>
      <c r="FW211" t="inlineStr">
        <is>
          <t xml:space="preserve">Keep cash / margin / financing</t>
        </is>
      </c>
      <c r="FX211" t="inlineStr">
        <is>
          <t xml:space="preserve">cash</t>
        </is>
      </c>
      <c r="FY211" t="inlineStr">
        <is>
          <t xml:space="preserve">keep</t>
        </is>
      </c>
      <c r="FZ211" t="inlineStr">
        <is>
          <t xml:space="preserve">cash</t>
        </is>
      </c>
      <c r="GA211"/>
      <c r="GB211" s="4">
        <v>1</v>
      </c>
      <c r="GC211" s="4">
        <v>1</v>
      </c>
      <c r="GD211" s="6"/>
      <c r="GE211" s="4">
        <v>0</v>
      </c>
      <c r="GF211" s="5">
        <f>IF(FX211="direct",IFERROR(GL211/GC211,0),0)</f>
        <v>0</v>
      </c>
      <c r="GG211" s="5">
        <f>IF(FX211="direct",GE211-GF211,IF(FX211="cash",GQ211,GE211))</f>
        <v>0</v>
      </c>
      <c r="GH211" s="6"/>
      <c r="GI211" s="4">
        <v>0</v>
      </c>
      <c r="GJ211" s="4">
        <v>0</v>
      </c>
      <c r="GK211" s="5">
        <f>IF(FX211="direct",GE211*(GC211-GB211),GN211)</f>
        <v>0</v>
      </c>
      <c r="GL211" s="5">
        <f>IF(FX211="direct",GJ211*GD211*C211/365,0)</f>
        <v>0</v>
      </c>
      <c r="GM211" s="5">
        <f>GK211-GL211</f>
        <v>0</v>
      </c>
      <c r="GN211" s="4">
        <v>0</v>
      </c>
      <c r="GO211" s="5">
        <f>GN211-GM211</f>
        <v>0</v>
      </c>
      <c r="GP211" s="4">
        <v>0</v>
      </c>
      <c r="GQ211" s="4">
        <v>0</v>
      </c>
      <c r="GR211" s="4">
        <v>1.964</v>
      </c>
      <c r="GS211" s="4">
        <v>1.943</v>
      </c>
      <c r="GT211" s="6"/>
      <c r="GU211" s="6"/>
      <c r="GV211" s="6"/>
      <c r="GW211" s="9"/>
      <c r="GX211" s="7">
        <f>IFERROR(GM211/F211,0)</f>
        <v>0</v>
      </c>
      <c r="GY211"/>
      <c r="GZ211"/>
      <c r="HA211"/>
      <c r="HB211"/>
      <c r="HC211"/>
      <c r="HD211" s="4"/>
      <c r="HE211" s="4"/>
      <c r="HF211" s="6"/>
      <c r="HG211" s="4"/>
      <c r="HH211" s="5">
        <v>0</v>
      </c>
      <c r="HI211" s="5"/>
      <c r="HJ211" s="6"/>
      <c r="HK211" s="4"/>
      <c r="HL211" s="4"/>
      <c r="HM211" s="5">
        <v>0</v>
      </c>
      <c r="HN211" s="5">
        <v>0</v>
      </c>
      <c r="HO211" s="5"/>
      <c r="HP211" s="4"/>
      <c r="HQ211" s="5">
        <v>0</v>
      </c>
      <c r="HR211" s="4"/>
      <c r="HS211" s="4"/>
      <c r="HT211" s="4"/>
      <c r="HU211" s="4"/>
      <c r="HV211" s="6"/>
      <c r="HW211" s="6"/>
      <c r="HX211" s="6"/>
      <c r="HY211" s="9"/>
      <c r="HZ211"/>
      <c r="IA211"/>
      <c r="IB211"/>
      <c r="IC211"/>
      <c r="ID211"/>
      <c r="IE211"/>
      <c r="IF211" s="4"/>
      <c r="IG211" s="4"/>
      <c r="IH211" s="6"/>
      <c r="II211" s="4"/>
      <c r="IJ211" s="5">
        <v>0</v>
      </c>
      <c r="IK211" s="5"/>
      <c r="IL211" s="6"/>
      <c r="IM211" s="4"/>
      <c r="IN211" s="4"/>
      <c r="IO211" s="5">
        <v>0</v>
      </c>
      <c r="IP211" s="5">
        <v>0</v>
      </c>
      <c r="IQ211" s="5"/>
      <c r="IR211" s="4"/>
      <c r="IS211" s="5">
        <v>0</v>
      </c>
      <c r="IT211" s="4"/>
      <c r="IU211" s="4"/>
      <c r="IV211" s="4"/>
      <c r="IW211" s="4"/>
      <c r="IX211" s="6"/>
      <c r="IY211" s="6"/>
      <c r="IZ211" s="6"/>
      <c r="JA211" s="9"/>
      <c r="JB211"/>
      <c r="JC211"/>
      <c r="JD211"/>
      <c r="JE211"/>
      <c r="JF211"/>
      <c r="JG211"/>
      <c r="JH211" s="4"/>
      <c r="JI211" s="4"/>
      <c r="JJ211" s="6"/>
      <c r="JK211" s="4"/>
      <c r="JL211" s="5">
        <v>0</v>
      </c>
      <c r="JM211" s="5"/>
      <c r="JN211" s="6"/>
      <c r="JO211" s="4"/>
      <c r="JP211" s="4"/>
      <c r="JQ211" s="5">
        <v>0</v>
      </c>
      <c r="JR211" s="5">
        <v>0</v>
      </c>
      <c r="JS211" s="5"/>
      <c r="JT211" s="4"/>
      <c r="JU211" s="5">
        <v>0</v>
      </c>
      <c r="JV211" s="4"/>
      <c r="JW211" s="4"/>
      <c r="JX211" s="4"/>
      <c r="JY211" s="4"/>
      <c r="JZ211" s="6"/>
      <c r="KA211" s="6"/>
      <c r="KB211" s="6"/>
      <c r="KC211" s="9"/>
      <c r="KD211"/>
      <c r="KE211"/>
      <c r="KF211"/>
      <c r="KG211"/>
      <c r="KH211"/>
      <c r="KI211"/>
      <c r="KJ211" s="4"/>
      <c r="KK211" s="4"/>
      <c r="KL211" s="6"/>
      <c r="KM211" s="4"/>
      <c r="KN211" s="5">
        <v>0</v>
      </c>
      <c r="KO211" s="5"/>
      <c r="KP211" s="6"/>
      <c r="KQ211" s="4"/>
      <c r="KR211" s="4"/>
      <c r="KS211" s="5">
        <v>0</v>
      </c>
      <c r="KT211" s="5">
        <v>0</v>
      </c>
      <c r="KU211" s="5"/>
      <c r="KV211" s="4"/>
      <c r="KW211" s="5">
        <v>0</v>
      </c>
      <c r="KX211" s="4"/>
      <c r="KY211" s="4"/>
      <c r="KZ211" s="4"/>
      <c r="LA211" s="4"/>
      <c r="LB211" s="6"/>
      <c r="LC211" s="6"/>
      <c r="LD211" s="6"/>
      <c r="LE211" s="9"/>
      <c r="LF211"/>
      <c r="LG211"/>
      <c r="LH211"/>
      <c r="LI211"/>
      <c r="LJ211"/>
      <c r="LK211"/>
      <c r="LL211" s="4"/>
      <c r="LM211" s="4"/>
      <c r="LN211" s="6"/>
      <c r="LO211" s="4"/>
      <c r="LP211" s="5">
        <v>0</v>
      </c>
      <c r="LQ211" s="5"/>
      <c r="LR211" s="6"/>
      <c r="LS211" s="4"/>
      <c r="LT211" s="4"/>
      <c r="LU211" s="5">
        <v>0</v>
      </c>
      <c r="LV211" s="5">
        <v>0</v>
      </c>
      <c r="LW211" s="5"/>
      <c r="LX211" s="4"/>
      <c r="LY211" s="5">
        <v>0</v>
      </c>
      <c r="LZ211" s="4"/>
      <c r="MA211" s="4"/>
      <c r="MB211" s="4"/>
      <c r="MC211" s="4"/>
      <c r="MD211" s="6"/>
      <c r="ME211" s="6"/>
      <c r="MF211" s="6"/>
      <c r="MG211" s="9"/>
      <c r="MH211"/>
    </row>
    <row r="212">
      <c r="A212" s="8">
        <v>25517</v>
      </c>
      <c r="B212" s="8">
        <v>25519</v>
      </c>
      <c r="C212" s="9">
        <f>B212-A212</f>
        <v>2</v>
      </c>
      <c r="D212" s="8">
        <v>25517</v>
      </c>
      <c r="E212" t="inlineStr">
        <is>
          <t xml:space="preserve">neutral</t>
        </is>
      </c>
      <c r="F212" s="4">
        <v>2.0122673583603334</v>
      </c>
      <c r="G212" s="6">
        <v>0.009250326073928858</v>
      </c>
      <c r="H212" s="7">
        <f>SUM(CP212,DR212,ET212,FV212,GX212,HZ212,JB212,KD212,LF212,MH212)</f>
        <v>0.009250326073928858</v>
      </c>
      <c r="I212" s="7">
        <f>G212-H212</f>
        <v>0</v>
      </c>
      <c r="J212" s="5">
        <f>F212*(1+H212)</f>
        <v>2.0308814875730903</v>
      </c>
      <c r="K212" s="4">
        <v>2.0308814875730903</v>
      </c>
      <c r="L212" s="5">
        <f>K212-J212</f>
        <v>0</v>
      </c>
      <c r="M212" s="4">
        <v>1.943</v>
      </c>
      <c r="N212" s="4">
        <v>1.961</v>
      </c>
      <c r="O212" s="5">
        <f>M212/$M$3</f>
        <v>0.9923391215526047</v>
      </c>
      <c r="P212" s="5">
        <f>N212/$M$3</f>
        <v>1.001532175689479</v>
      </c>
      <c r="Q212" s="7">
        <f>IFERROR(N212/M212-1,0)</f>
        <v>0.009264024704065843</v>
      </c>
      <c r="R212" s="5">
        <f>SUM(IF(BQ212="lease",CB212,0),IF(CS212="lease",DD212,0),IF(DU212="lease",EF212,0),IF(EW212="lease",FH212,0),IF(FY212="lease",GJ212,0),IF(HA212="lease",HL212,0),IF(IC212="lease",IN212,0),IF(JE212="lease",JP212,0),IF(KG212="lease",KR212,0),IF(LI212="lease",LT212,0))</f>
        <v>2.012267358360333</v>
      </c>
      <c r="S212" s="5">
        <f>SUM(IF(BQ212="lease",CI212,0),IF(CS212="lease",DK212,0),IF(DU212="lease",EM212,0),IF(EW212="lease",FO212,0),IF(FY212="lease",GQ212,0),IF(HA212="lease",HS212,0),IF(IC212="lease",IU212,0),IF(JE212="lease",JW212,0),IF(KG212="lease",KY212,0),IF(LI212="lease",MA212,0))</f>
        <v>2.0308814875730894</v>
      </c>
      <c r="T212" s="5">
        <f>SUM(IF(BQ212="keep",CB212,0),IF(CS212="keep",DD212,0),IF(DU212="keep",EF212,0),IF(EW212="keep",FH212,0),IF(FY212="keep",GJ212,0),IF(HA212="keep",HL212,0),IF(IC212="keep",IN212,0),IF(JE212="keep",JP212,0),IF(KG212="keep",KR212,0),IF(LI212="keep",LT212,0))</f>
        <v>0</v>
      </c>
      <c r="U212" s="5">
        <f>SUM(IF(BQ212="keep",CI212,0),IF(CS212="keep",DK212,0),IF(DU212="keep",EM212,0),IF(EW212="keep",FO212,0),IF(FY212="keep",GQ212,0),IF(HA212="keep",HS212,0),IF(IC212="keep",IU212,0),IF(JE212="keep",JW212,0),IF(KG212="keep",KY212,0),IF(LI212="keep",MA212,0))</f>
        <v>0</v>
      </c>
      <c r="V212" s="5">
        <f>R212/O212</f>
        <v>2.0278021037928626</v>
      </c>
      <c r="W212" s="5">
        <f>S212/P212</f>
        <v>2.0277745806568634</v>
      </c>
      <c r="X212" s="5">
        <f>T212/O212</f>
        <v>0</v>
      </c>
      <c r="Y212" s="5">
        <f>U212/P212</f>
        <v>0</v>
      </c>
      <c r="Z212" s="5">
        <f>V212+X212</f>
        <v>2.0278021037928626</v>
      </c>
      <c r="AA212" s="7">
        <f>IFERROR(W212/V212-1,0)</f>
        <v>-0.00001357289054371158</v>
      </c>
      <c r="AB212" s="7">
        <f>IFERROR((W212-V212)/Z212,0)</f>
        <v>-0.000013572890543759446</v>
      </c>
      <c r="AC212" s="7">
        <f>IFERROR(Y212/X212-1,0)</f>
        <v>0</v>
      </c>
      <c r="AD212" s="7">
        <f>IFERROR((Y212-X212)/Z212,0)</f>
        <v>0</v>
      </c>
      <c r="AE212" s="7">
        <f>AB212+AD212</f>
        <v>-0.000013572890543759446</v>
      </c>
      <c r="AF212" s="7">
        <f>(1+Q212)*(1+AE212)-1</f>
        <v>0.009250326073928727</v>
      </c>
      <c r="AG212" s="7">
        <f>G212-AF212</f>
        <v>1.3010426069826053e-16</v>
      </c>
      <c r="AH212" s="5">
        <f>SUM(IF(BQ212="lease",CE212,0),IF(CS212="lease",DG212,0),IF(DU212="lease",EI212,0),IF(EW212="lease",FK212,0),IF(FY212="lease",GM212,0),IF(HA212="lease",HO212,0),IF(IC212="lease",IQ212,0),IF(JE212="lease",JS212,0),IF(KG212="lease",KU212,0),IF(LI212="lease",LW212,0))</f>
        <v>0.018614129212756538</v>
      </c>
      <c r="AI212" s="5">
        <f>SUM(IF(BQ212="keep",CE212,0),IF(CS212="keep",DG212,0),IF(DU212="keep",EI212,0),IF(EW212="keep",FK212,0),IF(FY212="keep",GM212,0),IF(HA212="keep",HO212,0),IF(IC212="keep",IQ212,0),IF(JE212="keep",JS212,0),IF(KG212="keep",KU212,0),IF(LI212="keep",LW212,0))</f>
        <v>0</v>
      </c>
      <c r="AJ212" s="5">
        <f>SUM(IF(BQ212="lease",CH212,0),IF(CS212="lease",DJ212,0),IF(DU212="lease",EL212,0),IF(EW212="lease",FN212,0),IF(FY212="lease",GP212,0),IF(HA212="lease",HR212,0),IF(IC212="lease",IT212,0),IF(JE212="lease",JV212,0),IF(KG212="lease",KX212,0),IF(LI212="lease",LZ212,0))</f>
        <v>0</v>
      </c>
      <c r="AK212" s="5">
        <f>SUM(IF(BQ212="keep",CH212,0),IF(CS212="keep",DJ212,0),IF(DU212="keep",EL212,0),IF(EW212="keep",FN212,0),IF(FY212="keep",GP212,0),IF(HA212="keep",HR212,0),IF(IC212="keep",IT212,0),IF(JE212="keep",JV212,0),IF(KG212="keep",KX212,0),IF(LI212="keep",LZ212,0))</f>
        <v>0</v>
      </c>
      <c r="AL212" s="5">
        <f>R212-S211</f>
        <v>0</v>
      </c>
      <c r="AM212" s="5">
        <f>T212-U211</f>
        <v>0</v>
      </c>
      <c r="AN212" s="5">
        <f>AN211</f>
        <v>1</v>
      </c>
      <c r="AO212" s="5">
        <f>AO211+AH212</f>
        <v>1.03088148757309</v>
      </c>
      <c r="AP212" s="5">
        <f>AP211+AL212</f>
        <v>4.440892098500626e-16</v>
      </c>
      <c r="AQ212" s="5">
        <f>AN212+AO212+AP212</f>
        <v>2.0308814875730907</v>
      </c>
      <c r="AR212" s="5">
        <f>S212-AQ212</f>
        <v>-1.3322676295501878e-15</v>
      </c>
      <c r="AS212" s="5">
        <f>AS211</f>
        <v>0</v>
      </c>
      <c r="AT212" s="5">
        <f>AT211+AI212</f>
        <v>0</v>
      </c>
      <c r="AU212" s="5">
        <f>AU211+AM212</f>
        <v>0</v>
      </c>
      <c r="AV212" s="5">
        <f>AS212+AT212+AU212</f>
        <v>0</v>
      </c>
      <c r="AW212" s="5">
        <f>U212-AV212</f>
        <v>0</v>
      </c>
      <c r="AX212" s="4">
        <v>2.012267358360333</v>
      </c>
      <c r="AY212" s="4">
        <v>2.0308814875730894</v>
      </c>
      <c r="AZ212" s="5">
        <f>S212-AY212</f>
        <v>0</v>
      </c>
      <c r="BA212" s="4">
        <v>0</v>
      </c>
      <c r="BB212" s="4">
        <v>0</v>
      </c>
      <c r="BC212" s="5">
        <f>U212-BB212</f>
        <v>0</v>
      </c>
      <c r="BD212" s="7">
        <f>SUM(IF(BP212="direct",CC212/F212,0),IF(CR212="direct",DE212/F212,0),IF(DT212="direct",EG212/F212,0),IF(EV212="direct",FI212/F212,0),IF(FX212="direct",GK212/F212,0),IF(GZ212="direct",HM212/F212,0),IF(IB212="direct",IO212/F212,0),IF(JD212="direct",JQ212/F212,0),IF(KF212="direct",KS212/F212,0),IF(LH212="direct",LU212/F212,0))</f>
        <v>0.009264024704065886</v>
      </c>
      <c r="BE212" s="7">
        <f>-SUM(IF(BP212="direct",CD212/F212,0),IF(CR212="direct",DF212/F212,0),IF(DT212="direct",EH212/F212,0),IF(EV212="direct",FJ212/F212,0),IF(FX212="direct",GL212/F212,0),IF(GZ212="direct",HN212/F212,0),IF(IB212="direct",IP212/F212,0),IF(JD212="direct",JR212/F212,0),IF(KF212="direct",KT212/F212,0),IF(LH212="direct",LV212/F212,0))</f>
        <v>-0.000013698630136986302</v>
      </c>
      <c r="BF212" s="7">
        <f>BD212+BE212</f>
        <v>0.009250326073928901</v>
      </c>
      <c r="BG212" s="7">
        <f>BF212-SUM(IF(BP212="direct",CP212,0),IF(CR212="direct",DR212,0),IF(DT212="direct",ET212,0),IF(EV212="direct",FV212,0),IF(FX212="direct",GX212,0),IF(GZ212="direct",HZ212,0),IF(IB212="direct",JB212,0),IF(JD212="direct",KD212,0),IF(KF212="direct",LF212,0),IF(LH212="direct",MH212,0))</f>
        <v>4.336808689942018e-17</v>
      </c>
      <c r="BH212" s="7">
        <f>SUM(IF(BP212="treasury",CP212,0),IF(CR212="treasury",DR212,0),IF(DT212="treasury",ET212,0),IF(EV212="treasury",FV212,0),IF(FX212="treasury",GX212,0),IF(GZ212="treasury",HZ212,0),IF(IB212="treasury",JB212,0),IF(JD212="treasury",KD212,0),IF(KF212="treasury",LF212,0),IF(LH212="treasury",MH212,0))</f>
        <v>0</v>
      </c>
      <c r="BI212" s="7">
        <f>SUM(IF(BP212="future",CP212,0),IF(CR212="future",DR212,0),IF(DT212="future",ET212,0),IF(EV212="future",FV212,0),IF(FX212="future",GX212,0),IF(GZ212="future",HZ212,0),IF(IB212="future",JB212,0),IF(JD212="future",KD212,0),IF(KF212="future",LF212,0),IF(LH212="future",MH212,0))</f>
        <v>0</v>
      </c>
      <c r="BJ212" s="7">
        <f>SUM(IF(BP212="cash",CP212,0),IF(CR212="cash",DR212,0),IF(DT212="cash",ET212,0),IF(EV212="cash",FV212,0),IF(FX212="cash",GX212,0),IF(GZ212="cash",HZ212,0),IF(IB212="cash",JB212,0),IF(JD212="cash",KD212,0),IF(KF212="cash",LF212,0),IF(LH212="cash",MH212,0))</f>
        <v>0</v>
      </c>
      <c r="BK212" s="7">
        <f>SUM(BF212,BH212,BI212,BJ212)</f>
        <v>0.009250326073928858</v>
      </c>
      <c r="BL212" s="7">
        <f>G212-BK212</f>
        <v>0</v>
      </c>
      <c r="BM212" s="5">
        <f>MAX(ABS(CG212),ABS(DI212),ABS(EK212),ABS(FM212),ABS(GO212),ABS(HQ212),ABS(IS212),ABS(JU212),ABS(KW212),ABS(LY212))</f>
        <v>8.330060816477691e-17</v>
      </c>
      <c r="BN212" s="9">
        <f>COUNTA(BO212,CQ212,DS212,EU212,FW212,GY212,IA212,JC212,KE212,LG212)</f>
        <v>3</v>
      </c>
      <c r="BO212" t="inlineStr">
        <is>
          <t xml:space="preserve">Direct commodity holding</t>
        </is>
      </c>
      <c r="BP212" t="inlineStr">
        <is>
          <t xml:space="preserve">direct</t>
        </is>
      </c>
      <c r="BQ212" t="inlineStr">
        <is>
          <t xml:space="preserve">lease</t>
        </is>
      </c>
      <c r="BR212" t="inlineStr">
        <is>
          <t xml:space="preserve">long</t>
        </is>
      </c>
      <c r="BS212"/>
      <c r="BT212" s="4">
        <v>1.943</v>
      </c>
      <c r="BU212" s="4">
        <v>1.961</v>
      </c>
      <c r="BV212" s="6">
        <v>0.0025</v>
      </c>
      <c r="BW212" s="4">
        <v>1.035649695501973</v>
      </c>
      <c r="BX212" s="5">
        <f>IF(BP212="direct",IFERROR(CD212/BU212,0),0)</f>
        <v>0.000014056759958647975</v>
      </c>
      <c r="BY212" s="5">
        <f>IF(BP212="direct",BW212-BX212,IF(BP212="cash",CI212,BW212))</f>
        <v>1.0356356387420143</v>
      </c>
      <c r="BZ212" s="6">
        <v>1</v>
      </c>
      <c r="CA212" s="4">
        <v>2.0122673583603334</v>
      </c>
      <c r="CB212" s="4">
        <v>2.0122673583603334</v>
      </c>
      <c r="CC212" s="5">
        <f>IF(BP212="direct",BW212*(BU212-BT212),CF212)</f>
        <v>0.01864169451903553</v>
      </c>
      <c r="CD212" s="5">
        <f>IF(BP212="direct",CB212*BV212*C212/365,0)</f>
        <v>0.00002756530627890868</v>
      </c>
      <c r="CE212" s="5">
        <f>CC212-CD212</f>
        <v>0.018614129212756538</v>
      </c>
      <c r="CF212" s="4">
        <v>0.018614129212756538</v>
      </c>
      <c r="CG212" s="5">
        <f>CF212-CE212</f>
        <v>-8.330060816477691e-17</v>
      </c>
      <c r="CH212" s="4">
        <v>0</v>
      </c>
      <c r="CI212" s="4">
        <v>2.03088148757309</v>
      </c>
      <c r="CJ212" s="4">
        <v>1.943</v>
      </c>
      <c r="CK212" s="4">
        <v>1.961</v>
      </c>
      <c r="CL212" s="6"/>
      <c r="CM212" s="6"/>
      <c r="CN212" s="6"/>
      <c r="CO212" s="9"/>
      <c r="CP212" s="7">
        <f>IFERROR(CE212/F212,0)</f>
        <v>0.009250326073928858</v>
      </c>
      <c r="CQ212" t="inlineStr">
        <is>
          <t xml:space="preserve">Lease cash / margin / financing</t>
        </is>
      </c>
      <c r="CR212" t="inlineStr">
        <is>
          <t xml:space="preserve">cash</t>
        </is>
      </c>
      <c r="CS212" t="inlineStr">
        <is>
          <t xml:space="preserve">lease</t>
        </is>
      </c>
      <c r="CT212" t="inlineStr">
        <is>
          <t xml:space="preserve">cash</t>
        </is>
      </c>
      <c r="CU212"/>
      <c r="CV212" s="4">
        <v>1</v>
      </c>
      <c r="CW212" s="4">
        <v>1</v>
      </c>
      <c r="CX212" s="6"/>
      <c r="CY212" s="4">
        <v>-4.440892098500626e-16</v>
      </c>
      <c r="CZ212" s="5">
        <f>IF(CR212="direct",IFERROR(DF212/CW212,0),0)</f>
        <v>0</v>
      </c>
      <c r="DA212" s="5">
        <f>IF(CR212="direct",CY212-CZ212,IF(CR212="cash",DK212,CY212))</f>
        <v>-4.440892098500626e-16</v>
      </c>
      <c r="DB212" s="6"/>
      <c r="DC212" s="4">
        <v>-4.440892098500626e-16</v>
      </c>
      <c r="DD212" s="4">
        <v>-4.440892098500626e-16</v>
      </c>
      <c r="DE212" s="5">
        <f>IF(CR212="direct",CY212*(CW212-CV212),DH212)</f>
        <v>0</v>
      </c>
      <c r="DF212" s="5">
        <f>IF(CR212="direct",DD212*CX212*C212/365,0)</f>
        <v>0</v>
      </c>
      <c r="DG212" s="5">
        <f>DE212-DF212</f>
        <v>0</v>
      </c>
      <c r="DH212" s="4">
        <v>0</v>
      </c>
      <c r="DI212" s="5">
        <f>DH212-DG212</f>
        <v>0</v>
      </c>
      <c r="DJ212" s="4">
        <v>0</v>
      </c>
      <c r="DK212" s="4">
        <v>-4.440892098500626e-16</v>
      </c>
      <c r="DL212" s="4">
        <v>1.943</v>
      </c>
      <c r="DM212" s="4">
        <v>1.961</v>
      </c>
      <c r="DN212" s="6"/>
      <c r="DO212" s="6"/>
      <c r="DP212" s="6"/>
      <c r="DQ212" s="9"/>
      <c r="DR212" s="7">
        <f>IFERROR(DG212/F212,0)</f>
        <v>0</v>
      </c>
      <c r="DS212" t="inlineStr">
        <is>
          <t xml:space="preserve">Keep cash / margin / financing</t>
        </is>
      </c>
      <c r="DT212" t="inlineStr">
        <is>
          <t xml:space="preserve">cash</t>
        </is>
      </c>
      <c r="DU212" t="inlineStr">
        <is>
          <t xml:space="preserve">keep</t>
        </is>
      </c>
      <c r="DV212" t="inlineStr">
        <is>
          <t xml:space="preserve">cash</t>
        </is>
      </c>
      <c r="DW212"/>
      <c r="DX212" s="4">
        <v>1</v>
      </c>
      <c r="DY212" s="4">
        <v>1</v>
      </c>
      <c r="DZ212" s="6"/>
      <c r="EA212" s="4">
        <v>0</v>
      </c>
      <c r="EB212" s="5">
        <f>IF(DT212="direct",IFERROR(EH212/DY212,0),0)</f>
        <v>0</v>
      </c>
      <c r="EC212" s="5">
        <f>IF(DT212="direct",EA212-EB212,IF(DT212="cash",EM212,EA212))</f>
        <v>0</v>
      </c>
      <c r="ED212" s="6"/>
      <c r="EE212" s="4">
        <v>0</v>
      </c>
      <c r="EF212" s="4">
        <v>0</v>
      </c>
      <c r="EG212" s="5">
        <f>IF(DT212="direct",EA212*(DY212-DX212),EJ212)</f>
        <v>0</v>
      </c>
      <c r="EH212" s="5">
        <f>IF(DT212="direct",EF212*DZ212*C212/365,0)</f>
        <v>0</v>
      </c>
      <c r="EI212" s="5">
        <f>EG212-EH212</f>
        <v>0</v>
      </c>
      <c r="EJ212" s="4">
        <v>0</v>
      </c>
      <c r="EK212" s="5">
        <f>EJ212-EI212</f>
        <v>0</v>
      </c>
      <c r="EL212" s="4">
        <v>0</v>
      </c>
      <c r="EM212" s="4">
        <v>0</v>
      </c>
      <c r="EN212" s="4">
        <v>1.943</v>
      </c>
      <c r="EO212" s="4">
        <v>1.961</v>
      </c>
      <c r="EP212" s="6"/>
      <c r="EQ212" s="6"/>
      <c r="ER212" s="6"/>
      <c r="ES212" s="9"/>
      <c r="ET212" s="7">
        <f>IFERROR(EI212/F212,0)</f>
        <v>0</v>
      </c>
      <c r="EU212"/>
      <c r="EV212"/>
      <c r="EW212"/>
      <c r="EX212"/>
      <c r="EY212"/>
      <c r="EZ212" s="4"/>
      <c r="FA212" s="4"/>
      <c r="FB212" s="6"/>
      <c r="FC212" s="4"/>
      <c r="FD212" s="5">
        <v>0</v>
      </c>
      <c r="FE212" s="5"/>
      <c r="FF212" s="6"/>
      <c r="FG212" s="4"/>
      <c r="FH212" s="4"/>
      <c r="FI212" s="5">
        <v>0</v>
      </c>
      <c r="FJ212" s="5">
        <v>0</v>
      </c>
      <c r="FK212" s="5"/>
      <c r="FL212" s="4"/>
      <c r="FM212" s="5">
        <v>0</v>
      </c>
      <c r="FN212" s="4"/>
      <c r="FO212" s="4"/>
      <c r="FP212" s="4"/>
      <c r="FQ212" s="4"/>
      <c r="FR212" s="6"/>
      <c r="FS212" s="6"/>
      <c r="FT212" s="6"/>
      <c r="FU212" s="9"/>
      <c r="FV212"/>
      <c r="FW212"/>
      <c r="FX212"/>
      <c r="FY212"/>
      <c r="FZ212"/>
      <c r="GA212"/>
      <c r="GB212" s="4"/>
      <c r="GC212" s="4"/>
      <c r="GD212" s="6"/>
      <c r="GE212" s="4"/>
      <c r="GF212" s="5">
        <v>0</v>
      </c>
      <c r="GG212" s="5"/>
      <c r="GH212" s="6"/>
      <c r="GI212" s="4"/>
      <c r="GJ212" s="4"/>
      <c r="GK212" s="5">
        <v>0</v>
      </c>
      <c r="GL212" s="5">
        <v>0</v>
      </c>
      <c r="GM212" s="5"/>
      <c r="GN212" s="4"/>
      <c r="GO212" s="5">
        <v>0</v>
      </c>
      <c r="GP212" s="4"/>
      <c r="GQ212" s="4"/>
      <c r="GR212" s="4"/>
      <c r="GS212" s="4"/>
      <c r="GT212" s="6"/>
      <c r="GU212" s="6"/>
      <c r="GV212" s="6"/>
      <c r="GW212" s="9"/>
      <c r="GX212"/>
      <c r="GY212"/>
      <c r="GZ212"/>
      <c r="HA212"/>
      <c r="HB212"/>
      <c r="HC212"/>
      <c r="HD212" s="4"/>
      <c r="HE212" s="4"/>
      <c r="HF212" s="6"/>
      <c r="HG212" s="4"/>
      <c r="HH212" s="5">
        <v>0</v>
      </c>
      <c r="HI212" s="5"/>
      <c r="HJ212" s="6"/>
      <c r="HK212" s="4"/>
      <c r="HL212" s="4"/>
      <c r="HM212" s="5">
        <v>0</v>
      </c>
      <c r="HN212" s="5">
        <v>0</v>
      </c>
      <c r="HO212" s="5"/>
      <c r="HP212" s="4"/>
      <c r="HQ212" s="5">
        <v>0</v>
      </c>
      <c r="HR212" s="4"/>
      <c r="HS212" s="4"/>
      <c r="HT212" s="4"/>
      <c r="HU212" s="4"/>
      <c r="HV212" s="6"/>
      <c r="HW212" s="6"/>
      <c r="HX212" s="6"/>
      <c r="HY212" s="9"/>
      <c r="HZ212"/>
      <c r="IA212"/>
      <c r="IB212"/>
      <c r="IC212"/>
      <c r="ID212"/>
      <c r="IE212"/>
      <c r="IF212" s="4"/>
      <c r="IG212" s="4"/>
      <c r="IH212" s="6"/>
      <c r="II212" s="4"/>
      <c r="IJ212" s="5">
        <v>0</v>
      </c>
      <c r="IK212" s="5"/>
      <c r="IL212" s="6"/>
      <c r="IM212" s="4"/>
      <c r="IN212" s="4"/>
      <c r="IO212" s="5">
        <v>0</v>
      </c>
      <c r="IP212" s="5">
        <v>0</v>
      </c>
      <c r="IQ212" s="5"/>
      <c r="IR212" s="4"/>
      <c r="IS212" s="5">
        <v>0</v>
      </c>
      <c r="IT212" s="4"/>
      <c r="IU212" s="4"/>
      <c r="IV212" s="4"/>
      <c r="IW212" s="4"/>
      <c r="IX212" s="6"/>
      <c r="IY212" s="6"/>
      <c r="IZ212" s="6"/>
      <c r="JA212" s="9"/>
      <c r="JB212"/>
      <c r="JC212"/>
      <c r="JD212"/>
      <c r="JE212"/>
      <c r="JF212"/>
      <c r="JG212"/>
      <c r="JH212" s="4"/>
      <c r="JI212" s="4"/>
      <c r="JJ212" s="6"/>
      <c r="JK212" s="4"/>
      <c r="JL212" s="5">
        <v>0</v>
      </c>
      <c r="JM212" s="5"/>
      <c r="JN212" s="6"/>
      <c r="JO212" s="4"/>
      <c r="JP212" s="4"/>
      <c r="JQ212" s="5">
        <v>0</v>
      </c>
      <c r="JR212" s="5">
        <v>0</v>
      </c>
      <c r="JS212" s="5"/>
      <c r="JT212" s="4"/>
      <c r="JU212" s="5">
        <v>0</v>
      </c>
      <c r="JV212" s="4"/>
      <c r="JW212" s="4"/>
      <c r="JX212" s="4"/>
      <c r="JY212" s="4"/>
      <c r="JZ212" s="6"/>
      <c r="KA212" s="6"/>
      <c r="KB212" s="6"/>
      <c r="KC212" s="9"/>
      <c r="KD212"/>
      <c r="KE212"/>
      <c r="KF212"/>
      <c r="KG212"/>
      <c r="KH212"/>
      <c r="KI212"/>
      <c r="KJ212" s="4"/>
      <c r="KK212" s="4"/>
      <c r="KL212" s="6"/>
      <c r="KM212" s="4"/>
      <c r="KN212" s="5">
        <v>0</v>
      </c>
      <c r="KO212" s="5"/>
      <c r="KP212" s="6"/>
      <c r="KQ212" s="4"/>
      <c r="KR212" s="4"/>
      <c r="KS212" s="5">
        <v>0</v>
      </c>
      <c r="KT212" s="5">
        <v>0</v>
      </c>
      <c r="KU212" s="5"/>
      <c r="KV212" s="4"/>
      <c r="KW212" s="5">
        <v>0</v>
      </c>
      <c r="KX212" s="4"/>
      <c r="KY212" s="4"/>
      <c r="KZ212" s="4"/>
      <c r="LA212" s="4"/>
      <c r="LB212" s="6"/>
      <c r="LC212" s="6"/>
      <c r="LD212" s="6"/>
      <c r="LE212" s="9"/>
      <c r="LF212"/>
      <c r="LG212"/>
      <c r="LH212"/>
      <c r="LI212"/>
      <c r="LJ212"/>
      <c r="LK212"/>
      <c r="LL212" s="4"/>
      <c r="LM212" s="4"/>
      <c r="LN212" s="6"/>
      <c r="LO212" s="4"/>
      <c r="LP212" s="5">
        <v>0</v>
      </c>
      <c r="LQ212" s="5"/>
      <c r="LR212" s="6"/>
      <c r="LS212" s="4"/>
      <c r="LT212" s="4"/>
      <c r="LU212" s="5">
        <v>0</v>
      </c>
      <c r="LV212" s="5">
        <v>0</v>
      </c>
      <c r="LW212" s="5"/>
      <c r="LX212" s="4"/>
      <c r="LY212" s="5">
        <v>0</v>
      </c>
      <c r="LZ212" s="4"/>
      <c r="MA212" s="4"/>
      <c r="MB212" s="4"/>
      <c r="MC212" s="4"/>
      <c r="MD212" s="6"/>
      <c r="ME212" s="6"/>
      <c r="MF212" s="6"/>
      <c r="MG212" s="9"/>
      <c r="MH212"/>
    </row>
    <row r="213">
      <c r="A213" s="8">
        <v>25519</v>
      </c>
      <c r="B213" s="8">
        <v>25520</v>
      </c>
      <c r="C213" s="9">
        <f>B213-A213</f>
        <v>1</v>
      </c>
      <c r="D213" s="8">
        <v>25519</v>
      </c>
      <c r="E213" t="inlineStr">
        <is>
          <t xml:space="preserve">positive</t>
        </is>
      </c>
      <c r="F213" s="4">
        <v>2.0308814875730903</v>
      </c>
      <c r="G213" s="6">
        <v>-0.01675521346153666</v>
      </c>
      <c r="H213" s="7">
        <f>SUM(CP213,DR213,ET213,FV213,GX213,HZ213,JB213,KD213,LF213,MH213)</f>
        <v>-0.016755213461536658</v>
      </c>
      <c r="I213" s="7">
        <f>G213-H213</f>
        <v>-3.469446951953614e-18</v>
      </c>
      <c r="J213" s="5">
        <f>F213*(1+H213)</f>
        <v>1.99685363473372</v>
      </c>
      <c r="K213" s="4">
        <v>1.99685363473372</v>
      </c>
      <c r="L213" s="5">
        <f>K213-J213</f>
        <v>0</v>
      </c>
      <c r="M213" s="4">
        <v>1.961</v>
      </c>
      <c r="N213" s="4">
        <v>1.932</v>
      </c>
      <c r="O213" s="5">
        <f>M213/$M$3</f>
        <v>1.001532175689479</v>
      </c>
      <c r="P213" s="5">
        <f>N213/$M$3</f>
        <v>0.9867211440245148</v>
      </c>
      <c r="Q213" s="7">
        <f>IFERROR(N213/M213-1,0)</f>
        <v>-0.014788373278939337</v>
      </c>
      <c r="R213" s="5">
        <f>SUM(IF(BQ213="lease",CB213,0),IF(CS213="lease",DD213,0),IF(DU213="lease",EF213,0),IF(EW213="lease",FH213,0),IF(FY213="lease",GJ213,0),IF(HA213="lease",HL213,0),IF(IC213="lease",IN213,0),IF(JE213="lease",JP213,0),IF(KG213="lease",KR213,0),IF(LI213="lease",LT213,0))</f>
        <v>2.0308814875730894</v>
      </c>
      <c r="S213" s="5">
        <f>SUM(IF(BQ213="lease",CI213,0),IF(CS213="lease",DK213,0),IF(DU213="lease",EM213,0),IF(EW213="lease",FO213,0),IF(FY213="lease",GQ213,0),IF(HA213="lease",HS213,0),IF(IC213="lease",IU213,0),IF(JE213="lease",JW213,0),IF(KG213="lease",KY213,0),IF(LI213="lease",MA213,0))</f>
        <v>1.9968536347337191</v>
      </c>
      <c r="T213" s="5">
        <f>SUM(IF(BQ213="keep",CB213,0),IF(CS213="keep",DD213,0),IF(DU213="keep",EF213,0),IF(EW213="keep",FH213,0),IF(FY213="keep",GJ213,0),IF(HA213="keep",HL213,0),IF(IC213="keep",IN213,0),IF(JE213="keep",JP213,0),IF(KG213="keep",KR213,0),IF(LI213="keep",LT213,0))</f>
        <v>0</v>
      </c>
      <c r="U213" s="5">
        <f>SUM(IF(BQ213="keep",CI213,0),IF(CS213="keep",DK213,0),IF(DU213="keep",EM213,0),IF(EW213="keep",FO213,0),IF(FY213="keep",GQ213,0),IF(HA213="keep",HS213,0),IF(IC213="keep",IU213,0),IF(JE213="keep",JW213,0),IF(KG213="keep",KY213,0),IF(LI213="keep",MA213,0))</f>
        <v>0</v>
      </c>
      <c r="V213" s="5">
        <f>R213/O213</f>
        <v>2.0277745806568634</v>
      </c>
      <c r="W213" s="5">
        <f>S213/P213</f>
        <v>2.023726406215643</v>
      </c>
      <c r="X213" s="5">
        <f>T213/O213</f>
        <v>0</v>
      </c>
      <c r="Y213" s="5">
        <f>U213/P213</f>
        <v>0</v>
      </c>
      <c r="Z213" s="5">
        <f>V213+X213</f>
        <v>2.0277745806568634</v>
      </c>
      <c r="AA213" s="7">
        <f>IFERROR(W213/V213-1,0)</f>
        <v>-0.0019963631460008235</v>
      </c>
      <c r="AB213" s="7">
        <f>IFERROR((W213-V213)/Z213,0)</f>
        <v>-0.001996363146000821</v>
      </c>
      <c r="AC213" s="7">
        <f>IFERROR(Y213/X213-1,0)</f>
        <v>0</v>
      </c>
      <c r="AD213" s="7">
        <f>IFERROR((Y213-X213)/Z213,0)</f>
        <v>0</v>
      </c>
      <c r="AE213" s="7">
        <f>AB213+AD213</f>
        <v>-0.001996363146000821</v>
      </c>
      <c r="AF213" s="7">
        <f>(1+Q213)*(1+AE213)-1</f>
        <v>-0.016755213461536744</v>
      </c>
      <c r="AG213" s="7">
        <f>G213-AF213</f>
        <v>8.326672684688674e-17</v>
      </c>
      <c r="AH213" s="5">
        <f>SUM(IF(BQ213="lease",CE213,0),IF(CS213="lease",DG213,0),IF(DU213="lease",EI213,0),IF(EW213="lease",FK213,0),IF(FY213="lease",GM213,0),IF(HA213="lease",HO213,0),IF(IC213="lease",IQ213,0),IF(JE213="lease",JS213,0),IF(KG213="lease",KU213,0),IF(LI213="lease",LW213,0))</f>
        <v>-0.03402785283937024</v>
      </c>
      <c r="AI213" s="5">
        <f>SUM(IF(BQ213="keep",CE213,0),IF(CS213="keep",DG213,0),IF(DU213="keep",EI213,0),IF(EW213="keep",FK213,0),IF(FY213="keep",GM213,0),IF(HA213="keep",HO213,0),IF(IC213="keep",IQ213,0),IF(JE213="keep",JS213,0),IF(KG213="keep",KU213,0),IF(LI213="keep",LW213,0))</f>
        <v>0</v>
      </c>
      <c r="AJ213" s="5">
        <f>SUM(IF(BQ213="lease",CH213,0),IF(CS213="lease",DJ213,0),IF(DU213="lease",EL213,0),IF(EW213="lease",FN213,0),IF(FY213="lease",GP213,0),IF(HA213="lease",HR213,0),IF(IC213="lease",IT213,0),IF(JE213="lease",JV213,0),IF(KG213="lease",KX213,0),IF(LI213="lease",LZ213,0))</f>
        <v>0</v>
      </c>
      <c r="AK213" s="5">
        <f>SUM(IF(BQ213="keep",CH213,0),IF(CS213="keep",DJ213,0),IF(DU213="keep",EL213,0),IF(EW213="keep",FN213,0),IF(FY213="keep",GP213,0),IF(HA213="keep",HR213,0),IF(IC213="keep",IT213,0),IF(JE213="keep",JV213,0),IF(KG213="keep",KX213,0),IF(LI213="keep",LZ213,0))</f>
        <v>0</v>
      </c>
      <c r="AL213" s="5">
        <f>R213-S212</f>
        <v>0</v>
      </c>
      <c r="AM213" s="5">
        <f>T213-U212</f>
        <v>0</v>
      </c>
      <c r="AN213" s="5">
        <f>AN212</f>
        <v>1</v>
      </c>
      <c r="AO213" s="5">
        <f>AO212+AH213</f>
        <v>0.9968536347337198</v>
      </c>
      <c r="AP213" s="5">
        <f>AP212+AL213</f>
        <v>4.440892098500626e-16</v>
      </c>
      <c r="AQ213" s="5">
        <f>AN213+AO213+AP213</f>
        <v>1.9968536347337202</v>
      </c>
      <c r="AR213" s="5">
        <f>S213-AQ213</f>
        <v>-1.1102230246251565e-15</v>
      </c>
      <c r="AS213" s="5">
        <f>AS212</f>
        <v>0</v>
      </c>
      <c r="AT213" s="5">
        <f>AT212+AI213</f>
        <v>0</v>
      </c>
      <c r="AU213" s="5">
        <f>AU212+AM213</f>
        <v>0</v>
      </c>
      <c r="AV213" s="5">
        <f>AS213+AT213+AU213</f>
        <v>0</v>
      </c>
      <c r="AW213" s="5">
        <f>U213-AV213</f>
        <v>0</v>
      </c>
      <c r="AX213" s="4">
        <v>2.0308814875730894</v>
      </c>
      <c r="AY213" s="4">
        <v>1.9968536347337191</v>
      </c>
      <c r="AZ213" s="5">
        <f>S213-AY213</f>
        <v>0</v>
      </c>
      <c r="BA213" s="4">
        <v>0</v>
      </c>
      <c r="BB213" s="4">
        <v>0</v>
      </c>
      <c r="BC213" s="5">
        <f>U213-BB213</f>
        <v>0</v>
      </c>
      <c r="BD213" s="7">
        <f>SUM(IF(BP213="direct",CC213/F213,0),IF(CR213="direct",DE213/F213,0),IF(DT213="direct",EG213/F213,0),IF(EV213="direct",FI213/F213,0),IF(FX213="direct",GK213/F213,0),IF(GZ213="direct",HM213/F213,0),IF(IB213="direct",IO213/F213,0),IF(JD213="direct",JQ213/F213,0),IF(KF213="direct",KS213/F213,0),IF(LH213="direct",LU213/F213,0))</f>
        <v>-0.007329097815428261</v>
      </c>
      <c r="BE213" s="7">
        <f>-SUM(IF(BP213="direct",CD213/F213,0),IF(CR213="direct",DF213/F213,0),IF(DT213="direct",EH213/F213,0),IF(EV213="direct",FJ213/F213,0),IF(FX213="direct",GL213/F213,0),IF(GZ213="direct",HN213/F213,0),IF(IB213="direct",IP213/F213,0),IF(JD213="direct",JR213/F213,0),IF(KF213="direct",KT213/F213,0),IF(LH213="direct",LV213/F213,0))</f>
        <v>-0.000003394511293352563</v>
      </c>
      <c r="BF213" s="7">
        <f>BD213+BE213</f>
        <v>-0.007332492326721614</v>
      </c>
      <c r="BG213" s="7">
        <f>BF213-SUM(IF(BP213="direct",CP213,0),IF(CR213="direct",DR213,0),IF(DT213="direct",ET213,0),IF(EV213="direct",FV213,0),IF(FX213="direct",GX213,0),IF(GZ213="direct",HZ213,0),IF(IB213="direct",JB213,0),IF(JD213="direct",KD213,0),IF(KF213="direct",LF213,0),IF(LH213="direct",MH213,0))</f>
        <v>-2.3418766925686896e-17</v>
      </c>
      <c r="BH213" s="7">
        <f>SUM(IF(BP213="treasury",CP213,0),IF(CR213="treasury",DR213,0),IF(DT213="treasury",ET213,0),IF(EV213="treasury",FV213,0),IF(FX213="treasury",GX213,0),IF(GZ213="treasury",HZ213,0),IF(IB213="treasury",JB213,0),IF(JD213="treasury",KD213,0),IF(KF213="treasury",LF213,0),IF(LH213="treasury",MH213,0))</f>
        <v>0.00009908377227103205</v>
      </c>
      <c r="BI213" s="7">
        <f>SUM(IF(BP213="future",CP213,0),IF(CR213="future",DR213,0),IF(DT213="future",ET213,0),IF(EV213="future",FV213,0),IF(FX213="future",GX213,0),IF(GZ213="future",HZ213,0),IF(IB213="future",JB213,0),IF(JD213="future",KD213,0),IF(KF213="future",LF213,0),IF(LH213="future",MH213,0))</f>
        <v>-0.009521804907086102</v>
      </c>
      <c r="BJ213" s="7">
        <f>SUM(IF(BP213="cash",CP213,0),IF(CR213="cash",DR213,0),IF(DT213="cash",ET213,0),IF(EV213="cash",FV213,0),IF(FX213="cash",GX213,0),IF(GZ213="cash",HZ213,0),IF(IB213="cash",JB213,0),IF(JD213="cash",KD213,0),IF(KF213="cash",LF213,0),IF(LH213="cash",MH213,0))</f>
        <v>0</v>
      </c>
      <c r="BK213" s="7">
        <f>SUM(BF213,BH213,BI213,BJ213)</f>
        <v>-0.01675521346153666</v>
      </c>
      <c r="BL213" s="7">
        <f>G213-BK213</f>
        <v>0</v>
      </c>
      <c r="BM213" s="5">
        <f>MAX(ABS(CG213),ABS(DI213),ABS(EK213),ABS(FM213),ABS(GO213),ABS(HQ213),ABS(IS213),ABS(JU213),ABS(KW213),ABS(LY213))</f>
        <v>4.7917500859123024e-17</v>
      </c>
      <c r="BN213" s="9">
        <f>COUNTA(BO213,CQ213,DS213,EU213,FW213,GY213,IA213,JC213,KE213,LG213)</f>
        <v>6</v>
      </c>
      <c r="BO213" t="inlineStr">
        <is>
          <t xml:space="preserve">Direct commodity holding</t>
        </is>
      </c>
      <c r="BP213" t="inlineStr">
        <is>
          <t xml:space="preserve">direct</t>
        </is>
      </c>
      <c r="BQ213" t="inlineStr">
        <is>
          <t xml:space="preserve">lease</t>
        </is>
      </c>
      <c r="BR213" t="inlineStr">
        <is>
          <t xml:space="preserve">long</t>
        </is>
      </c>
      <c r="BS213"/>
      <c r="BT213" s="4">
        <v>1.961</v>
      </c>
      <c r="BU213" s="4">
        <v>1.932</v>
      </c>
      <c r="BV213" s="6">
        <v>0.0025</v>
      </c>
      <c r="BW213" s="4">
        <v>0.5132596232401918</v>
      </c>
      <c r="BX213" s="5">
        <f>IF(BP213="direct",IFERROR(CD213/BU213,0),0)</f>
        <v>0.000003568245416680905</v>
      </c>
      <c r="BY213" s="5">
        <f>IF(BP213="direct",BW213-BX213,IF(BP213="cash",CI213,BW213))</f>
        <v>0.5132560549947751</v>
      </c>
      <c r="BZ213" s="6">
        <v>0.49559864882947424</v>
      </c>
      <c r="CA213" s="4">
        <v>1.0065021211740162</v>
      </c>
      <c r="CB213" s="4">
        <v>1.0065021211740162</v>
      </c>
      <c r="CC213" s="5">
        <f>IF(BP213="direct",BW213*(BU213-BT213),CF213)</f>
        <v>-0.014884529073965633</v>
      </c>
      <c r="CD213" s="5">
        <f>IF(BP213="direct",CB213*BV213*C213/365,0)</f>
        <v>0.000006893850145027508</v>
      </c>
      <c r="CE213" s="5">
        <f>CC213-CD213</f>
        <v>-0.014891422924110612</v>
      </c>
      <c r="CF213" s="4">
        <v>-0.014891422924110612</v>
      </c>
      <c r="CG213" s="5">
        <f>CF213-CE213</f>
        <v>4.7917500859123024e-17</v>
      </c>
      <c r="CH213" s="4">
        <v>0</v>
      </c>
      <c r="CI213" s="4">
        <v>0.9916106982499054</v>
      </c>
      <c r="CJ213" s="4">
        <v>1.961</v>
      </c>
      <c r="CK213" s="4">
        <v>1.932</v>
      </c>
      <c r="CL213" s="6"/>
      <c r="CM213" s="6"/>
      <c r="CN213" s="6"/>
      <c r="CO213" s="9"/>
      <c r="CP213" s="7">
        <f>IFERROR(CE213/F213,0)</f>
        <v>-0.00733249232672159</v>
      </c>
      <c r="CQ213" t="inlineStr">
        <is>
          <t xml:space="preserve">Treasury collateral</t>
        </is>
      </c>
      <c r="CR213" t="inlineStr">
        <is>
          <t xml:space="preserve">treasury</t>
        </is>
      </c>
      <c r="CS213" t="inlineStr">
        <is>
          <t xml:space="preserve">lease</t>
        </is>
      </c>
      <c r="CT213" t="inlineStr">
        <is>
          <t xml:space="preserve">long</t>
        </is>
      </c>
      <c r="CU213"/>
      <c r="CV213" s="4">
        <v>105.76309382340752</v>
      </c>
      <c r="CW213" s="4">
        <v>105.78386975170105</v>
      </c>
      <c r="CX213" s="6"/>
      <c r="CY213" s="4">
        <v>0.009685603260712843</v>
      </c>
      <c r="CZ213" s="5">
        <f>IF(CR213="direct",IFERROR(DF213/CW213,0),0)</f>
        <v>0</v>
      </c>
      <c r="DA213" s="5">
        <f>IF(CR213="direct",CY213-CZ213,IF(CR213="cash",DK213,CY213))</f>
        <v>0.009685603260712843</v>
      </c>
      <c r="DB213" s="6">
        <v>0.5044013511705258</v>
      </c>
      <c r="DC213" s="4">
        <v>1.0243793663990741</v>
      </c>
      <c r="DD213" s="4">
        <v>1.0243793663990741</v>
      </c>
      <c r="DE213" s="5">
        <f>IF(CR213="direct",CY213*(CW213-CV213),DH213)</f>
        <v>0.0002012273988241636</v>
      </c>
      <c r="DF213" s="5">
        <f>IF(CR213="direct",DD213*CX213*C213/365,0)</f>
        <v>0</v>
      </c>
      <c r="DG213" s="5">
        <f>DE213-DF213</f>
        <v>0.0002012273988241469</v>
      </c>
      <c r="DH213" s="4">
        <v>0.0002012273988241469</v>
      </c>
      <c r="DI213" s="5">
        <f>DH213-DG213</f>
        <v>-1.6723818510588906e-17</v>
      </c>
      <c r="DJ213" s="4">
        <v>-3.599551212651875e-17</v>
      </c>
      <c r="DK213" s="4">
        <v>1.0245805937978982</v>
      </c>
      <c r="DL213" s="4">
        <v>1.961</v>
      </c>
      <c r="DM213" s="4">
        <v>1.932</v>
      </c>
      <c r="DN213" s="6"/>
      <c r="DO213" s="6"/>
      <c r="DP213" s="6"/>
      <c r="DQ213" s="9">
        <v>47</v>
      </c>
      <c r="DR213" s="7">
        <f>IFERROR(DG213/F213,0)</f>
        <v>0.00009908377227103205</v>
      </c>
      <c r="DS213" t="inlineStr">
        <is>
          <t xml:space="preserve">SI69Z</t>
        </is>
      </c>
      <c r="DT213" t="inlineStr">
        <is>
          <t xml:space="preserve">future</t>
        </is>
      </c>
      <c r="DU213" t="inlineStr">
        <is>
          <t xml:space="preserve">lease</t>
        </is>
      </c>
      <c r="DV213" t="inlineStr">
        <is>
          <t xml:space="preserve">long</t>
        </is>
      </c>
      <c r="DW213" t="inlineStr">
        <is>
          <t xml:space="preserve">regular</t>
        </is>
      </c>
      <c r="DX213" s="4">
        <v>1.96</v>
      </c>
      <c r="DY213" s="4">
        <v>1.923</v>
      </c>
      <c r="DZ213" s="6"/>
      <c r="EA213" s="4">
        <v>0.5223590168899279</v>
      </c>
      <c r="EB213" s="5">
        <f>IF(DT213="direct",IFERROR(EH213/DY213,0),0)</f>
        <v>0</v>
      </c>
      <c r="EC213" s="5">
        <f>IF(DT213="direct",EA213-EB213,IF(DT213="cash",EM213,EA213))</f>
        <v>0.5223590168899279</v>
      </c>
      <c r="ED213" s="6">
        <v>0.50412772944606</v>
      </c>
      <c r="EE213" s="4">
        <v>1.0238236731042587</v>
      </c>
      <c r="EF213" s="4">
        <v>0</v>
      </c>
      <c r="EG213" s="5">
        <f>IF(DT213="direct",EA213*(DY213-DX213),EJ213)</f>
        <v>-0.01932728362492728</v>
      </c>
      <c r="EH213" s="5">
        <f>IF(DT213="direct",EF213*DZ213*C213/365,0)</f>
        <v>0</v>
      </c>
      <c r="EI213" s="5">
        <f>EG213-EH213</f>
        <v>-0.01932728362492728</v>
      </c>
      <c r="EJ213" s="4">
        <v>-0.01932728362492728</v>
      </c>
      <c r="EK213" s="5">
        <f>EJ213-EI213</f>
        <v>0</v>
      </c>
      <c r="EL213" s="4">
        <v>0.01932728362492728</v>
      </c>
      <c r="EM213" s="4">
        <v>0</v>
      </c>
      <c r="EN213" s="4">
        <v>1.961</v>
      </c>
      <c r="EO213" s="4">
        <v>1.932</v>
      </c>
      <c r="EP213" s="6">
        <v>-0.0005099439061704292</v>
      </c>
      <c r="EQ213" s="6">
        <v>0.0717</v>
      </c>
      <c r="ER213" s="6">
        <v>0.07566020267557887</v>
      </c>
      <c r="ES213" s="9">
        <v>47</v>
      </c>
      <c r="ET213" s="7">
        <f>IFERROR(EI213/F213,0)</f>
        <v>-0.009516696933420495</v>
      </c>
      <c r="EU213" t="inlineStr">
        <is>
          <t xml:space="preserve">SI70F</t>
        </is>
      </c>
      <c r="EV213" t="inlineStr">
        <is>
          <t xml:space="preserve">future</t>
        </is>
      </c>
      <c r="EW213" t="inlineStr">
        <is>
          <t xml:space="preserve">lease</t>
        </is>
      </c>
      <c r="EX213" t="inlineStr">
        <is>
          <t xml:space="preserve">long</t>
        </is>
      </c>
      <c r="EY213" t="inlineStr">
        <is>
          <t xml:space="preserve">regular</t>
        </is>
      </c>
      <c r="EZ213" s="4">
        <v>1.982</v>
      </c>
      <c r="FA213" s="4">
        <v>1.945</v>
      </c>
      <c r="FB213" s="6"/>
      <c r="FC213" s="4">
        <v>0.00028036997720248374</v>
      </c>
      <c r="FD213" s="5">
        <f>IF(EV213="direct",IFERROR(FJ213/FA213,0),0)</f>
        <v>0</v>
      </c>
      <c r="FE213" s="5">
        <f>IF(EV213="direct",FC213-FD213,IF(EV213="cash",FO213,FC213))</f>
        <v>0.00028036997720248374</v>
      </c>
      <c r="FF213" s="6">
        <v>0.00027362172446575306</v>
      </c>
      <c r="FG213" s="4">
        <v>0.0005556932948153228</v>
      </c>
      <c r="FH213" s="4">
        <v>0</v>
      </c>
      <c r="FI213" s="5">
        <f>IF(EV213="direct",FC213*(FA213-EZ213),FL213)</f>
        <v>-0.000010373689156491904</v>
      </c>
      <c r="FJ213" s="5">
        <f>IF(EV213="direct",FH213*FB213*C213/365,0)</f>
        <v>0</v>
      </c>
      <c r="FK213" s="5">
        <f>FI213-FJ213</f>
        <v>-0.000010373689156491904</v>
      </c>
      <c r="FL213" s="4">
        <v>-0.000010373689156491904</v>
      </c>
      <c r="FM213" s="5">
        <f>FL213-FK213</f>
        <v>0</v>
      </c>
      <c r="FN213" s="4">
        <v>0.000010373689156491904</v>
      </c>
      <c r="FO213" s="4">
        <v>0</v>
      </c>
      <c r="FP213" s="4">
        <v>1.961</v>
      </c>
      <c r="FQ213" s="4">
        <v>1.932</v>
      </c>
      <c r="FR213" s="6">
        <v>0.010708822029576792</v>
      </c>
      <c r="FS213" s="6">
        <v>0.0717</v>
      </c>
      <c r="FT213" s="6">
        <v>0.020937402067590524</v>
      </c>
      <c r="FU213" s="9">
        <v>77</v>
      </c>
      <c r="FV213" s="7">
        <f>IFERROR(FK213/F213,0)</f>
        <v>-0.000005107973665606896</v>
      </c>
      <c r="FW213" t="inlineStr">
        <is>
          <t xml:space="preserve">Lease cash / margin / financing</t>
        </is>
      </c>
      <c r="FX213" t="inlineStr">
        <is>
          <t xml:space="preserve">cash</t>
        </is>
      </c>
      <c r="FY213" t="inlineStr">
        <is>
          <t xml:space="preserve">lease</t>
        </is>
      </c>
      <c r="FZ213" t="inlineStr">
        <is>
          <t xml:space="preserve">cash</t>
        </is>
      </c>
      <c r="GA213"/>
      <c r="GB213" s="4">
        <v>1</v>
      </c>
      <c r="GC213" s="4">
        <v>1</v>
      </c>
      <c r="GD213" s="6"/>
      <c r="GE213" s="4">
        <v>-8.881784197001252e-16</v>
      </c>
      <c r="GF213" s="5">
        <f>IF(FX213="direct",IFERROR(GL213/GC213,0),0)</f>
        <v>0</v>
      </c>
      <c r="GG213" s="5">
        <f>IF(FX213="direct",GE213-GF213,IF(FX213="cash",GQ213,GE213))</f>
        <v>-0.019337657314084628</v>
      </c>
      <c r="GH213" s="6"/>
      <c r="GI213" s="4">
        <v>-8.881784197001252e-16</v>
      </c>
      <c r="GJ213" s="4">
        <v>-8.881784197001252e-16</v>
      </c>
      <c r="GK213" s="5">
        <f>IF(FX213="direct",GE213*(GC213-GB213),GN213)</f>
        <v>0</v>
      </c>
      <c r="GL213" s="5">
        <f>IF(FX213="direct",GJ213*GD213*C213/365,0)</f>
        <v>0</v>
      </c>
      <c r="GM213" s="5">
        <f>GK213-GL213</f>
        <v>0</v>
      </c>
      <c r="GN213" s="4">
        <v>0</v>
      </c>
      <c r="GO213" s="5">
        <f>GN213-GM213</f>
        <v>0</v>
      </c>
      <c r="GP213" s="4">
        <v>-0.01933765731408374</v>
      </c>
      <c r="GQ213" s="4">
        <v>-0.019337657314084628</v>
      </c>
      <c r="GR213" s="4">
        <v>1.961</v>
      </c>
      <c r="GS213" s="4">
        <v>1.932</v>
      </c>
      <c r="GT213" s="6"/>
      <c r="GU213" s="6"/>
      <c r="GV213" s="6"/>
      <c r="GW213" s="9"/>
      <c r="GX213" s="7">
        <f>IFERROR(GM213/F213,0)</f>
        <v>0</v>
      </c>
      <c r="GY213" t="inlineStr">
        <is>
          <t xml:space="preserve">Keep cash / margin / financing</t>
        </is>
      </c>
      <c r="GZ213" t="inlineStr">
        <is>
          <t xml:space="preserve">cash</t>
        </is>
      </c>
      <c r="HA213" t="inlineStr">
        <is>
          <t xml:space="preserve">keep</t>
        </is>
      </c>
      <c r="HB213" t="inlineStr">
        <is>
          <t xml:space="preserve">cash</t>
        </is>
      </c>
      <c r="HC213"/>
      <c r="HD213" s="4">
        <v>1</v>
      </c>
      <c r="HE213" s="4">
        <v>1</v>
      </c>
      <c r="HF213" s="6"/>
      <c r="HG213" s="4">
        <v>0</v>
      </c>
      <c r="HH213" s="5">
        <f>IF(GZ213="direct",IFERROR(HN213/HE213,0),0)</f>
        <v>0</v>
      </c>
      <c r="HI213" s="5">
        <f>IF(GZ213="direct",HG213-HH213,IF(GZ213="cash",HS213,HG213))</f>
        <v>0</v>
      </c>
      <c r="HJ213" s="6"/>
      <c r="HK213" s="4">
        <v>0</v>
      </c>
      <c r="HL213" s="4">
        <v>0</v>
      </c>
      <c r="HM213" s="5">
        <f>IF(GZ213="direct",HG213*(HE213-HD213),HP213)</f>
        <v>0</v>
      </c>
      <c r="HN213" s="5">
        <f>IF(GZ213="direct",HL213*HF213*C213/365,0)</f>
        <v>0</v>
      </c>
      <c r="HO213" s="5">
        <f>HM213-HN213</f>
        <v>0</v>
      </c>
      <c r="HP213" s="4">
        <v>0</v>
      </c>
      <c r="HQ213" s="5">
        <f>HP213-HO213</f>
        <v>0</v>
      </c>
      <c r="HR213" s="4">
        <v>0</v>
      </c>
      <c r="HS213" s="4">
        <v>0</v>
      </c>
      <c r="HT213" s="4">
        <v>1.961</v>
      </c>
      <c r="HU213" s="4">
        <v>1.932</v>
      </c>
      <c r="HV213" s="6"/>
      <c r="HW213" s="6"/>
      <c r="HX213" s="6"/>
      <c r="HY213" s="9"/>
      <c r="HZ213" s="7">
        <f>IFERROR(HO213/F213,0)</f>
        <v>0</v>
      </c>
      <c r="IA213"/>
      <c r="IB213"/>
      <c r="IC213"/>
      <c r="ID213"/>
      <c r="IE213"/>
      <c r="IF213" s="4"/>
      <c r="IG213" s="4"/>
      <c r="IH213" s="6"/>
      <c r="II213" s="4"/>
      <c r="IJ213" s="5">
        <v>0</v>
      </c>
      <c r="IK213" s="5"/>
      <c r="IL213" s="6"/>
      <c r="IM213" s="4"/>
      <c r="IN213" s="4"/>
      <c r="IO213" s="5">
        <v>0</v>
      </c>
      <c r="IP213" s="5">
        <v>0</v>
      </c>
      <c r="IQ213" s="5"/>
      <c r="IR213" s="4"/>
      <c r="IS213" s="5">
        <v>0</v>
      </c>
      <c r="IT213" s="4"/>
      <c r="IU213" s="4"/>
      <c r="IV213" s="4"/>
      <c r="IW213" s="4"/>
      <c r="IX213" s="6"/>
      <c r="IY213" s="6"/>
      <c r="IZ213" s="6"/>
      <c r="JA213" s="9"/>
      <c r="JB213"/>
      <c r="JC213"/>
      <c r="JD213"/>
      <c r="JE213"/>
      <c r="JF213"/>
      <c r="JG213"/>
      <c r="JH213" s="4"/>
      <c r="JI213" s="4"/>
      <c r="JJ213" s="6"/>
      <c r="JK213" s="4"/>
      <c r="JL213" s="5">
        <v>0</v>
      </c>
      <c r="JM213" s="5"/>
      <c r="JN213" s="6"/>
      <c r="JO213" s="4"/>
      <c r="JP213" s="4"/>
      <c r="JQ213" s="5">
        <v>0</v>
      </c>
      <c r="JR213" s="5">
        <v>0</v>
      </c>
      <c r="JS213" s="5"/>
      <c r="JT213" s="4"/>
      <c r="JU213" s="5">
        <v>0</v>
      </c>
      <c r="JV213" s="4"/>
      <c r="JW213" s="4"/>
      <c r="JX213" s="4"/>
      <c r="JY213" s="4"/>
      <c r="JZ213" s="6"/>
      <c r="KA213" s="6"/>
      <c r="KB213" s="6"/>
      <c r="KC213" s="9"/>
      <c r="KD213"/>
      <c r="KE213"/>
      <c r="KF213"/>
      <c r="KG213"/>
      <c r="KH213"/>
      <c r="KI213"/>
      <c r="KJ213" s="4"/>
      <c r="KK213" s="4"/>
      <c r="KL213" s="6"/>
      <c r="KM213" s="4"/>
      <c r="KN213" s="5">
        <v>0</v>
      </c>
      <c r="KO213" s="5"/>
      <c r="KP213" s="6"/>
      <c r="KQ213" s="4"/>
      <c r="KR213" s="4"/>
      <c r="KS213" s="5">
        <v>0</v>
      </c>
      <c r="KT213" s="5">
        <v>0</v>
      </c>
      <c r="KU213" s="5"/>
      <c r="KV213" s="4"/>
      <c r="KW213" s="5">
        <v>0</v>
      </c>
      <c r="KX213" s="4"/>
      <c r="KY213" s="4"/>
      <c r="KZ213" s="4"/>
      <c r="LA213" s="4"/>
      <c r="LB213" s="6"/>
      <c r="LC213" s="6"/>
      <c r="LD213" s="6"/>
      <c r="LE213" s="9"/>
      <c r="LF213"/>
      <c r="LG213"/>
      <c r="LH213"/>
      <c r="LI213"/>
      <c r="LJ213"/>
      <c r="LK213"/>
      <c r="LL213" s="4"/>
      <c r="LM213" s="4"/>
      <c r="LN213" s="6"/>
      <c r="LO213" s="4"/>
      <c r="LP213" s="5">
        <v>0</v>
      </c>
      <c r="LQ213" s="5"/>
      <c r="LR213" s="6"/>
      <c r="LS213" s="4"/>
      <c r="LT213" s="4"/>
      <c r="LU213" s="5">
        <v>0</v>
      </c>
      <c r="LV213" s="5">
        <v>0</v>
      </c>
      <c r="LW213" s="5"/>
      <c r="LX213" s="4"/>
      <c r="LY213" s="5">
        <v>0</v>
      </c>
      <c r="LZ213" s="4"/>
      <c r="MA213" s="4"/>
      <c r="MB213" s="4"/>
      <c r="MC213" s="4"/>
      <c r="MD213" s="6"/>
      <c r="ME213" s="6"/>
      <c r="MF213" s="6"/>
      <c r="MG213" s="9"/>
      <c r="MH213"/>
    </row>
    <row r="214">
      <c r="A214" s="8">
        <v>25520</v>
      </c>
      <c r="B214" s="8">
        <v>25521</v>
      </c>
      <c r="C214" s="9">
        <f>B214-A214</f>
        <v>1</v>
      </c>
      <c r="D214" s="8">
        <v>25520</v>
      </c>
      <c r="E214" t="inlineStr">
        <is>
          <t xml:space="preserve">positive</t>
        </is>
      </c>
      <c r="F214" s="4">
        <v>1.99685363473372</v>
      </c>
      <c r="G214" s="6">
        <v>0.0021251534656584695</v>
      </c>
      <c r="H214" s="7">
        <f>SUM(CP214,DR214,ET214,FV214,GX214,HZ214,JB214,KD214,LF214,MH214)</f>
        <v>0.00212515346565847</v>
      </c>
      <c r="I214" s="7">
        <f>G214-H214</f>
        <v>-4.336808689942018e-19</v>
      </c>
      <c r="J214" s="5">
        <f>F214*(1+H214)</f>
        <v>2.001097255155987</v>
      </c>
      <c r="K214" s="4">
        <v>2.001097255155987</v>
      </c>
      <c r="L214" s="5">
        <f>K214-J214</f>
        <v>0</v>
      </c>
      <c r="M214" s="4">
        <v>1.932</v>
      </c>
      <c r="N214" s="4">
        <v>1.922</v>
      </c>
      <c r="O214" s="5">
        <f>M214/$M$3</f>
        <v>0.9867211440245148</v>
      </c>
      <c r="P214" s="5">
        <f>N214/$M$3</f>
        <v>0.9816138917262512</v>
      </c>
      <c r="Q214" s="7">
        <f>IFERROR(N214/M214-1,0)</f>
        <v>-0.005175983436852993</v>
      </c>
      <c r="R214" s="5">
        <f>SUM(IF(BQ214="lease",CB214,0),IF(CS214="lease",DD214,0),IF(DU214="lease",EF214,0),IF(EW214="lease",FH214,0),IF(FY214="lease",GJ214,0),IF(HA214="lease",HL214,0),IF(IC214="lease",IN214,0),IF(JE214="lease",JP214,0),IF(KG214="lease",KR214,0),IF(LI214="lease",LT214,0))</f>
        <v>1.9968536347337191</v>
      </c>
      <c r="S214" s="5">
        <f>SUM(IF(BQ214="lease",CI214,0),IF(CS214="lease",DK214,0),IF(DU214="lease",EM214,0),IF(EW214="lease",FO214,0),IF(FY214="lease",GQ214,0),IF(HA214="lease",HS214,0),IF(IC214="lease",IU214,0),IF(JE214="lease",JW214,0),IF(KG214="lease",KY214,0),IF(LI214="lease",MA214,0))</f>
        <v>2.0010972551559862</v>
      </c>
      <c r="T214" s="5">
        <f>SUM(IF(BQ214="keep",CB214,0),IF(CS214="keep",DD214,0),IF(DU214="keep",EF214,0),IF(EW214="keep",FH214,0),IF(FY214="keep",GJ214,0),IF(HA214="keep",HL214,0),IF(IC214="keep",IN214,0),IF(JE214="keep",JP214,0),IF(KG214="keep",KR214,0),IF(LI214="keep",LT214,0))</f>
        <v>0</v>
      </c>
      <c r="U214" s="5">
        <f>SUM(IF(BQ214="keep",CI214,0),IF(CS214="keep",DK214,0),IF(DU214="keep",EM214,0),IF(EW214="keep",FO214,0),IF(FY214="keep",GQ214,0),IF(HA214="keep",HS214,0),IF(IC214="keep",IU214,0),IF(JE214="keep",JW214,0),IF(KG214="keep",KY214,0),IF(LI214="keep",MA214,0))</f>
        <v>0</v>
      </c>
      <c r="V214" s="5">
        <f>R214/O214</f>
        <v>2.023726406215643</v>
      </c>
      <c r="W214" s="5">
        <f>S214/P214</f>
        <v>2.0385787854294595</v>
      </c>
      <c r="X214" s="5">
        <f>T214/O214</f>
        <v>0</v>
      </c>
      <c r="Y214" s="5">
        <f>U214/P214</f>
        <v>0</v>
      </c>
      <c r="Z214" s="5">
        <f>V214+X214</f>
        <v>2.023726406215643</v>
      </c>
      <c r="AA214" s="7">
        <f>IFERROR(W214/V214-1,0)</f>
        <v>0.007339124087228033</v>
      </c>
      <c r="AB214" s="7">
        <f>IFERROR((W214-V214)/Z214,0)</f>
        <v>0.007339124087228038</v>
      </c>
      <c r="AC214" s="7">
        <f>IFERROR(Y214/X214-1,0)</f>
        <v>0</v>
      </c>
      <c r="AD214" s="7">
        <f>IFERROR((Y214-X214)/Z214,0)</f>
        <v>0</v>
      </c>
      <c r="AE214" s="7">
        <f>AB214+AD214</f>
        <v>0.007339124087228038</v>
      </c>
      <c r="AF214" s="7">
        <f>(1+Q214)*(1+AE214)-1</f>
        <v>0.002125153465658558</v>
      </c>
      <c r="AG214" s="7">
        <f>G214-AF214</f>
        <v>-8.847089727481716e-17</v>
      </c>
      <c r="AH214" s="5">
        <f>SUM(IF(BQ214="lease",CE214,0),IF(CS214="lease",DG214,0),IF(DU214="lease",EI214,0),IF(EW214="lease",FK214,0),IF(FY214="lease",GM214,0),IF(HA214="lease",HO214,0),IF(IC214="lease",IQ214,0),IF(JE214="lease",JS214,0),IF(KG214="lease",KU214,0),IF(LI214="lease",LW214,0))</f>
        <v>0.004243620422267077</v>
      </c>
      <c r="AI214" s="5">
        <f>SUM(IF(BQ214="keep",CE214,0),IF(CS214="keep",DG214,0),IF(DU214="keep",EI214,0),IF(EW214="keep",FK214,0),IF(FY214="keep",GM214,0),IF(HA214="keep",HO214,0),IF(IC214="keep",IQ214,0),IF(JE214="keep",JS214,0),IF(KG214="keep",KU214,0),IF(LI214="keep",LW214,0))</f>
        <v>0</v>
      </c>
      <c r="AJ214" s="5">
        <f>SUM(IF(BQ214="lease",CH214,0),IF(CS214="lease",DJ214,0),IF(DU214="lease",EL214,0),IF(EW214="lease",FN214,0),IF(FY214="lease",GP214,0),IF(HA214="lease",HR214,0),IF(IC214="lease",IT214,0),IF(JE214="lease",JV214,0),IF(KG214="lease",KX214,0),IF(LI214="lease",LZ214,0))</f>
        <v>0</v>
      </c>
      <c r="AK214" s="5">
        <f>SUM(IF(BQ214="keep",CH214,0),IF(CS214="keep",DJ214,0),IF(DU214="keep",EL214,0),IF(EW214="keep",FN214,0),IF(FY214="keep",GP214,0),IF(HA214="keep",HR214,0),IF(IC214="keep",IT214,0),IF(JE214="keep",JV214,0),IF(KG214="keep",KX214,0),IF(LI214="keep",LZ214,0))</f>
        <v>0</v>
      </c>
      <c r="AL214" s="5">
        <f>R214-S213</f>
        <v>0</v>
      </c>
      <c r="AM214" s="5">
        <f>T214-U213</f>
        <v>0</v>
      </c>
      <c r="AN214" s="5">
        <f>AN213</f>
        <v>1</v>
      </c>
      <c r="AO214" s="5">
        <f>AO213+AH214</f>
        <v>1.001097255155987</v>
      </c>
      <c r="AP214" s="5">
        <f>AP213+AL214</f>
        <v>4.440892098500626e-16</v>
      </c>
      <c r="AQ214" s="5">
        <f>AN214+AO214+AP214</f>
        <v>2.001097255155987</v>
      </c>
      <c r="AR214" s="5">
        <f>S214-AQ214</f>
        <v>-8.881784197001252e-16</v>
      </c>
      <c r="AS214" s="5">
        <f>AS213</f>
        <v>0</v>
      </c>
      <c r="AT214" s="5">
        <f>AT213+AI214</f>
        <v>0</v>
      </c>
      <c r="AU214" s="5">
        <f>AU213+AM214</f>
        <v>0</v>
      </c>
      <c r="AV214" s="5">
        <f>AS214+AT214+AU214</f>
        <v>0</v>
      </c>
      <c r="AW214" s="5">
        <f>U214-AV214</f>
        <v>0</v>
      </c>
      <c r="AX214" s="4">
        <v>1.9968536347337191</v>
      </c>
      <c r="AY214" s="4">
        <v>2.0010972551559862</v>
      </c>
      <c r="AZ214" s="5">
        <f>S214-AY214</f>
        <v>0</v>
      </c>
      <c r="BA214" s="4">
        <v>0</v>
      </c>
      <c r="BB214" s="4">
        <v>0</v>
      </c>
      <c r="BC214" s="5">
        <f>U214-BB214</f>
        <v>0</v>
      </c>
      <c r="BD214" s="7">
        <f>SUM(IF(BP214="direct",CC214/F214,0),IF(CR214="direct",DE214/F214,0),IF(DT214="direct",EG214/F214,0),IF(EV214="direct",FI214/F214,0),IF(FX214="direct",GK214/F214,0),IF(GZ214="direct",HM214/F214,0),IF(IB214="direct",IO214/F214,0),IF(JD214="direct",JQ214/F214,0),IF(KF214="direct",KS214/F214,0),IF(LH214="direct",LU214/F214,0))</f>
        <v>-0.0014160361276096092</v>
      </c>
      <c r="BE214" s="7">
        <f>-SUM(IF(BP214="direct",CD214/F214,0),IF(CR214="direct",DF214/F214,0),IF(DT214="direct",EH214/F214,0),IF(EV214="direct",FJ214/F214,0),IF(FX214="direct",GL214/F214,0),IF(GZ214="direct",HN214/F214,0),IF(IB214="direct",IP214/F214,0),IF(JD214="direct",JR214/F214,0),IF(KF214="direct",KT214/F214,0),IF(LH214="direct",LV214/F214,0))</f>
        <v>-0.0000018738231496861384</v>
      </c>
      <c r="BF214" s="7">
        <f>BD214+BE214</f>
        <v>-0.0014179099507592953</v>
      </c>
      <c r="BG214" s="7">
        <f>BF214-SUM(IF(BP214="direct",CP214,0),IF(CR214="direct",DR214,0),IF(DT214="direct",ET214,0),IF(EV214="direct",FV214,0),IF(FX214="direct",GX214,0),IF(GZ214="direct",HZ214,0),IF(IB214="direct",JB214,0),IF(JD214="direct",KD214,0),IF(KF214="direct",LF214,0),IF(LH214="direct",MH214,0))</f>
        <v>-3.903127820947816e-18</v>
      </c>
      <c r="BH214" s="7">
        <f>SUM(IF(BP214="treasury",CP214,0),IF(CR214="treasury",DR214,0),IF(DT214="treasury",ET214,0),IF(EV214="treasury",FV214,0),IF(FX214="treasury",GX214,0),IF(GZ214="treasury",HZ214,0),IF(IB214="treasury",JB214,0),IF(JD214="treasury",KD214,0),IF(KF214="treasury",LF214,0),IF(LH214="treasury",MH214,0))</f>
        <v>0.00014329416726164198</v>
      </c>
      <c r="BI214" s="7">
        <f>SUM(IF(BP214="future",CP214,0),IF(CR214="future",DR214,0),IF(DT214="future",ET214,0),IF(EV214="future",FV214,0),IF(FX214="future",GX214,0),IF(GZ214="future",HZ214,0),IF(IB214="future",JB214,0),IF(JD214="future",KD214,0),IF(KF214="future",LF214,0),IF(LH214="future",MH214,0))</f>
        <v>0.0033997692491561193</v>
      </c>
      <c r="BJ214" s="7">
        <f>SUM(IF(BP214="cash",CP214,0),IF(CR214="cash",DR214,0),IF(DT214="cash",ET214,0),IF(EV214="cash",FV214,0),IF(FX214="cash",GX214,0),IF(GZ214="cash",HZ214,0),IF(IB214="cash",JB214,0),IF(JD214="cash",KD214,0),IF(KF214="cash",LF214,0),IF(LH214="cash",MH214,0))</f>
        <v>0</v>
      </c>
      <c r="BK214" s="7">
        <f>SUM(BF214,BH214,BI214,BJ214)</f>
        <v>0.00212515346565847</v>
      </c>
      <c r="BL214" s="7">
        <f>G214-BK214</f>
        <v>-4.336808689942018e-19</v>
      </c>
      <c r="BM214" s="5">
        <f>MAX(ABS(CG214),ABS(DI214),ABS(EK214),ABS(FM214),ABS(GO214),ABS(HQ214),ABS(IS214),ABS(JU214),ABS(KW214),ABS(LY214))</f>
        <v>7.405100838075995e-17</v>
      </c>
      <c r="BN214" s="9">
        <f>COUNTA(BO214,CQ214,DS214,EU214,FW214,GY214,IA214,JC214,KE214,LG214)</f>
        <v>6</v>
      </c>
      <c r="BO214" t="inlineStr">
        <is>
          <t xml:space="preserve">Direct commodity holding</t>
        </is>
      </c>
      <c r="BP214" t="inlineStr">
        <is>
          <t xml:space="preserve">direct</t>
        </is>
      </c>
      <c r="BQ214" t="inlineStr">
        <is>
          <t xml:space="preserve">lease</t>
        </is>
      </c>
      <c r="BR214" t="inlineStr">
        <is>
          <t xml:space="preserve">long</t>
        </is>
      </c>
      <c r="BS214"/>
      <c r="BT214" s="4">
        <v>1.932</v>
      </c>
      <c r="BU214" s="4">
        <v>1.922</v>
      </c>
      <c r="BV214" s="6">
        <v>0.0025</v>
      </c>
      <c r="BW214" s="4">
        <v>0.2827616888331507</v>
      </c>
      <c r="BX214" s="5">
        <f>IF(BP214="direct",IFERROR(CD214/BU214,0),0)</f>
        <v>0.000001946800503277291</v>
      </c>
      <c r="BY214" s="5">
        <f>IF(BP214="direct",BW214-BX214,IF(BP214="cash",CI214,BW214))</f>
        <v>0.2827597420326475</v>
      </c>
      <c r="BZ214" s="6">
        <v>0.2735781798541762</v>
      </c>
      <c r="CA214" s="4">
        <v>0.5462955828256472</v>
      </c>
      <c r="CB214" s="4">
        <v>0.5462955828256472</v>
      </c>
      <c r="CC214" s="5">
        <f>IF(BP214="direct",BW214*(BU214-BT214),CF214)</f>
        <v>-0.0028276168883315097</v>
      </c>
      <c r="CD214" s="5">
        <f>IF(BP214="direct",CB214*BV214*C214/365,0)</f>
        <v>0.000003741750567298953</v>
      </c>
      <c r="CE214" s="5">
        <f>CC214-CD214</f>
        <v>-0.002831358638898801</v>
      </c>
      <c r="CF214" s="4">
        <v>-0.002831358638898801</v>
      </c>
      <c r="CG214" s="5">
        <f>CF214-CE214</f>
        <v>7.660565974967892e-18</v>
      </c>
      <c r="CH214" s="4">
        <v>0</v>
      </c>
      <c r="CI214" s="4">
        <v>0.5434642241867484</v>
      </c>
      <c r="CJ214" s="4">
        <v>1.932</v>
      </c>
      <c r="CK214" s="4">
        <v>1.922</v>
      </c>
      <c r="CL214" s="6"/>
      <c r="CM214" s="6"/>
      <c r="CN214" s="6"/>
      <c r="CO214" s="9"/>
      <c r="CP214" s="7">
        <f>IFERROR(CE214/F214,0)</f>
        <v>-0.0014179099507592914</v>
      </c>
      <c r="CQ214" t="inlineStr">
        <is>
          <t xml:space="preserve">Treasury collateral</t>
        </is>
      </c>
      <c r="CR214" t="inlineStr">
        <is>
          <t xml:space="preserve">treasury</t>
        </is>
      </c>
      <c r="CS214" t="inlineStr">
        <is>
          <t xml:space="preserve">lease</t>
        </is>
      </c>
      <c r="CT214" t="inlineStr">
        <is>
          <t xml:space="preserve">long</t>
        </is>
      </c>
      <c r="CU214"/>
      <c r="CV214" s="4">
        <v>105.78386975170105</v>
      </c>
      <c r="CW214" s="4">
        <v>105.80473670683016</v>
      </c>
      <c r="CX214" s="6"/>
      <c r="CY214" s="4">
        <v>0.013712469162953338</v>
      </c>
      <c r="CZ214" s="5">
        <f>IF(CR214="direct",IFERROR(DF214/CW214,0),0)</f>
        <v>0</v>
      </c>
      <c r="DA214" s="5">
        <f>IF(CR214="direct",CY214-CZ214,IF(CR214="cash",DK214,CY214))</f>
        <v>0.013712469162953338</v>
      </c>
      <c r="DB214" s="6">
        <v>0.7264218201458238</v>
      </c>
      <c r="DC214" s="4">
        <v>1.450558051908073</v>
      </c>
      <c r="DD214" s="4">
        <v>1.450558051908073</v>
      </c>
      <c r="DE214" s="5">
        <f>IF(CR214="direct",CY214*(CW214-CV214),DH214)</f>
        <v>0.0002861374787326255</v>
      </c>
      <c r="DF214" s="5">
        <f>IF(CR214="direct",DD214*CX214*C214/365,0)</f>
        <v>0</v>
      </c>
      <c r="DG214" s="5">
        <f>DE214-DF214</f>
        <v>0.00028613747873255143</v>
      </c>
      <c r="DH214" s="4">
        <v>0.00028613747873255143</v>
      </c>
      <c r="DI214" s="5">
        <f>DH214-DG214</f>
        <v>-7.405100838075995e-17</v>
      </c>
      <c r="DJ214" s="4">
        <v>7.730361489821647e-17</v>
      </c>
      <c r="DK214" s="4">
        <v>1.4508441893868056</v>
      </c>
      <c r="DL214" s="4">
        <v>1.932</v>
      </c>
      <c r="DM214" s="4">
        <v>1.922</v>
      </c>
      <c r="DN214" s="6"/>
      <c r="DO214" s="6"/>
      <c r="DP214" s="6"/>
      <c r="DQ214" s="9">
        <v>46</v>
      </c>
      <c r="DR214" s="7">
        <f>IFERROR(DG214/F214,0)</f>
        <v>0.00014329416726164198</v>
      </c>
      <c r="DS214" t="inlineStr">
        <is>
          <t xml:space="preserve">SI69Z</t>
        </is>
      </c>
      <c r="DT214" t="inlineStr">
        <is>
          <t xml:space="preserve">future</t>
        </is>
      </c>
      <c r="DU214" t="inlineStr">
        <is>
          <t xml:space="preserve">lease</t>
        </is>
      </c>
      <c r="DV214" t="inlineStr">
        <is>
          <t xml:space="preserve">long</t>
        </is>
      </c>
      <c r="DW214" t="inlineStr">
        <is>
          <t xml:space="preserve">regular</t>
        </is>
      </c>
      <c r="DX214" s="4">
        <v>1.923</v>
      </c>
      <c r="DY214" s="4">
        <v>1.932</v>
      </c>
      <c r="DZ214" s="6"/>
      <c r="EA214" s="4">
        <v>0.7539111649517966</v>
      </c>
      <c r="EB214" s="5">
        <f>IF(DT214="direct",IFERROR(EH214/DY214,0),0)</f>
        <v>0</v>
      </c>
      <c r="EC214" s="5">
        <f>IF(DT214="direct",EA214-EB214,IF(DT214="cash",EM214,EA214))</f>
        <v>0.7539111649517966</v>
      </c>
      <c r="ED214" s="6">
        <v>0.7260277593633604</v>
      </c>
      <c r="EE214" s="4">
        <v>1.4497711702023048</v>
      </c>
      <c r="EF214" s="4">
        <v>0</v>
      </c>
      <c r="EG214" s="5">
        <f>IF(DT214="direct",EA214*(DY214-DX214),EJ214)</f>
        <v>0.006785200484566019</v>
      </c>
      <c r="EH214" s="5">
        <f>IF(DT214="direct",EF214*DZ214*C214/365,0)</f>
        <v>0</v>
      </c>
      <c r="EI214" s="5">
        <f>EG214-EH214</f>
        <v>0.006785200484566019</v>
      </c>
      <c r="EJ214" s="4">
        <v>0.006785200484566019</v>
      </c>
      <c r="EK214" s="5">
        <f>EJ214-EI214</f>
        <v>0</v>
      </c>
      <c r="EL214" s="4">
        <v>-0.006785200484566019</v>
      </c>
      <c r="EM214" s="4">
        <v>0</v>
      </c>
      <c r="EN214" s="4">
        <v>1.932</v>
      </c>
      <c r="EO214" s="4">
        <v>1.922</v>
      </c>
      <c r="EP214" s="6">
        <v>-0.004658385093167627</v>
      </c>
      <c r="EQ214" s="6">
        <v>0.07200000000000001</v>
      </c>
      <c r="ER214" s="6">
        <v>0.10896327302187357</v>
      </c>
      <c r="ES214" s="9">
        <v>46</v>
      </c>
      <c r="ET214" s="7">
        <f>IFERROR(EI214/F214,0)</f>
        <v>0.0033979458316537176</v>
      </c>
      <c r="EU214" t="inlineStr">
        <is>
          <t xml:space="preserve">SI70F</t>
        </is>
      </c>
      <c r="EV214" t="inlineStr">
        <is>
          <t xml:space="preserve">future</t>
        </is>
      </c>
      <c r="EW214" t="inlineStr">
        <is>
          <t xml:space="preserve">lease</t>
        </is>
      </c>
      <c r="EX214" t="inlineStr">
        <is>
          <t xml:space="preserve">long</t>
        </is>
      </c>
      <c r="EY214" t="inlineStr">
        <is>
          <t xml:space="preserve">regular</t>
        </is>
      </c>
      <c r="EZ214" s="4">
        <v>1.945</v>
      </c>
      <c r="FA214" s="4">
        <v>1.954</v>
      </c>
      <c r="FB214" s="6"/>
      <c r="FC214" s="4">
        <v>0.0004045664297007945</v>
      </c>
      <c r="FD214" s="5">
        <f>IF(EV214="direct",IFERROR(FJ214/FA214,0),0)</f>
        <v>0</v>
      </c>
      <c r="FE214" s="5">
        <f>IF(EV214="direct",FC214-FD214,IF(EV214="cash",FO214,FC214))</f>
        <v>0.0004045664297007945</v>
      </c>
      <c r="FF214" s="6">
        <v>0.00039406078246339573</v>
      </c>
      <c r="FG214" s="4">
        <v>0.0007868817057680454</v>
      </c>
      <c r="FH214" s="4">
        <v>0</v>
      </c>
      <c r="FI214" s="5">
        <f>IF(EV214="direct",FC214*(FA214-EZ214),FL214)</f>
        <v>0.0000036410978673071695</v>
      </c>
      <c r="FJ214" s="5">
        <f>IF(EV214="direct",FH214*FB214*C214/365,0)</f>
        <v>0</v>
      </c>
      <c r="FK214" s="5">
        <f>FI214-FJ214</f>
        <v>0.0000036410978673071695</v>
      </c>
      <c r="FL214" s="4">
        <v>0.0000036410978673071695</v>
      </c>
      <c r="FM214" s="5">
        <f>FL214-FK214</f>
        <v>0</v>
      </c>
      <c r="FN214" s="4">
        <v>-0.0000036410978673071695</v>
      </c>
      <c r="FO214" s="4">
        <v>0</v>
      </c>
      <c r="FP214" s="4">
        <v>1.932</v>
      </c>
      <c r="FQ214" s="4">
        <v>1.922</v>
      </c>
      <c r="FR214" s="6">
        <v>0.006728778467908869</v>
      </c>
      <c r="FS214" s="6">
        <v>0.07200000000000001</v>
      </c>
      <c r="FT214" s="6">
        <v>0.03968415604227978</v>
      </c>
      <c r="FU214" s="9">
        <v>76</v>
      </c>
      <c r="FV214" s="7">
        <f>IFERROR(FK214/F214,0)</f>
        <v>0.000001823417502401326</v>
      </c>
      <c r="FW214" t="inlineStr">
        <is>
          <t xml:space="preserve">Lease cash / margin / financing</t>
        </is>
      </c>
      <c r="FX214" t="inlineStr">
        <is>
          <t xml:space="preserve">cash</t>
        </is>
      </c>
      <c r="FY214" t="inlineStr">
        <is>
          <t xml:space="preserve">lease</t>
        </is>
      </c>
      <c r="FZ214" t="inlineStr">
        <is>
          <t xml:space="preserve">cash</t>
        </is>
      </c>
      <c r="GA214"/>
      <c r="GB214" s="4">
        <v>1</v>
      </c>
      <c r="GC214" s="4">
        <v>1</v>
      </c>
      <c r="GD214" s="6"/>
      <c r="GE214" s="4">
        <v>-8.881784197001252e-16</v>
      </c>
      <c r="GF214" s="5">
        <f>IF(FX214="direct",IFERROR(GL214/GC214,0),0)</f>
        <v>0</v>
      </c>
      <c r="GG214" s="5">
        <f>IF(FX214="direct",GE214-GF214,IF(FX214="cash",GQ214,GE214))</f>
        <v>0.006788841582432361</v>
      </c>
      <c r="GH214" s="6"/>
      <c r="GI214" s="4">
        <v>-8.881784197001252e-16</v>
      </c>
      <c r="GJ214" s="4">
        <v>-8.881784197001252e-16</v>
      </c>
      <c r="GK214" s="5">
        <f>IF(FX214="direct",GE214*(GC214-GB214),GN214)</f>
        <v>0</v>
      </c>
      <c r="GL214" s="5">
        <f>IF(FX214="direct",GJ214*GD214*C214/365,0)</f>
        <v>0</v>
      </c>
      <c r="GM214" s="5">
        <f>GK214-GL214</f>
        <v>0</v>
      </c>
      <c r="GN214" s="4">
        <v>0</v>
      </c>
      <c r="GO214" s="5">
        <f>GN214-GM214</f>
        <v>0</v>
      </c>
      <c r="GP214" s="4">
        <v>0.0067888415824332495</v>
      </c>
      <c r="GQ214" s="4">
        <v>0.006788841582432361</v>
      </c>
      <c r="GR214" s="4">
        <v>1.932</v>
      </c>
      <c r="GS214" s="4">
        <v>1.922</v>
      </c>
      <c r="GT214" s="6"/>
      <c r="GU214" s="6"/>
      <c r="GV214" s="6"/>
      <c r="GW214" s="9"/>
      <c r="GX214" s="7">
        <f>IFERROR(GM214/F214,0)</f>
        <v>0</v>
      </c>
      <c r="GY214" t="inlineStr">
        <is>
          <t xml:space="preserve">Keep cash / margin / financing</t>
        </is>
      </c>
      <c r="GZ214" t="inlineStr">
        <is>
          <t xml:space="preserve">cash</t>
        </is>
      </c>
      <c r="HA214" t="inlineStr">
        <is>
          <t xml:space="preserve">keep</t>
        </is>
      </c>
      <c r="HB214" t="inlineStr">
        <is>
          <t xml:space="preserve">cash</t>
        </is>
      </c>
      <c r="HC214"/>
      <c r="HD214" s="4">
        <v>1</v>
      </c>
      <c r="HE214" s="4">
        <v>1</v>
      </c>
      <c r="HF214" s="6"/>
      <c r="HG214" s="4">
        <v>0</v>
      </c>
      <c r="HH214" s="5">
        <f>IF(GZ214="direct",IFERROR(HN214/HE214,0),0)</f>
        <v>0</v>
      </c>
      <c r="HI214" s="5">
        <f>IF(GZ214="direct",HG214-HH214,IF(GZ214="cash",HS214,HG214))</f>
        <v>0</v>
      </c>
      <c r="HJ214" s="6"/>
      <c r="HK214" s="4">
        <v>0</v>
      </c>
      <c r="HL214" s="4">
        <v>0</v>
      </c>
      <c r="HM214" s="5">
        <f>IF(GZ214="direct",HG214*(HE214-HD214),HP214)</f>
        <v>0</v>
      </c>
      <c r="HN214" s="5">
        <f>IF(GZ214="direct",HL214*HF214*C214/365,0)</f>
        <v>0</v>
      </c>
      <c r="HO214" s="5">
        <f>HM214-HN214</f>
        <v>0</v>
      </c>
      <c r="HP214" s="4">
        <v>0</v>
      </c>
      <c r="HQ214" s="5">
        <f>HP214-HO214</f>
        <v>0</v>
      </c>
      <c r="HR214" s="4">
        <v>0</v>
      </c>
      <c r="HS214" s="4">
        <v>0</v>
      </c>
      <c r="HT214" s="4">
        <v>1.932</v>
      </c>
      <c r="HU214" s="4">
        <v>1.922</v>
      </c>
      <c r="HV214" s="6"/>
      <c r="HW214" s="6"/>
      <c r="HX214" s="6"/>
      <c r="HY214" s="9"/>
      <c r="HZ214" s="7">
        <f>IFERROR(HO214/F214,0)</f>
        <v>0</v>
      </c>
      <c r="IA214"/>
      <c r="IB214"/>
      <c r="IC214"/>
      <c r="ID214"/>
      <c r="IE214"/>
      <c r="IF214" s="4"/>
      <c r="IG214" s="4"/>
      <c r="IH214" s="6"/>
      <c r="II214" s="4"/>
      <c r="IJ214" s="5">
        <v>0</v>
      </c>
      <c r="IK214" s="5"/>
      <c r="IL214" s="6"/>
      <c r="IM214" s="4"/>
      <c r="IN214" s="4"/>
      <c r="IO214" s="5">
        <v>0</v>
      </c>
      <c r="IP214" s="5">
        <v>0</v>
      </c>
      <c r="IQ214" s="5"/>
      <c r="IR214" s="4"/>
      <c r="IS214" s="5">
        <v>0</v>
      </c>
      <c r="IT214" s="4"/>
      <c r="IU214" s="4"/>
      <c r="IV214" s="4"/>
      <c r="IW214" s="4"/>
      <c r="IX214" s="6"/>
      <c r="IY214" s="6"/>
      <c r="IZ214" s="6"/>
      <c r="JA214" s="9"/>
      <c r="JB214"/>
      <c r="JC214"/>
      <c r="JD214"/>
      <c r="JE214"/>
      <c r="JF214"/>
      <c r="JG214"/>
      <c r="JH214" s="4"/>
      <c r="JI214" s="4"/>
      <c r="JJ214" s="6"/>
      <c r="JK214" s="4"/>
      <c r="JL214" s="5">
        <v>0</v>
      </c>
      <c r="JM214" s="5"/>
      <c r="JN214" s="6"/>
      <c r="JO214" s="4"/>
      <c r="JP214" s="4"/>
      <c r="JQ214" s="5">
        <v>0</v>
      </c>
      <c r="JR214" s="5">
        <v>0</v>
      </c>
      <c r="JS214" s="5"/>
      <c r="JT214" s="4"/>
      <c r="JU214" s="5">
        <v>0</v>
      </c>
      <c r="JV214" s="4"/>
      <c r="JW214" s="4"/>
      <c r="JX214" s="4"/>
      <c r="JY214" s="4"/>
      <c r="JZ214" s="6"/>
      <c r="KA214" s="6"/>
      <c r="KB214" s="6"/>
      <c r="KC214" s="9"/>
      <c r="KD214"/>
      <c r="KE214"/>
      <c r="KF214"/>
      <c r="KG214"/>
      <c r="KH214"/>
      <c r="KI214"/>
      <c r="KJ214" s="4"/>
      <c r="KK214" s="4"/>
      <c r="KL214" s="6"/>
      <c r="KM214" s="4"/>
      <c r="KN214" s="5">
        <v>0</v>
      </c>
      <c r="KO214" s="5"/>
      <c r="KP214" s="6"/>
      <c r="KQ214" s="4"/>
      <c r="KR214" s="4"/>
      <c r="KS214" s="5">
        <v>0</v>
      </c>
      <c r="KT214" s="5">
        <v>0</v>
      </c>
      <c r="KU214" s="5"/>
      <c r="KV214" s="4"/>
      <c r="KW214" s="5">
        <v>0</v>
      </c>
      <c r="KX214" s="4"/>
      <c r="KY214" s="4"/>
      <c r="KZ214" s="4"/>
      <c r="LA214" s="4"/>
      <c r="LB214" s="6"/>
      <c r="LC214" s="6"/>
      <c r="LD214" s="6"/>
      <c r="LE214" s="9"/>
      <c r="LF214"/>
      <c r="LG214"/>
      <c r="LH214"/>
      <c r="LI214"/>
      <c r="LJ214"/>
      <c r="LK214"/>
      <c r="LL214" s="4"/>
      <c r="LM214" s="4"/>
      <c r="LN214" s="6"/>
      <c r="LO214" s="4"/>
      <c r="LP214" s="5">
        <v>0</v>
      </c>
      <c r="LQ214" s="5"/>
      <c r="LR214" s="6"/>
      <c r="LS214" s="4"/>
      <c r="LT214" s="4"/>
      <c r="LU214" s="5">
        <v>0</v>
      </c>
      <c r="LV214" s="5">
        <v>0</v>
      </c>
      <c r="LW214" s="5"/>
      <c r="LX214" s="4"/>
      <c r="LY214" s="5">
        <v>0</v>
      </c>
      <c r="LZ214" s="4"/>
      <c r="MA214" s="4"/>
      <c r="MB214" s="4"/>
      <c r="MC214" s="4"/>
      <c r="MD214" s="6"/>
      <c r="ME214" s="6"/>
      <c r="MF214" s="6"/>
      <c r="MG214" s="9"/>
      <c r="MH214"/>
    </row>
    <row r="215">
      <c r="A215" s="8">
        <v>25521</v>
      </c>
      <c r="B215" s="8">
        <v>25524</v>
      </c>
      <c r="C215" s="9">
        <f>B215-A215</f>
        <v>3</v>
      </c>
      <c r="D215" s="8">
        <v>25521</v>
      </c>
      <c r="E215" t="inlineStr">
        <is>
          <t xml:space="preserve">positive</t>
        </is>
      </c>
      <c r="F215" s="4">
        <v>2.001097255155987</v>
      </c>
      <c r="G215" s="6">
        <v>-0.005673435000605199</v>
      </c>
      <c r="H215" s="7">
        <f>SUM(CP215,DR215,ET215,FV215,GX215,HZ215,JB215,KD215,LF215,MH215)</f>
        <v>-0.005673435000605199</v>
      </c>
      <c r="I215" s="7">
        <f>G215-H215</f>
        <v>0</v>
      </c>
      <c r="J215" s="5">
        <f>F215*(1+H215)</f>
        <v>1.98974415994897</v>
      </c>
      <c r="K215" s="4">
        <v>1.98974415994897</v>
      </c>
      <c r="L215" s="5">
        <f>K215-J215</f>
        <v>0</v>
      </c>
      <c r="M215" s="4">
        <v>1.922</v>
      </c>
      <c r="N215" s="4">
        <v>1.921</v>
      </c>
      <c r="O215" s="5">
        <f>M215/$M$3</f>
        <v>0.9816138917262512</v>
      </c>
      <c r="P215" s="5">
        <f>N215/$M$3</f>
        <v>0.9811031664964249</v>
      </c>
      <c r="Q215" s="7">
        <f>IFERROR(N215/M215-1,0)</f>
        <v>-0.0005202913631633388</v>
      </c>
      <c r="R215" s="5">
        <f>SUM(IF(BQ215="lease",CB215,0),IF(CS215="lease",DD215,0),IF(DU215="lease",EF215,0),IF(EW215="lease",FH215,0),IF(FY215="lease",GJ215,0),IF(HA215="lease",HL215,0),IF(IC215="lease",IN215,0),IF(JE215="lease",JP215,0),IF(KG215="lease",KR215,0),IF(LI215="lease",LT215,0))</f>
        <v>2.0010972551559862</v>
      </c>
      <c r="S215" s="5">
        <f>SUM(IF(BQ215="lease",CI215,0),IF(CS215="lease",DK215,0),IF(DU215="lease",EM215,0),IF(EW215="lease",FO215,0),IF(FY215="lease",GQ215,0),IF(HA215="lease",HS215,0),IF(IC215="lease",IU215,0),IF(JE215="lease",JW215,0),IF(KG215="lease",KY215,0),IF(LI215="lease",MA215,0))</f>
        <v>1.9897441599489691</v>
      </c>
      <c r="T215" s="5">
        <f>SUM(IF(BQ215="keep",CB215,0),IF(CS215="keep",DD215,0),IF(DU215="keep",EF215,0),IF(EW215="keep",FH215,0),IF(FY215="keep",GJ215,0),IF(HA215="keep",HL215,0),IF(IC215="keep",IN215,0),IF(JE215="keep",JP215,0),IF(KG215="keep",KR215,0),IF(LI215="keep",LT215,0))</f>
        <v>0</v>
      </c>
      <c r="U215" s="5">
        <f>SUM(IF(BQ215="keep",CI215,0),IF(CS215="keep",DK215,0),IF(DU215="keep",EM215,0),IF(EW215="keep",FO215,0),IF(FY215="keep",GQ215,0),IF(HA215="keep",HS215,0),IF(IC215="keep",IU215,0),IF(JE215="keep",JW215,0),IF(KG215="keep",KY215,0),IF(LI215="keep",MA215,0))</f>
        <v>0</v>
      </c>
      <c r="V215" s="5">
        <f>R215/O215</f>
        <v>2.0385787854294595</v>
      </c>
      <c r="W215" s="5">
        <f>S215/P215</f>
        <v>2.0280682275794284</v>
      </c>
      <c r="X215" s="5">
        <f>T215/O215</f>
        <v>0</v>
      </c>
      <c r="Y215" s="5">
        <f>U215/P215</f>
        <v>0</v>
      </c>
      <c r="Z215" s="5">
        <f>V215+X215</f>
        <v>2.0385787854294595</v>
      </c>
      <c r="AA215" s="7">
        <f>IFERROR(W215/V215-1,0)</f>
        <v>-0.0051558261692676854</v>
      </c>
      <c r="AB215" s="7">
        <f>IFERROR((W215-V215)/Z215,0)</f>
        <v>-0.005155826169267654</v>
      </c>
      <c r="AC215" s="7">
        <f>IFERROR(Y215/X215-1,0)</f>
        <v>0</v>
      </c>
      <c r="AD215" s="7">
        <f>IFERROR((Y215-X215)/Z215,0)</f>
        <v>0</v>
      </c>
      <c r="AE215" s="7">
        <f>AB215+AD215</f>
        <v>-0.005155826169267654</v>
      </c>
      <c r="AF215" s="7">
        <f>(1+Q215)*(1+AE215)-1</f>
        <v>-0.0056734350006051315</v>
      </c>
      <c r="AG215" s="7">
        <f>G215-AF215</f>
        <v>-6.765421556309548e-17</v>
      </c>
      <c r="AH215" s="5">
        <f>SUM(IF(BQ215="lease",CE215,0),IF(CS215="lease",DG215,0),IF(DU215="lease",EI215,0),IF(EW215="lease",FK215,0),IF(FY215="lease",GM215,0),IF(HA215="lease",HO215,0),IF(IC215="lease",IQ215,0),IF(JE215="lease",JS215,0),IF(KG215="lease",KU215,0),IF(LI215="lease",LW215,0))</f>
        <v>-0.01135309520701697</v>
      </c>
      <c r="AI215" s="5">
        <f>SUM(IF(BQ215="keep",CE215,0),IF(CS215="keep",DG215,0),IF(DU215="keep",EI215,0),IF(EW215="keep",FK215,0),IF(FY215="keep",GM215,0),IF(HA215="keep",HO215,0),IF(IC215="keep",IQ215,0),IF(JE215="keep",JS215,0),IF(KG215="keep",KU215,0),IF(LI215="keep",LW215,0))</f>
        <v>0</v>
      </c>
      <c r="AJ215" s="5">
        <f>SUM(IF(BQ215="lease",CH215,0),IF(CS215="lease",DJ215,0),IF(DU215="lease",EL215,0),IF(EW215="lease",FN215,0),IF(FY215="lease",GP215,0),IF(HA215="lease",HR215,0),IF(IC215="lease",IT215,0),IF(JE215="lease",JV215,0),IF(KG215="lease",KX215,0),IF(LI215="lease",LZ215,0))</f>
        <v>0</v>
      </c>
      <c r="AK215" s="5">
        <f>SUM(IF(BQ215="keep",CH215,0),IF(CS215="keep",DJ215,0),IF(DU215="keep",EL215,0),IF(EW215="keep",FN215,0),IF(FY215="keep",GP215,0),IF(HA215="keep",HR215,0),IF(IC215="keep",IT215,0),IF(JE215="keep",JV215,0),IF(KG215="keep",KX215,0),IF(LI215="keep",LZ215,0))</f>
        <v>0</v>
      </c>
      <c r="AL215" s="5">
        <f>R215-S214</f>
        <v>0</v>
      </c>
      <c r="AM215" s="5">
        <f>T215-U214</f>
        <v>0</v>
      </c>
      <c r="AN215" s="5">
        <f>AN214</f>
        <v>1</v>
      </c>
      <c r="AO215" s="5">
        <f>AO214+AH215</f>
        <v>0.9897441599489699</v>
      </c>
      <c r="AP215" s="5">
        <f>AP214+AL215</f>
        <v>4.440892098500626e-16</v>
      </c>
      <c r="AQ215" s="5">
        <f>AN215+AO215+AP215</f>
        <v>1.9897441599489705</v>
      </c>
      <c r="AR215" s="5">
        <f>S215-AQ215</f>
        <v>-1.3322676295501878e-15</v>
      </c>
      <c r="AS215" s="5">
        <f>AS214</f>
        <v>0</v>
      </c>
      <c r="AT215" s="5">
        <f>AT214+AI215</f>
        <v>0</v>
      </c>
      <c r="AU215" s="5">
        <f>AU214+AM215</f>
        <v>0</v>
      </c>
      <c r="AV215" s="5">
        <f>AS215+AT215+AU215</f>
        <v>0</v>
      </c>
      <c r="AW215" s="5">
        <f>U215-AV215</f>
        <v>0</v>
      </c>
      <c r="AX215" s="4">
        <v>2.0010972551559862</v>
      </c>
      <c r="AY215" s="4">
        <v>1.9897441599489694</v>
      </c>
      <c r="AZ215" s="5">
        <f>S215-AY215</f>
        <v>-2.220446049250313e-16</v>
      </c>
      <c r="BA215" s="4">
        <v>0</v>
      </c>
      <c r="BB215" s="4">
        <v>0</v>
      </c>
      <c r="BC215" s="5">
        <f>U215-BB215</f>
        <v>0</v>
      </c>
      <c r="BD215" s="7">
        <f>SUM(IF(BP215="direct",CC215/F215,0),IF(CR215="direct",DE215/F215,0),IF(DT215="direct",EG215/F215,0),IF(EV215="direct",FI215/F215,0),IF(FX215="direct",GK215/F215,0),IF(GZ215="direct",HM215/F215,0),IF(IB215="direct",IO215/F215,0),IF(JD215="direct",JQ215/F215,0),IF(KF215="direct",KS215/F215,0),IF(LH215="direct",LU215/F215,0))</f>
        <v>-0.00042074717505265864</v>
      </c>
      <c r="BE215" s="7">
        <f>-SUM(IF(BP215="direct",CD215/F215,0),IF(CR215="direct",DF215/F215,0),IF(DT215="direct",EH215/F215,0),IF(EV215="direct",FJ215/F215,0),IF(FX215="direct",GL215/F215,0),IF(GZ215="direct",HN215/F215,0),IF(IB215="direct",IP215/F215,0),IF(JD215="direct",JR215/F215,0),IF(KF215="direct",KT215/F215,0),IF(LH215="direct",LV215/F215,0))</f>
        <v>-0.00001661663158461573</v>
      </c>
      <c r="BF215" s="7">
        <f>BD215+BE215</f>
        <v>-0.00043736380663727436</v>
      </c>
      <c r="BG215" s="7">
        <f>BF215-SUM(IF(BP215="direct",CP215,0),IF(CR215="direct",DR215,0),IF(DT215="direct",ET215,0),IF(EV215="direct",FV215,0),IF(FX215="direct",GX215,0),IF(GZ215="direct",HZ215,0),IF(IB215="direct",JB215,0),IF(JD215="direct",KD215,0),IF(KF215="direct",LF215,0),IF(LH215="direct",MH215,0))</f>
        <v>1.9895109865109006e-17</v>
      </c>
      <c r="BH215" s="7">
        <f>SUM(IF(BP215="treasury",CP215,0),IF(CR215="treasury",DR215,0),IF(DT215="treasury",ET215,0),IF(EV215="treasury",FV215,0),IF(FX215="treasury",GX215,0),IF(GZ215="treasury",HZ215,0),IF(IB215="treasury",JB215,0),IF(JD215="treasury",KD215,0),IF(KF215="treasury",LF215,0),IF(LH215="treasury",MH215,0))</f>
        <v>0.00011149205428769514</v>
      </c>
      <c r="BI215" s="7">
        <f>SUM(IF(BP215="future",CP215,0),IF(CR215="future",DR215,0),IF(DT215="future",ET215,0),IF(EV215="future",FV215,0),IF(FX215="future",GX215,0),IF(GZ215="future",HZ215,0),IF(IB215="future",JB215,0),IF(JD215="future",KD215,0),IF(KF215="future",LF215,0),IF(LH215="future",MH215,0))</f>
        <v>-0.0053475632482556</v>
      </c>
      <c r="BJ215" s="7">
        <f>SUM(IF(BP215="cash",CP215,0),IF(CR215="cash",DR215,0),IF(DT215="cash",ET215,0),IF(EV215="cash",FV215,0),IF(FX215="cash",GX215,0),IF(GZ215="cash",HZ215,0),IF(IB215="cash",JB215,0),IF(JD215="cash",KD215,0),IF(KF215="cash",LF215,0),IF(LH215="cash",MH215,0))</f>
        <v>0</v>
      </c>
      <c r="BK215" s="7">
        <f>SUM(BF215,BH215,BI215,BJ215)</f>
        <v>-0.005673435000605199</v>
      </c>
      <c r="BL215" s="7">
        <f>G215-BK215</f>
        <v>0</v>
      </c>
      <c r="BM215" s="5">
        <f>MAX(ABS(CG215),ABS(DI215),ABS(EK215),ABS(FM215),ABS(GO215),ABS(HQ215),ABS(IS215),ABS(JU215),ABS(KW215),ABS(LY215))</f>
        <v>3.979021973021801e-17</v>
      </c>
      <c r="BN215" s="9">
        <f>COUNTA(BO215,CQ215,DS215,EU215,FW215,GY215,IA215,JC215,KE215,LG215)</f>
        <v>5</v>
      </c>
      <c r="BO215" t="inlineStr">
        <is>
          <t xml:space="preserve">Direct commodity holding</t>
        </is>
      </c>
      <c r="BP215" t="inlineStr">
        <is>
          <t xml:space="preserve">direct</t>
        </is>
      </c>
      <c r="BQ215" t="inlineStr">
        <is>
          <t xml:space="preserve">lease</t>
        </is>
      </c>
      <c r="BR215" t="inlineStr">
        <is>
          <t xml:space="preserve">long</t>
        </is>
      </c>
      <c r="BS215"/>
      <c r="BT215" s="4">
        <v>1.922</v>
      </c>
      <c r="BU215" s="4">
        <v>1.921</v>
      </c>
      <c r="BV215" s="6">
        <v>0.0025</v>
      </c>
      <c r="BW215" s="4">
        <v>0.8419560171126035</v>
      </c>
      <c r="BX215" s="5">
        <f>IF(BP215="direct",IFERROR(CD215/BU215,0),0)</f>
        <v>0.00001730947207387445</v>
      </c>
      <c r="BY215" s="5">
        <f>IF(BP215="direct",BW215-BX215,IF(BP215="cash",CI215,BW215))</f>
        <v>0.8419387076405296</v>
      </c>
      <c r="BZ215" s="6">
        <v>0.8086760704512989</v>
      </c>
      <c r="CA215" s="4">
        <v>1.618239464890424</v>
      </c>
      <c r="CB215" s="4">
        <v>1.618239464890424</v>
      </c>
      <c r="CC215" s="5">
        <f>IF(BP215="direct",BW215*(BU215-BT215),CF215)</f>
        <v>-0.0008419560171125108</v>
      </c>
      <c r="CD215" s="5">
        <f>IF(BP215="direct",CB215*BV215*C215/365,0)</f>
        <v>0.00003325149585391282</v>
      </c>
      <c r="CE215" s="5">
        <f>CC215-CD215</f>
        <v>-0.0008752075129664634</v>
      </c>
      <c r="CF215" s="4">
        <v>-0.0008752075129664634</v>
      </c>
      <c r="CG215" s="5">
        <f>CF215-CE215</f>
        <v>-3.979021973021801e-17</v>
      </c>
      <c r="CH215" s="4">
        <v>0</v>
      </c>
      <c r="CI215" s="4">
        <v>1.6173642573774574</v>
      </c>
      <c r="CJ215" s="4">
        <v>1.922</v>
      </c>
      <c r="CK215" s="4">
        <v>1.921</v>
      </c>
      <c r="CL215" s="6"/>
      <c r="CM215" s="6"/>
      <c r="CN215" s="6"/>
      <c r="CO215" s="9"/>
      <c r="CP215" s="7">
        <f>IFERROR(CE215/F215,0)</f>
        <v>-0.00043736380663729425</v>
      </c>
      <c r="CQ215" t="inlineStr">
        <is>
          <t xml:space="preserve">Treasury collateral</t>
        </is>
      </c>
      <c r="CR215" t="inlineStr">
        <is>
          <t xml:space="preserve">treasury</t>
        </is>
      </c>
      <c r="CS215" t="inlineStr">
        <is>
          <t xml:space="preserve">lease</t>
        </is>
      </c>
      <c r="CT215" t="inlineStr">
        <is>
          <t xml:space="preserve">long</t>
        </is>
      </c>
      <c r="CU215"/>
      <c r="CV215" s="4">
        <v>105.80473670683016</v>
      </c>
      <c r="CW215" s="4">
        <v>105.8663933301111</v>
      </c>
      <c r="CX215" s="6"/>
      <c r="CY215" s="4">
        <v>0.0036185316667476583</v>
      </c>
      <c r="CZ215" s="5">
        <f>IF(CR215="direct",IFERROR(DF215/CW215,0),0)</f>
        <v>0</v>
      </c>
      <c r="DA215" s="5">
        <f>IF(CR215="direct",CY215-CZ215,IF(CR215="cash",DK215,CY215))</f>
        <v>0.0036185316667476583</v>
      </c>
      <c r="DB215" s="6">
        <v>0.19132392954870114</v>
      </c>
      <c r="DC215" s="4">
        <v>0.38285779026556327</v>
      </c>
      <c r="DD215" s="4">
        <v>0.38285779026556327</v>
      </c>
      <c r="DE215" s="5">
        <f>IF(CR215="direct",CY215*(CW215-CV215),DH215)</f>
        <v>0.00022310644380680873</v>
      </c>
      <c r="DF215" s="5">
        <f>IF(CR215="direct",DD215*CX215*C215/365,0)</f>
        <v>0</v>
      </c>
      <c r="DG215" s="5">
        <f>DE215-DF215</f>
        <v>0.00022310644380680905</v>
      </c>
      <c r="DH215" s="4">
        <v>0.00022310644380680905</v>
      </c>
      <c r="DI215" s="5">
        <f>DH215-DG215</f>
        <v>3.2526065174565133e-19</v>
      </c>
      <c r="DJ215" s="4">
        <v>-1.1492543028346347e-17</v>
      </c>
      <c r="DK215" s="4">
        <v>0.38308089670937007</v>
      </c>
      <c r="DL215" s="4">
        <v>1.922</v>
      </c>
      <c r="DM215" s="4">
        <v>1.921</v>
      </c>
      <c r="DN215" s="6"/>
      <c r="DO215" s="6"/>
      <c r="DP215" s="6"/>
      <c r="DQ215" s="9">
        <v>45</v>
      </c>
      <c r="DR215" s="7">
        <f>IFERROR(DG215/F215,0)</f>
        <v>0.00011149205428769514</v>
      </c>
      <c r="DS215" t="inlineStr">
        <is>
          <t xml:space="preserve">SI69Z</t>
        </is>
      </c>
      <c r="DT215" t="inlineStr">
        <is>
          <t xml:space="preserve">future</t>
        </is>
      </c>
      <c r="DU215" t="inlineStr">
        <is>
          <t xml:space="preserve">lease</t>
        </is>
      </c>
      <c r="DV215" t="inlineStr">
        <is>
          <t xml:space="preserve">long</t>
        </is>
      </c>
      <c r="DW215" t="inlineStr">
        <is>
          <t xml:space="preserve">regular</t>
        </is>
      </c>
      <c r="DX215" s="4">
        <v>1.932</v>
      </c>
      <c r="DY215" s="4">
        <v>1.8780000000000001</v>
      </c>
      <c r="DZ215" s="6"/>
      <c r="EA215" s="4">
        <v>0.19816655810846961</v>
      </c>
      <c r="EB215" s="5">
        <f>IF(DT215="direct",IFERROR(EH215/DY215,0),0)</f>
        <v>0</v>
      </c>
      <c r="EC215" s="5">
        <f>IF(DT215="direct",EA215-EB215,IF(DT215="cash",EM215,EA215))</f>
        <v>0.19816655810846961</v>
      </c>
      <c r="ED215" s="6">
        <v>0.19132392954870114</v>
      </c>
      <c r="EE215" s="4">
        <v>0.38285779026556327</v>
      </c>
      <c r="EF215" s="4">
        <v>0</v>
      </c>
      <c r="EG215" s="5">
        <f>IF(DT215="direct",EA215*(DY215-DX215),EJ215)</f>
        <v>-0.010700994137857316</v>
      </c>
      <c r="EH215" s="5">
        <f>IF(DT215="direct",EF215*DZ215*C215/365,0)</f>
        <v>0</v>
      </c>
      <c r="EI215" s="5">
        <f>EG215-EH215</f>
        <v>-0.010700994137857316</v>
      </c>
      <c r="EJ215" s="4">
        <v>-0.010700994137857316</v>
      </c>
      <c r="EK215" s="5">
        <f>EJ215-EI215</f>
        <v>0</v>
      </c>
      <c r="EL215" s="4">
        <v>0.010700994137857316</v>
      </c>
      <c r="EM215" s="4">
        <v>0</v>
      </c>
      <c r="EN215" s="4">
        <v>1.922</v>
      </c>
      <c r="EO215" s="4">
        <v>1.921</v>
      </c>
      <c r="EP215" s="6">
        <v>0.00520291363163361</v>
      </c>
      <c r="EQ215" s="6">
        <v>0.0709</v>
      </c>
      <c r="ER215" s="6">
        <v>0.028698589432305167</v>
      </c>
      <c r="ES215" s="9">
        <v>45</v>
      </c>
      <c r="ET215" s="7">
        <f>IFERROR(EI215/F215,0)</f>
        <v>-0.0053475632482556</v>
      </c>
      <c r="EU215" t="inlineStr">
        <is>
          <t xml:space="preserve">Lease cash / margin / financing</t>
        </is>
      </c>
      <c r="EV215" t="inlineStr">
        <is>
          <t xml:space="preserve">cash</t>
        </is>
      </c>
      <c r="EW215" t="inlineStr">
        <is>
          <t xml:space="preserve">lease</t>
        </is>
      </c>
      <c r="EX215" t="inlineStr">
        <is>
          <t xml:space="preserve">cash</t>
        </is>
      </c>
      <c r="EY215"/>
      <c r="EZ215" s="4">
        <v>1</v>
      </c>
      <c r="FA215" s="4">
        <v>1</v>
      </c>
      <c r="FB215" s="6"/>
      <c r="FC215" s="4">
        <v>-8.881784197001252e-16</v>
      </c>
      <c r="FD215" s="5">
        <f>IF(EV215="direct",IFERROR(FJ215/FA215,0),0)</f>
        <v>0</v>
      </c>
      <c r="FE215" s="5">
        <f>IF(EV215="direct",FC215-FD215,IF(EV215="cash",FO215,FC215))</f>
        <v>-0.010700994137858192</v>
      </c>
      <c r="FF215" s="6"/>
      <c r="FG215" s="4">
        <v>-8.881784197001252e-16</v>
      </c>
      <c r="FH215" s="4">
        <v>-8.881784197001252e-16</v>
      </c>
      <c r="FI215" s="5">
        <f>IF(EV215="direct",FC215*(FA215-EZ215),FL215)</f>
        <v>0</v>
      </c>
      <c r="FJ215" s="5">
        <f>IF(EV215="direct",FH215*FB215*C215/365,0)</f>
        <v>0</v>
      </c>
      <c r="FK215" s="5">
        <f>FI215-FJ215</f>
        <v>0</v>
      </c>
      <c r="FL215" s="4">
        <v>0</v>
      </c>
      <c r="FM215" s="5">
        <f>FL215-FK215</f>
        <v>0</v>
      </c>
      <c r="FN215" s="4">
        <v>-0.010700994137857304</v>
      </c>
      <c r="FO215" s="4">
        <v>-0.010700994137858192</v>
      </c>
      <c r="FP215" s="4">
        <v>1.922</v>
      </c>
      <c r="FQ215" s="4">
        <v>1.921</v>
      </c>
      <c r="FR215" s="6"/>
      <c r="FS215" s="6"/>
      <c r="FT215" s="6"/>
      <c r="FU215" s="9"/>
      <c r="FV215" s="7">
        <f>IFERROR(FK215/F215,0)</f>
        <v>0</v>
      </c>
      <c r="FW215" t="inlineStr">
        <is>
          <t xml:space="preserve">Keep cash / margin / financing</t>
        </is>
      </c>
      <c r="FX215" t="inlineStr">
        <is>
          <t xml:space="preserve">cash</t>
        </is>
      </c>
      <c r="FY215" t="inlineStr">
        <is>
          <t xml:space="preserve">keep</t>
        </is>
      </c>
      <c r="FZ215" t="inlineStr">
        <is>
          <t xml:space="preserve">cash</t>
        </is>
      </c>
      <c r="GA215"/>
      <c r="GB215" s="4">
        <v>1</v>
      </c>
      <c r="GC215" s="4">
        <v>1</v>
      </c>
      <c r="GD215" s="6"/>
      <c r="GE215" s="4">
        <v>0</v>
      </c>
      <c r="GF215" s="5">
        <f>IF(FX215="direct",IFERROR(GL215/GC215,0),0)</f>
        <v>0</v>
      </c>
      <c r="GG215" s="5">
        <f>IF(FX215="direct",GE215-GF215,IF(FX215="cash",GQ215,GE215))</f>
        <v>0</v>
      </c>
      <c r="GH215" s="6"/>
      <c r="GI215" s="4">
        <v>0</v>
      </c>
      <c r="GJ215" s="4">
        <v>0</v>
      </c>
      <c r="GK215" s="5">
        <f>IF(FX215="direct",GE215*(GC215-GB215),GN215)</f>
        <v>0</v>
      </c>
      <c r="GL215" s="5">
        <f>IF(FX215="direct",GJ215*GD215*C215/365,0)</f>
        <v>0</v>
      </c>
      <c r="GM215" s="5">
        <f>GK215-GL215</f>
        <v>0</v>
      </c>
      <c r="GN215" s="4">
        <v>0</v>
      </c>
      <c r="GO215" s="5">
        <f>GN215-GM215</f>
        <v>0</v>
      </c>
      <c r="GP215" s="4">
        <v>0</v>
      </c>
      <c r="GQ215" s="4">
        <v>0</v>
      </c>
      <c r="GR215" s="4">
        <v>1.922</v>
      </c>
      <c r="GS215" s="4">
        <v>1.921</v>
      </c>
      <c r="GT215" s="6"/>
      <c r="GU215" s="6"/>
      <c r="GV215" s="6"/>
      <c r="GW215" s="9"/>
      <c r="GX215" s="7">
        <f>IFERROR(GM215/F215,0)</f>
        <v>0</v>
      </c>
      <c r="GY215"/>
      <c r="GZ215"/>
      <c r="HA215"/>
      <c r="HB215"/>
      <c r="HC215"/>
      <c r="HD215" s="4"/>
      <c r="HE215" s="4"/>
      <c r="HF215" s="6"/>
      <c r="HG215" s="4"/>
      <c r="HH215" s="5">
        <v>0</v>
      </c>
      <c r="HI215" s="5"/>
      <c r="HJ215" s="6"/>
      <c r="HK215" s="4"/>
      <c r="HL215" s="4"/>
      <c r="HM215" s="5">
        <v>0</v>
      </c>
      <c r="HN215" s="5">
        <v>0</v>
      </c>
      <c r="HO215" s="5"/>
      <c r="HP215" s="4"/>
      <c r="HQ215" s="5">
        <v>0</v>
      </c>
      <c r="HR215" s="4"/>
      <c r="HS215" s="4"/>
      <c r="HT215" s="4"/>
      <c r="HU215" s="4"/>
      <c r="HV215" s="6"/>
      <c r="HW215" s="6"/>
      <c r="HX215" s="6"/>
      <c r="HY215" s="9"/>
      <c r="HZ215"/>
      <c r="IA215"/>
      <c r="IB215"/>
      <c r="IC215"/>
      <c r="ID215"/>
      <c r="IE215"/>
      <c r="IF215" s="4"/>
      <c r="IG215" s="4"/>
      <c r="IH215" s="6"/>
      <c r="II215" s="4"/>
      <c r="IJ215" s="5">
        <v>0</v>
      </c>
      <c r="IK215" s="5"/>
      <c r="IL215" s="6"/>
      <c r="IM215" s="4"/>
      <c r="IN215" s="4"/>
      <c r="IO215" s="5">
        <v>0</v>
      </c>
      <c r="IP215" s="5">
        <v>0</v>
      </c>
      <c r="IQ215" s="5"/>
      <c r="IR215" s="4"/>
      <c r="IS215" s="5">
        <v>0</v>
      </c>
      <c r="IT215" s="4"/>
      <c r="IU215" s="4"/>
      <c r="IV215" s="4"/>
      <c r="IW215" s="4"/>
      <c r="IX215" s="6"/>
      <c r="IY215" s="6"/>
      <c r="IZ215" s="6"/>
      <c r="JA215" s="9"/>
      <c r="JB215"/>
      <c r="JC215"/>
      <c r="JD215"/>
      <c r="JE215"/>
      <c r="JF215"/>
      <c r="JG215"/>
      <c r="JH215" s="4"/>
      <c r="JI215" s="4"/>
      <c r="JJ215" s="6"/>
      <c r="JK215" s="4"/>
      <c r="JL215" s="5">
        <v>0</v>
      </c>
      <c r="JM215" s="5"/>
      <c r="JN215" s="6"/>
      <c r="JO215" s="4"/>
      <c r="JP215" s="4"/>
      <c r="JQ215" s="5">
        <v>0</v>
      </c>
      <c r="JR215" s="5">
        <v>0</v>
      </c>
      <c r="JS215" s="5"/>
      <c r="JT215" s="4"/>
      <c r="JU215" s="5">
        <v>0</v>
      </c>
      <c r="JV215" s="4"/>
      <c r="JW215" s="4"/>
      <c r="JX215" s="4"/>
      <c r="JY215" s="4"/>
      <c r="JZ215" s="6"/>
      <c r="KA215" s="6"/>
      <c r="KB215" s="6"/>
      <c r="KC215" s="9"/>
      <c r="KD215"/>
      <c r="KE215"/>
      <c r="KF215"/>
      <c r="KG215"/>
      <c r="KH215"/>
      <c r="KI215"/>
      <c r="KJ215" s="4"/>
      <c r="KK215" s="4"/>
      <c r="KL215" s="6"/>
      <c r="KM215" s="4"/>
      <c r="KN215" s="5">
        <v>0</v>
      </c>
      <c r="KO215" s="5"/>
      <c r="KP215" s="6"/>
      <c r="KQ215" s="4"/>
      <c r="KR215" s="4"/>
      <c r="KS215" s="5">
        <v>0</v>
      </c>
      <c r="KT215" s="5">
        <v>0</v>
      </c>
      <c r="KU215" s="5"/>
      <c r="KV215" s="4"/>
      <c r="KW215" s="5">
        <v>0</v>
      </c>
      <c r="KX215" s="4"/>
      <c r="KY215" s="4"/>
      <c r="KZ215" s="4"/>
      <c r="LA215" s="4"/>
      <c r="LB215" s="6"/>
      <c r="LC215" s="6"/>
      <c r="LD215" s="6"/>
      <c r="LE215" s="9"/>
      <c r="LF215"/>
      <c r="LG215"/>
      <c r="LH215"/>
      <c r="LI215"/>
      <c r="LJ215"/>
      <c r="LK215"/>
      <c r="LL215" s="4"/>
      <c r="LM215" s="4"/>
      <c r="LN215" s="6"/>
      <c r="LO215" s="4"/>
      <c r="LP215" s="5">
        <v>0</v>
      </c>
      <c r="LQ215" s="5"/>
      <c r="LR215" s="6"/>
      <c r="LS215" s="4"/>
      <c r="LT215" s="4"/>
      <c r="LU215" s="5">
        <v>0</v>
      </c>
      <c r="LV215" s="5">
        <v>0</v>
      </c>
      <c r="LW215" s="5"/>
      <c r="LX215" s="4"/>
      <c r="LY215" s="5">
        <v>0</v>
      </c>
      <c r="LZ215" s="4"/>
      <c r="MA215" s="4"/>
      <c r="MB215" s="4"/>
      <c r="MC215" s="4"/>
      <c r="MD215" s="6"/>
      <c r="ME215" s="6"/>
      <c r="MF215" s="6"/>
      <c r="MG215" s="9"/>
      <c r="MH215"/>
    </row>
    <row r="216">
      <c r="A216" s="8">
        <v>25524</v>
      </c>
      <c r="B216" s="8">
        <v>25525</v>
      </c>
      <c r="C216" s="9">
        <f>B216-A216</f>
        <v>1</v>
      </c>
      <c r="D216" s="8">
        <v>25524</v>
      </c>
      <c r="E216" t="inlineStr">
        <is>
          <t xml:space="preserve">positive</t>
        </is>
      </c>
      <c r="F216" s="4">
        <v>1.98974415994897</v>
      </c>
      <c r="G216" s="6">
        <v>-0.004066152275081313</v>
      </c>
      <c r="H216" s="7">
        <f>SUM(CP216,DR216,ET216,FV216,GX216,HZ216,JB216,KD216,LF216,MH216)</f>
        <v>-0.004066152275081313</v>
      </c>
      <c r="I216" s="7">
        <f>G216-H216</f>
        <v>0</v>
      </c>
      <c r="J216" s="5">
        <f>F216*(1+H216)</f>
        <v>1.9816535572061638</v>
      </c>
      <c r="K216" s="4">
        <v>1.9816535572061638</v>
      </c>
      <c r="L216" s="5">
        <f>K216-J216</f>
        <v>0</v>
      </c>
      <c r="M216" s="4">
        <v>1.921</v>
      </c>
      <c r="N216" s="4">
        <v>1.897</v>
      </c>
      <c r="O216" s="5">
        <f>M216/$M$3</f>
        <v>0.9811031664964249</v>
      </c>
      <c r="P216" s="5">
        <f>N216/$M$3</f>
        <v>0.9688457609805925</v>
      </c>
      <c r="Q216" s="7">
        <f>IFERROR(N216/M216-1,0)</f>
        <v>-0.012493492972410203</v>
      </c>
      <c r="R216" s="5">
        <f>SUM(IF(BQ216="lease",CB216,0),IF(CS216="lease",DD216,0),IF(DU216="lease",EF216,0),IF(EW216="lease",FH216,0),IF(FY216="lease",GJ216,0),IF(HA216="lease",HL216,0),IF(IC216="lease",IN216,0),IF(JE216="lease",JP216,0),IF(KG216="lease",KR216,0),IF(LI216="lease",LT216,0))</f>
        <v>1.9897441599489694</v>
      </c>
      <c r="S216" s="5">
        <f>SUM(IF(BQ216="lease",CI216,0),IF(CS216="lease",DK216,0),IF(DU216="lease",EM216,0),IF(EW216="lease",FO216,0),IF(FY216="lease",GQ216,0),IF(HA216="lease",HS216,0),IF(IC216="lease",IU216,0),IF(JE216="lease",JW216,0),IF(KG216="lease",KY216,0),IF(LI216="lease",MA216,0))</f>
        <v>1.981653557206163</v>
      </c>
      <c r="T216" s="5">
        <f>SUM(IF(BQ216="keep",CB216,0),IF(CS216="keep",DD216,0),IF(DU216="keep",EF216,0),IF(EW216="keep",FH216,0),IF(FY216="keep",GJ216,0),IF(HA216="keep",HL216,0),IF(IC216="keep",IN216,0),IF(JE216="keep",JP216,0),IF(KG216="keep",KR216,0),IF(LI216="keep",LT216,0))</f>
        <v>0</v>
      </c>
      <c r="U216" s="5">
        <f>SUM(IF(BQ216="keep",CI216,0),IF(CS216="keep",DK216,0),IF(DU216="keep",EM216,0),IF(EW216="keep",FO216,0),IF(FY216="keep",GQ216,0),IF(HA216="keep",HS216,0),IF(IC216="keep",IU216,0),IF(JE216="keep",JW216,0),IF(KG216="keep",KY216,0),IF(LI216="keep",MA216,0))</f>
        <v>0</v>
      </c>
      <c r="V216" s="5">
        <f>R216/O216</f>
        <v>2.0280682275794284</v>
      </c>
      <c r="W216" s="5">
        <f>S216/P216</f>
        <v>2.045375680026182</v>
      </c>
      <c r="X216" s="5">
        <f>T216/O216</f>
        <v>0</v>
      </c>
      <c r="Y216" s="5">
        <f>U216/P216</f>
        <v>0</v>
      </c>
      <c r="Z216" s="5">
        <f>V216+X216</f>
        <v>2.0280682275794284</v>
      </c>
      <c r="AA216" s="7">
        <f>IFERROR(W216/V216-1,0)</f>
        <v>0.008533959662397894</v>
      </c>
      <c r="AB216" s="7">
        <f>IFERROR((W216-V216)/Z216,0)</f>
        <v>0.008533959662397866</v>
      </c>
      <c r="AC216" s="7">
        <f>IFERROR(Y216/X216-1,0)</f>
        <v>0</v>
      </c>
      <c r="AD216" s="7">
        <f>IFERROR((Y216-X216)/Z216,0)</f>
        <v>0</v>
      </c>
      <c r="AE216" s="7">
        <f>AB216+AD216</f>
        <v>0.008533959662397866</v>
      </c>
      <c r="AF216" s="7">
        <f>(1+Q216)*(1+AE216)-1</f>
        <v>-0.004066152275081336</v>
      </c>
      <c r="AG216" s="7">
        <f>G216-AF216</f>
        <v>2.3418766925686896e-17</v>
      </c>
      <c r="AH216" s="5">
        <f>SUM(IF(BQ216="lease",CE216,0),IF(CS216="lease",DG216,0),IF(DU216="lease",EI216,0),IF(EW216="lease",FK216,0),IF(FY216="lease",GM216,0),IF(HA216="lease",HO216,0),IF(IC216="lease",IQ216,0),IF(JE216="lease",JS216,0),IF(KG216="lease",KU216,0),IF(LI216="lease",LW216,0))</f>
        <v>-0.00809060274280626</v>
      </c>
      <c r="AI216" s="5">
        <f>SUM(IF(BQ216="keep",CE216,0),IF(CS216="keep",DG216,0),IF(DU216="keep",EI216,0),IF(EW216="keep",FK216,0),IF(FY216="keep",GM216,0),IF(HA216="keep",HO216,0),IF(IC216="keep",IQ216,0),IF(JE216="keep",JS216,0),IF(KG216="keep",KU216,0),IF(LI216="keep",LW216,0))</f>
        <v>0</v>
      </c>
      <c r="AJ216" s="5">
        <f>SUM(IF(BQ216="lease",CH216,0),IF(CS216="lease",DJ216,0),IF(DU216="lease",EL216,0),IF(EW216="lease",FN216,0),IF(FY216="lease",GP216,0),IF(HA216="lease",HR216,0),IF(IC216="lease",IT216,0),IF(JE216="lease",JV216,0),IF(KG216="lease",KX216,0),IF(LI216="lease",LZ216,0))</f>
        <v>0</v>
      </c>
      <c r="AK216" s="5">
        <f>SUM(IF(BQ216="keep",CH216,0),IF(CS216="keep",DJ216,0),IF(DU216="keep",EL216,0),IF(EW216="keep",FN216,0),IF(FY216="keep",GP216,0),IF(HA216="keep",HR216,0),IF(IC216="keep",IT216,0),IF(JE216="keep",JV216,0),IF(KG216="keep",KX216,0),IF(LI216="keep",LZ216,0))</f>
        <v>0</v>
      </c>
      <c r="AL216" s="5">
        <f>R216-S215</f>
        <v>2.220446049250313e-16</v>
      </c>
      <c r="AM216" s="5">
        <f>T216-U215</f>
        <v>0</v>
      </c>
      <c r="AN216" s="5">
        <f>AN215</f>
        <v>1</v>
      </c>
      <c r="AO216" s="5">
        <f>AO215+AH216</f>
        <v>0.9816535572061637</v>
      </c>
      <c r="AP216" s="5">
        <f>AP215+AL216</f>
        <v>6.661338147750939e-16</v>
      </c>
      <c r="AQ216" s="5">
        <f>AN216+AO216+AP216</f>
        <v>1.9816535572061642</v>
      </c>
      <c r="AR216" s="5">
        <f>S216-AQ216</f>
        <v>-1.1102230246251565e-15</v>
      </c>
      <c r="AS216" s="5">
        <f>AS215</f>
        <v>0</v>
      </c>
      <c r="AT216" s="5">
        <f>AT215+AI216</f>
        <v>0</v>
      </c>
      <c r="AU216" s="5">
        <f>AU215+AM216</f>
        <v>0</v>
      </c>
      <c r="AV216" s="5">
        <f>AS216+AT216+AU216</f>
        <v>0</v>
      </c>
      <c r="AW216" s="5">
        <f>U216-AV216</f>
        <v>0</v>
      </c>
      <c r="AX216" s="4">
        <v>1.9897441599489694</v>
      </c>
      <c r="AY216" s="4">
        <v>1.981653557206163</v>
      </c>
      <c r="AZ216" s="5">
        <f>S216-AY216</f>
        <v>0</v>
      </c>
      <c r="BA216" s="4">
        <v>0</v>
      </c>
      <c r="BB216" s="4">
        <v>0</v>
      </c>
      <c r="BC216" s="5">
        <f>U216-BB216</f>
        <v>0</v>
      </c>
      <c r="BD216" s="7">
        <f>SUM(IF(BP216="direct",CC216/F216,0),IF(CR216="direct",DE216/F216,0),IF(DT216="direct",EG216/F216,0),IF(EV216="direct",FI216/F216,0),IF(FX216="direct",GK216/F216,0),IF(GZ216="direct",HM216/F216,0),IF(IB216="direct",IO216/F216,0),IF(JD216="direct",JQ216/F216,0),IF(KF216="direct",KS216/F216,0),IF(LH216="direct",LU216/F216,0))</f>
        <v>0</v>
      </c>
      <c r="BE216" s="7">
        <f>-SUM(IF(BP216="direct",CD216/F216,0),IF(CR216="direct",DF216/F216,0),IF(DT216="direct",EH216/F216,0),IF(EV216="direct",FJ216/F216,0),IF(FX216="direct",GL216/F216,0),IF(GZ216="direct",HN216/F216,0),IF(IB216="direct",IP216/F216,0),IF(JD216="direct",JR216/F216,0),IF(KF216="direct",KT216/F216,0),IF(LH216="direct",LV216/F216,0))</f>
        <v>0</v>
      </c>
      <c r="BF216" s="7">
        <f>BD216+BE216</f>
        <v>0</v>
      </c>
      <c r="BG216" s="7">
        <f>BF216-SUM(IF(BP216="direct",CP216,0),IF(CR216="direct",DR216,0),IF(DT216="direct",ET216,0),IF(EV216="direct",FV216,0),IF(FX216="direct",GX216,0),IF(GZ216="direct",HZ216,0),IF(IB216="direct",JB216,0),IF(JD216="direct",KD216,0),IF(KF216="direct",LF216,0),IF(LH216="direct",MH216,0))</f>
        <v>0</v>
      </c>
      <c r="BH216" s="7">
        <f>SUM(IF(BP216="treasury",CP216,0),IF(CR216="treasury",DR216,0),IF(DT216="treasury",ET216,0),IF(EV216="treasury",FV216,0),IF(FX216="treasury",GX216,0),IF(GZ216="treasury",HZ216,0),IF(IB216="treasury",JB216,0),IF(JD216="treasury",KD216,0),IF(KF216="treasury",LF216,0),IF(LH216="treasury",MH216,0))</f>
        <v>0.0001936986301369863</v>
      </c>
      <c r="BI216" s="7">
        <f>SUM(IF(BP216="future",CP216,0),IF(CR216="future",DR216,0),IF(DT216="future",ET216,0),IF(EV216="future",FV216,0),IF(FX216="future",GX216,0),IF(GZ216="future",HZ216,0),IF(IB216="future",JB216,0),IF(JD216="future",KD216,0),IF(KF216="future",LF216,0),IF(LH216="future",MH216,0))</f>
        <v>-0.004259850905218299</v>
      </c>
      <c r="BJ216" s="7">
        <f>SUM(IF(BP216="cash",CP216,0),IF(CR216="cash",DR216,0),IF(DT216="cash",ET216,0),IF(EV216="cash",FV216,0),IF(FX216="cash",GX216,0),IF(GZ216="cash",HZ216,0),IF(IB216="cash",JB216,0),IF(JD216="cash",KD216,0),IF(KF216="cash",LF216,0),IF(LH216="cash",MH216,0))</f>
        <v>0</v>
      </c>
      <c r="BK216" s="7">
        <f>SUM(BF216,BH216,BI216,BJ216)</f>
        <v>-0.004066152275081313</v>
      </c>
      <c r="BL216" s="7">
        <f>G216-BK216</f>
        <v>0</v>
      </c>
      <c r="BM216" s="5">
        <f>MAX(ABS(CG216),ABS(DI216),ABS(EK216),ABS(FM216),ABS(GO216),ABS(HQ216),ABS(IS216),ABS(JU216),ABS(KW216),ABS(LY216))</f>
        <v>6.14742631799281e-17</v>
      </c>
      <c r="BN216" s="9">
        <f>COUNTA(BO216,CQ216,DS216,EU216,FW216,GY216,IA216,JC216,KE216,LG216)</f>
        <v>4</v>
      </c>
      <c r="BO216" t="inlineStr">
        <is>
          <t xml:space="preserve">Treasury collateral</t>
        </is>
      </c>
      <c r="BP216" t="inlineStr">
        <is>
          <t xml:space="preserve">treasury</t>
        </is>
      </c>
      <c r="BQ216" t="inlineStr">
        <is>
          <t xml:space="preserve">lease</t>
        </is>
      </c>
      <c r="BR216" t="inlineStr">
        <is>
          <t xml:space="preserve">long</t>
        </is>
      </c>
      <c r="BS216"/>
      <c r="BT216" s="4">
        <v>105.8663933301111</v>
      </c>
      <c r="BU216" s="4">
        <v>105.88689950547668</v>
      </c>
      <c r="BV216" s="6"/>
      <c r="BW216" s="4">
        <v>0.018794861120323404</v>
      </c>
      <c r="BX216" s="5">
        <f>IF(BP216="direct",IFERROR(CD216/BU216,0),0)</f>
        <v>0</v>
      </c>
      <c r="BY216" s="5">
        <f>IF(BP216="direct",BW216-BX216,IF(BP216="cash",CI216,BW216))</f>
        <v>0.018794861120323404</v>
      </c>
      <c r="BZ216" s="6">
        <v>1</v>
      </c>
      <c r="CA216" s="4">
        <v>1.98974415994897</v>
      </c>
      <c r="CB216" s="4">
        <v>1.98974415994897</v>
      </c>
      <c r="CC216" s="5">
        <f>IF(BP216="direct",BW216*(BU216-BT216),CF216)</f>
        <v>0.0003854107181051226</v>
      </c>
      <c r="CD216" s="5">
        <f>IF(BP216="direct",CB216*BV216*C216/365,0)</f>
        <v>0</v>
      </c>
      <c r="CE216" s="5">
        <f>CC216-CD216</f>
        <v>0.0003854107181051841</v>
      </c>
      <c r="CF216" s="4">
        <v>0.0003854107181051841</v>
      </c>
      <c r="CG216" s="5">
        <f>CF216-CE216</f>
        <v>6.14742631799281e-17</v>
      </c>
      <c r="CH216" s="4">
        <v>-2.4475864043860263e-16</v>
      </c>
      <c r="CI216" s="4">
        <v>1.990129570667075</v>
      </c>
      <c r="CJ216" s="4">
        <v>1.921</v>
      </c>
      <c r="CK216" s="4">
        <v>1.897</v>
      </c>
      <c r="CL216" s="6"/>
      <c r="CM216" s="6"/>
      <c r="CN216" s="6"/>
      <c r="CO216" s="9">
        <v>42</v>
      </c>
      <c r="CP216" s="7">
        <f>IFERROR(CE216/F216,0)</f>
        <v>0.0001936986301369863</v>
      </c>
      <c r="CQ216" t="inlineStr">
        <is>
          <t xml:space="preserve">SI69Z</t>
        </is>
      </c>
      <c r="CR216" t="inlineStr">
        <is>
          <t xml:space="preserve">future</t>
        </is>
      </c>
      <c r="CS216" t="inlineStr">
        <is>
          <t xml:space="preserve">lease</t>
        </is>
      </c>
      <c r="CT216" t="inlineStr">
        <is>
          <t xml:space="preserve">long</t>
        </is>
      </c>
      <c r="CU216" t="inlineStr">
        <is>
          <t xml:space="preserve">regular</t>
        </is>
      </c>
      <c r="CV216" s="4">
        <v>1.8780000000000001</v>
      </c>
      <c r="CW216" s="4">
        <v>1.87</v>
      </c>
      <c r="CX216" s="6"/>
      <c r="CY216" s="4">
        <v>1.059501682613935</v>
      </c>
      <c r="CZ216" s="5">
        <f>IF(CR216="direct",IFERROR(DF216/CW216,0),0)</f>
        <v>0</v>
      </c>
      <c r="DA216" s="5">
        <f>IF(CR216="direct",CY216-CZ216,IF(CR216="cash",DK216,CY216))</f>
        <v>1.059501682613935</v>
      </c>
      <c r="DB216" s="6">
        <v>1</v>
      </c>
      <c r="DC216" s="4">
        <v>1.98974415994897</v>
      </c>
      <c r="DD216" s="4">
        <v>0</v>
      </c>
      <c r="DE216" s="5">
        <f>IF(CR216="direct",CY216*(CW216-CV216),DH216)</f>
        <v>-0.008476013460911444</v>
      </c>
      <c r="DF216" s="5">
        <f>IF(CR216="direct",DD216*CX216*C216/365,0)</f>
        <v>0</v>
      </c>
      <c r="DG216" s="5">
        <f>DE216-DF216</f>
        <v>-0.008476013460911444</v>
      </c>
      <c r="DH216" s="4">
        <v>-0.008476013460911444</v>
      </c>
      <c r="DI216" s="5">
        <f>DH216-DG216</f>
        <v>0</v>
      </c>
      <c r="DJ216" s="4">
        <v>0.008476013460911444</v>
      </c>
      <c r="DK216" s="4">
        <v>0</v>
      </c>
      <c r="DL216" s="4">
        <v>1.921</v>
      </c>
      <c r="DM216" s="4">
        <v>1.897</v>
      </c>
      <c r="DN216" s="6">
        <v>-0.022384174908901544</v>
      </c>
      <c r="DO216" s="6">
        <v>0.0707</v>
      </c>
      <c r="DP216" s="6">
        <v>0.26522913908926343</v>
      </c>
      <c r="DQ216" s="9">
        <v>42</v>
      </c>
      <c r="DR216" s="7">
        <f>IFERROR(DG216/F216,0)</f>
        <v>-0.004259850905218299</v>
      </c>
      <c r="DS216" t="inlineStr">
        <is>
          <t xml:space="preserve">Lease cash / margin / financing</t>
        </is>
      </c>
      <c r="DT216" t="inlineStr">
        <is>
          <t xml:space="preserve">cash</t>
        </is>
      </c>
      <c r="DU216" t="inlineStr">
        <is>
          <t xml:space="preserve">lease</t>
        </is>
      </c>
      <c r="DV216" t="inlineStr">
        <is>
          <t xml:space="preserve">cash</t>
        </is>
      </c>
      <c r="DW216"/>
      <c r="DX216" s="4">
        <v>1</v>
      </c>
      <c r="DY216" s="4">
        <v>1</v>
      </c>
      <c r="DZ216" s="6"/>
      <c r="EA216" s="4">
        <v>-6.661338147750939e-16</v>
      </c>
      <c r="EB216" s="5">
        <f>IF(DT216="direct",IFERROR(EH216/DY216,0),0)</f>
        <v>0</v>
      </c>
      <c r="EC216" s="5">
        <f>IF(DT216="direct",EA216-EB216,IF(DT216="cash",EM216,EA216))</f>
        <v>-0.008476013460911865</v>
      </c>
      <c r="ED216" s="6"/>
      <c r="EE216" s="4">
        <v>-6.661338147750939e-16</v>
      </c>
      <c r="EF216" s="4">
        <v>-6.661338147750939e-16</v>
      </c>
      <c r="EG216" s="5">
        <f>IF(DT216="direct",EA216*(DY216-DX216),EJ216)</f>
        <v>0</v>
      </c>
      <c r="EH216" s="5">
        <f>IF(DT216="direct",EF216*DZ216*C216/365,0)</f>
        <v>0</v>
      </c>
      <c r="EI216" s="5">
        <f>EG216-EH216</f>
        <v>0</v>
      </c>
      <c r="EJ216" s="4">
        <v>0</v>
      </c>
      <c r="EK216" s="5">
        <f>EJ216-EI216</f>
        <v>0</v>
      </c>
      <c r="EL216" s="4">
        <v>-0.008476013460911199</v>
      </c>
      <c r="EM216" s="4">
        <v>-0.008476013460911865</v>
      </c>
      <c r="EN216" s="4">
        <v>1.921</v>
      </c>
      <c r="EO216" s="4">
        <v>1.897</v>
      </c>
      <c r="EP216" s="6"/>
      <c r="EQ216" s="6"/>
      <c r="ER216" s="6"/>
      <c r="ES216" s="9"/>
      <c r="ET216" s="7">
        <f>IFERROR(EI216/F216,0)</f>
        <v>0</v>
      </c>
      <c r="EU216" t="inlineStr">
        <is>
          <t xml:space="preserve">Keep cash / margin / financing</t>
        </is>
      </c>
      <c r="EV216" t="inlineStr">
        <is>
          <t xml:space="preserve">cash</t>
        </is>
      </c>
      <c r="EW216" t="inlineStr">
        <is>
          <t xml:space="preserve">keep</t>
        </is>
      </c>
      <c r="EX216" t="inlineStr">
        <is>
          <t xml:space="preserve">cash</t>
        </is>
      </c>
      <c r="EY216"/>
      <c r="EZ216" s="4">
        <v>1</v>
      </c>
      <c r="FA216" s="4">
        <v>1</v>
      </c>
      <c r="FB216" s="6"/>
      <c r="FC216" s="4">
        <v>0</v>
      </c>
      <c r="FD216" s="5">
        <f>IF(EV216="direct",IFERROR(FJ216/FA216,0),0)</f>
        <v>0</v>
      </c>
      <c r="FE216" s="5">
        <f>IF(EV216="direct",FC216-FD216,IF(EV216="cash",FO216,FC216))</f>
        <v>0</v>
      </c>
      <c r="FF216" s="6"/>
      <c r="FG216" s="4">
        <v>0</v>
      </c>
      <c r="FH216" s="4">
        <v>0</v>
      </c>
      <c r="FI216" s="5">
        <f>IF(EV216="direct",FC216*(FA216-EZ216),FL216)</f>
        <v>0</v>
      </c>
      <c r="FJ216" s="5">
        <f>IF(EV216="direct",FH216*FB216*C216/365,0)</f>
        <v>0</v>
      </c>
      <c r="FK216" s="5">
        <f>FI216-FJ216</f>
        <v>0</v>
      </c>
      <c r="FL216" s="4">
        <v>0</v>
      </c>
      <c r="FM216" s="5">
        <f>FL216-FK216</f>
        <v>0</v>
      </c>
      <c r="FN216" s="4">
        <v>0</v>
      </c>
      <c r="FO216" s="4">
        <v>0</v>
      </c>
      <c r="FP216" s="4">
        <v>1.921</v>
      </c>
      <c r="FQ216" s="4">
        <v>1.897</v>
      </c>
      <c r="FR216" s="6"/>
      <c r="FS216" s="6"/>
      <c r="FT216" s="6"/>
      <c r="FU216" s="9"/>
      <c r="FV216" s="7">
        <f>IFERROR(FK216/F216,0)</f>
        <v>0</v>
      </c>
      <c r="FW216"/>
      <c r="FX216"/>
      <c r="FY216"/>
      <c r="FZ216"/>
      <c r="GA216"/>
      <c r="GB216" s="4"/>
      <c r="GC216" s="4"/>
      <c r="GD216" s="6"/>
      <c r="GE216" s="4"/>
      <c r="GF216" s="5">
        <v>0</v>
      </c>
      <c r="GG216" s="5"/>
      <c r="GH216" s="6"/>
      <c r="GI216" s="4"/>
      <c r="GJ216" s="4"/>
      <c r="GK216" s="5">
        <v>0</v>
      </c>
      <c r="GL216" s="5">
        <v>0</v>
      </c>
      <c r="GM216" s="5"/>
      <c r="GN216" s="4"/>
      <c r="GO216" s="5">
        <v>0</v>
      </c>
      <c r="GP216" s="4"/>
      <c r="GQ216" s="4"/>
      <c r="GR216" s="4"/>
      <c r="GS216" s="4"/>
      <c r="GT216" s="6"/>
      <c r="GU216" s="6"/>
      <c r="GV216" s="6"/>
      <c r="GW216" s="9"/>
      <c r="GX216"/>
      <c r="GY216"/>
      <c r="GZ216"/>
      <c r="HA216"/>
      <c r="HB216"/>
      <c r="HC216"/>
      <c r="HD216" s="4"/>
      <c r="HE216" s="4"/>
      <c r="HF216" s="6"/>
      <c r="HG216" s="4"/>
      <c r="HH216" s="5">
        <v>0</v>
      </c>
      <c r="HI216" s="5"/>
      <c r="HJ216" s="6"/>
      <c r="HK216" s="4"/>
      <c r="HL216" s="4"/>
      <c r="HM216" s="5">
        <v>0</v>
      </c>
      <c r="HN216" s="5">
        <v>0</v>
      </c>
      <c r="HO216" s="5"/>
      <c r="HP216" s="4"/>
      <c r="HQ216" s="5">
        <v>0</v>
      </c>
      <c r="HR216" s="4"/>
      <c r="HS216" s="4"/>
      <c r="HT216" s="4"/>
      <c r="HU216" s="4"/>
      <c r="HV216" s="6"/>
      <c r="HW216" s="6"/>
      <c r="HX216" s="6"/>
      <c r="HY216" s="9"/>
      <c r="HZ216"/>
      <c r="IA216"/>
      <c r="IB216"/>
      <c r="IC216"/>
      <c r="ID216"/>
      <c r="IE216"/>
      <c r="IF216" s="4"/>
      <c r="IG216" s="4"/>
      <c r="IH216" s="6"/>
      <c r="II216" s="4"/>
      <c r="IJ216" s="5">
        <v>0</v>
      </c>
      <c r="IK216" s="5"/>
      <c r="IL216" s="6"/>
      <c r="IM216" s="4"/>
      <c r="IN216" s="4"/>
      <c r="IO216" s="5">
        <v>0</v>
      </c>
      <c r="IP216" s="5">
        <v>0</v>
      </c>
      <c r="IQ216" s="5"/>
      <c r="IR216" s="4"/>
      <c r="IS216" s="5">
        <v>0</v>
      </c>
      <c r="IT216" s="4"/>
      <c r="IU216" s="4"/>
      <c r="IV216" s="4"/>
      <c r="IW216" s="4"/>
      <c r="IX216" s="6"/>
      <c r="IY216" s="6"/>
      <c r="IZ216" s="6"/>
      <c r="JA216" s="9"/>
      <c r="JB216"/>
      <c r="JC216"/>
      <c r="JD216"/>
      <c r="JE216"/>
      <c r="JF216"/>
      <c r="JG216"/>
      <c r="JH216" s="4"/>
      <c r="JI216" s="4"/>
      <c r="JJ216" s="6"/>
      <c r="JK216" s="4"/>
      <c r="JL216" s="5">
        <v>0</v>
      </c>
      <c r="JM216" s="5"/>
      <c r="JN216" s="6"/>
      <c r="JO216" s="4"/>
      <c r="JP216" s="4"/>
      <c r="JQ216" s="5">
        <v>0</v>
      </c>
      <c r="JR216" s="5">
        <v>0</v>
      </c>
      <c r="JS216" s="5"/>
      <c r="JT216" s="4"/>
      <c r="JU216" s="5">
        <v>0</v>
      </c>
      <c r="JV216" s="4"/>
      <c r="JW216" s="4"/>
      <c r="JX216" s="4"/>
      <c r="JY216" s="4"/>
      <c r="JZ216" s="6"/>
      <c r="KA216" s="6"/>
      <c r="KB216" s="6"/>
      <c r="KC216" s="9"/>
      <c r="KD216"/>
      <c r="KE216"/>
      <c r="KF216"/>
      <c r="KG216"/>
      <c r="KH216"/>
      <c r="KI216"/>
      <c r="KJ216" s="4"/>
      <c r="KK216" s="4"/>
      <c r="KL216" s="6"/>
      <c r="KM216" s="4"/>
      <c r="KN216" s="5">
        <v>0</v>
      </c>
      <c r="KO216" s="5"/>
      <c r="KP216" s="6"/>
      <c r="KQ216" s="4"/>
      <c r="KR216" s="4"/>
      <c r="KS216" s="5">
        <v>0</v>
      </c>
      <c r="KT216" s="5">
        <v>0</v>
      </c>
      <c r="KU216" s="5"/>
      <c r="KV216" s="4"/>
      <c r="KW216" s="5">
        <v>0</v>
      </c>
      <c r="KX216" s="4"/>
      <c r="KY216" s="4"/>
      <c r="KZ216" s="4"/>
      <c r="LA216" s="4"/>
      <c r="LB216" s="6"/>
      <c r="LC216" s="6"/>
      <c r="LD216" s="6"/>
      <c r="LE216" s="9"/>
      <c r="LF216"/>
      <c r="LG216"/>
      <c r="LH216"/>
      <c r="LI216"/>
      <c r="LJ216"/>
      <c r="LK216"/>
      <c r="LL216" s="4"/>
      <c r="LM216" s="4"/>
      <c r="LN216" s="6"/>
      <c r="LO216" s="4"/>
      <c r="LP216" s="5">
        <v>0</v>
      </c>
      <c r="LQ216" s="5"/>
      <c r="LR216" s="6"/>
      <c r="LS216" s="4"/>
      <c r="LT216" s="4"/>
      <c r="LU216" s="5">
        <v>0</v>
      </c>
      <c r="LV216" s="5">
        <v>0</v>
      </c>
      <c r="LW216" s="5"/>
      <c r="LX216" s="4"/>
      <c r="LY216" s="5">
        <v>0</v>
      </c>
      <c r="LZ216" s="4"/>
      <c r="MA216" s="4"/>
      <c r="MB216" s="4"/>
      <c r="MC216" s="4"/>
      <c r="MD216" s="6"/>
      <c r="ME216" s="6"/>
      <c r="MF216" s="6"/>
      <c r="MG216" s="9"/>
      <c r="MH216"/>
    </row>
    <row r="217">
      <c r="A217" s="8">
        <v>25525</v>
      </c>
      <c r="B217" s="8">
        <v>25526</v>
      </c>
      <c r="C217" s="9">
        <f>B217-A217</f>
        <v>1</v>
      </c>
      <c r="D217" s="8">
        <v>25525</v>
      </c>
      <c r="E217" t="inlineStr">
        <is>
          <t xml:space="preserve">positive</t>
        </is>
      </c>
      <c r="F217" s="4">
        <v>1.9816535572061638</v>
      </c>
      <c r="G217" s="6">
        <v>0.010892447439747826</v>
      </c>
      <c r="H217" s="7">
        <f>SUM(CP217,DR217,ET217,FV217,GX217,HZ217,JB217,KD217,LF217,MH217)</f>
        <v>0.010892447439747825</v>
      </c>
      <c r="I217" s="7">
        <f>G217-H217</f>
        <v>1.734723475976807e-18</v>
      </c>
      <c r="J217" s="5">
        <f>F217*(1+H217)</f>
        <v>2.003238614421821</v>
      </c>
      <c r="K217" s="4">
        <v>2.003238614421821</v>
      </c>
      <c r="L217" s="5">
        <f>K217-J217</f>
        <v>0</v>
      </c>
      <c r="M217" s="4">
        <v>1.897</v>
      </c>
      <c r="N217" s="4">
        <v>1.877</v>
      </c>
      <c r="O217" s="5">
        <f>M217/$M$3</f>
        <v>0.9688457609805925</v>
      </c>
      <c r="P217" s="5">
        <f>N217/$M$3</f>
        <v>0.9586312563840654</v>
      </c>
      <c r="Q217" s="7">
        <f>IFERROR(N217/M217-1,0)</f>
        <v>-0.010542962572482883</v>
      </c>
      <c r="R217" s="5">
        <f>SUM(IF(BQ217="lease",CB217,0),IF(CS217="lease",DD217,0),IF(DU217="lease",EF217,0),IF(EW217="lease",FH217,0),IF(FY217="lease",GJ217,0),IF(HA217="lease",HL217,0),IF(IC217="lease",IN217,0),IF(JE217="lease",JP217,0),IF(KG217="lease",KR217,0),IF(LI217="lease",LT217,0))</f>
        <v>1.981653557206163</v>
      </c>
      <c r="S217" s="5">
        <f>SUM(IF(BQ217="lease",CI217,0),IF(CS217="lease",DK217,0),IF(DU217="lease",EM217,0),IF(EW217="lease",FO217,0),IF(FY217="lease",GQ217,0),IF(HA217="lease",HS217,0),IF(IC217="lease",IU217,0),IF(JE217="lease",JW217,0),IF(KG217="lease",KY217,0),IF(LI217="lease",MA217,0))</f>
        <v>2.0032386144218206</v>
      </c>
      <c r="T217" s="5">
        <f>SUM(IF(BQ217="keep",CB217,0),IF(CS217="keep",DD217,0),IF(DU217="keep",EF217,0),IF(EW217="keep",FH217,0),IF(FY217="keep",GJ217,0),IF(HA217="keep",HL217,0),IF(IC217="keep",IN217,0),IF(JE217="keep",JP217,0),IF(KG217="keep",KR217,0),IF(LI217="keep",LT217,0))</f>
        <v>0</v>
      </c>
      <c r="U217" s="5">
        <f>SUM(IF(BQ217="keep",CI217,0),IF(CS217="keep",DK217,0),IF(DU217="keep",EM217,0),IF(EW217="keep",FO217,0),IF(FY217="keep",GQ217,0),IF(HA217="keep",HS217,0),IF(IC217="keep",IU217,0),IF(JE217="keep",JW217,0),IF(KG217="keep",KY217,0),IF(LI217="keep",MA217,0))</f>
        <v>0</v>
      </c>
      <c r="V217" s="5">
        <f>R217/O217</f>
        <v>2.045375680026182</v>
      </c>
      <c r="W217" s="5">
        <f>S217/P217</f>
        <v>2.0896863116877595</v>
      </c>
      <c r="X217" s="5">
        <f>T217/O217</f>
        <v>0</v>
      </c>
      <c r="Y217" s="5">
        <f>U217/P217</f>
        <v>0</v>
      </c>
      <c r="Z217" s="5">
        <f>V217+X217</f>
        <v>2.045375680026182</v>
      </c>
      <c r="AA217" s="7">
        <f>IFERROR(W217/V217-1,0)</f>
        <v>0.021663810758232094</v>
      </c>
      <c r="AB217" s="7">
        <f>IFERROR((W217-V217)/Z217,0)</f>
        <v>0.02166381075823213</v>
      </c>
      <c r="AC217" s="7">
        <f>IFERROR(Y217/X217-1,0)</f>
        <v>0</v>
      </c>
      <c r="AD217" s="7">
        <f>IFERROR((Y217-X217)/Z217,0)</f>
        <v>0</v>
      </c>
      <c r="AE217" s="7">
        <f>AB217+AD217</f>
        <v>0.02166381075823213</v>
      </c>
      <c r="AF217" s="7">
        <f>(1+Q217)*(1+AE217)-1</f>
        <v>0.010892447439747821</v>
      </c>
      <c r="AG217" s="7">
        <f>G217-AF217</f>
        <v>5.204170427930421e-18</v>
      </c>
      <c r="AH217" s="5">
        <f>SUM(IF(BQ217="lease",CE217,0),IF(CS217="lease",DG217,0),IF(DU217="lease",EI217,0),IF(EW217="lease",FK217,0),IF(FY217="lease",GM217,0),IF(HA217="lease",HO217,0),IF(IC217="lease",IQ217,0),IF(JE217="lease",JS217,0),IF(KG217="lease",KU217,0),IF(LI217="lease",LW217,0))</f>
        <v>0.021585057215657448</v>
      </c>
      <c r="AI217" s="5">
        <f>SUM(IF(BQ217="keep",CE217,0),IF(CS217="keep",DG217,0),IF(DU217="keep",EI217,0),IF(EW217="keep",FK217,0),IF(FY217="keep",GM217,0),IF(HA217="keep",HO217,0),IF(IC217="keep",IQ217,0),IF(JE217="keep",JS217,0),IF(KG217="keep",KU217,0),IF(LI217="keep",LW217,0))</f>
        <v>0</v>
      </c>
      <c r="AJ217" s="5">
        <f>SUM(IF(BQ217="lease",CH217,0),IF(CS217="lease",DJ217,0),IF(DU217="lease",EL217,0),IF(EW217="lease",FN217,0),IF(FY217="lease",GP217,0),IF(HA217="lease",HR217,0),IF(IC217="lease",IT217,0),IF(JE217="lease",JV217,0),IF(KG217="lease",KX217,0),IF(LI217="lease",LZ217,0))</f>
        <v>0</v>
      </c>
      <c r="AK217" s="5">
        <f>SUM(IF(BQ217="keep",CH217,0),IF(CS217="keep",DJ217,0),IF(DU217="keep",EL217,0),IF(EW217="keep",FN217,0),IF(FY217="keep",GP217,0),IF(HA217="keep",HR217,0),IF(IC217="keep",IT217,0),IF(JE217="keep",JV217,0),IF(KG217="keep",KX217,0),IF(LI217="keep",LZ217,0))</f>
        <v>0</v>
      </c>
      <c r="AL217" s="5">
        <f>R217-S216</f>
        <v>0</v>
      </c>
      <c r="AM217" s="5">
        <f>T217-U216</f>
        <v>0</v>
      </c>
      <c r="AN217" s="5">
        <f>AN216</f>
        <v>1</v>
      </c>
      <c r="AO217" s="5">
        <f>AO216+AH217</f>
        <v>1.003238614421821</v>
      </c>
      <c r="AP217" s="5">
        <f>AP216+AL217</f>
        <v>6.661338147750939e-16</v>
      </c>
      <c r="AQ217" s="5">
        <f>AN217+AO217+AP217</f>
        <v>2.0032386144218215</v>
      </c>
      <c r="AR217" s="5">
        <f>S217-AQ217</f>
        <v>-8.881784197001252e-16</v>
      </c>
      <c r="AS217" s="5">
        <f>AS216</f>
        <v>0</v>
      </c>
      <c r="AT217" s="5">
        <f>AT216+AI217</f>
        <v>0</v>
      </c>
      <c r="AU217" s="5">
        <f>AU216+AM217</f>
        <v>0</v>
      </c>
      <c r="AV217" s="5">
        <f>AS217+AT217+AU217</f>
        <v>0</v>
      </c>
      <c r="AW217" s="5">
        <f>U217-AV217</f>
        <v>0</v>
      </c>
      <c r="AX217" s="4">
        <v>1.981653557206163</v>
      </c>
      <c r="AY217" s="4">
        <v>2.0032386144218206</v>
      </c>
      <c r="AZ217" s="5">
        <f>S217-AY217</f>
        <v>0</v>
      </c>
      <c r="BA217" s="4">
        <v>0</v>
      </c>
      <c r="BB217" s="4">
        <v>0</v>
      </c>
      <c r="BC217" s="5">
        <f>U217-BB217</f>
        <v>0</v>
      </c>
      <c r="BD217" s="7">
        <f>SUM(IF(BP217="direct",CC217/F217,0),IF(CR217="direct",DE217/F217,0),IF(DT217="direct",EG217/F217,0),IF(EV217="direct",FI217/F217,0),IF(FX217="direct",GK217/F217,0),IF(GZ217="direct",HM217/F217,0),IF(IB217="direct",IO217/F217,0),IF(JD217="direct",JQ217/F217,0),IF(KF217="direct",KS217/F217,0),IF(LH217="direct",LU217/F217,0))</f>
        <v>0</v>
      </c>
      <c r="BE217" s="7">
        <f>-SUM(IF(BP217="direct",CD217/F217,0),IF(CR217="direct",DF217/F217,0),IF(DT217="direct",EH217/F217,0),IF(EV217="direct",FJ217/F217,0),IF(FX217="direct",GL217/F217,0),IF(GZ217="direct",HN217/F217,0),IF(IB217="direct",IP217/F217,0),IF(JD217="direct",JR217/F217,0),IF(KF217="direct",KT217/F217,0),IF(LH217="direct",LV217/F217,0))</f>
        <v>0</v>
      </c>
      <c r="BF217" s="7">
        <f>BD217+BE217</f>
        <v>0</v>
      </c>
      <c r="BG217" s="7">
        <f>BF217-SUM(IF(BP217="direct",CP217,0),IF(CR217="direct",DR217,0),IF(DT217="direct",ET217,0),IF(EV217="direct",FV217,0),IF(FX217="direct",GX217,0),IF(GZ217="direct",HZ217,0),IF(IB217="direct",JB217,0),IF(JD217="direct",KD217,0),IF(KF217="direct",LF217,0),IF(LH217="direct",MH217,0))</f>
        <v>0</v>
      </c>
      <c r="BH217" s="7">
        <f>SUM(IF(BP217="treasury",CP217,0),IF(CR217="treasury",DR217,0),IF(DT217="treasury",ET217,0),IF(EV217="treasury",FV217,0),IF(FX217="treasury",GX217,0),IF(GZ217="treasury",HZ217,0),IF(IB217="treasury",JB217,0),IF(JD217="treasury",KD217,0),IF(KF217="treasury",LF217,0),IF(LH217="treasury",MH217,0))</f>
        <v>0.00019726027397260276</v>
      </c>
      <c r="BI217" s="7">
        <f>SUM(IF(BP217="future",CP217,0),IF(CR217="future",DR217,0),IF(DT217="future",ET217,0),IF(EV217="future",FV217,0),IF(FX217="future",GX217,0),IF(GZ217="future",HZ217,0),IF(IB217="future",JB217,0),IF(JD217="future",KD217,0),IF(KF217="future",LF217,0),IF(LH217="future",MH217,0))</f>
        <v>0.010695187165775222</v>
      </c>
      <c r="BJ217" s="7">
        <f>SUM(IF(BP217="cash",CP217,0),IF(CR217="cash",DR217,0),IF(DT217="cash",ET217,0),IF(EV217="cash",FV217,0),IF(FX217="cash",GX217,0),IF(GZ217="cash",HZ217,0),IF(IB217="cash",JB217,0),IF(JD217="cash",KD217,0),IF(KF217="cash",LF217,0),IF(LH217="cash",MH217,0))</f>
        <v>0</v>
      </c>
      <c r="BK217" s="7">
        <f>SUM(BF217,BH217,BI217,BJ217)</f>
        <v>0.010892447439747825</v>
      </c>
      <c r="BL217" s="7">
        <f>G217-BK217</f>
        <v>1.734723475976807e-18</v>
      </c>
      <c r="BM217" s="5">
        <f>MAX(ABS(CG217),ABS(DI217),ABS(EK217),ABS(FM217),ABS(GO217),ABS(HQ217),ABS(IS217),ABS(JU217),ABS(KW217),ABS(LY217))</f>
        <v>9.269928574751063e-17</v>
      </c>
      <c r="BN217" s="9">
        <f>COUNTA(BO217,CQ217,DS217,EU217,FW217,GY217,IA217,JC217,KE217,LG217)</f>
        <v>4</v>
      </c>
      <c r="BO217" t="inlineStr">
        <is>
          <t xml:space="preserve">Treasury collateral</t>
        </is>
      </c>
      <c r="BP217" t="inlineStr">
        <is>
          <t xml:space="preserve">treasury</t>
        </is>
      </c>
      <c r="BQ217" t="inlineStr">
        <is>
          <t xml:space="preserve">lease</t>
        </is>
      </c>
      <c r="BR217" t="inlineStr">
        <is>
          <t xml:space="preserve">long</t>
        </is>
      </c>
      <c r="BS217"/>
      <c r="BT217" s="4">
        <v>105.88689950547668</v>
      </c>
      <c r="BU217" s="4">
        <v>105.90778678428323</v>
      </c>
      <c r="BV217" s="6"/>
      <c r="BW217" s="4">
        <v>0.018714813319315945</v>
      </c>
      <c r="BX217" s="5">
        <f>IF(BP217="direct",IFERROR(CD217/BU217,0),0)</f>
        <v>0</v>
      </c>
      <c r="BY217" s="5">
        <f>IF(BP217="direct",BW217-BX217,IF(BP217="cash",CI217,BW217))</f>
        <v>0.018714813319315945</v>
      </c>
      <c r="BZ217" s="6">
        <v>1</v>
      </c>
      <c r="CA217" s="4">
        <v>1.9816535572061638</v>
      </c>
      <c r="CB217" s="4">
        <v>1.9816535572061638</v>
      </c>
      <c r="CC217" s="5">
        <f>IF(BP217="direct",BW217*(BU217-BT217),CF217)</f>
        <v>0.000390901523613178</v>
      </c>
      <c r="CD217" s="5">
        <f>IF(BP217="direct",CB217*BV217*C217/365,0)</f>
        <v>0</v>
      </c>
      <c r="CE217" s="5">
        <f>CC217-CD217</f>
        <v>0.0003909015236132707</v>
      </c>
      <c r="CF217" s="4">
        <v>0.0003909015236132707</v>
      </c>
      <c r="CG217" s="5">
        <f>CF217-CE217</f>
        <v>9.269928574751063e-17</v>
      </c>
      <c r="CH217" s="4">
        <v>1.5872719805187785e-16</v>
      </c>
      <c r="CI217" s="4">
        <v>1.9820444587297772</v>
      </c>
      <c r="CJ217" s="4">
        <v>1.897</v>
      </c>
      <c r="CK217" s="4">
        <v>1.877</v>
      </c>
      <c r="CL217" s="6"/>
      <c r="CM217" s="6"/>
      <c r="CN217" s="6"/>
      <c r="CO217" s="9">
        <v>41</v>
      </c>
      <c r="CP217" s="7">
        <f>IFERROR(CE217/F217,0)</f>
        <v>0.00019726027397260276</v>
      </c>
      <c r="CQ217" t="inlineStr">
        <is>
          <t xml:space="preserve">SI69Z</t>
        </is>
      </c>
      <c r="CR217" t="inlineStr">
        <is>
          <t xml:space="preserve">future</t>
        </is>
      </c>
      <c r="CS217" t="inlineStr">
        <is>
          <t xml:space="preserve">lease</t>
        </is>
      </c>
      <c r="CT217" t="inlineStr">
        <is>
          <t xml:space="preserve">long</t>
        </is>
      </c>
      <c r="CU217" t="inlineStr">
        <is>
          <t xml:space="preserve">regular</t>
        </is>
      </c>
      <c r="CV217" s="4">
        <v>1.87</v>
      </c>
      <c r="CW217" s="4">
        <v>1.89</v>
      </c>
      <c r="CX217" s="6"/>
      <c r="CY217" s="4">
        <v>1.0597077846022265</v>
      </c>
      <c r="CZ217" s="5">
        <f>IF(CR217="direct",IFERROR(DF217/CW217,0),0)</f>
        <v>0</v>
      </c>
      <c r="DA217" s="5">
        <f>IF(CR217="direct",CY217-CZ217,IF(CR217="cash",DK217,CY217))</f>
        <v>1.0597077846022265</v>
      </c>
      <c r="DB217" s="6">
        <v>1</v>
      </c>
      <c r="DC217" s="4">
        <v>1.9816535572061638</v>
      </c>
      <c r="DD217" s="4">
        <v>0</v>
      </c>
      <c r="DE217" s="5">
        <f>IF(CR217="direct",CY217*(CW217-CV217),DH217)</f>
        <v>0.021194155692044178</v>
      </c>
      <c r="DF217" s="5">
        <f>IF(CR217="direct",DD217*CX217*C217/365,0)</f>
        <v>0</v>
      </c>
      <c r="DG217" s="5">
        <f>DE217-DF217</f>
        <v>0.021194155692044178</v>
      </c>
      <c r="DH217" s="4">
        <v>0.021194155692044178</v>
      </c>
      <c r="DI217" s="5">
        <f>DH217-DG217</f>
        <v>0</v>
      </c>
      <c r="DJ217" s="4">
        <v>-0.021194155692044178</v>
      </c>
      <c r="DK217" s="4">
        <v>0</v>
      </c>
      <c r="DL217" s="4">
        <v>1.897</v>
      </c>
      <c r="DM217" s="4">
        <v>1.877</v>
      </c>
      <c r="DN217" s="6">
        <v>-0.014232999472851837</v>
      </c>
      <c r="DO217" s="6">
        <v>0.07200000000000001</v>
      </c>
      <c r="DP217" s="6">
        <v>0.19870840994124198</v>
      </c>
      <c r="DQ217" s="9">
        <v>41</v>
      </c>
      <c r="DR217" s="7">
        <f>IFERROR(DG217/F217,0)</f>
        <v>0.010695187165775222</v>
      </c>
      <c r="DS217" t="inlineStr">
        <is>
          <t xml:space="preserve">Lease cash / margin / financing</t>
        </is>
      </c>
      <c r="DT217" t="inlineStr">
        <is>
          <t xml:space="preserve">cash</t>
        </is>
      </c>
      <c r="DU217" t="inlineStr">
        <is>
          <t xml:space="preserve">lease</t>
        </is>
      </c>
      <c r="DV217" t="inlineStr">
        <is>
          <t xml:space="preserve">cash</t>
        </is>
      </c>
      <c r="DW217"/>
      <c r="DX217" s="4">
        <v>1</v>
      </c>
      <c r="DY217" s="4">
        <v>1</v>
      </c>
      <c r="DZ217" s="6"/>
      <c r="EA217" s="4">
        <v>-6.661338147750939e-16</v>
      </c>
      <c r="EB217" s="5">
        <f>IF(DT217="direct",IFERROR(EH217/DY217,0),0)</f>
        <v>0</v>
      </c>
      <c r="EC217" s="5">
        <f>IF(DT217="direct",EA217-EB217,IF(DT217="cash",EM217,EA217))</f>
        <v>0.021194155692043352</v>
      </c>
      <c r="ED217" s="6"/>
      <c r="EE217" s="4">
        <v>-6.661338147750939e-16</v>
      </c>
      <c r="EF217" s="4">
        <v>-6.661338147750939e-16</v>
      </c>
      <c r="EG217" s="5">
        <f>IF(DT217="direct",EA217*(DY217-DX217),EJ217)</f>
        <v>0</v>
      </c>
      <c r="EH217" s="5">
        <f>IF(DT217="direct",EF217*DZ217*C217/365,0)</f>
        <v>0</v>
      </c>
      <c r="EI217" s="5">
        <f>EG217-EH217</f>
        <v>0</v>
      </c>
      <c r="EJ217" s="4">
        <v>0</v>
      </c>
      <c r="EK217" s="5">
        <f>EJ217-EI217</f>
        <v>0</v>
      </c>
      <c r="EL217" s="4">
        <v>0.02119415569204402</v>
      </c>
      <c r="EM217" s="4">
        <v>0.021194155692043352</v>
      </c>
      <c r="EN217" s="4">
        <v>1.897</v>
      </c>
      <c r="EO217" s="4">
        <v>1.877</v>
      </c>
      <c r="EP217" s="6"/>
      <c r="EQ217" s="6"/>
      <c r="ER217" s="6"/>
      <c r="ES217" s="9"/>
      <c r="ET217" s="7">
        <f>IFERROR(EI217/F217,0)</f>
        <v>0</v>
      </c>
      <c r="EU217" t="inlineStr">
        <is>
          <t xml:space="preserve">Keep cash / margin / financing</t>
        </is>
      </c>
      <c r="EV217" t="inlineStr">
        <is>
          <t xml:space="preserve">cash</t>
        </is>
      </c>
      <c r="EW217" t="inlineStr">
        <is>
          <t xml:space="preserve">keep</t>
        </is>
      </c>
      <c r="EX217" t="inlineStr">
        <is>
          <t xml:space="preserve">cash</t>
        </is>
      </c>
      <c r="EY217"/>
      <c r="EZ217" s="4">
        <v>1</v>
      </c>
      <c r="FA217" s="4">
        <v>1</v>
      </c>
      <c r="FB217" s="6"/>
      <c r="FC217" s="4">
        <v>0</v>
      </c>
      <c r="FD217" s="5">
        <f>IF(EV217="direct",IFERROR(FJ217/FA217,0),0)</f>
        <v>0</v>
      </c>
      <c r="FE217" s="5">
        <f>IF(EV217="direct",FC217-FD217,IF(EV217="cash",FO217,FC217))</f>
        <v>0</v>
      </c>
      <c r="FF217" s="6"/>
      <c r="FG217" s="4">
        <v>0</v>
      </c>
      <c r="FH217" s="4">
        <v>0</v>
      </c>
      <c r="FI217" s="5">
        <f>IF(EV217="direct",FC217*(FA217-EZ217),FL217)</f>
        <v>0</v>
      </c>
      <c r="FJ217" s="5">
        <f>IF(EV217="direct",FH217*FB217*C217/365,0)</f>
        <v>0</v>
      </c>
      <c r="FK217" s="5">
        <f>FI217-FJ217</f>
        <v>0</v>
      </c>
      <c r="FL217" s="4">
        <v>0</v>
      </c>
      <c r="FM217" s="5">
        <f>FL217-FK217</f>
        <v>0</v>
      </c>
      <c r="FN217" s="4">
        <v>0</v>
      </c>
      <c r="FO217" s="4">
        <v>0</v>
      </c>
      <c r="FP217" s="4">
        <v>1.897</v>
      </c>
      <c r="FQ217" s="4">
        <v>1.877</v>
      </c>
      <c r="FR217" s="6"/>
      <c r="FS217" s="6"/>
      <c r="FT217" s="6"/>
      <c r="FU217" s="9"/>
      <c r="FV217" s="7">
        <f>IFERROR(FK217/F217,0)</f>
        <v>0</v>
      </c>
      <c r="FW217"/>
      <c r="FX217"/>
      <c r="FY217"/>
      <c r="FZ217"/>
      <c r="GA217"/>
      <c r="GB217" s="4"/>
      <c r="GC217" s="4"/>
      <c r="GD217" s="6"/>
      <c r="GE217" s="4"/>
      <c r="GF217" s="5">
        <v>0</v>
      </c>
      <c r="GG217" s="5"/>
      <c r="GH217" s="6"/>
      <c r="GI217" s="4"/>
      <c r="GJ217" s="4"/>
      <c r="GK217" s="5">
        <v>0</v>
      </c>
      <c r="GL217" s="5">
        <v>0</v>
      </c>
      <c r="GM217" s="5"/>
      <c r="GN217" s="4"/>
      <c r="GO217" s="5">
        <v>0</v>
      </c>
      <c r="GP217" s="4"/>
      <c r="GQ217" s="4"/>
      <c r="GR217" s="4"/>
      <c r="GS217" s="4"/>
      <c r="GT217" s="6"/>
      <c r="GU217" s="6"/>
      <c r="GV217" s="6"/>
      <c r="GW217" s="9"/>
      <c r="GX217"/>
      <c r="GY217"/>
      <c r="GZ217"/>
      <c r="HA217"/>
      <c r="HB217"/>
      <c r="HC217"/>
      <c r="HD217" s="4"/>
      <c r="HE217" s="4"/>
      <c r="HF217" s="6"/>
      <c r="HG217" s="4"/>
      <c r="HH217" s="5">
        <v>0</v>
      </c>
      <c r="HI217" s="5"/>
      <c r="HJ217" s="6"/>
      <c r="HK217" s="4"/>
      <c r="HL217" s="4"/>
      <c r="HM217" s="5">
        <v>0</v>
      </c>
      <c r="HN217" s="5">
        <v>0</v>
      </c>
      <c r="HO217" s="5"/>
      <c r="HP217" s="4"/>
      <c r="HQ217" s="5">
        <v>0</v>
      </c>
      <c r="HR217" s="4"/>
      <c r="HS217" s="4"/>
      <c r="HT217" s="4"/>
      <c r="HU217" s="4"/>
      <c r="HV217" s="6"/>
      <c r="HW217" s="6"/>
      <c r="HX217" s="6"/>
      <c r="HY217" s="9"/>
      <c r="HZ217"/>
      <c r="IA217"/>
      <c r="IB217"/>
      <c r="IC217"/>
      <c r="ID217"/>
      <c r="IE217"/>
      <c r="IF217" s="4"/>
      <c r="IG217" s="4"/>
      <c r="IH217" s="6"/>
      <c r="II217" s="4"/>
      <c r="IJ217" s="5">
        <v>0</v>
      </c>
      <c r="IK217" s="5"/>
      <c r="IL217" s="6"/>
      <c r="IM217" s="4"/>
      <c r="IN217" s="4"/>
      <c r="IO217" s="5">
        <v>0</v>
      </c>
      <c r="IP217" s="5">
        <v>0</v>
      </c>
      <c r="IQ217" s="5"/>
      <c r="IR217" s="4"/>
      <c r="IS217" s="5">
        <v>0</v>
      </c>
      <c r="IT217" s="4"/>
      <c r="IU217" s="4"/>
      <c r="IV217" s="4"/>
      <c r="IW217" s="4"/>
      <c r="IX217" s="6"/>
      <c r="IY217" s="6"/>
      <c r="IZ217" s="6"/>
      <c r="JA217" s="9"/>
      <c r="JB217"/>
      <c r="JC217"/>
      <c r="JD217"/>
      <c r="JE217"/>
      <c r="JF217"/>
      <c r="JG217"/>
      <c r="JH217" s="4"/>
      <c r="JI217" s="4"/>
      <c r="JJ217" s="6"/>
      <c r="JK217" s="4"/>
      <c r="JL217" s="5">
        <v>0</v>
      </c>
      <c r="JM217" s="5"/>
      <c r="JN217" s="6"/>
      <c r="JO217" s="4"/>
      <c r="JP217" s="4"/>
      <c r="JQ217" s="5">
        <v>0</v>
      </c>
      <c r="JR217" s="5">
        <v>0</v>
      </c>
      <c r="JS217" s="5"/>
      <c r="JT217" s="4"/>
      <c r="JU217" s="5">
        <v>0</v>
      </c>
      <c r="JV217" s="4"/>
      <c r="JW217" s="4"/>
      <c r="JX217" s="4"/>
      <c r="JY217" s="4"/>
      <c r="JZ217" s="6"/>
      <c r="KA217" s="6"/>
      <c r="KB217" s="6"/>
      <c r="KC217" s="9"/>
      <c r="KD217"/>
      <c r="KE217"/>
      <c r="KF217"/>
      <c r="KG217"/>
      <c r="KH217"/>
      <c r="KI217"/>
      <c r="KJ217" s="4"/>
      <c r="KK217" s="4"/>
      <c r="KL217" s="6"/>
      <c r="KM217" s="4"/>
      <c r="KN217" s="5">
        <v>0</v>
      </c>
      <c r="KO217" s="5"/>
      <c r="KP217" s="6"/>
      <c r="KQ217" s="4"/>
      <c r="KR217" s="4"/>
      <c r="KS217" s="5">
        <v>0</v>
      </c>
      <c r="KT217" s="5">
        <v>0</v>
      </c>
      <c r="KU217" s="5"/>
      <c r="KV217" s="4"/>
      <c r="KW217" s="5">
        <v>0</v>
      </c>
      <c r="KX217" s="4"/>
      <c r="KY217" s="4"/>
      <c r="KZ217" s="4"/>
      <c r="LA217" s="4"/>
      <c r="LB217" s="6"/>
      <c r="LC217" s="6"/>
      <c r="LD217" s="6"/>
      <c r="LE217" s="9"/>
      <c r="LF217"/>
      <c r="LG217"/>
      <c r="LH217"/>
      <c r="LI217"/>
      <c r="LJ217"/>
      <c r="LK217"/>
      <c r="LL217" s="4"/>
      <c r="LM217" s="4"/>
      <c r="LN217" s="6"/>
      <c r="LO217" s="4"/>
      <c r="LP217" s="5">
        <v>0</v>
      </c>
      <c r="LQ217" s="5"/>
      <c r="LR217" s="6"/>
      <c r="LS217" s="4"/>
      <c r="LT217" s="4"/>
      <c r="LU217" s="5">
        <v>0</v>
      </c>
      <c r="LV217" s="5">
        <v>0</v>
      </c>
      <c r="LW217" s="5"/>
      <c r="LX217" s="4"/>
      <c r="LY217" s="5">
        <v>0</v>
      </c>
      <c r="LZ217" s="4"/>
      <c r="MA217" s="4"/>
      <c r="MB217" s="4"/>
      <c r="MC217" s="4"/>
      <c r="MD217" s="6"/>
      <c r="ME217" s="6"/>
      <c r="MF217" s="6"/>
      <c r="MG217" s="9"/>
      <c r="MH217"/>
    </row>
    <row r="218">
      <c r="A218" s="8">
        <v>25526</v>
      </c>
      <c r="B218" s="8">
        <v>25527</v>
      </c>
      <c r="C218" s="9">
        <f>B218-A218</f>
        <v>1</v>
      </c>
      <c r="D218" s="8">
        <v>25526</v>
      </c>
      <c r="E218" t="inlineStr">
        <is>
          <t xml:space="preserve">positive</t>
        </is>
      </c>
      <c r="F218" s="4">
        <v>2.003238614421821</v>
      </c>
      <c r="G218" s="6">
        <v>0.01325494937476911</v>
      </c>
      <c r="H218" s="7">
        <f>SUM(CP218,DR218,ET218,FV218,GX218,HZ218,JB218,KD218,LF218,MH218)</f>
        <v>0.01325494937476911</v>
      </c>
      <c r="I218" s="7">
        <f>G218-H218</f>
        <v>0</v>
      </c>
      <c r="J218" s="5">
        <f>F218*(1+H218)</f>
        <v>2.029791440841565</v>
      </c>
      <c r="K218" s="4">
        <v>2.029791440841565</v>
      </c>
      <c r="L218" s="5">
        <f>K218-J218</f>
        <v>0</v>
      </c>
      <c r="M218" s="4">
        <v>1.877</v>
      </c>
      <c r="N218" s="4">
        <v>1.902</v>
      </c>
      <c r="O218" s="5">
        <f>M218/$M$3</f>
        <v>0.9586312563840654</v>
      </c>
      <c r="P218" s="5">
        <f>N218/$M$3</f>
        <v>0.9713993871297242</v>
      </c>
      <c r="Q218" s="7">
        <f>IFERROR(N218/M218-1,0)</f>
        <v>0.01331912626531695</v>
      </c>
      <c r="R218" s="5">
        <f>SUM(IF(BQ218="lease",CB218,0),IF(CS218="lease",DD218,0),IF(DU218="lease",EF218,0),IF(EW218="lease",FH218,0),IF(FY218="lease",GJ218,0),IF(HA218="lease",HL218,0),IF(IC218="lease",IN218,0),IF(JE218="lease",JP218,0),IF(KG218="lease",KR218,0),IF(LI218="lease",LT218,0))</f>
        <v>2.0032386144218206</v>
      </c>
      <c r="S218" s="5">
        <f>SUM(IF(BQ218="lease",CI218,0),IF(CS218="lease",DK218,0),IF(DU218="lease",EM218,0),IF(EW218="lease",FO218,0),IF(FY218="lease",GQ218,0),IF(HA218="lease",HS218,0),IF(IC218="lease",IU218,0),IF(JE218="lease",JW218,0),IF(KG218="lease",KY218,0),IF(LI218="lease",MA218,0))</f>
        <v>2.0297914408415645</v>
      </c>
      <c r="T218" s="5">
        <f>SUM(IF(BQ218="keep",CB218,0),IF(CS218="keep",DD218,0),IF(DU218="keep",EF218,0),IF(EW218="keep",FH218,0),IF(FY218="keep",GJ218,0),IF(HA218="keep",HL218,0),IF(IC218="keep",IN218,0),IF(JE218="keep",JP218,0),IF(KG218="keep",KR218,0),IF(LI218="keep",LT218,0))</f>
        <v>0</v>
      </c>
      <c r="U218" s="5">
        <f>SUM(IF(BQ218="keep",CI218,0),IF(CS218="keep",DK218,0),IF(DU218="keep",EM218,0),IF(EW218="keep",FO218,0),IF(FY218="keep",GQ218,0),IF(HA218="keep",HS218,0),IF(IC218="keep",IU218,0),IF(JE218="keep",JW218,0),IF(KG218="keep",KY218,0),IF(LI218="keep",MA218,0))</f>
        <v>0</v>
      </c>
      <c r="V218" s="5">
        <f>R218/O218</f>
        <v>2.0896863116877595</v>
      </c>
      <c r="W218" s="5">
        <f>S218/P218</f>
        <v>2.0895539648621364</v>
      </c>
      <c r="X218" s="5">
        <f>T218/O218</f>
        <v>0</v>
      </c>
      <c r="Y218" s="5">
        <f>U218/P218</f>
        <v>0</v>
      </c>
      <c r="Z218" s="5">
        <f>V218+X218</f>
        <v>2.0896863116877595</v>
      </c>
      <c r="AA218" s="7">
        <f>IFERROR(W218/V218-1,0)</f>
        <v>-0.0000633333457193963</v>
      </c>
      <c r="AB218" s="7">
        <f>IFERROR((W218-V218)/Z218,0)</f>
        <v>-0.00006333334571935792</v>
      </c>
      <c r="AC218" s="7">
        <f>IFERROR(Y218/X218-1,0)</f>
        <v>0</v>
      </c>
      <c r="AD218" s="7">
        <f>IFERROR((Y218-X218)/Z218,0)</f>
        <v>0</v>
      </c>
      <c r="AE218" s="7">
        <f>AB218+AD218</f>
        <v>-0.00006333334571935792</v>
      </c>
      <c r="AF218" s="7">
        <f>(1+Q218)*(1+AE218)-1</f>
        <v>0.01325494937476912</v>
      </c>
      <c r="AG218" s="7">
        <f>G218-AF218</f>
        <v>-1.0408340855860843e-17</v>
      </c>
      <c r="AH218" s="5">
        <f>SUM(IF(BQ218="lease",CE218,0),IF(CS218="lease",DG218,0),IF(DU218="lease",EI218,0),IF(EW218="lease",FK218,0),IF(FY218="lease",GM218,0),IF(HA218="lease",HO218,0),IF(IC218="lease",IQ218,0),IF(JE218="lease",JS218,0),IF(KG218="lease",KU218,0),IF(LI218="lease",LW218,0))</f>
        <v>0.026552826419743856</v>
      </c>
      <c r="AI218" s="5">
        <f>SUM(IF(BQ218="keep",CE218,0),IF(CS218="keep",DG218,0),IF(DU218="keep",EI218,0),IF(EW218="keep",FK218,0),IF(FY218="keep",GM218,0),IF(HA218="keep",HO218,0),IF(IC218="keep",IQ218,0),IF(JE218="keep",JS218,0),IF(KG218="keep",KU218,0),IF(LI218="keep",LW218,0))</f>
        <v>0</v>
      </c>
      <c r="AJ218" s="5">
        <f>SUM(IF(BQ218="lease",CH218,0),IF(CS218="lease",DJ218,0),IF(DU218="lease",EL218,0),IF(EW218="lease",FN218,0),IF(FY218="lease",GP218,0),IF(HA218="lease",HR218,0),IF(IC218="lease",IT218,0),IF(JE218="lease",JV218,0),IF(KG218="lease",KX218,0),IF(LI218="lease",LZ218,0))</f>
        <v>0</v>
      </c>
      <c r="AK218" s="5">
        <f>SUM(IF(BQ218="keep",CH218,0),IF(CS218="keep",DJ218,0),IF(DU218="keep",EL218,0),IF(EW218="keep",FN218,0),IF(FY218="keep",GP218,0),IF(HA218="keep",HR218,0),IF(IC218="keep",IT218,0),IF(JE218="keep",JV218,0),IF(KG218="keep",KX218,0),IF(LI218="keep",LZ218,0))</f>
        <v>0</v>
      </c>
      <c r="AL218" s="5">
        <f>R218-S217</f>
        <v>0</v>
      </c>
      <c r="AM218" s="5">
        <f>T218-U217</f>
        <v>0</v>
      </c>
      <c r="AN218" s="5">
        <f>AN217</f>
        <v>1</v>
      </c>
      <c r="AO218" s="5">
        <f>AO217+AH218</f>
        <v>1.029791440841565</v>
      </c>
      <c r="AP218" s="5">
        <f>AP217+AL218</f>
        <v>6.661338147750939e-16</v>
      </c>
      <c r="AQ218" s="5">
        <f>AN218+AO218+AP218</f>
        <v>2.0297914408415654</v>
      </c>
      <c r="AR218" s="5">
        <f>S218-AQ218</f>
        <v>-8.881784197001252e-16</v>
      </c>
      <c r="AS218" s="5">
        <f>AS217</f>
        <v>0</v>
      </c>
      <c r="AT218" s="5">
        <f>AT217+AI218</f>
        <v>0</v>
      </c>
      <c r="AU218" s="5">
        <f>AU217+AM218</f>
        <v>0</v>
      </c>
      <c r="AV218" s="5">
        <f>AS218+AT218+AU218</f>
        <v>0</v>
      </c>
      <c r="AW218" s="5">
        <f>U218-AV218</f>
        <v>0</v>
      </c>
      <c r="AX218" s="4">
        <v>2.0032386144218206</v>
      </c>
      <c r="AY218" s="4">
        <v>2.0297914408415645</v>
      </c>
      <c r="AZ218" s="5">
        <f>S218-AY218</f>
        <v>0</v>
      </c>
      <c r="BA218" s="4">
        <v>0</v>
      </c>
      <c r="BB218" s="4">
        <v>0</v>
      </c>
      <c r="BC218" s="5">
        <f>U218-BB218</f>
        <v>0</v>
      </c>
      <c r="BD218" s="7">
        <f>SUM(IF(BP218="direct",CC218/F218,0),IF(CR218="direct",DE218/F218,0),IF(DT218="direct",EG218/F218,0),IF(EV218="direct",FI218/F218,0),IF(FX218="direct",GK218/F218,0),IF(GZ218="direct",HM218/F218,0),IF(IB218="direct",IO218/F218,0),IF(JD218="direct",JQ218/F218,0),IF(KF218="direct",KS218/F218,0),IF(LH218="direct",LU218/F218,0))</f>
        <v>0.012511033042881295</v>
      </c>
      <c r="BE218" s="7">
        <f>-SUM(IF(BP218="direct",CD218/F218,0),IF(CR218="direct",DF218/F218,0),IF(DT218="direct",EH218/F218,0),IF(EV218="direct",FJ218/F218,0),IF(FX218="direct",GL218/F218,0),IF(GZ218="direct",HN218/F218,0),IF(IB218="direct",IP218/F218,0),IF(JD218="direct",JR218/F218,0),IF(KF218="direct",KT218/F218,0),IF(LH218="direct",LV218/F218,0))</f>
        <v>-0.0000064337558962981575</v>
      </c>
      <c r="BF218" s="7">
        <f>BD218+BE218</f>
        <v>0.012504599286984996</v>
      </c>
      <c r="BG218" s="7">
        <f>BF218-SUM(IF(BP218="direct",CP218,0),IF(CR218="direct",DR218,0),IF(DT218="direct",ET218,0),IF(EV218="direct",FV218,0),IF(FX218="direct",GX218,0),IF(GZ218="direct",HZ218,0),IF(IB218="direct",JB218,0),IF(JD218="direct",KD218,0),IF(KF218="direct",LF218,0),IF(LH218="direct",MH218,0))</f>
        <v>-1.734723475976807e-18</v>
      </c>
      <c r="BH218" s="7">
        <f>SUM(IF(BP218="treasury",CP218,0),IF(CR218="treasury",DR218,0),IF(DT218="treasury",ET218,0),IF(EV218="treasury",FV218,0),IF(FX218="treasury",GX218,0),IF(GZ218="treasury",HZ218,0),IF(IB218="treasury",JB218,0),IF(JD218="treasury",KD218,0),IF(KF218="treasury",LF218,0),IF(LH218="treasury",MH218,0))</f>
        <v>0.0000120179712598792</v>
      </c>
      <c r="BI218" s="7">
        <f>SUM(IF(BP218="future",CP218,0),IF(CR218="future",DR218,0),IF(DT218="future",ET218,0),IF(EV218="future",FV218,0),IF(FX218="future",GX218,0),IF(GZ218="future",HZ218,0),IF(IB218="future",JB218,0),IF(JD218="future",KD218,0),IF(KF218="future",LF218,0),IF(LH218="future",MH218,0))</f>
        <v>0.0007383321165242322</v>
      </c>
      <c r="BJ218" s="7">
        <f>SUM(IF(BP218="cash",CP218,0),IF(CR218="cash",DR218,0),IF(DT218="cash",ET218,0),IF(EV218="cash",FV218,0),IF(FX218="cash",GX218,0),IF(GZ218="cash",HZ218,0),IF(IB218="cash",JB218,0),IF(JD218="cash",KD218,0),IF(KF218="cash",LF218,0),IF(LH218="cash",MH218,0))</f>
        <v>0</v>
      </c>
      <c r="BK218" s="7">
        <f>SUM(BF218,BH218,BI218,BJ218)</f>
        <v>0.01325494937476911</v>
      </c>
      <c r="BL218" s="7">
        <f>G218-BK218</f>
        <v>0</v>
      </c>
      <c r="BM218" s="5">
        <f>MAX(ABS(CG218),ABS(DI218),ABS(EK218),ABS(FM218),ABS(GO218),ABS(HQ218),ABS(IS218),ABS(JU218),ABS(KW218),ABS(LY218))</f>
        <v>8.361909255294453e-18</v>
      </c>
      <c r="BN218" s="9">
        <f>COUNTA(BO218,CQ218,DS218,EU218,FW218,GY218,IA218,JC218,KE218,LG218)</f>
        <v>5</v>
      </c>
      <c r="BO218" t="inlineStr">
        <is>
          <t xml:space="preserve">Direct commodity holding</t>
        </is>
      </c>
      <c r="BP218" t="inlineStr">
        <is>
          <t xml:space="preserve">direct</t>
        </is>
      </c>
      <c r="BQ218" t="inlineStr">
        <is>
          <t xml:space="preserve">lease</t>
        </is>
      </c>
      <c r="BR218" t="inlineStr">
        <is>
          <t xml:space="preserve">long</t>
        </is>
      </c>
      <c r="BS218"/>
      <c r="BT218" s="4">
        <v>1.877</v>
      </c>
      <c r="BU218" s="4">
        <v>1.902</v>
      </c>
      <c r="BV218" s="6">
        <v>0.0025</v>
      </c>
      <c r="BW218" s="4">
        <v>1.0025033799122893</v>
      </c>
      <c r="BX218" s="5">
        <f>IF(BP218="direct",IFERROR(CD218/BU218,0),0)</f>
        <v>0.000006776208331876206</v>
      </c>
      <c r="BY218" s="5">
        <f>IF(BP218="direct",BW218-BX218,IF(BP218="cash",CI218,BW218))</f>
        <v>1.0024966037039575</v>
      </c>
      <c r="BZ218" s="6">
        <v>0.939328360859531</v>
      </c>
      <c r="CA218" s="4">
        <v>1.8816988440953673</v>
      </c>
      <c r="CB218" s="4">
        <v>1.8816988440953673</v>
      </c>
      <c r="CC218" s="5">
        <f>IF(BP218="direct",BW218*(BU218-BT218),CF218)</f>
        <v>0.025062584497807145</v>
      </c>
      <c r="CD218" s="5">
        <f>IF(BP218="direct",CB218*BV218*C218/365,0)</f>
        <v>0.000012888348247228542</v>
      </c>
      <c r="CE218" s="5">
        <f>CC218-CD218</f>
        <v>0.02504969614955992</v>
      </c>
      <c r="CF218" s="4">
        <v>0.02504969614955992</v>
      </c>
      <c r="CG218" s="5">
        <f>CF218-CE218</f>
        <v>3.2526065174565133e-18</v>
      </c>
      <c r="CH218" s="4">
        <v>0</v>
      </c>
      <c r="CI218" s="4">
        <v>1.9067485402449271</v>
      </c>
      <c r="CJ218" s="4">
        <v>1.877</v>
      </c>
      <c r="CK218" s="4">
        <v>1.902</v>
      </c>
      <c r="CL218" s="6"/>
      <c r="CM218" s="6"/>
      <c r="CN218" s="6"/>
      <c r="CO218" s="9"/>
      <c r="CP218" s="7">
        <f>IFERROR(CE218/F218,0)</f>
        <v>0.012504599286984998</v>
      </c>
      <c r="CQ218" t="inlineStr">
        <is>
          <t xml:space="preserve">Treasury collateral</t>
        </is>
      </c>
      <c r="CR218" t="inlineStr">
        <is>
          <t xml:space="preserve">treasury</t>
        </is>
      </c>
      <c r="CS218" t="inlineStr">
        <is>
          <t xml:space="preserve">lease</t>
        </is>
      </c>
      <c r="CT218" t="inlineStr">
        <is>
          <t xml:space="preserve">long</t>
        </is>
      </c>
      <c r="CU218"/>
      <c r="CV218" s="4">
        <v>105.90778678428323</v>
      </c>
      <c r="CW218" s="4">
        <v>105.92876523081611</v>
      </c>
      <c r="CX218" s="6"/>
      <c r="CY218" s="4">
        <v>0.0011475999453563351</v>
      </c>
      <c r="CZ218" s="5">
        <f>IF(CR218="direct",IFERROR(DF218/CW218,0),0)</f>
        <v>0</v>
      </c>
      <c r="DA218" s="5">
        <f>IF(CR218="direct",CY218-CZ218,IF(CR218="cash",DK218,CY218))</f>
        <v>0.0011475999453563351</v>
      </c>
      <c r="DB218" s="6">
        <v>0.060671639140469</v>
      </c>
      <c r="DC218" s="4">
        <v>0.12153977032645383</v>
      </c>
      <c r="DD218" s="4">
        <v>0.12153977032645383</v>
      </c>
      <c r="DE218" s="5">
        <f>IF(CR218="direct",CY218*(CW218-CV218),DH218)</f>
        <v>0.000024074864094793314</v>
      </c>
      <c r="DF218" s="5">
        <f>IF(CR218="direct",DD218*CX218*C218/365,0)</f>
        <v>0</v>
      </c>
      <c r="DG218" s="5">
        <f>DE218-DF218</f>
        <v>0.000024074864094801676</v>
      </c>
      <c r="DH218" s="4">
        <v>0.000024074864094801676</v>
      </c>
      <c r="DI218" s="5">
        <f>DH218-DG218</f>
        <v>8.361909255294453e-18</v>
      </c>
      <c r="DJ218" s="4">
        <v>-7.030373462210693e-18</v>
      </c>
      <c r="DK218" s="4">
        <v>0.12156384519054862</v>
      </c>
      <c r="DL218" s="4">
        <v>1.877</v>
      </c>
      <c r="DM218" s="4">
        <v>1.902</v>
      </c>
      <c r="DN218" s="6"/>
      <c r="DO218" s="6"/>
      <c r="DP218" s="6"/>
      <c r="DQ218" s="9">
        <v>40</v>
      </c>
      <c r="DR218" s="7">
        <f>IFERROR(DG218/F218,0)</f>
        <v>0.0000120179712598792</v>
      </c>
      <c r="DS218" t="inlineStr">
        <is>
          <t xml:space="preserve">SI69Z</t>
        </is>
      </c>
      <c r="DT218" t="inlineStr">
        <is>
          <t xml:space="preserve">future</t>
        </is>
      </c>
      <c r="DU218" t="inlineStr">
        <is>
          <t xml:space="preserve">lease</t>
        </is>
      </c>
      <c r="DV218" t="inlineStr">
        <is>
          <t xml:space="preserve">long</t>
        </is>
      </c>
      <c r="DW218" t="inlineStr">
        <is>
          <t xml:space="preserve">regular</t>
        </is>
      </c>
      <c r="DX218" s="4">
        <v>1.89</v>
      </c>
      <c r="DY218" s="4">
        <v>1.913</v>
      </c>
      <c r="DZ218" s="6"/>
      <c r="EA218" s="4">
        <v>0.06430675678648351</v>
      </c>
      <c r="EB218" s="5">
        <f>IF(DT218="direct",IFERROR(EH218/DY218,0),0)</f>
        <v>0</v>
      </c>
      <c r="EC218" s="5">
        <f>IF(DT218="direct",EA218-EB218,IF(DT218="cash",EM218,EA218))</f>
        <v>0.06430675678648351</v>
      </c>
      <c r="ED218" s="6">
        <v>0.060671639140469</v>
      </c>
      <c r="EE218" s="4">
        <v>0.12153977032645383</v>
      </c>
      <c r="EF218" s="4">
        <v>0</v>
      </c>
      <c r="EG218" s="5">
        <f>IF(DT218="direct",EA218*(DY218-DX218),EJ218)</f>
        <v>0.0014790554060891334</v>
      </c>
      <c r="EH218" s="5">
        <f>IF(DT218="direct",EF218*DZ218*C218/365,0)</f>
        <v>0</v>
      </c>
      <c r="EI218" s="5">
        <f>EG218-EH218</f>
        <v>0.0014790554060891334</v>
      </c>
      <c r="EJ218" s="4">
        <v>0.0014790554060891334</v>
      </c>
      <c r="EK218" s="5">
        <f>EJ218-EI218</f>
        <v>0</v>
      </c>
      <c r="EL218" s="4">
        <v>-0.0014790554060891334</v>
      </c>
      <c r="EM218" s="4">
        <v>0</v>
      </c>
      <c r="EN218" s="4">
        <v>1.877</v>
      </c>
      <c r="EO218" s="4">
        <v>1.902</v>
      </c>
      <c r="EP218" s="6">
        <v>0.006925945657964894</v>
      </c>
      <c r="EQ218" s="6">
        <v>0.0723</v>
      </c>
      <c r="ER218" s="6">
        <v>0.009100745871070348</v>
      </c>
      <c r="ES218" s="9">
        <v>40</v>
      </c>
      <c r="ET218" s="7">
        <f>IFERROR(EI218/F218,0)</f>
        <v>0.0007383321165242322</v>
      </c>
      <c r="EU218" t="inlineStr">
        <is>
          <t xml:space="preserve">Lease cash / margin / financing</t>
        </is>
      </c>
      <c r="EV218" t="inlineStr">
        <is>
          <t xml:space="preserve">cash</t>
        </is>
      </c>
      <c r="EW218" t="inlineStr">
        <is>
          <t xml:space="preserve">lease</t>
        </is>
      </c>
      <c r="EX218" t="inlineStr">
        <is>
          <t xml:space="preserve">cash</t>
        </is>
      </c>
      <c r="EY218"/>
      <c r="EZ218" s="4">
        <v>1</v>
      </c>
      <c r="FA218" s="4">
        <v>1</v>
      </c>
      <c r="FB218" s="6"/>
      <c r="FC218" s="4">
        <v>-4.440892098500626e-16</v>
      </c>
      <c r="FD218" s="5">
        <f>IF(EV218="direct",IFERROR(FJ218/FA218,0),0)</f>
        <v>0</v>
      </c>
      <c r="FE218" s="5">
        <f>IF(EV218="direct",FC218-FD218,IF(EV218="cash",FO218,FC218))</f>
        <v>0.0014790554060886963</v>
      </c>
      <c r="FF218" s="6"/>
      <c r="FG218" s="4">
        <v>-4.440892098500626e-16</v>
      </c>
      <c r="FH218" s="4">
        <v>-4.440892098500626e-16</v>
      </c>
      <c r="FI218" s="5">
        <f>IF(EV218="direct",FC218*(FA218-EZ218),FL218)</f>
        <v>0</v>
      </c>
      <c r="FJ218" s="5">
        <f>IF(EV218="direct",FH218*FB218*C218/365,0)</f>
        <v>0</v>
      </c>
      <c r="FK218" s="5">
        <f>FI218-FJ218</f>
        <v>0</v>
      </c>
      <c r="FL218" s="4">
        <v>0</v>
      </c>
      <c r="FM218" s="5">
        <f>FL218-FK218</f>
        <v>0</v>
      </c>
      <c r="FN218" s="4">
        <v>0.0014790554060891403</v>
      </c>
      <c r="FO218" s="4">
        <v>0.0014790554060886963</v>
      </c>
      <c r="FP218" s="4">
        <v>1.877</v>
      </c>
      <c r="FQ218" s="4">
        <v>1.902</v>
      </c>
      <c r="FR218" s="6"/>
      <c r="FS218" s="6"/>
      <c r="FT218" s="6"/>
      <c r="FU218" s="9"/>
      <c r="FV218" s="7">
        <f>IFERROR(FK218/F218,0)</f>
        <v>0</v>
      </c>
      <c r="FW218" t="inlineStr">
        <is>
          <t xml:space="preserve">Keep cash / margin / financing</t>
        </is>
      </c>
      <c r="FX218" t="inlineStr">
        <is>
          <t xml:space="preserve">cash</t>
        </is>
      </c>
      <c r="FY218" t="inlineStr">
        <is>
          <t xml:space="preserve">keep</t>
        </is>
      </c>
      <c r="FZ218" t="inlineStr">
        <is>
          <t xml:space="preserve">cash</t>
        </is>
      </c>
      <c r="GA218"/>
      <c r="GB218" s="4">
        <v>1</v>
      </c>
      <c r="GC218" s="4">
        <v>1</v>
      </c>
      <c r="GD218" s="6"/>
      <c r="GE218" s="4">
        <v>0</v>
      </c>
      <c r="GF218" s="5">
        <f>IF(FX218="direct",IFERROR(GL218/GC218,0),0)</f>
        <v>0</v>
      </c>
      <c r="GG218" s="5">
        <f>IF(FX218="direct",GE218-GF218,IF(FX218="cash",GQ218,GE218))</f>
        <v>0</v>
      </c>
      <c r="GH218" s="6"/>
      <c r="GI218" s="4">
        <v>0</v>
      </c>
      <c r="GJ218" s="4">
        <v>0</v>
      </c>
      <c r="GK218" s="5">
        <f>IF(FX218="direct",GE218*(GC218-GB218),GN218)</f>
        <v>0</v>
      </c>
      <c r="GL218" s="5">
        <f>IF(FX218="direct",GJ218*GD218*C218/365,0)</f>
        <v>0</v>
      </c>
      <c r="GM218" s="5">
        <f>GK218-GL218</f>
        <v>0</v>
      </c>
      <c r="GN218" s="4">
        <v>0</v>
      </c>
      <c r="GO218" s="5">
        <f>GN218-GM218</f>
        <v>0</v>
      </c>
      <c r="GP218" s="4">
        <v>0</v>
      </c>
      <c r="GQ218" s="4">
        <v>0</v>
      </c>
      <c r="GR218" s="4">
        <v>1.877</v>
      </c>
      <c r="GS218" s="4">
        <v>1.902</v>
      </c>
      <c r="GT218" s="6"/>
      <c r="GU218" s="6"/>
      <c r="GV218" s="6"/>
      <c r="GW218" s="9"/>
      <c r="GX218" s="7">
        <f>IFERROR(GM218/F218,0)</f>
        <v>0</v>
      </c>
      <c r="GY218"/>
      <c r="GZ218"/>
      <c r="HA218"/>
      <c r="HB218"/>
      <c r="HC218"/>
      <c r="HD218" s="4"/>
      <c r="HE218" s="4"/>
      <c r="HF218" s="6"/>
      <c r="HG218" s="4"/>
      <c r="HH218" s="5">
        <v>0</v>
      </c>
      <c r="HI218" s="5"/>
      <c r="HJ218" s="6"/>
      <c r="HK218" s="4"/>
      <c r="HL218" s="4"/>
      <c r="HM218" s="5">
        <v>0</v>
      </c>
      <c r="HN218" s="5">
        <v>0</v>
      </c>
      <c r="HO218" s="5"/>
      <c r="HP218" s="4"/>
      <c r="HQ218" s="5">
        <v>0</v>
      </c>
      <c r="HR218" s="4"/>
      <c r="HS218" s="4"/>
      <c r="HT218" s="4"/>
      <c r="HU218" s="4"/>
      <c r="HV218" s="6"/>
      <c r="HW218" s="6"/>
      <c r="HX218" s="6"/>
      <c r="HY218" s="9"/>
      <c r="HZ218"/>
      <c r="IA218"/>
      <c r="IB218"/>
      <c r="IC218"/>
      <c r="ID218"/>
      <c r="IE218"/>
      <c r="IF218" s="4"/>
      <c r="IG218" s="4"/>
      <c r="IH218" s="6"/>
      <c r="II218" s="4"/>
      <c r="IJ218" s="5">
        <v>0</v>
      </c>
      <c r="IK218" s="5"/>
      <c r="IL218" s="6"/>
      <c r="IM218" s="4"/>
      <c r="IN218" s="4"/>
      <c r="IO218" s="5">
        <v>0</v>
      </c>
      <c r="IP218" s="5">
        <v>0</v>
      </c>
      <c r="IQ218" s="5"/>
      <c r="IR218" s="4"/>
      <c r="IS218" s="5">
        <v>0</v>
      </c>
      <c r="IT218" s="4"/>
      <c r="IU218" s="4"/>
      <c r="IV218" s="4"/>
      <c r="IW218" s="4"/>
      <c r="IX218" s="6"/>
      <c r="IY218" s="6"/>
      <c r="IZ218" s="6"/>
      <c r="JA218" s="9"/>
      <c r="JB218"/>
      <c r="JC218"/>
      <c r="JD218"/>
      <c r="JE218"/>
      <c r="JF218"/>
      <c r="JG218"/>
      <c r="JH218" s="4"/>
      <c r="JI218" s="4"/>
      <c r="JJ218" s="6"/>
      <c r="JK218" s="4"/>
      <c r="JL218" s="5">
        <v>0</v>
      </c>
      <c r="JM218" s="5"/>
      <c r="JN218" s="6"/>
      <c r="JO218" s="4"/>
      <c r="JP218" s="4"/>
      <c r="JQ218" s="5">
        <v>0</v>
      </c>
      <c r="JR218" s="5">
        <v>0</v>
      </c>
      <c r="JS218" s="5"/>
      <c r="JT218" s="4"/>
      <c r="JU218" s="5">
        <v>0</v>
      </c>
      <c r="JV218" s="4"/>
      <c r="JW218" s="4"/>
      <c r="JX218" s="4"/>
      <c r="JY218" s="4"/>
      <c r="JZ218" s="6"/>
      <c r="KA218" s="6"/>
      <c r="KB218" s="6"/>
      <c r="KC218" s="9"/>
      <c r="KD218"/>
      <c r="KE218"/>
      <c r="KF218"/>
      <c r="KG218"/>
      <c r="KH218"/>
      <c r="KI218"/>
      <c r="KJ218" s="4"/>
      <c r="KK218" s="4"/>
      <c r="KL218" s="6"/>
      <c r="KM218" s="4"/>
      <c r="KN218" s="5">
        <v>0</v>
      </c>
      <c r="KO218" s="5"/>
      <c r="KP218" s="6"/>
      <c r="KQ218" s="4"/>
      <c r="KR218" s="4"/>
      <c r="KS218" s="5">
        <v>0</v>
      </c>
      <c r="KT218" s="5">
        <v>0</v>
      </c>
      <c r="KU218" s="5"/>
      <c r="KV218" s="4"/>
      <c r="KW218" s="5">
        <v>0</v>
      </c>
      <c r="KX218" s="4"/>
      <c r="KY218" s="4"/>
      <c r="KZ218" s="4"/>
      <c r="LA218" s="4"/>
      <c r="LB218" s="6"/>
      <c r="LC218" s="6"/>
      <c r="LD218" s="6"/>
      <c r="LE218" s="9"/>
      <c r="LF218"/>
      <c r="LG218"/>
      <c r="LH218"/>
      <c r="LI218"/>
      <c r="LJ218"/>
      <c r="LK218"/>
      <c r="LL218" s="4"/>
      <c r="LM218" s="4"/>
      <c r="LN218" s="6"/>
      <c r="LO218" s="4"/>
      <c r="LP218" s="5">
        <v>0</v>
      </c>
      <c r="LQ218" s="5"/>
      <c r="LR218" s="6"/>
      <c r="LS218" s="4"/>
      <c r="LT218" s="4"/>
      <c r="LU218" s="5">
        <v>0</v>
      </c>
      <c r="LV218" s="5">
        <v>0</v>
      </c>
      <c r="LW218" s="5"/>
      <c r="LX218" s="4"/>
      <c r="LY218" s="5">
        <v>0</v>
      </c>
      <c r="LZ218" s="4"/>
      <c r="MA218" s="4"/>
      <c r="MB218" s="4"/>
      <c r="MC218" s="4"/>
      <c r="MD218" s="6"/>
      <c r="ME218" s="6"/>
      <c r="MF218" s="6"/>
      <c r="MG218" s="9"/>
      <c r="MH218"/>
    </row>
    <row r="219">
      <c r="A219" s="8">
        <v>25527</v>
      </c>
      <c r="B219" s="8">
        <v>25528</v>
      </c>
      <c r="C219" s="9">
        <f>B219-A219</f>
        <v>1</v>
      </c>
      <c r="D219" s="8">
        <v>25527</v>
      </c>
      <c r="E219" t="inlineStr">
        <is>
          <t xml:space="preserve">positive</t>
        </is>
      </c>
      <c r="F219" s="4">
        <v>2.029791440841565</v>
      </c>
      <c r="G219" s="6">
        <v>-0.0030646728074859514</v>
      </c>
      <c r="H219" s="7">
        <f>SUM(CP219,DR219,ET219,FV219,GX219,HZ219,JB219,KD219,LF219,MH219)</f>
        <v>-0.0030646728074859523</v>
      </c>
      <c r="I219" s="7">
        <f>G219-H219</f>
        <v>8.673617379884035e-19</v>
      </c>
      <c r="J219" s="5">
        <f>F219*(1+H219)</f>
        <v>2.02357079420795</v>
      </c>
      <c r="K219" s="4">
        <v>2.02357079420795</v>
      </c>
      <c r="L219" s="5">
        <f>K219-J219</f>
        <v>0</v>
      </c>
      <c r="M219" s="4">
        <v>1.902</v>
      </c>
      <c r="N219" s="4">
        <v>1.896</v>
      </c>
      <c r="O219" s="5">
        <f>M219/$M$3</f>
        <v>0.9713993871297242</v>
      </c>
      <c r="P219" s="5">
        <f>N219/$M$3</f>
        <v>0.9683350357507661</v>
      </c>
      <c r="Q219" s="7">
        <f>IFERROR(N219/M219-1,0)</f>
        <v>-0.003154574132492094</v>
      </c>
      <c r="R219" s="5">
        <f>SUM(IF(BQ219="lease",CB219,0),IF(CS219="lease",DD219,0),IF(DU219="lease",EF219,0),IF(EW219="lease",FH219,0),IF(FY219="lease",GJ219,0),IF(HA219="lease",HL219,0),IF(IC219="lease",IN219,0),IF(JE219="lease",JP219,0),IF(KG219="lease",KR219,0),IF(LI219="lease",LT219,0))</f>
        <v>2.0297914408415645</v>
      </c>
      <c r="S219" s="5">
        <f>SUM(IF(BQ219="lease",CI219,0),IF(CS219="lease",DK219,0),IF(DU219="lease",EM219,0),IF(EW219="lease",FO219,0),IF(FY219="lease",GQ219,0),IF(HA219="lease",HS219,0),IF(IC219="lease",IU219,0),IF(JE219="lease",JW219,0),IF(KG219="lease",KY219,0),IF(LI219="lease",MA219,0))</f>
        <v>2.0235707942079495</v>
      </c>
      <c r="T219" s="5">
        <f>SUM(IF(BQ219="keep",CB219,0),IF(CS219="keep",DD219,0),IF(DU219="keep",EF219,0),IF(EW219="keep",FH219,0),IF(FY219="keep",GJ219,0),IF(HA219="keep",HL219,0),IF(IC219="keep",IN219,0),IF(JE219="keep",JP219,0),IF(KG219="keep",KR219,0),IF(LI219="keep",LT219,0))</f>
        <v>0</v>
      </c>
      <c r="U219" s="5">
        <f>SUM(IF(BQ219="keep",CI219,0),IF(CS219="keep",DK219,0),IF(DU219="keep",EM219,0),IF(EW219="keep",FO219,0),IF(FY219="keep",GQ219,0),IF(HA219="keep",HS219,0),IF(IC219="keep",IU219,0),IF(JE219="keep",JW219,0),IF(KG219="keep",KY219,0),IF(LI219="keep",MA219,0))</f>
        <v>0</v>
      </c>
      <c r="V219" s="5">
        <f>R219/O219</f>
        <v>2.0895539648621364</v>
      </c>
      <c r="W219" s="5">
        <f>S219/P219</f>
        <v>2.089742413005889</v>
      </c>
      <c r="X219" s="5">
        <f>T219/O219</f>
        <v>0</v>
      </c>
      <c r="Y219" s="5">
        <f>U219/P219</f>
        <v>0</v>
      </c>
      <c r="Z219" s="5">
        <f>V219+X219</f>
        <v>2.0895539648621364</v>
      </c>
      <c r="AA219" s="7">
        <f>IFERROR(W219/V219-1,0)</f>
        <v>0.00009018582287012578</v>
      </c>
      <c r="AB219" s="7">
        <f>IFERROR((W219-V219)/Z219,0)</f>
        <v>0.00009018582287002095</v>
      </c>
      <c r="AC219" s="7">
        <f>IFERROR(Y219/X219-1,0)</f>
        <v>0</v>
      </c>
      <c r="AD219" s="7">
        <f>IFERROR((Y219-X219)/Z219,0)</f>
        <v>0</v>
      </c>
      <c r="AE219" s="7">
        <f>AB219+AD219</f>
        <v>0.00009018582287002095</v>
      </c>
      <c r="AF219" s="7">
        <f>(1+Q219)*(1+AE219)-1</f>
        <v>-0.003064672807485902</v>
      </c>
      <c r="AG219" s="7">
        <f>G219-AF219</f>
        <v>-4.9439619065339e-17</v>
      </c>
      <c r="AH219" s="5">
        <f>SUM(IF(BQ219="lease",CE219,0),IF(CS219="lease",DG219,0),IF(DU219="lease",EI219,0),IF(EW219="lease",FK219,0),IF(FY219="lease",GM219,0),IF(HA219="lease",HO219,0),IF(IC219="lease",IQ219,0),IF(JE219="lease",JS219,0),IF(KG219="lease",KU219,0),IF(LI219="lease",LW219,0))</f>
        <v>-0.006220646633614875</v>
      </c>
      <c r="AI219" s="5">
        <f>SUM(IF(BQ219="keep",CE219,0),IF(CS219="keep",DG219,0),IF(DU219="keep",EI219,0),IF(EW219="keep",FK219,0),IF(FY219="keep",GM219,0),IF(HA219="keep",HO219,0),IF(IC219="keep",IQ219,0),IF(JE219="keep",JS219,0),IF(KG219="keep",KU219,0),IF(LI219="keep",LW219,0))</f>
        <v>0</v>
      </c>
      <c r="AJ219" s="5">
        <f>SUM(IF(BQ219="lease",CH219,0),IF(CS219="lease",DJ219,0),IF(DU219="lease",EL219,0),IF(EW219="lease",FN219,0),IF(FY219="lease",GP219,0),IF(HA219="lease",HR219,0),IF(IC219="lease",IT219,0),IF(JE219="lease",JV219,0),IF(KG219="lease",KX219,0),IF(LI219="lease",LZ219,0))</f>
        <v>0</v>
      </c>
      <c r="AK219" s="5">
        <f>SUM(IF(BQ219="keep",CH219,0),IF(CS219="keep",DJ219,0),IF(DU219="keep",EL219,0),IF(EW219="keep",FN219,0),IF(FY219="keep",GP219,0),IF(HA219="keep",HR219,0),IF(IC219="keep",IT219,0),IF(JE219="keep",JV219,0),IF(KG219="keep",KX219,0),IF(LI219="keep",LZ219,0))</f>
        <v>0</v>
      </c>
      <c r="AL219" s="5">
        <f>R219-S218</f>
        <v>0</v>
      </c>
      <c r="AM219" s="5">
        <f>T219-U218</f>
        <v>0</v>
      </c>
      <c r="AN219" s="5">
        <f>AN218</f>
        <v>1</v>
      </c>
      <c r="AO219" s="5">
        <f>AO218+AH219</f>
        <v>1.0235707942079502</v>
      </c>
      <c r="AP219" s="5">
        <f>AP218+AL219</f>
        <v>6.661338147750939e-16</v>
      </c>
      <c r="AQ219" s="5">
        <f>AN219+AO219+AP219</f>
        <v>2.0235707942079513</v>
      </c>
      <c r="AR219" s="5">
        <f>S219-AQ219</f>
        <v>-1.7763568394002505e-15</v>
      </c>
      <c r="AS219" s="5">
        <f>AS218</f>
        <v>0</v>
      </c>
      <c r="AT219" s="5">
        <f>AT218+AI219</f>
        <v>0</v>
      </c>
      <c r="AU219" s="5">
        <f>AU218+AM219</f>
        <v>0</v>
      </c>
      <c r="AV219" s="5">
        <f>AS219+AT219+AU219</f>
        <v>0</v>
      </c>
      <c r="AW219" s="5">
        <f>U219-AV219</f>
        <v>0</v>
      </c>
      <c r="AX219" s="4">
        <v>2.0297914408415645</v>
      </c>
      <c r="AY219" s="4">
        <v>2.0235707942079495</v>
      </c>
      <c r="AZ219" s="5">
        <f>S219-AY219</f>
        <v>0</v>
      </c>
      <c r="BA219" s="4">
        <v>0</v>
      </c>
      <c r="BB219" s="4">
        <v>0</v>
      </c>
      <c r="BC219" s="5">
        <f>U219-BB219</f>
        <v>0</v>
      </c>
      <c r="BD219" s="7">
        <f>SUM(IF(BP219="direct",CC219/F219,0),IF(CR219="direct",DE219/F219,0),IF(DT219="direct",EG219/F219,0),IF(EV219="direct",FI219/F219,0),IF(FX219="direct",GK219/F219,0),IF(GZ219="direct",HM219/F219,0),IF(IB219="direct",IO219/F219,0),IF(JD219="direct",JQ219/F219,0),IF(KF219="direct",KS219/F219,0),IF(LH219="direct",LU219/F219,0))</f>
        <v>-0.0027471411237793585</v>
      </c>
      <c r="BE219" s="7">
        <f>-SUM(IF(BP219="direct",CD219/F219,0),IF(CR219="direct",DF219/F219,0),IF(DT219="direct",EH219/F219,0),IF(EV219="direct",FJ219/F219,0),IF(FX219="direct",GL219/F219,0),IF(GZ219="direct",HN219/F219,0),IF(IB219="direct",IP219/F219,0),IF(JD219="direct",JR219/F219,0),IF(KF219="direct",KT219/F219,0),IF(LH219="direct",LV219/F219,0))</f>
        <v>-0.000005964683124918191</v>
      </c>
      <c r="BF219" s="7">
        <f>BD219+BE219</f>
        <v>-0.002753105806904277</v>
      </c>
      <c r="BG219" s="7">
        <f>BF219-SUM(IF(BP219="direct",CP219,0),IF(CR219="direct",DR219,0),IF(DT219="direct",ET219,0),IF(EV219="direct",FV219,0),IF(FX219="direct",GX219,0),IF(GZ219="direct",HZ219,0),IF(IB219="direct",JB219,0),IF(JD219="direct",KD219,0),IF(KF219="direct",LF219,0),IF(LH219="direct",MH219,0))</f>
        <v>-1.951563910473908e-17</v>
      </c>
      <c r="BH219" s="7">
        <f>SUM(IF(BP219="treasury",CP219,0),IF(CR219="treasury",DR219,0),IF(DT219="treasury",ET219,0),IF(EV219="treasury",FV219,0),IF(FX219="treasury",GX219,0),IF(GZ219="treasury",HZ219,0),IF(IB219="treasury",JB219,0),IF(JD219="treasury",KD219,0),IF(KF219="treasury",LF219,0),IF(LH219="treasury",MH219,0))</f>
        <v>0.000026008179141103836</v>
      </c>
      <c r="BI219" s="7">
        <f>SUM(IF(BP219="future",CP219,0),IF(CR219="future",DR219,0),IF(DT219="future",ET219,0),IF(EV219="future",FV219,0),IF(FX219="future",GX219,0),IF(GZ219="future",HZ219,0),IF(IB219="future",JB219,0),IF(JD219="future",KD219,0),IF(KF219="future",LF219,0),IF(LH219="future",MH219,0))</f>
        <v>-0.00033757517972279855</v>
      </c>
      <c r="BJ219" s="7">
        <f>SUM(IF(BP219="cash",CP219,0),IF(CR219="cash",DR219,0),IF(DT219="cash",ET219,0),IF(EV219="cash",FV219,0),IF(FX219="cash",GX219,0),IF(GZ219="cash",HZ219,0),IF(IB219="cash",JB219,0),IF(JD219="cash",KD219,0),IF(KF219="cash",LF219,0),IF(LH219="cash",MH219,0))</f>
        <v>0</v>
      </c>
      <c r="BK219" s="7">
        <f>SUM(BF219,BH219,BI219,BJ219)</f>
        <v>-0.003064672807485952</v>
      </c>
      <c r="BL219" s="7">
        <f>G219-BK219</f>
        <v>4.336808689942018e-19</v>
      </c>
      <c r="BM219" s="5">
        <f>MAX(ABS(CG219),ABS(DI219),ABS(EK219),ABS(FM219),ABS(GO219),ABS(HQ219),ABS(IS219),ABS(JU219),ABS(KW219),ABS(LY219))</f>
        <v>3.969874017191455e-17</v>
      </c>
      <c r="BN219" s="9">
        <f>COUNTA(BO219,CQ219,DS219,EU219,FW219,GY219,IA219,JC219,KE219,LG219)</f>
        <v>5</v>
      </c>
      <c r="BO219" t="inlineStr">
        <is>
          <t xml:space="preserve">Direct commodity holding</t>
        </is>
      </c>
      <c r="BP219" t="inlineStr">
        <is>
          <t xml:space="preserve">direct</t>
        </is>
      </c>
      <c r="BQ219" t="inlineStr">
        <is>
          <t xml:space="preserve">lease</t>
        </is>
      </c>
      <c r="BR219" t="inlineStr">
        <is>
          <t xml:space="preserve">long</t>
        </is>
      </c>
      <c r="BS219"/>
      <c r="BT219" s="4">
        <v>1.902</v>
      </c>
      <c r="BU219" s="4">
        <v>1.896</v>
      </c>
      <c r="BV219" s="6">
        <v>0.0025</v>
      </c>
      <c r="BW219" s="4">
        <v>0.9293539233052025</v>
      </c>
      <c r="BX219" s="5">
        <f>IF(BP219="direct",IFERROR(CD219/BU219,0),0)</f>
        <v>0.000006385581621461532</v>
      </c>
      <c r="BY219" s="5">
        <f>IF(BP219="direct",BW219-BX219,IF(BP219="cash",CI219,BW219))</f>
        <v>0.929347537723581</v>
      </c>
      <c r="BZ219" s="6">
        <v>0.8708437362380558</v>
      </c>
      <c r="CA219" s="4">
        <v>1.767631162126495</v>
      </c>
      <c r="CB219" s="4">
        <v>1.767631162126495</v>
      </c>
      <c r="CC219" s="5">
        <f>IF(BP219="direct",BW219*(BU219-BT219),CF219)</f>
        <v>-0.00557612353983122</v>
      </c>
      <c r="CD219" s="5">
        <f>IF(BP219="direct",CB219*BV219*C219/365,0)</f>
        <v>0.000012107062754291063</v>
      </c>
      <c r="CE219" s="5">
        <f>CC219-CD219</f>
        <v>-0.0055882306025854716</v>
      </c>
      <c r="CF219" s="4">
        <v>-0.0055882306025854716</v>
      </c>
      <c r="CG219" s="5">
        <f>CF219-CE219</f>
        <v>3.969874017191455e-17</v>
      </c>
      <c r="CH219" s="4">
        <v>0</v>
      </c>
      <c r="CI219" s="4">
        <v>1.7620429315239095</v>
      </c>
      <c r="CJ219" s="4">
        <v>1.902</v>
      </c>
      <c r="CK219" s="4">
        <v>1.896</v>
      </c>
      <c r="CL219" s="6"/>
      <c r="CM219" s="6"/>
      <c r="CN219" s="6"/>
      <c r="CO219" s="9"/>
      <c r="CP219" s="7">
        <f>IFERROR(CE219/F219,0)</f>
        <v>-0.0027531058069042574</v>
      </c>
      <c r="CQ219" t="inlineStr">
        <is>
          <t xml:space="preserve">Treasury collateral</t>
        </is>
      </c>
      <c r="CR219" t="inlineStr">
        <is>
          <t xml:space="preserve">treasury</t>
        </is>
      </c>
      <c r="CS219" t="inlineStr">
        <is>
          <t xml:space="preserve">lease</t>
        </is>
      </c>
      <c r="CT219" t="inlineStr">
        <is>
          <t xml:space="preserve">long</t>
        </is>
      </c>
      <c r="CU219"/>
      <c r="CV219" s="4">
        <v>105.92876523081611</v>
      </c>
      <c r="CW219" s="4">
        <v>105.95009609175985</v>
      </c>
      <c r="CX219" s="6"/>
      <c r="CY219" s="4">
        <v>0.0024748733561070907</v>
      </c>
      <c r="CZ219" s="5">
        <f>IF(CR219="direct",IFERROR(DF219/CW219,0),0)</f>
        <v>0</v>
      </c>
      <c r="DA219" s="5">
        <f>IF(CR219="direct",CY219-CZ219,IF(CR219="cash",DK219,CY219))</f>
        <v>0.0024748733561070907</v>
      </c>
      <c r="DB219" s="6">
        <v>0.12915626376194422</v>
      </c>
      <c r="DC219" s="4">
        <v>0.26216027871506997</v>
      </c>
      <c r="DD219" s="4">
        <v>0.26216027871506997</v>
      </c>
      <c r="DE219" s="5">
        <f>IF(CR219="direct",CY219*(CW219-CV219),DH219)</f>
        <v>0.00005279117941247466</v>
      </c>
      <c r="DF219" s="5">
        <f>IF(CR219="direct",DD219*CX219*C219/365,0)</f>
        <v>0</v>
      </c>
      <c r="DG219" s="5">
        <f>DE219-DF219</f>
        <v>0.00005279117941248669</v>
      </c>
      <c r="DH219" s="4">
        <v>0.00005279117941248669</v>
      </c>
      <c r="DI219" s="5">
        <f>DH219-DG219</f>
        <v>1.2027867851011065e-17</v>
      </c>
      <c r="DJ219" s="4">
        <v>-5.339695699491109e-18</v>
      </c>
      <c r="DK219" s="4">
        <v>0.26221306989448245</v>
      </c>
      <c r="DL219" s="4">
        <v>1.902</v>
      </c>
      <c r="DM219" s="4">
        <v>1.896</v>
      </c>
      <c r="DN219" s="6"/>
      <c r="DO219" s="6"/>
      <c r="DP219" s="6"/>
      <c r="DQ219" s="9">
        <v>39</v>
      </c>
      <c r="DR219" s="7">
        <f>IFERROR(DG219/F219,0)</f>
        <v>0.000026008179141103836</v>
      </c>
      <c r="DS219" t="inlineStr">
        <is>
          <t xml:space="preserve">SI69Z</t>
        </is>
      </c>
      <c r="DT219" t="inlineStr">
        <is>
          <t xml:space="preserve">future</t>
        </is>
      </c>
      <c r="DU219" t="inlineStr">
        <is>
          <t xml:space="preserve">lease</t>
        </is>
      </c>
      <c r="DV219" t="inlineStr">
        <is>
          <t xml:space="preserve">long</t>
        </is>
      </c>
      <c r="DW219" t="inlineStr">
        <is>
          <t xml:space="preserve">regular</t>
        </is>
      </c>
      <c r="DX219" s="4">
        <v>1.913</v>
      </c>
      <c r="DY219" s="4">
        <v>1.9080000000000001</v>
      </c>
      <c r="DZ219" s="6"/>
      <c r="EA219" s="4">
        <v>0.13704144208837948</v>
      </c>
      <c r="EB219" s="5">
        <f>IF(DT219="direct",IFERROR(EH219/DY219,0),0)</f>
        <v>0</v>
      </c>
      <c r="EC219" s="5">
        <f>IF(DT219="direct",EA219-EB219,IF(DT219="cash",EM219,EA219))</f>
        <v>0.13704144208837948</v>
      </c>
      <c r="ED219" s="6">
        <v>0.12915626376194422</v>
      </c>
      <c r="EE219" s="4">
        <v>0.26216027871506997</v>
      </c>
      <c r="EF219" s="4">
        <v>0</v>
      </c>
      <c r="EG219" s="5">
        <f>IF(DT219="direct",EA219*(DY219-DX219),EJ219)</f>
        <v>-0.0006852072104418895</v>
      </c>
      <c r="EH219" s="5">
        <f>IF(DT219="direct",EF219*DZ219*C219/365,0)</f>
        <v>0</v>
      </c>
      <c r="EI219" s="5">
        <f>EG219-EH219</f>
        <v>-0.0006852072104418895</v>
      </c>
      <c r="EJ219" s="4">
        <v>-0.0006852072104418895</v>
      </c>
      <c r="EK219" s="5">
        <f>EJ219-EI219</f>
        <v>0</v>
      </c>
      <c r="EL219" s="4">
        <v>0.0006852072104418895</v>
      </c>
      <c r="EM219" s="4">
        <v>0</v>
      </c>
      <c r="EN219" s="4">
        <v>1.902</v>
      </c>
      <c r="EO219" s="4">
        <v>1.896</v>
      </c>
      <c r="EP219" s="6">
        <v>0.005783385909568839</v>
      </c>
      <c r="EQ219" s="6">
        <v>0.0735</v>
      </c>
      <c r="ER219" s="6">
        <v>0.019373439564291633</v>
      </c>
      <c r="ES219" s="9">
        <v>39</v>
      </c>
      <c r="ET219" s="7">
        <f>IFERROR(EI219/F219,0)</f>
        <v>-0.00033757517972279855</v>
      </c>
      <c r="EU219" t="inlineStr">
        <is>
          <t xml:space="preserve">Lease cash / margin / financing</t>
        </is>
      </c>
      <c r="EV219" t="inlineStr">
        <is>
          <t xml:space="preserve">cash</t>
        </is>
      </c>
      <c r="EW219" t="inlineStr">
        <is>
          <t xml:space="preserve">lease</t>
        </is>
      </c>
      <c r="EX219" t="inlineStr">
        <is>
          <t xml:space="preserve">cash</t>
        </is>
      </c>
      <c r="EY219"/>
      <c r="EZ219" s="4">
        <v>1</v>
      </c>
      <c r="FA219" s="4">
        <v>1</v>
      </c>
      <c r="FB219" s="6"/>
      <c r="FC219" s="4">
        <v>-4.440892098500626e-16</v>
      </c>
      <c r="FD219" s="5">
        <f>IF(EV219="direct",IFERROR(FJ219/FA219,0),0)</f>
        <v>0</v>
      </c>
      <c r="FE219" s="5">
        <f>IF(EV219="direct",FC219-FD219,IF(EV219="cash",FO219,FC219))</f>
        <v>-0.0006852072104423282</v>
      </c>
      <c r="FF219" s="6"/>
      <c r="FG219" s="4">
        <v>-4.440892098500626e-16</v>
      </c>
      <c r="FH219" s="4">
        <v>-4.440892098500626e-16</v>
      </c>
      <c r="FI219" s="5">
        <f>IF(EV219="direct",FC219*(FA219-EZ219),FL219)</f>
        <v>0</v>
      </c>
      <c r="FJ219" s="5">
        <f>IF(EV219="direct",FH219*FB219*C219/365,0)</f>
        <v>0</v>
      </c>
      <c r="FK219" s="5">
        <f>FI219-FJ219</f>
        <v>0</v>
      </c>
      <c r="FL219" s="4">
        <v>0</v>
      </c>
      <c r="FM219" s="5">
        <f>FL219-FK219</f>
        <v>0</v>
      </c>
      <c r="FN219" s="4">
        <v>-0.0006852072104418841</v>
      </c>
      <c r="FO219" s="4">
        <v>-0.0006852072104423282</v>
      </c>
      <c r="FP219" s="4">
        <v>1.902</v>
      </c>
      <c r="FQ219" s="4">
        <v>1.896</v>
      </c>
      <c r="FR219" s="6"/>
      <c r="FS219" s="6"/>
      <c r="FT219" s="6"/>
      <c r="FU219" s="9"/>
      <c r="FV219" s="7">
        <f>IFERROR(FK219/F219,0)</f>
        <v>0</v>
      </c>
      <c r="FW219" t="inlineStr">
        <is>
          <t xml:space="preserve">Keep cash / margin / financing</t>
        </is>
      </c>
      <c r="FX219" t="inlineStr">
        <is>
          <t xml:space="preserve">cash</t>
        </is>
      </c>
      <c r="FY219" t="inlineStr">
        <is>
          <t xml:space="preserve">keep</t>
        </is>
      </c>
      <c r="FZ219" t="inlineStr">
        <is>
          <t xml:space="preserve">cash</t>
        </is>
      </c>
      <c r="GA219"/>
      <c r="GB219" s="4">
        <v>1</v>
      </c>
      <c r="GC219" s="4">
        <v>1</v>
      </c>
      <c r="GD219" s="6"/>
      <c r="GE219" s="4">
        <v>0</v>
      </c>
      <c r="GF219" s="5">
        <f>IF(FX219="direct",IFERROR(GL219/GC219,0),0)</f>
        <v>0</v>
      </c>
      <c r="GG219" s="5">
        <f>IF(FX219="direct",GE219-GF219,IF(FX219="cash",GQ219,GE219))</f>
        <v>0</v>
      </c>
      <c r="GH219" s="6"/>
      <c r="GI219" s="4">
        <v>0</v>
      </c>
      <c r="GJ219" s="4">
        <v>0</v>
      </c>
      <c r="GK219" s="5">
        <f>IF(FX219="direct",GE219*(GC219-GB219),GN219)</f>
        <v>0</v>
      </c>
      <c r="GL219" s="5">
        <f>IF(FX219="direct",GJ219*GD219*C219/365,0)</f>
        <v>0</v>
      </c>
      <c r="GM219" s="5">
        <f>GK219-GL219</f>
        <v>0</v>
      </c>
      <c r="GN219" s="4">
        <v>0</v>
      </c>
      <c r="GO219" s="5">
        <f>GN219-GM219</f>
        <v>0</v>
      </c>
      <c r="GP219" s="4">
        <v>0</v>
      </c>
      <c r="GQ219" s="4">
        <v>0</v>
      </c>
      <c r="GR219" s="4">
        <v>1.902</v>
      </c>
      <c r="GS219" s="4">
        <v>1.896</v>
      </c>
      <c r="GT219" s="6"/>
      <c r="GU219" s="6"/>
      <c r="GV219" s="6"/>
      <c r="GW219" s="9"/>
      <c r="GX219" s="7">
        <f>IFERROR(GM219/F219,0)</f>
        <v>0</v>
      </c>
      <c r="GY219"/>
      <c r="GZ219"/>
      <c r="HA219"/>
      <c r="HB219"/>
      <c r="HC219"/>
      <c r="HD219" s="4"/>
      <c r="HE219" s="4"/>
      <c r="HF219" s="6"/>
      <c r="HG219" s="4"/>
      <c r="HH219" s="5">
        <v>0</v>
      </c>
      <c r="HI219" s="5"/>
      <c r="HJ219" s="6"/>
      <c r="HK219" s="4"/>
      <c r="HL219" s="4"/>
      <c r="HM219" s="5">
        <v>0</v>
      </c>
      <c r="HN219" s="5">
        <v>0</v>
      </c>
      <c r="HO219" s="5"/>
      <c r="HP219" s="4"/>
      <c r="HQ219" s="5">
        <v>0</v>
      </c>
      <c r="HR219" s="4"/>
      <c r="HS219" s="4"/>
      <c r="HT219" s="4"/>
      <c r="HU219" s="4"/>
      <c r="HV219" s="6"/>
      <c r="HW219" s="6"/>
      <c r="HX219" s="6"/>
      <c r="HY219" s="9"/>
      <c r="HZ219"/>
      <c r="IA219"/>
      <c r="IB219"/>
      <c r="IC219"/>
      <c r="ID219"/>
      <c r="IE219"/>
      <c r="IF219" s="4"/>
      <c r="IG219" s="4"/>
      <c r="IH219" s="6"/>
      <c r="II219" s="4"/>
      <c r="IJ219" s="5">
        <v>0</v>
      </c>
      <c r="IK219" s="5"/>
      <c r="IL219" s="6"/>
      <c r="IM219" s="4"/>
      <c r="IN219" s="4"/>
      <c r="IO219" s="5">
        <v>0</v>
      </c>
      <c r="IP219" s="5">
        <v>0</v>
      </c>
      <c r="IQ219" s="5"/>
      <c r="IR219" s="4"/>
      <c r="IS219" s="5">
        <v>0</v>
      </c>
      <c r="IT219" s="4"/>
      <c r="IU219" s="4"/>
      <c r="IV219" s="4"/>
      <c r="IW219" s="4"/>
      <c r="IX219" s="6"/>
      <c r="IY219" s="6"/>
      <c r="IZ219" s="6"/>
      <c r="JA219" s="9"/>
      <c r="JB219"/>
      <c r="JC219"/>
      <c r="JD219"/>
      <c r="JE219"/>
      <c r="JF219"/>
      <c r="JG219"/>
      <c r="JH219" s="4"/>
      <c r="JI219" s="4"/>
      <c r="JJ219" s="6"/>
      <c r="JK219" s="4"/>
      <c r="JL219" s="5">
        <v>0</v>
      </c>
      <c r="JM219" s="5"/>
      <c r="JN219" s="6"/>
      <c r="JO219" s="4"/>
      <c r="JP219" s="4"/>
      <c r="JQ219" s="5">
        <v>0</v>
      </c>
      <c r="JR219" s="5">
        <v>0</v>
      </c>
      <c r="JS219" s="5"/>
      <c r="JT219" s="4"/>
      <c r="JU219" s="5">
        <v>0</v>
      </c>
      <c r="JV219" s="4"/>
      <c r="JW219" s="4"/>
      <c r="JX219" s="4"/>
      <c r="JY219" s="4"/>
      <c r="JZ219" s="6"/>
      <c r="KA219" s="6"/>
      <c r="KB219" s="6"/>
      <c r="KC219" s="9"/>
      <c r="KD219"/>
      <c r="KE219"/>
      <c r="KF219"/>
      <c r="KG219"/>
      <c r="KH219"/>
      <c r="KI219"/>
      <c r="KJ219" s="4"/>
      <c r="KK219" s="4"/>
      <c r="KL219" s="6"/>
      <c r="KM219" s="4"/>
      <c r="KN219" s="5">
        <v>0</v>
      </c>
      <c r="KO219" s="5"/>
      <c r="KP219" s="6"/>
      <c r="KQ219" s="4"/>
      <c r="KR219" s="4"/>
      <c r="KS219" s="5">
        <v>0</v>
      </c>
      <c r="KT219" s="5">
        <v>0</v>
      </c>
      <c r="KU219" s="5"/>
      <c r="KV219" s="4"/>
      <c r="KW219" s="5">
        <v>0</v>
      </c>
      <c r="KX219" s="4"/>
      <c r="KY219" s="4"/>
      <c r="KZ219" s="4"/>
      <c r="LA219" s="4"/>
      <c r="LB219" s="6"/>
      <c r="LC219" s="6"/>
      <c r="LD219" s="6"/>
      <c r="LE219" s="9"/>
      <c r="LF219"/>
      <c r="LG219"/>
      <c r="LH219"/>
      <c r="LI219"/>
      <c r="LJ219"/>
      <c r="LK219"/>
      <c r="LL219" s="4"/>
      <c r="LM219" s="4"/>
      <c r="LN219" s="6"/>
      <c r="LO219" s="4"/>
      <c r="LP219" s="5">
        <v>0</v>
      </c>
      <c r="LQ219" s="5"/>
      <c r="LR219" s="6"/>
      <c r="LS219" s="4"/>
      <c r="LT219" s="4"/>
      <c r="LU219" s="5">
        <v>0</v>
      </c>
      <c r="LV219" s="5">
        <v>0</v>
      </c>
      <c r="LW219" s="5"/>
      <c r="LX219" s="4"/>
      <c r="LY219" s="5">
        <v>0</v>
      </c>
      <c r="LZ219" s="4"/>
      <c r="MA219" s="4"/>
      <c r="MB219" s="4"/>
      <c r="MC219" s="4"/>
      <c r="MD219" s="6"/>
      <c r="ME219" s="6"/>
      <c r="MF219" s="6"/>
      <c r="MG219" s="9"/>
      <c r="MH219"/>
    </row>
    <row r="220">
      <c r="A220" s="8">
        <v>25528</v>
      </c>
      <c r="B220" s="8">
        <v>25531</v>
      </c>
      <c r="C220" s="9">
        <f>B220-A220</f>
        <v>3</v>
      </c>
      <c r="D220" s="8">
        <v>25528</v>
      </c>
      <c r="E220" t="inlineStr">
        <is>
          <t xml:space="preserve">positive</t>
        </is>
      </c>
      <c r="F220" s="4">
        <v>2.02357079420795</v>
      </c>
      <c r="G220" s="6">
        <v>-0.0005297787850088799</v>
      </c>
      <c r="H220" s="7">
        <f>SUM(CP220,DR220,ET220,FV220,GX220,HZ220,JB220,KD220,LF220,MH220)</f>
        <v>-0.0005297787850088799</v>
      </c>
      <c r="I220" s="7">
        <f>G220-H220</f>
        <v>0</v>
      </c>
      <c r="J220" s="5">
        <f>F220*(1+H220)</f>
        <v>2.022498749331215</v>
      </c>
      <c r="K220" s="4">
        <v>2.022498749331215</v>
      </c>
      <c r="L220" s="5">
        <f>K220-J220</f>
        <v>0</v>
      </c>
      <c r="M220" s="4">
        <v>1.896</v>
      </c>
      <c r="N220" s="4">
        <v>1.897</v>
      </c>
      <c r="O220" s="5">
        <f>M220/$M$3</f>
        <v>0.9683350357507661</v>
      </c>
      <c r="P220" s="5">
        <f>N220/$M$3</f>
        <v>0.9688457609805925</v>
      </c>
      <c r="Q220" s="7">
        <f>IFERROR(N220/M220-1,0)</f>
        <v>0.0005274261603376296</v>
      </c>
      <c r="R220" s="5">
        <f>SUM(IF(BQ220="lease",CB220,0),IF(CS220="lease",DD220,0),IF(DU220="lease",EF220,0),IF(EW220="lease",FH220,0),IF(FY220="lease",GJ220,0),IF(HA220="lease",HL220,0),IF(IC220="lease",IN220,0),IF(JE220="lease",JP220,0),IF(KG220="lease",KR220,0),IF(LI220="lease",LT220,0))</f>
        <v>2.0235707942079495</v>
      </c>
      <c r="S220" s="5">
        <f>SUM(IF(BQ220="lease",CI220,0),IF(CS220="lease",DK220,0),IF(DU220="lease",EM220,0),IF(EW220="lease",FO220,0),IF(FY220="lease",GQ220,0),IF(HA220="lease",HS220,0),IF(IC220="lease",IU220,0),IF(JE220="lease",JW220,0),IF(KG220="lease",KY220,0),IF(LI220="lease",MA220,0))</f>
        <v>2.022498749331214</v>
      </c>
      <c r="T220" s="5">
        <f>SUM(IF(BQ220="keep",CB220,0),IF(CS220="keep",DD220,0),IF(DU220="keep",EF220,0),IF(EW220="keep",FH220,0),IF(FY220="keep",GJ220,0),IF(HA220="keep",HL220,0),IF(IC220="keep",IN220,0),IF(JE220="keep",JP220,0),IF(KG220="keep",KR220,0),IF(LI220="keep",LT220,0))</f>
        <v>0</v>
      </c>
      <c r="U220" s="5">
        <f>SUM(IF(BQ220="keep",CI220,0),IF(CS220="keep",DK220,0),IF(DU220="keep",EM220,0),IF(EW220="keep",FO220,0),IF(FY220="keep",GQ220,0),IF(HA220="keep",HS220,0),IF(IC220="keep",IU220,0),IF(JE220="keep",JW220,0),IF(KG220="keep",KY220,0),IF(LI220="keep",MA220,0))</f>
        <v>0</v>
      </c>
      <c r="V220" s="5">
        <f>R220/O220</f>
        <v>2.089742413005889</v>
      </c>
      <c r="W220" s="5">
        <f>S220/P220</f>
        <v>2.0875342916133457</v>
      </c>
      <c r="X220" s="5">
        <f>T220/O220</f>
        <v>0</v>
      </c>
      <c r="Y220" s="5">
        <f>U220/P220</f>
        <v>0</v>
      </c>
      <c r="Z220" s="5">
        <f>V220+X220</f>
        <v>2.089742413005889</v>
      </c>
      <c r="AA220" s="7">
        <f>IFERROR(W220/V220-1,0)</f>
        <v>-0.0010566476417382953</v>
      </c>
      <c r="AB220" s="7">
        <f>IFERROR((W220-V220)/Z220,0)</f>
        <v>-0.001056647641738271</v>
      </c>
      <c r="AC220" s="7">
        <f>IFERROR(Y220/X220-1,0)</f>
        <v>0</v>
      </c>
      <c r="AD220" s="7">
        <f>IFERROR((Y220-X220)/Z220,0)</f>
        <v>0</v>
      </c>
      <c r="AE220" s="7">
        <f>AB220+AD220</f>
        <v>-0.001056647641738271</v>
      </c>
      <c r="AF220" s="7">
        <f>(1+Q220)*(1+AE220)-1</f>
        <v>-0.0005297787850091495</v>
      </c>
      <c r="AG220" s="7">
        <f>G220-AF220</f>
        <v>2.6964108029714495e-16</v>
      </c>
      <c r="AH220" s="5">
        <f>SUM(IF(BQ220="lease",CE220,0),IF(CS220="lease",DG220,0),IF(DU220="lease",EI220,0),IF(EW220="lease",FK220,0),IF(FY220="lease",GM220,0),IF(HA220="lease",HO220,0),IF(IC220="lease",IQ220,0),IF(JE220="lease",JS220,0),IF(KG220="lease",KU220,0),IF(LI220="lease",LW220,0))</f>
        <v>-0.0010720448767349419</v>
      </c>
      <c r="AI220" s="5">
        <f>SUM(IF(BQ220="keep",CE220,0),IF(CS220="keep",DG220,0),IF(DU220="keep",EI220,0),IF(EW220="keep",FK220,0),IF(FY220="keep",GM220,0),IF(HA220="keep",HO220,0),IF(IC220="keep",IQ220,0),IF(JE220="keep",JS220,0),IF(KG220="keep",KU220,0),IF(LI220="keep",LW220,0))</f>
        <v>0</v>
      </c>
      <c r="AJ220" s="5">
        <f>SUM(IF(BQ220="lease",CH220,0),IF(CS220="lease",DJ220,0),IF(DU220="lease",EL220,0),IF(EW220="lease",FN220,0),IF(FY220="lease",GP220,0),IF(HA220="lease",HR220,0),IF(IC220="lease",IT220,0),IF(JE220="lease",JV220,0),IF(KG220="lease",KX220,0),IF(LI220="lease",LZ220,0))</f>
        <v>0</v>
      </c>
      <c r="AK220" s="5">
        <f>SUM(IF(BQ220="keep",CH220,0),IF(CS220="keep",DJ220,0),IF(DU220="keep",EL220,0),IF(EW220="keep",FN220,0),IF(FY220="keep",GP220,0),IF(HA220="keep",HR220,0),IF(IC220="keep",IT220,0),IF(JE220="keep",JV220,0),IF(KG220="keep",KX220,0),IF(LI220="keep",LZ220,0))</f>
        <v>0</v>
      </c>
      <c r="AL220" s="5">
        <f>R220-S219</f>
        <v>0</v>
      </c>
      <c r="AM220" s="5">
        <f>T220-U219</f>
        <v>0</v>
      </c>
      <c r="AN220" s="5">
        <f>AN219</f>
        <v>1</v>
      </c>
      <c r="AO220" s="5">
        <f>AO219+AH220</f>
        <v>1.0224987493312152</v>
      </c>
      <c r="AP220" s="5">
        <f>AP219+AL220</f>
        <v>6.661338147750939e-16</v>
      </c>
      <c r="AQ220" s="5">
        <f>AN220+AO220+AP220</f>
        <v>2.0224987493312163</v>
      </c>
      <c r="AR220" s="5">
        <f>S220-AQ220</f>
        <v>-2.220446049250313e-15</v>
      </c>
      <c r="AS220" s="5">
        <f>AS219</f>
        <v>0</v>
      </c>
      <c r="AT220" s="5">
        <f>AT219+AI220</f>
        <v>0</v>
      </c>
      <c r="AU220" s="5">
        <f>AU219+AM220</f>
        <v>0</v>
      </c>
      <c r="AV220" s="5">
        <f>AS220+AT220+AU220</f>
        <v>0</v>
      </c>
      <c r="AW220" s="5">
        <f>U220-AV220</f>
        <v>0</v>
      </c>
      <c r="AX220" s="4">
        <v>2.0235707942079495</v>
      </c>
      <c r="AY220" s="4">
        <v>2.0224987493312145</v>
      </c>
      <c r="AZ220" s="5">
        <f>S220-AY220</f>
        <v>-4.440892098500626e-16</v>
      </c>
      <c r="BA220" s="4">
        <v>0</v>
      </c>
      <c r="BB220" s="4">
        <v>0</v>
      </c>
      <c r="BC220" s="5">
        <f>U220-BB220</f>
        <v>0</v>
      </c>
      <c r="BD220" s="7">
        <f>SUM(IF(BP220="direct",CC220/F220,0),IF(CR220="direct",DE220/F220,0),IF(DT220="direct",EG220/F220,0),IF(EV220="direct",FI220/F220,0),IF(FX220="direct",GK220/F220,0),IF(GZ220="direct",HM220/F220,0),IF(IB220="direct",IO220/F220,0),IF(JD220="direct",JQ220/F220,0),IF(KF220="direct",KS220/F220,0),IF(LH220="direct",LU220/F220,0))</f>
        <v>0.0004816905935190499</v>
      </c>
      <c r="BE220" s="7">
        <f>-SUM(IF(BP220="direct",CD220/F220,0),IF(CR220="direct",DF220/F220,0),IF(DT220="direct",EH220/F220,0),IF(EV220="direct",FJ220/F220,0),IF(FX220="direct",GL220/F220,0),IF(GZ220="direct",HN220/F220,0),IF(IB220="direct",IP220/F220,0),IF(JD220="direct",JR220/F220,0),IF(KF220="direct",KT220/F220,0),IF(LH220="direct",LV220/F220,0))</f>
        <v>-0.00001876613764339759</v>
      </c>
      <c r="BF220" s="7">
        <f>BD220+BE220</f>
        <v>0.0004629244558756523</v>
      </c>
      <c r="BG220" s="7">
        <f>BF220-SUM(IF(BP220="direct",CP220,0),IF(CR220="direct",DR220,0),IF(DT220="direct",ET220,0),IF(EV220="direct",FV220,0),IF(FX220="direct",GX220,0),IF(GZ220="direct",HZ220,0),IF(IB220="direct",JB220,0),IF(JD220="direct",KD220,0),IF(KF220="direct",LF220,0),IF(LH220="direct",MH220,0))</f>
        <v>-1.620882247865829e-17</v>
      </c>
      <c r="BH220" s="7">
        <f>SUM(IF(BP220="treasury",CP220,0),IF(CR220="treasury",DR220,0),IF(DT220="treasury",ET220,0),IF(EV220="treasury",FV220,0),IF(FX220="treasury",GX220,0),IF(GZ220="treasury",HZ220,0),IF(IB220="treasury",JB220,0),IF(JD220="treasury",KD220,0),IF(KF220="treasury",LF220,0),IF(LH220="treasury",MH220,0))</f>
        <v>0.00005259895923265639</v>
      </c>
      <c r="BI220" s="7">
        <f>SUM(IF(BP220="future",CP220,0),IF(CR220="future",DR220,0),IF(DT220="future",ET220,0),IF(EV220="future",FV220,0),IF(FX220="future",GX220,0),IF(GZ220="future",HZ220,0),IF(IB220="future",JB220,0),IF(JD220="future",KD220,0),IF(KF220="future",LF220,0),IF(LH220="future",MH220,0))</f>
        <v>-0.0010453022001172048</v>
      </c>
      <c r="BJ220" s="7">
        <f>SUM(IF(BP220="cash",CP220,0),IF(CR220="cash",DR220,0),IF(DT220="cash",ET220,0),IF(EV220="cash",FV220,0),IF(FX220="cash",GX220,0),IF(GZ220="cash",HZ220,0),IF(IB220="cash",JB220,0),IF(JD220="cash",KD220,0),IF(KF220="cash",LF220,0),IF(LH220="cash",MH220,0))</f>
        <v>0</v>
      </c>
      <c r="BK220" s="7">
        <f>SUM(BF220,BH220,BI220,BJ220)</f>
        <v>-0.0005297787850088799</v>
      </c>
      <c r="BL220" s="7">
        <f>G220-BK220</f>
        <v>0</v>
      </c>
      <c r="BM220" s="5">
        <f>MAX(ABS(CG220),ABS(DI220),ABS(EK220),ABS(FM220),ABS(GO220),ABS(HQ220),ABS(IS220),ABS(JU220),ABS(KW220),ABS(LY220))</f>
        <v>3.2898759671357025e-17</v>
      </c>
      <c r="BN220" s="9">
        <f>COUNTA(BO220,CQ220,DS220,EU220,FW220,GY220,IA220,JC220,KE220,LG220)</f>
        <v>5</v>
      </c>
      <c r="BO220" t="inlineStr">
        <is>
          <t xml:space="preserve">Direct commodity holding</t>
        </is>
      </c>
      <c r="BP220" t="inlineStr">
        <is>
          <t xml:space="preserve">direct</t>
        </is>
      </c>
      <c r="BQ220" t="inlineStr">
        <is>
          <t xml:space="preserve">lease</t>
        </is>
      </c>
      <c r="BR220" t="inlineStr">
        <is>
          <t xml:space="preserve">long</t>
        </is>
      </c>
      <c r="BS220"/>
      <c r="BT220" s="4">
        <v>1.896</v>
      </c>
      <c r="BU220" s="4">
        <v>1.897</v>
      </c>
      <c r="BV220" s="6">
        <v>0.0025</v>
      </c>
      <c r="BW220" s="4">
        <v>0.9747350168897334</v>
      </c>
      <c r="BX220" s="5">
        <f>IF(BP220="direct",IFERROR(CD220/BU220,0),0)</f>
        <v>0.000020018243571568673</v>
      </c>
      <c r="BY220" s="5">
        <f>IF(BP220="direct",BW220-BX220,IF(BP220="cash",CI220,BW220))</f>
        <v>0.9747149986461618</v>
      </c>
      <c r="BZ220" s="6">
        <v>0.9132853653120163</v>
      </c>
      <c r="CA220" s="4">
        <v>1.8480975920229346</v>
      </c>
      <c r="CB220" s="4">
        <v>1.8480975920229346</v>
      </c>
      <c r="CC220" s="5">
        <f>IF(BP220="direct",BW220*(BU220-BT220),CF220)</f>
        <v>0.0009747350168898425</v>
      </c>
      <c r="CD220" s="5">
        <f>IF(BP220="direct",CB220*BV220*C220/365,0)</f>
        <v>0.00003797460805526577</v>
      </c>
      <c r="CE220" s="5">
        <f>CC220-CD220</f>
        <v>0.0009367604088346096</v>
      </c>
      <c r="CF220" s="4">
        <v>0.0009367604088346096</v>
      </c>
      <c r="CG220" s="5">
        <f>CF220-CE220</f>
        <v>3.2898759671357025e-17</v>
      </c>
      <c r="CH220" s="4">
        <v>0</v>
      </c>
      <c r="CI220" s="4">
        <v>1.849034352431769</v>
      </c>
      <c r="CJ220" s="4">
        <v>1.896</v>
      </c>
      <c r="CK220" s="4">
        <v>1.897</v>
      </c>
      <c r="CL220" s="6"/>
      <c r="CM220" s="6"/>
      <c r="CN220" s="6"/>
      <c r="CO220" s="9"/>
      <c r="CP220" s="7">
        <f>IFERROR(CE220/F220,0)</f>
        <v>0.0004629244558756685</v>
      </c>
      <c r="CQ220" t="inlineStr">
        <is>
          <t xml:space="preserve">Treasury collateral</t>
        </is>
      </c>
      <c r="CR220" t="inlineStr">
        <is>
          <t xml:space="preserve">treasury</t>
        </is>
      </c>
      <c r="CS220" t="inlineStr">
        <is>
          <t xml:space="preserve">lease</t>
        </is>
      </c>
      <c r="CT220" t="inlineStr">
        <is>
          <t xml:space="preserve">long</t>
        </is>
      </c>
      <c r="CU220"/>
      <c r="CV220" s="4">
        <v>105.95009609175985</v>
      </c>
      <c r="CW220" s="4">
        <v>106.01436280758098</v>
      </c>
      <c r="CX220" s="6"/>
      <c r="CY220" s="4">
        <v>0.0016561872868245805</v>
      </c>
      <c r="CZ220" s="5">
        <f>IF(CR220="direct",IFERROR(DF220/CW220,0),0)</f>
        <v>0</v>
      </c>
      <c r="DA220" s="5">
        <f>IF(CR220="direct",CY220-CZ220,IF(CR220="cash",DK220,CY220))</f>
        <v>0.0016561872868245805</v>
      </c>
      <c r="DB220" s="6">
        <v>0.08671463468798364</v>
      </c>
      <c r="DC220" s="4">
        <v>0.17547320218501533</v>
      </c>
      <c r="DD220" s="4">
        <v>0.17547320218501533</v>
      </c>
      <c r="DE220" s="5">
        <f>IF(CR220="direct",CY220*(CW220-CV220),DH220)</f>
        <v>0.00010643771770893003</v>
      </c>
      <c r="DF220" s="5">
        <f>IF(CR220="direct",DD220*CX220*C220/365,0)</f>
        <v>0</v>
      </c>
      <c r="DG220" s="5">
        <f>DE220-DF220</f>
        <v>0.00010643771770893808</v>
      </c>
      <c r="DH220" s="4">
        <v>0.00010643771770893808</v>
      </c>
      <c r="DI220" s="5">
        <f>DH220-DG220</f>
        <v>8.05020113070487e-18</v>
      </c>
      <c r="DJ220" s="4">
        <v>-3.2390539903004445e-18</v>
      </c>
      <c r="DK220" s="4">
        <v>0.17557963990272427</v>
      </c>
      <c r="DL220" s="4">
        <v>1.896</v>
      </c>
      <c r="DM220" s="4">
        <v>1.897</v>
      </c>
      <c r="DN220" s="6"/>
      <c r="DO220" s="6"/>
      <c r="DP220" s="6"/>
      <c r="DQ220" s="9">
        <v>38</v>
      </c>
      <c r="DR220" s="7">
        <f>IFERROR(DG220/F220,0)</f>
        <v>0.00005259895923265639</v>
      </c>
      <c r="DS220" t="inlineStr">
        <is>
          <t xml:space="preserve">SI69Z</t>
        </is>
      </c>
      <c r="DT220" t="inlineStr">
        <is>
          <t xml:space="preserve">future</t>
        </is>
      </c>
      <c r="DU220" t="inlineStr">
        <is>
          <t xml:space="preserve">lease</t>
        </is>
      </c>
      <c r="DV220" t="inlineStr">
        <is>
          <t xml:space="preserve">long</t>
        </is>
      </c>
      <c r="DW220" t="inlineStr">
        <is>
          <t xml:space="preserve">regular</t>
        </is>
      </c>
      <c r="DX220" s="4">
        <v>1.9080000000000001</v>
      </c>
      <c r="DY220" s="4">
        <v>1.885</v>
      </c>
      <c r="DZ220" s="6"/>
      <c r="EA220" s="4">
        <v>0.09196708709906463</v>
      </c>
      <c r="EB220" s="5">
        <f>IF(DT220="direct",IFERROR(EH220/DY220,0),0)</f>
        <v>0</v>
      </c>
      <c r="EC220" s="5">
        <f>IF(DT220="direct",EA220-EB220,IF(DT220="cash",EM220,EA220))</f>
        <v>0.09196708709906463</v>
      </c>
      <c r="ED220" s="6">
        <v>0.08671463468798364</v>
      </c>
      <c r="EE220" s="4">
        <v>0.17547320218501533</v>
      </c>
      <c r="EF220" s="4">
        <v>0</v>
      </c>
      <c r="EG220" s="5">
        <f>IF(DT220="direct",EA220*(DY220-DX220),EJ220)</f>
        <v>-0.0021152430032784896</v>
      </c>
      <c r="EH220" s="5">
        <f>IF(DT220="direct",EF220*DZ220*C220/365,0)</f>
        <v>0</v>
      </c>
      <c r="EI220" s="5">
        <f>EG220-EH220</f>
        <v>-0.0021152430032784896</v>
      </c>
      <c r="EJ220" s="4">
        <v>-0.0021152430032784896</v>
      </c>
      <c r="EK220" s="5">
        <f>EJ220-EI220</f>
        <v>0</v>
      </c>
      <c r="EL220" s="4">
        <v>0.0021152430032784896</v>
      </c>
      <c r="EM220" s="4">
        <v>0</v>
      </c>
      <c r="EN220" s="4">
        <v>1.896</v>
      </c>
      <c r="EO220" s="4">
        <v>1.897</v>
      </c>
      <c r="EP220" s="6">
        <v>0.006329113924050667</v>
      </c>
      <c r="EQ220" s="6">
        <v>0.0738</v>
      </c>
      <c r="ER220" s="6">
        <v>0.013007195203197548</v>
      </c>
      <c r="ES220" s="9">
        <v>38</v>
      </c>
      <c r="ET220" s="7">
        <f>IFERROR(EI220/F220,0)</f>
        <v>-0.0010453022001172048</v>
      </c>
      <c r="EU220" t="inlineStr">
        <is>
          <t xml:space="preserve">Lease cash / margin / financing</t>
        </is>
      </c>
      <c r="EV220" t="inlineStr">
        <is>
          <t xml:space="preserve">cash</t>
        </is>
      </c>
      <c r="EW220" t="inlineStr">
        <is>
          <t xml:space="preserve">lease</t>
        </is>
      </c>
      <c r="EX220" t="inlineStr">
        <is>
          <t xml:space="preserve">cash</t>
        </is>
      </c>
      <c r="EY220"/>
      <c r="EZ220" s="4">
        <v>1</v>
      </c>
      <c r="FA220" s="4">
        <v>1</v>
      </c>
      <c r="FB220" s="6"/>
      <c r="FC220" s="4">
        <v>-4.440892098500626e-16</v>
      </c>
      <c r="FD220" s="5">
        <f>IF(EV220="direct",IFERROR(FJ220/FA220,0),0)</f>
        <v>0</v>
      </c>
      <c r="FE220" s="5">
        <f>IF(EV220="direct",FC220-FD220,IF(EV220="cash",FO220,FC220))</f>
        <v>-0.0021152430032789307</v>
      </c>
      <c r="FF220" s="6"/>
      <c r="FG220" s="4">
        <v>-4.440892098500626e-16</v>
      </c>
      <c r="FH220" s="4">
        <v>-4.440892098500626e-16</v>
      </c>
      <c r="FI220" s="5">
        <f>IF(EV220="direct",FC220*(FA220-EZ220),FL220)</f>
        <v>0</v>
      </c>
      <c r="FJ220" s="5">
        <f>IF(EV220="direct",FH220*FB220*C220/365,0)</f>
        <v>0</v>
      </c>
      <c r="FK220" s="5">
        <f>FI220-FJ220</f>
        <v>0</v>
      </c>
      <c r="FL220" s="4">
        <v>0</v>
      </c>
      <c r="FM220" s="5">
        <f>FL220-FK220</f>
        <v>0</v>
      </c>
      <c r="FN220" s="4">
        <v>-0.0021152430032784866</v>
      </c>
      <c r="FO220" s="4">
        <v>-0.0021152430032789307</v>
      </c>
      <c r="FP220" s="4">
        <v>1.896</v>
      </c>
      <c r="FQ220" s="4">
        <v>1.897</v>
      </c>
      <c r="FR220" s="6"/>
      <c r="FS220" s="6"/>
      <c r="FT220" s="6"/>
      <c r="FU220" s="9"/>
      <c r="FV220" s="7">
        <f>IFERROR(FK220/F220,0)</f>
        <v>0</v>
      </c>
      <c r="FW220" t="inlineStr">
        <is>
          <t xml:space="preserve">Keep cash / margin / financing</t>
        </is>
      </c>
      <c r="FX220" t="inlineStr">
        <is>
          <t xml:space="preserve">cash</t>
        </is>
      </c>
      <c r="FY220" t="inlineStr">
        <is>
          <t xml:space="preserve">keep</t>
        </is>
      </c>
      <c r="FZ220" t="inlineStr">
        <is>
          <t xml:space="preserve">cash</t>
        </is>
      </c>
      <c r="GA220"/>
      <c r="GB220" s="4">
        <v>1</v>
      </c>
      <c r="GC220" s="4">
        <v>1</v>
      </c>
      <c r="GD220" s="6"/>
      <c r="GE220" s="4">
        <v>0</v>
      </c>
      <c r="GF220" s="5">
        <f>IF(FX220="direct",IFERROR(GL220/GC220,0),0)</f>
        <v>0</v>
      </c>
      <c r="GG220" s="5">
        <f>IF(FX220="direct",GE220-GF220,IF(FX220="cash",GQ220,GE220))</f>
        <v>0</v>
      </c>
      <c r="GH220" s="6"/>
      <c r="GI220" s="4">
        <v>0</v>
      </c>
      <c r="GJ220" s="4">
        <v>0</v>
      </c>
      <c r="GK220" s="5">
        <f>IF(FX220="direct",GE220*(GC220-GB220),GN220)</f>
        <v>0</v>
      </c>
      <c r="GL220" s="5">
        <f>IF(FX220="direct",GJ220*GD220*C220/365,0)</f>
        <v>0</v>
      </c>
      <c r="GM220" s="5">
        <f>GK220-GL220</f>
        <v>0</v>
      </c>
      <c r="GN220" s="4">
        <v>0</v>
      </c>
      <c r="GO220" s="5">
        <f>GN220-GM220</f>
        <v>0</v>
      </c>
      <c r="GP220" s="4">
        <v>0</v>
      </c>
      <c r="GQ220" s="4">
        <v>0</v>
      </c>
      <c r="GR220" s="4">
        <v>1.896</v>
      </c>
      <c r="GS220" s="4">
        <v>1.897</v>
      </c>
      <c r="GT220" s="6"/>
      <c r="GU220" s="6"/>
      <c r="GV220" s="6"/>
      <c r="GW220" s="9"/>
      <c r="GX220" s="7">
        <f>IFERROR(GM220/F220,0)</f>
        <v>0</v>
      </c>
      <c r="GY220"/>
      <c r="GZ220"/>
      <c r="HA220"/>
      <c r="HB220"/>
      <c r="HC220"/>
      <c r="HD220" s="4"/>
      <c r="HE220" s="4"/>
      <c r="HF220" s="6"/>
      <c r="HG220" s="4"/>
      <c r="HH220" s="5">
        <v>0</v>
      </c>
      <c r="HI220" s="5"/>
      <c r="HJ220" s="6"/>
      <c r="HK220" s="4"/>
      <c r="HL220" s="4"/>
      <c r="HM220" s="5">
        <v>0</v>
      </c>
      <c r="HN220" s="5">
        <v>0</v>
      </c>
      <c r="HO220" s="5"/>
      <c r="HP220" s="4"/>
      <c r="HQ220" s="5">
        <v>0</v>
      </c>
      <c r="HR220" s="4"/>
      <c r="HS220" s="4"/>
      <c r="HT220" s="4"/>
      <c r="HU220" s="4"/>
      <c r="HV220" s="6"/>
      <c r="HW220" s="6"/>
      <c r="HX220" s="6"/>
      <c r="HY220" s="9"/>
      <c r="HZ220"/>
      <c r="IA220"/>
      <c r="IB220"/>
      <c r="IC220"/>
      <c r="ID220"/>
      <c r="IE220"/>
      <c r="IF220" s="4"/>
      <c r="IG220" s="4"/>
      <c r="IH220" s="6"/>
      <c r="II220" s="4"/>
      <c r="IJ220" s="5">
        <v>0</v>
      </c>
      <c r="IK220" s="5"/>
      <c r="IL220" s="6"/>
      <c r="IM220" s="4"/>
      <c r="IN220" s="4"/>
      <c r="IO220" s="5">
        <v>0</v>
      </c>
      <c r="IP220" s="5">
        <v>0</v>
      </c>
      <c r="IQ220" s="5"/>
      <c r="IR220" s="4"/>
      <c r="IS220" s="5">
        <v>0</v>
      </c>
      <c r="IT220" s="4"/>
      <c r="IU220" s="4"/>
      <c r="IV220" s="4"/>
      <c r="IW220" s="4"/>
      <c r="IX220" s="6"/>
      <c r="IY220" s="6"/>
      <c r="IZ220" s="6"/>
      <c r="JA220" s="9"/>
      <c r="JB220"/>
      <c r="JC220"/>
      <c r="JD220"/>
      <c r="JE220"/>
      <c r="JF220"/>
      <c r="JG220"/>
      <c r="JH220" s="4"/>
      <c r="JI220" s="4"/>
      <c r="JJ220" s="6"/>
      <c r="JK220" s="4"/>
      <c r="JL220" s="5">
        <v>0</v>
      </c>
      <c r="JM220" s="5"/>
      <c r="JN220" s="6"/>
      <c r="JO220" s="4"/>
      <c r="JP220" s="4"/>
      <c r="JQ220" s="5">
        <v>0</v>
      </c>
      <c r="JR220" s="5">
        <v>0</v>
      </c>
      <c r="JS220" s="5"/>
      <c r="JT220" s="4"/>
      <c r="JU220" s="5">
        <v>0</v>
      </c>
      <c r="JV220" s="4"/>
      <c r="JW220" s="4"/>
      <c r="JX220" s="4"/>
      <c r="JY220" s="4"/>
      <c r="JZ220" s="6"/>
      <c r="KA220" s="6"/>
      <c r="KB220" s="6"/>
      <c r="KC220" s="9"/>
      <c r="KD220"/>
      <c r="KE220"/>
      <c r="KF220"/>
      <c r="KG220"/>
      <c r="KH220"/>
      <c r="KI220"/>
      <c r="KJ220" s="4"/>
      <c r="KK220" s="4"/>
      <c r="KL220" s="6"/>
      <c r="KM220" s="4"/>
      <c r="KN220" s="5">
        <v>0</v>
      </c>
      <c r="KO220" s="5"/>
      <c r="KP220" s="6"/>
      <c r="KQ220" s="4"/>
      <c r="KR220" s="4"/>
      <c r="KS220" s="5">
        <v>0</v>
      </c>
      <c r="KT220" s="5">
        <v>0</v>
      </c>
      <c r="KU220" s="5"/>
      <c r="KV220" s="4"/>
      <c r="KW220" s="5">
        <v>0</v>
      </c>
      <c r="KX220" s="4"/>
      <c r="KY220" s="4"/>
      <c r="KZ220" s="4"/>
      <c r="LA220" s="4"/>
      <c r="LB220" s="6"/>
      <c r="LC220" s="6"/>
      <c r="LD220" s="6"/>
      <c r="LE220" s="9"/>
      <c r="LF220"/>
      <c r="LG220"/>
      <c r="LH220"/>
      <c r="LI220"/>
      <c r="LJ220"/>
      <c r="LK220"/>
      <c r="LL220" s="4"/>
      <c r="LM220" s="4"/>
      <c r="LN220" s="6"/>
      <c r="LO220" s="4"/>
      <c r="LP220" s="5">
        <v>0</v>
      </c>
      <c r="LQ220" s="5"/>
      <c r="LR220" s="6"/>
      <c r="LS220" s="4"/>
      <c r="LT220" s="4"/>
      <c r="LU220" s="5">
        <v>0</v>
      </c>
      <c r="LV220" s="5">
        <v>0</v>
      </c>
      <c r="LW220" s="5"/>
      <c r="LX220" s="4"/>
      <c r="LY220" s="5">
        <v>0</v>
      </c>
      <c r="LZ220" s="4"/>
      <c r="MA220" s="4"/>
      <c r="MB220" s="4"/>
      <c r="MC220" s="4"/>
      <c r="MD220" s="6"/>
      <c r="ME220" s="6"/>
      <c r="MF220" s="6"/>
      <c r="MG220" s="9"/>
      <c r="MH220"/>
    </row>
    <row r="221">
      <c r="A221" s="8">
        <v>25531</v>
      </c>
      <c r="B221" s="8">
        <v>25532</v>
      </c>
      <c r="C221" s="9">
        <f>B221-A221</f>
        <v>1</v>
      </c>
      <c r="D221" s="8">
        <v>25531</v>
      </c>
      <c r="E221" t="inlineStr">
        <is>
          <t xml:space="preserve">positive</t>
        </is>
      </c>
      <c r="F221" s="4">
        <v>2.022498749331215</v>
      </c>
      <c r="G221" s="6">
        <v>-0.0067612418229901165</v>
      </c>
      <c r="H221" s="7">
        <f>SUM(CP221,DR221,ET221,FV221,GX221,HZ221,JB221,KD221,LF221,MH221)</f>
        <v>-0.0067612418229901165</v>
      </c>
      <c r="I221" s="7">
        <f>G221-H221</f>
        <v>0</v>
      </c>
      <c r="J221" s="5">
        <f>F221*(1+H221)</f>
        <v>2.0088241462002916</v>
      </c>
      <c r="K221" s="4">
        <v>2.0088241462002916</v>
      </c>
      <c r="L221" s="5">
        <f>K221-J221</f>
        <v>0</v>
      </c>
      <c r="M221" s="4">
        <v>1.897</v>
      </c>
      <c r="N221" s="4">
        <v>1.868</v>
      </c>
      <c r="O221" s="5">
        <f>M221/$M$3</f>
        <v>0.9688457609805925</v>
      </c>
      <c r="P221" s="5">
        <f>N221/$M$3</f>
        <v>0.9540347293156283</v>
      </c>
      <c r="Q221" s="7">
        <f>IFERROR(N221/M221-1,0)</f>
        <v>-0.015287295730100126</v>
      </c>
      <c r="R221" s="5">
        <f>SUM(IF(BQ221="lease",CB221,0),IF(CS221="lease",DD221,0),IF(DU221="lease",EF221,0),IF(EW221="lease",FH221,0),IF(FY221="lease",GJ221,0),IF(HA221="lease",HL221,0),IF(IC221="lease",IN221,0),IF(JE221="lease",JP221,0),IF(KG221="lease",KR221,0),IF(LI221="lease",LT221,0))</f>
        <v>2.0224987493312145</v>
      </c>
      <c r="S221" s="5">
        <f>SUM(IF(BQ221="lease",CI221,0),IF(CS221="lease",DK221,0),IF(DU221="lease",EM221,0),IF(EW221="lease",FO221,0),IF(FY221="lease",GQ221,0),IF(HA221="lease",HS221,0),IF(IC221="lease",IU221,0),IF(JE221="lease",JW221,0),IF(KG221="lease",KY221,0),IF(LI221="lease",MA221,0))</f>
        <v>2.008824146200291</v>
      </c>
      <c r="T221" s="5">
        <f>SUM(IF(BQ221="keep",CB221,0),IF(CS221="keep",DD221,0),IF(DU221="keep",EF221,0),IF(EW221="keep",FH221,0),IF(FY221="keep",GJ221,0),IF(HA221="keep",HL221,0),IF(IC221="keep",IN221,0),IF(JE221="keep",JP221,0),IF(KG221="keep",KR221,0),IF(LI221="keep",LT221,0))</f>
        <v>0</v>
      </c>
      <c r="U221" s="5">
        <f>SUM(IF(BQ221="keep",CI221,0),IF(CS221="keep",DK221,0),IF(DU221="keep",EM221,0),IF(EW221="keep",FO221,0),IF(FY221="keep",GQ221,0),IF(HA221="keep",HS221,0),IF(IC221="keep",IU221,0),IF(JE221="keep",JW221,0),IF(KG221="keep",KY221,0),IF(LI221="keep",MA221,0))</f>
        <v>0</v>
      </c>
      <c r="V221" s="5">
        <f>R221/O221</f>
        <v>2.087534291613346</v>
      </c>
      <c r="W221" s="5">
        <f>S221/P221</f>
        <v>2.105609035471183</v>
      </c>
      <c r="X221" s="5">
        <f>T221/O221</f>
        <v>0</v>
      </c>
      <c r="Y221" s="5">
        <f>U221/P221</f>
        <v>0</v>
      </c>
      <c r="Z221" s="5">
        <f>V221+X221</f>
        <v>2.087534291613346</v>
      </c>
      <c r="AA221" s="7">
        <f>IFERROR(W221/V221-1,0)</f>
        <v>0.008658417699030085</v>
      </c>
      <c r="AB221" s="7">
        <f>IFERROR((W221-V221)/Z221,0)</f>
        <v>0.00865841769902999</v>
      </c>
      <c r="AC221" s="7">
        <f>IFERROR(Y221/X221-1,0)</f>
        <v>0</v>
      </c>
      <c r="AD221" s="7">
        <f>IFERROR((Y221-X221)/Z221,0)</f>
        <v>0</v>
      </c>
      <c r="AE221" s="7">
        <f>AB221+AD221</f>
        <v>0.00865841769902999</v>
      </c>
      <c r="AF221" s="7">
        <f>(1+Q221)*(1+AE221)-1</f>
        <v>-0.006761241822989872</v>
      </c>
      <c r="AG221" s="7">
        <f>G221-AF221</f>
        <v>-2.445960101127298e-16</v>
      </c>
      <c r="AH221" s="5">
        <f>SUM(IF(BQ221="lease",CE221,0),IF(CS221="lease",DG221,0),IF(DU221="lease",EI221,0),IF(EW221="lease",FK221,0),IF(FY221="lease",GM221,0),IF(HA221="lease",HO221,0),IF(IC221="lease",IQ221,0),IF(JE221="lease",JS221,0),IF(KG221="lease",KU221,0),IF(LI221="lease",LW221,0))</f>
        <v>-0.013674603130923415</v>
      </c>
      <c r="AI221" s="5">
        <f>SUM(IF(BQ221="keep",CE221,0),IF(CS221="keep",DG221,0),IF(DU221="keep",EI221,0),IF(EW221="keep",FK221,0),IF(FY221="keep",GM221,0),IF(HA221="keep",HO221,0),IF(IC221="keep",IQ221,0),IF(JE221="keep",JS221,0),IF(KG221="keep",KU221,0),IF(LI221="keep",LW221,0))</f>
        <v>0</v>
      </c>
      <c r="AJ221" s="5">
        <f>SUM(IF(BQ221="lease",CH221,0),IF(CS221="lease",DJ221,0),IF(DU221="lease",EL221,0),IF(EW221="lease",FN221,0),IF(FY221="lease",GP221,0),IF(HA221="lease",HR221,0),IF(IC221="lease",IT221,0),IF(JE221="lease",JV221,0),IF(KG221="lease",KX221,0),IF(LI221="lease",LZ221,0))</f>
        <v>0</v>
      </c>
      <c r="AK221" s="5">
        <f>SUM(IF(BQ221="keep",CH221,0),IF(CS221="keep",DJ221,0),IF(DU221="keep",EL221,0),IF(EW221="keep",FN221,0),IF(FY221="keep",GP221,0),IF(HA221="keep",HR221,0),IF(IC221="keep",IT221,0),IF(JE221="keep",JV221,0),IF(KG221="keep",KX221,0),IF(LI221="keep",LZ221,0))</f>
        <v>0</v>
      </c>
      <c r="AL221" s="5">
        <f>R221-S220</f>
        <v>4.440892098500626e-16</v>
      </c>
      <c r="AM221" s="5">
        <f>T221-U220</f>
        <v>0</v>
      </c>
      <c r="AN221" s="5">
        <f>AN220</f>
        <v>1</v>
      </c>
      <c r="AO221" s="5">
        <f>AO220+AH221</f>
        <v>1.0088241462002918</v>
      </c>
      <c r="AP221" s="5">
        <f>AP220+AL221</f>
        <v>1.1102230246251565e-15</v>
      </c>
      <c r="AQ221" s="5">
        <f>AN221+AO221+AP221</f>
        <v>2.0088241462002925</v>
      </c>
      <c r="AR221" s="5">
        <f>S221-AQ221</f>
        <v>-1.3322676295501878e-15</v>
      </c>
      <c r="AS221" s="5">
        <f>AS220</f>
        <v>0</v>
      </c>
      <c r="AT221" s="5">
        <f>AT220+AI221</f>
        <v>0</v>
      </c>
      <c r="AU221" s="5">
        <f>AU220+AM221</f>
        <v>0</v>
      </c>
      <c r="AV221" s="5">
        <f>AS221+AT221+AU221</f>
        <v>0</v>
      </c>
      <c r="AW221" s="5">
        <f>U221-AV221</f>
        <v>0</v>
      </c>
      <c r="AX221" s="4">
        <v>2.0224987493312145</v>
      </c>
      <c r="AY221" s="4">
        <v>2.008824146200291</v>
      </c>
      <c r="AZ221" s="5">
        <f>S221-AY221</f>
        <v>0</v>
      </c>
      <c r="BA221" s="4">
        <v>0</v>
      </c>
      <c r="BB221" s="4">
        <v>0</v>
      </c>
      <c r="BC221" s="5">
        <f>U221-BB221</f>
        <v>0</v>
      </c>
      <c r="BD221" s="7">
        <f>SUM(IF(BP221="direct",CC221/F221,0),IF(CR221="direct",DE221/F221,0),IF(DT221="direct",EG221/F221,0),IF(EV221="direct",FI221/F221,0),IF(FX221="direct",GK221/F221,0),IF(GZ221="direct",HM221/F221,0),IF(IB221="direct",IO221/F221,0),IF(JD221="direct",JQ221/F221,0),IF(KF221="direct",KS221/F221,0),IF(LH221="direct",LU221/F221,0))</f>
        <v>-0.0010019474058951406</v>
      </c>
      <c r="BE221" s="7">
        <f>-SUM(IF(BP221="direct",CD221/F221,0),IF(CR221="direct",DF221/F221,0),IF(DT221="direct",EH221/F221,0),IF(EV221="direct",FJ221/F221,0),IF(FX221="direct",GL221/F221,0),IF(GZ221="direct",HN221/F221,0),IF(IB221="direct",IP221/F221,0),IF(JD221="direct",JR221/F221,0),IF(KF221="direct",KT221/F221,0),IF(LH221="direct",LV221/F221,0))</f>
        <v>-4.48912193902477e-7</v>
      </c>
      <c r="BF221" s="7">
        <f>BD221+BE221</f>
        <v>-0.0010023963180890432</v>
      </c>
      <c r="BG221" s="7">
        <f>BF221-SUM(IF(BP221="direct",CP221,0),IF(CR221="direct",DR221,0),IF(DT221="direct",ET221,0),IF(EV221="direct",FV221,0),IF(FX221="direct",GX221,0),IF(GZ221="direct",HZ221,0),IF(IB221="direct",JB221,0),IF(JD221="direct",KD221,0),IF(KF221="direct",LF221,0),IF(LH221="direct",MH221,0))</f>
        <v>1.0842021724855044e-18</v>
      </c>
      <c r="BH221" s="7">
        <f>SUM(IF(BP221="treasury",CP221,0),IF(CR221="treasury",DR221,0),IF(DT221="treasury",ET221,0),IF(EV221="treasury",FV221,0),IF(FX221="treasury",GX221,0),IF(GZ221="treasury",HZ221,0),IF(IB221="treasury",JB221,0),IF(JD221="treasury",KD221,0),IF(KF221="treasury",LF221,0),IF(LH221="treasury",MH221,0))</f>
        <v>0.0001899639573178512</v>
      </c>
      <c r="BI221" s="7">
        <f>SUM(IF(BP221="future",CP221,0),IF(CR221="future",DR221,0),IF(DT221="future",ET221,0),IF(EV221="future",FV221,0),IF(FX221="future",GX221,0),IF(GZ221="future",HZ221,0),IF(IB221="future",JB221,0),IF(JD221="future",KD221,0),IF(KF221="future",LF221,0),IF(LH221="future",MH221,0))</f>
        <v>-0.005948809462218924</v>
      </c>
      <c r="BJ221" s="7">
        <f>SUM(IF(BP221="cash",CP221,0),IF(CR221="cash",DR221,0),IF(DT221="cash",ET221,0),IF(EV221="cash",FV221,0),IF(FX221="cash",GX221,0),IF(GZ221="cash",HZ221,0),IF(IB221="cash",JB221,0),IF(JD221="cash",KD221,0),IF(KF221="cash",LF221,0),IF(LH221="cash",MH221,0))</f>
        <v>0</v>
      </c>
      <c r="BK221" s="7">
        <f>SUM(BF221,BH221,BI221,BJ221)</f>
        <v>-0.006761241822990117</v>
      </c>
      <c r="BL221" s="7">
        <f>G221-BK221</f>
        <v>8.673617379884035e-19</v>
      </c>
      <c r="BM221" s="5">
        <f>MAX(ABS(CG221),ABS(DI221),ABS(EK221),ABS(FM221),ABS(GO221),ABS(HQ221),ABS(IS221),ABS(JU221),ABS(KW221),ABS(LY221))</f>
        <v>1.0587234214320951e-16</v>
      </c>
      <c r="BN221" s="9">
        <f>COUNTA(BO221,CQ221,DS221,EU221,FW221,GY221,IA221,JC221,KE221,LG221)</f>
        <v>5</v>
      </c>
      <c r="BO221" t="inlineStr">
        <is>
          <t xml:space="preserve">Direct commodity holding</t>
        </is>
      </c>
      <c r="BP221" t="inlineStr">
        <is>
          <t xml:space="preserve">direct</t>
        </is>
      </c>
      <c r="BQ221" t="inlineStr">
        <is>
          <t xml:space="preserve">lease</t>
        </is>
      </c>
      <c r="BR221" t="inlineStr">
        <is>
          <t xml:space="preserve">long</t>
        </is>
      </c>
      <c r="BS221"/>
      <c r="BT221" s="4">
        <v>1.897</v>
      </c>
      <c r="BU221" s="4">
        <v>1.868</v>
      </c>
      <c r="BV221" s="6">
        <v>0.0025</v>
      </c>
      <c r="BW221" s="4">
        <v>0.0698771508730546</v>
      </c>
      <c r="BX221" s="5">
        <f>IF(BP221="direct",IFERROR(CD221/BU221,0),0)</f>
        <v>4.860408729803489e-7</v>
      </c>
      <c r="BY221" s="5">
        <f>IF(BP221="direct",BW221-BX221,IF(BP221="cash",CI221,BW221))</f>
        <v>0.06987666483218162</v>
      </c>
      <c r="BZ221" s="6">
        <v>0.06554118030976164</v>
      </c>
      <c r="CA221" s="4">
        <v>0.13255695520618457</v>
      </c>
      <c r="CB221" s="4">
        <v>0.13255695520618457</v>
      </c>
      <c r="CC221" s="5">
        <f>IF(BP221="direct",BW221*(BU221-BT221),CF221)</f>
        <v>-0.0020264373753185773</v>
      </c>
      <c r="CD221" s="5">
        <f>IF(BP221="direct",CB221*BV221*C221/365,0)</f>
        <v>9.079243507272917e-7</v>
      </c>
      <c r="CE221" s="5">
        <f>CC221-CD221</f>
        <v>-0.0020273452996693066</v>
      </c>
      <c r="CF221" s="4">
        <v>-0.0020273452996693066</v>
      </c>
      <c r="CG221" s="5">
        <f>CF221-CE221</f>
        <v>-1.9916920963500805e-18</v>
      </c>
      <c r="CH221" s="4">
        <v>0</v>
      </c>
      <c r="CI221" s="4">
        <v>0.13052960990651527</v>
      </c>
      <c r="CJ221" s="4">
        <v>1.897</v>
      </c>
      <c r="CK221" s="4">
        <v>1.868</v>
      </c>
      <c r="CL221" s="6"/>
      <c r="CM221" s="6"/>
      <c r="CN221" s="6"/>
      <c r="CO221" s="9"/>
      <c r="CP221" s="7">
        <f>IFERROR(CE221/F221,0)</f>
        <v>-0.0010023963180890443</v>
      </c>
      <c r="CQ221" t="inlineStr">
        <is>
          <t xml:space="preserve">Treasury collateral</t>
        </is>
      </c>
      <c r="CR221" t="inlineStr">
        <is>
          <t xml:space="preserve">treasury</t>
        </is>
      </c>
      <c r="CS221" t="inlineStr">
        <is>
          <t xml:space="preserve">lease</t>
        </is>
      </c>
      <c r="CT221" t="inlineStr">
        <is>
          <t xml:space="preserve">long</t>
        </is>
      </c>
      <c r="CU221"/>
      <c r="CV221" s="4">
        <v>106.01436280758098</v>
      </c>
      <c r="CW221" s="4">
        <v>106.03591422051338</v>
      </c>
      <c r="CX221" s="6"/>
      <c r="CY221" s="4">
        <v>0.017827224010725107</v>
      </c>
      <c r="CZ221" s="5">
        <f>IF(CR221="direct",IFERROR(DF221/CW221,0),0)</f>
        <v>0</v>
      </c>
      <c r="DA221" s="5">
        <f>IF(CR221="direct",CY221-CZ221,IF(CR221="cash",DK221,CY221))</f>
        <v>0.017827224010725107</v>
      </c>
      <c r="DB221" s="6">
        <v>0.9344588196902383</v>
      </c>
      <c r="DC221" s="4">
        <v>1.8899417941250305</v>
      </c>
      <c r="DD221" s="4">
        <v>1.8899417941250305</v>
      </c>
      <c r="DE221" s="5">
        <f>IF(CR221="direct",CY221*(CW221-CV221),DH221)</f>
        <v>0.00038420186609346824</v>
      </c>
      <c r="DF221" s="5">
        <f>IF(CR221="direct",DD221*CX221*C221/365,0)</f>
        <v>0</v>
      </c>
      <c r="DG221" s="5">
        <f>DE221-DF221</f>
        <v>0.00038420186609336237</v>
      </c>
      <c r="DH221" s="4">
        <v>0.00038420186609336237</v>
      </c>
      <c r="DI221" s="5">
        <f>DH221-DG221</f>
        <v>-1.0587234214320951e-16</v>
      </c>
      <c r="DJ221" s="4">
        <v>-2.574980159653073e-17</v>
      </c>
      <c r="DK221" s="4">
        <v>1.8903259959911238</v>
      </c>
      <c r="DL221" s="4">
        <v>1.897</v>
      </c>
      <c r="DM221" s="4">
        <v>1.868</v>
      </c>
      <c r="DN221" s="6"/>
      <c r="DO221" s="6"/>
      <c r="DP221" s="6"/>
      <c r="DQ221" s="9">
        <v>35</v>
      </c>
      <c r="DR221" s="7">
        <f>IFERROR(DG221/F221,0)</f>
        <v>0.0001899639573178512</v>
      </c>
      <c r="DS221" t="inlineStr">
        <is>
          <t xml:space="preserve">SI69Z</t>
        </is>
      </c>
      <c r="DT221" t="inlineStr">
        <is>
          <t xml:space="preserve">future</t>
        </is>
      </c>
      <c r="DU221" t="inlineStr">
        <is>
          <t xml:space="preserve">lease</t>
        </is>
      </c>
      <c r="DV221" t="inlineStr">
        <is>
          <t xml:space="preserve">long</t>
        </is>
      </c>
      <c r="DW221" t="inlineStr">
        <is>
          <t xml:space="preserve">regular</t>
        </is>
      </c>
      <c r="DX221" s="4">
        <v>1.885</v>
      </c>
      <c r="DY221" s="4">
        <v>1.8730000000000002</v>
      </c>
      <c r="DZ221" s="6"/>
      <c r="EA221" s="4">
        <v>1.0026216414456395</v>
      </c>
      <c r="EB221" s="5">
        <f>IF(DT221="direct",IFERROR(EH221/DY221,0),0)</f>
        <v>0</v>
      </c>
      <c r="EC221" s="5">
        <f>IF(DT221="direct",EA221-EB221,IF(DT221="cash",EM221,EA221))</f>
        <v>1.0026216414456395</v>
      </c>
      <c r="ED221" s="6">
        <v>0.9344588196902383</v>
      </c>
      <c r="EE221" s="4">
        <v>1.8899417941250305</v>
      </c>
      <c r="EF221" s="4">
        <v>0</v>
      </c>
      <c r="EG221" s="5">
        <f>IF(DT221="direct",EA221*(DY221-DX221),EJ221)</f>
        <v>-0.012031459697347471</v>
      </c>
      <c r="EH221" s="5">
        <f>IF(DT221="direct",EF221*DZ221*C221/365,0)</f>
        <v>0</v>
      </c>
      <c r="EI221" s="5">
        <f>EG221-EH221</f>
        <v>-0.012031459697347471</v>
      </c>
      <c r="EJ221" s="4">
        <v>-0.012031459697347471</v>
      </c>
      <c r="EK221" s="5">
        <f>EJ221-EI221</f>
        <v>0</v>
      </c>
      <c r="EL221" s="4">
        <v>0.012031459697347471</v>
      </c>
      <c r="EM221" s="4">
        <v>0</v>
      </c>
      <c r="EN221" s="4">
        <v>1.897</v>
      </c>
      <c r="EO221" s="4">
        <v>1.868</v>
      </c>
      <c r="EP221" s="6">
        <v>-0.00632577754348973</v>
      </c>
      <c r="EQ221" s="6">
        <v>0.0742</v>
      </c>
      <c r="ER221" s="6">
        <v>0.14016882295353575</v>
      </c>
      <c r="ES221" s="9">
        <v>35</v>
      </c>
      <c r="ET221" s="7">
        <f>IFERROR(EI221/F221,0)</f>
        <v>-0.005948809462218924</v>
      </c>
      <c r="EU221" t="inlineStr">
        <is>
          <t xml:space="preserve">Lease cash / margin / financing</t>
        </is>
      </c>
      <c r="EV221" t="inlineStr">
        <is>
          <t xml:space="preserve">cash</t>
        </is>
      </c>
      <c r="EW221" t="inlineStr">
        <is>
          <t xml:space="preserve">lease</t>
        </is>
      </c>
      <c r="EX221" t="inlineStr">
        <is>
          <t xml:space="preserve">cash</t>
        </is>
      </c>
      <c r="EY221"/>
      <c r="EZ221" s="4">
        <v>1</v>
      </c>
      <c r="FA221" s="4">
        <v>1</v>
      </c>
      <c r="FB221" s="6"/>
      <c r="FC221" s="4">
        <v>-4.440892098500626e-16</v>
      </c>
      <c r="FD221" s="5">
        <f>IF(EV221="direct",IFERROR(FJ221/FA221,0),0)</f>
        <v>0</v>
      </c>
      <c r="FE221" s="5">
        <f>IF(EV221="direct",FC221-FD221,IF(EV221="cash",FO221,FC221))</f>
        <v>-0.012031459697347889</v>
      </c>
      <c r="FF221" s="6"/>
      <c r="FG221" s="4">
        <v>-4.440892098500626e-16</v>
      </c>
      <c r="FH221" s="4">
        <v>-4.440892098500626e-16</v>
      </c>
      <c r="FI221" s="5">
        <f>IF(EV221="direct",FC221*(FA221-EZ221),FL221)</f>
        <v>0</v>
      </c>
      <c r="FJ221" s="5">
        <f>IF(EV221="direct",FH221*FB221*C221/365,0)</f>
        <v>0</v>
      </c>
      <c r="FK221" s="5">
        <f>FI221-FJ221</f>
        <v>0</v>
      </c>
      <c r="FL221" s="4">
        <v>0</v>
      </c>
      <c r="FM221" s="5">
        <f>FL221-FK221</f>
        <v>0</v>
      </c>
      <c r="FN221" s="4">
        <v>-0.012031459697347445</v>
      </c>
      <c r="FO221" s="4">
        <v>-0.012031459697347889</v>
      </c>
      <c r="FP221" s="4">
        <v>1.897</v>
      </c>
      <c r="FQ221" s="4">
        <v>1.868</v>
      </c>
      <c r="FR221" s="6"/>
      <c r="FS221" s="6"/>
      <c r="FT221" s="6"/>
      <c r="FU221" s="9"/>
      <c r="FV221" s="7">
        <f>IFERROR(FK221/F221,0)</f>
        <v>0</v>
      </c>
      <c r="FW221" t="inlineStr">
        <is>
          <t xml:space="preserve">Keep cash / margin / financing</t>
        </is>
      </c>
      <c r="FX221" t="inlineStr">
        <is>
          <t xml:space="preserve">cash</t>
        </is>
      </c>
      <c r="FY221" t="inlineStr">
        <is>
          <t xml:space="preserve">keep</t>
        </is>
      </c>
      <c r="FZ221" t="inlineStr">
        <is>
          <t xml:space="preserve">cash</t>
        </is>
      </c>
      <c r="GA221"/>
      <c r="GB221" s="4">
        <v>1</v>
      </c>
      <c r="GC221" s="4">
        <v>1</v>
      </c>
      <c r="GD221" s="6"/>
      <c r="GE221" s="4">
        <v>0</v>
      </c>
      <c r="GF221" s="5">
        <f>IF(FX221="direct",IFERROR(GL221/GC221,0),0)</f>
        <v>0</v>
      </c>
      <c r="GG221" s="5">
        <f>IF(FX221="direct",GE221-GF221,IF(FX221="cash",GQ221,GE221))</f>
        <v>0</v>
      </c>
      <c r="GH221" s="6"/>
      <c r="GI221" s="4">
        <v>0</v>
      </c>
      <c r="GJ221" s="4">
        <v>0</v>
      </c>
      <c r="GK221" s="5">
        <f>IF(FX221="direct",GE221*(GC221-GB221),GN221)</f>
        <v>0</v>
      </c>
      <c r="GL221" s="5">
        <f>IF(FX221="direct",GJ221*GD221*C221/365,0)</f>
        <v>0</v>
      </c>
      <c r="GM221" s="5">
        <f>GK221-GL221</f>
        <v>0</v>
      </c>
      <c r="GN221" s="4">
        <v>0</v>
      </c>
      <c r="GO221" s="5">
        <f>GN221-GM221</f>
        <v>0</v>
      </c>
      <c r="GP221" s="4">
        <v>0</v>
      </c>
      <c r="GQ221" s="4">
        <v>0</v>
      </c>
      <c r="GR221" s="4">
        <v>1.897</v>
      </c>
      <c r="GS221" s="4">
        <v>1.868</v>
      </c>
      <c r="GT221" s="6"/>
      <c r="GU221" s="6"/>
      <c r="GV221" s="6"/>
      <c r="GW221" s="9"/>
      <c r="GX221" s="7">
        <f>IFERROR(GM221/F221,0)</f>
        <v>0</v>
      </c>
      <c r="GY221"/>
      <c r="GZ221"/>
      <c r="HA221"/>
      <c r="HB221"/>
      <c r="HC221"/>
      <c r="HD221" s="4"/>
      <c r="HE221" s="4"/>
      <c r="HF221" s="6"/>
      <c r="HG221" s="4"/>
      <c r="HH221" s="5">
        <v>0</v>
      </c>
      <c r="HI221" s="5"/>
      <c r="HJ221" s="6"/>
      <c r="HK221" s="4"/>
      <c r="HL221" s="4"/>
      <c r="HM221" s="5">
        <v>0</v>
      </c>
      <c r="HN221" s="5">
        <v>0</v>
      </c>
      <c r="HO221" s="5"/>
      <c r="HP221" s="4"/>
      <c r="HQ221" s="5">
        <v>0</v>
      </c>
      <c r="HR221" s="4"/>
      <c r="HS221" s="4"/>
      <c r="HT221" s="4"/>
      <c r="HU221" s="4"/>
      <c r="HV221" s="6"/>
      <c r="HW221" s="6"/>
      <c r="HX221" s="6"/>
      <c r="HY221" s="9"/>
      <c r="HZ221"/>
      <c r="IA221"/>
      <c r="IB221"/>
      <c r="IC221"/>
      <c r="ID221"/>
      <c r="IE221"/>
      <c r="IF221" s="4"/>
      <c r="IG221" s="4"/>
      <c r="IH221" s="6"/>
      <c r="II221" s="4"/>
      <c r="IJ221" s="5">
        <v>0</v>
      </c>
      <c r="IK221" s="5"/>
      <c r="IL221" s="6"/>
      <c r="IM221" s="4"/>
      <c r="IN221" s="4"/>
      <c r="IO221" s="5">
        <v>0</v>
      </c>
      <c r="IP221" s="5">
        <v>0</v>
      </c>
      <c r="IQ221" s="5"/>
      <c r="IR221" s="4"/>
      <c r="IS221" s="5">
        <v>0</v>
      </c>
      <c r="IT221" s="4"/>
      <c r="IU221" s="4"/>
      <c r="IV221" s="4"/>
      <c r="IW221" s="4"/>
      <c r="IX221" s="6"/>
      <c r="IY221" s="6"/>
      <c r="IZ221" s="6"/>
      <c r="JA221" s="9"/>
      <c r="JB221"/>
      <c r="JC221"/>
      <c r="JD221"/>
      <c r="JE221"/>
      <c r="JF221"/>
      <c r="JG221"/>
      <c r="JH221" s="4"/>
      <c r="JI221" s="4"/>
      <c r="JJ221" s="6"/>
      <c r="JK221" s="4"/>
      <c r="JL221" s="5">
        <v>0</v>
      </c>
      <c r="JM221" s="5"/>
      <c r="JN221" s="6"/>
      <c r="JO221" s="4"/>
      <c r="JP221" s="4"/>
      <c r="JQ221" s="5">
        <v>0</v>
      </c>
      <c r="JR221" s="5">
        <v>0</v>
      </c>
      <c r="JS221" s="5"/>
      <c r="JT221" s="4"/>
      <c r="JU221" s="5">
        <v>0</v>
      </c>
      <c r="JV221" s="4"/>
      <c r="JW221" s="4"/>
      <c r="JX221" s="4"/>
      <c r="JY221" s="4"/>
      <c r="JZ221" s="6"/>
      <c r="KA221" s="6"/>
      <c r="KB221" s="6"/>
      <c r="KC221" s="9"/>
      <c r="KD221"/>
      <c r="KE221"/>
      <c r="KF221"/>
      <c r="KG221"/>
      <c r="KH221"/>
      <c r="KI221"/>
      <c r="KJ221" s="4"/>
      <c r="KK221" s="4"/>
      <c r="KL221" s="6"/>
      <c r="KM221" s="4"/>
      <c r="KN221" s="5">
        <v>0</v>
      </c>
      <c r="KO221" s="5"/>
      <c r="KP221" s="6"/>
      <c r="KQ221" s="4"/>
      <c r="KR221" s="4"/>
      <c r="KS221" s="5">
        <v>0</v>
      </c>
      <c r="KT221" s="5">
        <v>0</v>
      </c>
      <c r="KU221" s="5"/>
      <c r="KV221" s="4"/>
      <c r="KW221" s="5">
        <v>0</v>
      </c>
      <c r="KX221" s="4"/>
      <c r="KY221" s="4"/>
      <c r="KZ221" s="4"/>
      <c r="LA221" s="4"/>
      <c r="LB221" s="6"/>
      <c r="LC221" s="6"/>
      <c r="LD221" s="6"/>
      <c r="LE221" s="9"/>
      <c r="LF221"/>
      <c r="LG221"/>
      <c r="LH221"/>
      <c r="LI221"/>
      <c r="LJ221"/>
      <c r="LK221"/>
      <c r="LL221" s="4"/>
      <c r="LM221" s="4"/>
      <c r="LN221" s="6"/>
      <c r="LO221" s="4"/>
      <c r="LP221" s="5">
        <v>0</v>
      </c>
      <c r="LQ221" s="5"/>
      <c r="LR221" s="6"/>
      <c r="LS221" s="4"/>
      <c r="LT221" s="4"/>
      <c r="LU221" s="5">
        <v>0</v>
      </c>
      <c r="LV221" s="5">
        <v>0</v>
      </c>
      <c r="LW221" s="5"/>
      <c r="LX221" s="4"/>
      <c r="LY221" s="5">
        <v>0</v>
      </c>
      <c r="LZ221" s="4"/>
      <c r="MA221" s="4"/>
      <c r="MB221" s="4"/>
      <c r="MC221" s="4"/>
      <c r="MD221" s="6"/>
      <c r="ME221" s="6"/>
      <c r="MF221" s="6"/>
      <c r="MG221" s="9"/>
      <c r="MH221"/>
    </row>
    <row r="222">
      <c r="A222" s="8">
        <v>25532</v>
      </c>
      <c r="B222" s="8">
        <v>25533</v>
      </c>
      <c r="C222" s="9">
        <f>B222-A222</f>
        <v>1</v>
      </c>
      <c r="D222" s="8">
        <v>25532</v>
      </c>
      <c r="E222" t="inlineStr">
        <is>
          <t xml:space="preserve">positive</t>
        </is>
      </c>
      <c r="F222" s="4">
        <v>2.0088241462002916</v>
      </c>
      <c r="G222" s="6">
        <v>0.0007206382636418458</v>
      </c>
      <c r="H222" s="7">
        <f>SUM(CP222,DR222,ET222,FV222,GX222,HZ222,JB222,KD222,LF222,MH222)</f>
        <v>0.0007206382636418459</v>
      </c>
      <c r="I222" s="7">
        <f>G222-H222</f>
        <v>-1.0842021724855044e-19</v>
      </c>
      <c r="J222" s="5">
        <f>F222*(1+H222)</f>
        <v>2.010271781744971</v>
      </c>
      <c r="K222" s="4">
        <v>2.010271781744971</v>
      </c>
      <c r="L222" s="5">
        <f>K222-J222</f>
        <v>0</v>
      </c>
      <c r="M222" s="4">
        <v>1.868</v>
      </c>
      <c r="N222" s="4">
        <v>1.868</v>
      </c>
      <c r="O222" s="5">
        <f>M222/$M$3</f>
        <v>0.9540347293156283</v>
      </c>
      <c r="P222" s="5">
        <f>N222/$M$3</f>
        <v>0.9540347293156283</v>
      </c>
      <c r="Q222" s="7">
        <f>IFERROR(N222/M222-1,0)</f>
        <v>0</v>
      </c>
      <c r="R222" s="5">
        <f>SUM(IF(BQ222="lease",CB222,0),IF(CS222="lease",DD222,0),IF(DU222="lease",EF222,0),IF(EW222="lease",FH222,0),IF(FY222="lease",GJ222,0),IF(HA222="lease",HL222,0),IF(IC222="lease",IN222,0),IF(JE222="lease",JP222,0),IF(KG222="lease",KR222,0),IF(LI222="lease",LT222,0))</f>
        <v>2.008824146200291</v>
      </c>
      <c r="S222" s="5">
        <f>SUM(IF(BQ222="lease",CI222,0),IF(CS222="lease",DK222,0),IF(DU222="lease",EM222,0),IF(EW222="lease",FO222,0),IF(FY222="lease",GQ222,0),IF(HA222="lease",HS222,0),IF(IC222="lease",IU222,0),IF(JE222="lease",JW222,0),IF(KG222="lease",KY222,0),IF(LI222="lease",MA222,0))</f>
        <v>2.0102717817449705</v>
      </c>
      <c r="T222" s="5">
        <f>SUM(IF(BQ222="keep",CB222,0),IF(CS222="keep",DD222,0),IF(DU222="keep",EF222,0),IF(EW222="keep",FH222,0),IF(FY222="keep",GJ222,0),IF(HA222="keep",HL222,0),IF(IC222="keep",IN222,0),IF(JE222="keep",JP222,0),IF(KG222="keep",KR222,0),IF(LI222="keep",LT222,0))</f>
        <v>0</v>
      </c>
      <c r="U222" s="5">
        <f>SUM(IF(BQ222="keep",CI222,0),IF(CS222="keep",DK222,0),IF(DU222="keep",EM222,0),IF(EW222="keep",FO222,0),IF(FY222="keep",GQ222,0),IF(HA222="keep",HS222,0),IF(IC222="keep",IU222,0),IF(JE222="keep",JW222,0),IF(KG222="keep",KY222,0),IF(LI222="keep",MA222,0))</f>
        <v>0</v>
      </c>
      <c r="V222" s="5">
        <f>R222/O222</f>
        <v>2.105609035471183</v>
      </c>
      <c r="W222" s="5">
        <f>S222/P222</f>
        <v>2.107126417910413</v>
      </c>
      <c r="X222" s="5">
        <f>T222/O222</f>
        <v>0</v>
      </c>
      <c r="Y222" s="5">
        <f>U222/P222</f>
        <v>0</v>
      </c>
      <c r="Z222" s="5">
        <f>V222+X222</f>
        <v>2.105609035471183</v>
      </c>
      <c r="AA222" s="7">
        <f>IFERROR(W222/V222-1,0)</f>
        <v>0.0007206382636415487</v>
      </c>
      <c r="AB222" s="7">
        <f>IFERROR((W222-V222)/Z222,0)</f>
        <v>0.0007206382636415113</v>
      </c>
      <c r="AC222" s="7">
        <f>IFERROR(Y222/X222-1,0)</f>
        <v>0</v>
      </c>
      <c r="AD222" s="7">
        <f>IFERROR((Y222-X222)/Z222,0)</f>
        <v>0</v>
      </c>
      <c r="AE222" s="7">
        <f>AB222+AD222</f>
        <v>0.0007206382636415113</v>
      </c>
      <c r="AF222" s="7">
        <f>(1+Q222)*(1+AE222)-1</f>
        <v>0.0007206382636415487</v>
      </c>
      <c r="AG222" s="7">
        <f>G222-AF222</f>
        <v>2.970713952610282e-16</v>
      </c>
      <c r="AH222" s="5">
        <f>SUM(IF(BQ222="lease",CE222,0),IF(CS222="lease",DG222,0),IF(DU222="lease",EI222,0),IF(EW222="lease",FK222,0),IF(FY222="lease",GM222,0),IF(HA222="lease",HO222,0),IF(IC222="lease",IQ222,0),IF(JE222="lease",JS222,0),IF(KG222="lease",KU222,0),IF(LI222="lease",LW222,0))</f>
        <v>0.0014476355446795916</v>
      </c>
      <c r="AI222" s="5">
        <f>SUM(IF(BQ222="keep",CE222,0),IF(CS222="keep",DG222,0),IF(DU222="keep",EI222,0),IF(EW222="keep",FK222,0),IF(FY222="keep",GM222,0),IF(HA222="keep",HO222,0),IF(IC222="keep",IQ222,0),IF(JE222="keep",JS222,0),IF(KG222="keep",KU222,0),IF(LI222="keep",LW222,0))</f>
        <v>0</v>
      </c>
      <c r="AJ222" s="5">
        <f>SUM(IF(BQ222="lease",CH222,0),IF(CS222="lease",DJ222,0),IF(DU222="lease",EL222,0),IF(EW222="lease",FN222,0),IF(FY222="lease",GP222,0),IF(HA222="lease",HR222,0),IF(IC222="lease",IT222,0),IF(JE222="lease",JV222,0),IF(KG222="lease",KX222,0),IF(LI222="lease",LZ222,0))</f>
        <v>0</v>
      </c>
      <c r="AK222" s="5">
        <f>SUM(IF(BQ222="keep",CH222,0),IF(CS222="keep",DJ222,0),IF(DU222="keep",EL222,0),IF(EW222="keep",FN222,0),IF(FY222="keep",GP222,0),IF(HA222="keep",HR222,0),IF(IC222="keep",IT222,0),IF(JE222="keep",JV222,0),IF(KG222="keep",KX222,0),IF(LI222="keep",LZ222,0))</f>
        <v>0</v>
      </c>
      <c r="AL222" s="5">
        <f>R222-S221</f>
        <v>0</v>
      </c>
      <c r="AM222" s="5">
        <f>T222-U221</f>
        <v>0</v>
      </c>
      <c r="AN222" s="5">
        <f>AN221</f>
        <v>1</v>
      </c>
      <c r="AO222" s="5">
        <f>AO221+AH222</f>
        <v>1.0102717817449713</v>
      </c>
      <c r="AP222" s="5">
        <f>AP221+AL222</f>
        <v>1.1102230246251565e-15</v>
      </c>
      <c r="AQ222" s="5">
        <f>AN222+AO222+AP222</f>
        <v>2.0102717817449722</v>
      </c>
      <c r="AR222" s="5">
        <f>S222-AQ222</f>
        <v>-1.7763568394002505e-15</v>
      </c>
      <c r="AS222" s="5">
        <f>AS221</f>
        <v>0</v>
      </c>
      <c r="AT222" s="5">
        <f>AT221+AI222</f>
        <v>0</v>
      </c>
      <c r="AU222" s="5">
        <f>AU221+AM222</f>
        <v>0</v>
      </c>
      <c r="AV222" s="5">
        <f>AS222+AT222+AU222</f>
        <v>0</v>
      </c>
      <c r="AW222" s="5">
        <f>U222-AV222</f>
        <v>0</v>
      </c>
      <c r="AX222" s="4">
        <v>2.008824146200291</v>
      </c>
      <c r="AY222" s="4">
        <v>2.010271781744971</v>
      </c>
      <c r="AZ222" s="5">
        <f>S222-AY222</f>
        <v>-4.440892098500626e-16</v>
      </c>
      <c r="BA222" s="4">
        <v>0</v>
      </c>
      <c r="BB222" s="4">
        <v>0</v>
      </c>
      <c r="BC222" s="5">
        <f>U222-BB222</f>
        <v>0</v>
      </c>
      <c r="BD222" s="7">
        <f>SUM(IF(BP222="direct",CC222/F222,0),IF(CR222="direct",DE222/F222,0),IF(DT222="direct",EG222/F222,0),IF(EV222="direct",FI222/F222,0),IF(FX222="direct",GK222/F222,0),IF(GZ222="direct",HM222/F222,0),IF(IB222="direct",IO222/F222,0),IF(JD222="direct",JQ222/F222,0),IF(KF222="direct",KS222/F222,0),IF(LH222="direct",LU222/F222,0))</f>
        <v>0</v>
      </c>
      <c r="BE222" s="7">
        <f>-SUM(IF(BP222="direct",CD222/F222,0),IF(CR222="direct",DF222/F222,0),IF(DT222="direct",EH222/F222,0),IF(EV222="direct",FJ222/F222,0),IF(FX222="direct",GL222/F222,0),IF(GZ222="direct",HN222/F222,0),IF(IB222="direct",IP222/F222,0),IF(JD222="direct",JR222/F222,0),IF(KF222="direct",KT222/F222,0),IF(LH222="direct",LV222/F222,0))</f>
        <v>-0.000004727613118521945</v>
      </c>
      <c r="BF222" s="7">
        <f>BD222+BE222</f>
        <v>-0.000004727613118521945</v>
      </c>
      <c r="BG222" s="7">
        <f>BF222-SUM(IF(BP222="direct",CP222,0),IF(CR222="direct",DR222,0),IF(DT222="direct",ET222,0),IF(EV222="direct",FV222,0),IF(FX222="direct",GX222,0),IF(GZ222="direct",HZ222,0),IF(IB222="direct",JB222,0),IF(JD222="direct",KD222,0),IF(KF222="direct",LF222,0),IF(LH222="direct",MH222,0))</f>
        <v>0</v>
      </c>
      <c r="BH222" s="7">
        <f>SUM(IF(BP222="treasury",CP222,0),IF(CR222="treasury",DR222,0),IF(DT222="treasury",ET222,0),IF(EV222="treasury",FV222,0),IF(FX222="treasury",GX222,0),IF(GZ222="treasury",HZ222,0),IF(IB222="treasury",JB222,0),IF(JD222="treasury",KD222,0),IF(KF222="treasury",LF222,0),IF(LH222="treasury",MH222,0))</f>
        <v>0.00006382079465513387</v>
      </c>
      <c r="BI222" s="7">
        <f>SUM(IF(BP222="future",CP222,0),IF(CR222="future",DR222,0),IF(DT222="future",ET222,0),IF(EV222="future",FV222,0),IF(FX222="future",GX222,0),IF(GZ222="future",HZ222,0),IF(IB222="future",JB222,0),IF(JD222="future",KD222,0),IF(KF222="future",LF222,0),IF(LH222="future",MH222,0))</f>
        <v>0.000661545082105234</v>
      </c>
      <c r="BJ222" s="7">
        <f>SUM(IF(BP222="cash",CP222,0),IF(CR222="cash",DR222,0),IF(DT222="cash",ET222,0),IF(EV222="cash",FV222,0),IF(FX222="cash",GX222,0),IF(GZ222="cash",HZ222,0),IF(IB222="cash",JB222,0),IF(JD222="cash",KD222,0),IF(KF222="cash",LF222,0),IF(LH222="cash",MH222,0))</f>
        <v>0</v>
      </c>
      <c r="BK222" s="7">
        <f>SUM(BF222,BH222,BI222,BJ222)</f>
        <v>0.0007206382636418459</v>
      </c>
      <c r="BL222" s="7">
        <f>G222-BK222</f>
        <v>-1.0842021724855044e-19</v>
      </c>
      <c r="BM222" s="5">
        <f>MAX(ABS(CG222),ABS(DI222),ABS(EK222),ABS(FM222),ABS(GO222),ABS(HQ222),ABS(IS222),ABS(JU222),ABS(KW222),ABS(LY222))</f>
        <v>1.1031757105040008e-16</v>
      </c>
      <c r="BN222" s="9">
        <f>COUNTA(BO222,CQ222,DS222,EU222,FW222,GY222,IA222,JC222,KE222,LG222)</f>
        <v>5</v>
      </c>
      <c r="BO222" t="inlineStr">
        <is>
          <t xml:space="preserve">Direct commodity holding</t>
        </is>
      </c>
      <c r="BP222" t="inlineStr">
        <is>
          <t xml:space="preserve">direct</t>
        </is>
      </c>
      <c r="BQ222" t="inlineStr">
        <is>
          <t xml:space="preserve">lease</t>
        </is>
      </c>
      <c r="BR222" t="inlineStr">
        <is>
          <t xml:space="preserve">long</t>
        </is>
      </c>
      <c r="BS222"/>
      <c r="BT222" s="4">
        <v>1.868</v>
      </c>
      <c r="BU222" s="4">
        <v>1.868</v>
      </c>
      <c r="BV222" s="6">
        <v>0.0025</v>
      </c>
      <c r="BW222" s="4">
        <v>0.7422664531110817</v>
      </c>
      <c r="BX222" s="5">
        <f>IF(BP222="direct",IFERROR(CD222/BU222,0),0)</f>
        <v>0.000005084016802130698</v>
      </c>
      <c r="BY222" s="5">
        <f>IF(BP222="direct",BW222-BX222,IF(BP222="cash",CI222,BW222))</f>
        <v>0.7422613690942796</v>
      </c>
      <c r="BZ222" s="6">
        <v>0.6902315153042039</v>
      </c>
      <c r="CA222" s="4">
        <v>1.3865537344115009</v>
      </c>
      <c r="CB222" s="4">
        <v>1.3865537344115009</v>
      </c>
      <c r="CC222" s="5">
        <f>IF(BP222="direct",BW222*(BU222-BT222),CF222)</f>
        <v>0</v>
      </c>
      <c r="CD222" s="5">
        <f>IF(BP222="direct",CB222*BV222*C222/365,0)</f>
        <v>0.000009496943386380143</v>
      </c>
      <c r="CE222" s="5">
        <f>CC222-CD222</f>
        <v>-0.000009496943386380143</v>
      </c>
      <c r="CF222" s="4">
        <v>-0.000009496943386380143</v>
      </c>
      <c r="CG222" s="5">
        <f>CF222-CE222</f>
        <v>0</v>
      </c>
      <c r="CH222" s="4">
        <v>0</v>
      </c>
      <c r="CI222" s="4">
        <v>1.3865442374681145</v>
      </c>
      <c r="CJ222" s="4">
        <v>1.868</v>
      </c>
      <c r="CK222" s="4">
        <v>1.868</v>
      </c>
      <c r="CL222" s="6"/>
      <c r="CM222" s="6"/>
      <c r="CN222" s="6"/>
      <c r="CO222" s="9"/>
      <c r="CP222" s="7">
        <f>IFERROR(CE222/F222,0)</f>
        <v>-0.000004727613118521945</v>
      </c>
      <c r="CQ222" t="inlineStr">
        <is>
          <t xml:space="preserve">Treasury collateral</t>
        </is>
      </c>
      <c r="CR222" t="inlineStr">
        <is>
          <t xml:space="preserve">treasury</t>
        </is>
      </c>
      <c r="CS222" t="inlineStr">
        <is>
          <t xml:space="preserve">lease</t>
        </is>
      </c>
      <c r="CT222" t="inlineStr">
        <is>
          <t xml:space="preserve">long</t>
        </is>
      </c>
      <c r="CU222"/>
      <c r="CV222" s="4">
        <v>106.03591422051338</v>
      </c>
      <c r="CW222" s="4">
        <v>106.05776052393632</v>
      </c>
      <c r="CX222" s="6"/>
      <c r="CY222" s="4">
        <v>0.0058684872607851594</v>
      </c>
      <c r="CZ222" s="5">
        <f>IF(CR222="direct",IFERROR(DF222/CW222,0),0)</f>
        <v>0</v>
      </c>
      <c r="DA222" s="5">
        <f>IF(CR222="direct",CY222-CZ222,IF(CR222="cash",DK222,CY222))</f>
        <v>0.0058684872607851594</v>
      </c>
      <c r="DB222" s="6">
        <v>0.3097684846957961</v>
      </c>
      <c r="DC222" s="4">
        <v>0.6222704117887907</v>
      </c>
      <c r="DD222" s="4">
        <v>0.6222704117887907</v>
      </c>
      <c r="DE222" s="5">
        <f>IF(CR222="direct",CY222*(CW222-CV222),DH222)</f>
        <v>0.00012820475333281313</v>
      </c>
      <c r="DF222" s="5">
        <f>IF(CR222="direct",DD222*CX222*C222/365,0)</f>
        <v>0</v>
      </c>
      <c r="DG222" s="5">
        <f>DE222-DF222</f>
        <v>0.00012820475333292345</v>
      </c>
      <c r="DH222" s="4">
        <v>0.00012820475333292345</v>
      </c>
      <c r="DI222" s="5">
        <f>DH222-DG222</f>
        <v>1.1031757105040008e-16</v>
      </c>
      <c r="DJ222" s="4">
        <v>-1.7328261221749575e-16</v>
      </c>
      <c r="DK222" s="4">
        <v>0.6223986165421235</v>
      </c>
      <c r="DL222" s="4">
        <v>1.868</v>
      </c>
      <c r="DM222" s="4">
        <v>1.868</v>
      </c>
      <c r="DN222" s="6"/>
      <c r="DO222" s="6"/>
      <c r="DP222" s="6"/>
      <c r="DQ222" s="9">
        <v>34</v>
      </c>
      <c r="DR222" s="7">
        <f>IFERROR(DG222/F222,0)</f>
        <v>0.00006382079465513387</v>
      </c>
      <c r="DS222" t="inlineStr">
        <is>
          <t xml:space="preserve">SI69Z</t>
        </is>
      </c>
      <c r="DT222" t="inlineStr">
        <is>
          <t xml:space="preserve">future</t>
        </is>
      </c>
      <c r="DU222" t="inlineStr">
        <is>
          <t xml:space="preserve">lease</t>
        </is>
      </c>
      <c r="DV222" t="inlineStr">
        <is>
          <t xml:space="preserve">long</t>
        </is>
      </c>
      <c r="DW222" t="inlineStr">
        <is>
          <t xml:space="preserve">regular</t>
        </is>
      </c>
      <c r="DX222" s="4">
        <v>1.8730000000000002</v>
      </c>
      <c r="DY222" s="4">
        <v>1.8769999999999998</v>
      </c>
      <c r="DZ222" s="6"/>
      <c r="EA222" s="4">
        <v>0.33223193368328385</v>
      </c>
      <c r="EB222" s="5">
        <f>IF(DT222="direct",IFERROR(EH222/DY222,0),0)</f>
        <v>0</v>
      </c>
      <c r="EC222" s="5">
        <f>IF(DT222="direct",EA222-EB222,IF(DT222="cash",EM222,EA222))</f>
        <v>0.33223193368328385</v>
      </c>
      <c r="ED222" s="6">
        <v>0.3097684846957961</v>
      </c>
      <c r="EE222" s="4">
        <v>0.6222704117887907</v>
      </c>
      <c r="EF222" s="4">
        <v>0</v>
      </c>
      <c r="EG222" s="5">
        <f>IF(DT222="direct",EA222*(DY222-DX222),EJ222)</f>
        <v>0.0013289277347330484</v>
      </c>
      <c r="EH222" s="5">
        <f>IF(DT222="direct",EF222*DZ222*C222/365,0)</f>
        <v>0</v>
      </c>
      <c r="EI222" s="5">
        <f>EG222-EH222</f>
        <v>0.0013289277347330484</v>
      </c>
      <c r="EJ222" s="4">
        <v>0.0013289277347330484</v>
      </c>
      <c r="EK222" s="5">
        <f>EJ222-EI222</f>
        <v>0</v>
      </c>
      <c r="EL222" s="4">
        <v>-0.0013289277347330484</v>
      </c>
      <c r="EM222" s="4">
        <v>0</v>
      </c>
      <c r="EN222" s="4">
        <v>1.868</v>
      </c>
      <c r="EO222" s="4">
        <v>1.868</v>
      </c>
      <c r="EP222" s="6">
        <v>0.002676659528908054</v>
      </c>
      <c r="EQ222" s="6">
        <v>0.07519999999999999</v>
      </c>
      <c r="ER222" s="6">
        <v>0.04646527270436941</v>
      </c>
      <c r="ES222" s="9">
        <v>34</v>
      </c>
      <c r="ET222" s="7">
        <f>IFERROR(EI222/F222,0)</f>
        <v>0.000661545082105234</v>
      </c>
      <c r="EU222" t="inlineStr">
        <is>
          <t xml:space="preserve">Lease cash / margin / financing</t>
        </is>
      </c>
      <c r="EV222" t="inlineStr">
        <is>
          <t xml:space="preserve">cash</t>
        </is>
      </c>
      <c r="EW222" t="inlineStr">
        <is>
          <t xml:space="preserve">lease</t>
        </is>
      </c>
      <c r="EX222" t="inlineStr">
        <is>
          <t xml:space="preserve">cash</t>
        </is>
      </c>
      <c r="EY222"/>
      <c r="EZ222" s="4">
        <v>1</v>
      </c>
      <c r="FA222" s="4">
        <v>1</v>
      </c>
      <c r="FB222" s="6"/>
      <c r="FC222" s="4">
        <v>-4.440892098500626e-16</v>
      </c>
      <c r="FD222" s="5">
        <f>IF(EV222="direct",IFERROR(FJ222/FA222,0),0)</f>
        <v>0</v>
      </c>
      <c r="FE222" s="5">
        <f>IF(EV222="direct",FC222-FD222,IF(EV222="cash",FO222,FC222))</f>
        <v>0.0013289277347327776</v>
      </c>
      <c r="FF222" s="6"/>
      <c r="FG222" s="4">
        <v>-4.440892098500626e-16</v>
      </c>
      <c r="FH222" s="4">
        <v>-4.440892098500626e-16</v>
      </c>
      <c r="FI222" s="5">
        <f>IF(EV222="direct",FC222*(FA222-EZ222),FL222)</f>
        <v>0</v>
      </c>
      <c r="FJ222" s="5">
        <f>IF(EV222="direct",FH222*FB222*C222/365,0)</f>
        <v>0</v>
      </c>
      <c r="FK222" s="5">
        <f>FI222-FJ222</f>
        <v>0</v>
      </c>
      <c r="FL222" s="4">
        <v>0</v>
      </c>
      <c r="FM222" s="5">
        <f>FL222-FK222</f>
        <v>0</v>
      </c>
      <c r="FN222" s="4">
        <v>0.0013289277347332217</v>
      </c>
      <c r="FO222" s="4">
        <v>0.0013289277347327776</v>
      </c>
      <c r="FP222" s="4">
        <v>1.868</v>
      </c>
      <c r="FQ222" s="4">
        <v>1.868</v>
      </c>
      <c r="FR222" s="6"/>
      <c r="FS222" s="6"/>
      <c r="FT222" s="6"/>
      <c r="FU222" s="9"/>
      <c r="FV222" s="7">
        <f>IFERROR(FK222/F222,0)</f>
        <v>0</v>
      </c>
      <c r="FW222" t="inlineStr">
        <is>
          <t xml:space="preserve">Keep cash / margin / financing</t>
        </is>
      </c>
      <c r="FX222" t="inlineStr">
        <is>
          <t xml:space="preserve">cash</t>
        </is>
      </c>
      <c r="FY222" t="inlineStr">
        <is>
          <t xml:space="preserve">keep</t>
        </is>
      </c>
      <c r="FZ222" t="inlineStr">
        <is>
          <t xml:space="preserve">cash</t>
        </is>
      </c>
      <c r="GA222"/>
      <c r="GB222" s="4">
        <v>1</v>
      </c>
      <c r="GC222" s="4">
        <v>1</v>
      </c>
      <c r="GD222" s="6"/>
      <c r="GE222" s="4">
        <v>0</v>
      </c>
      <c r="GF222" s="5">
        <f>IF(FX222="direct",IFERROR(GL222/GC222,0),0)</f>
        <v>0</v>
      </c>
      <c r="GG222" s="5">
        <f>IF(FX222="direct",GE222-GF222,IF(FX222="cash",GQ222,GE222))</f>
        <v>0</v>
      </c>
      <c r="GH222" s="6"/>
      <c r="GI222" s="4">
        <v>0</v>
      </c>
      <c r="GJ222" s="4">
        <v>0</v>
      </c>
      <c r="GK222" s="5">
        <f>IF(FX222="direct",GE222*(GC222-GB222),GN222)</f>
        <v>0</v>
      </c>
      <c r="GL222" s="5">
        <f>IF(FX222="direct",GJ222*GD222*C222/365,0)</f>
        <v>0</v>
      </c>
      <c r="GM222" s="5">
        <f>GK222-GL222</f>
        <v>0</v>
      </c>
      <c r="GN222" s="4">
        <v>0</v>
      </c>
      <c r="GO222" s="5">
        <f>GN222-GM222</f>
        <v>0</v>
      </c>
      <c r="GP222" s="4">
        <v>0</v>
      </c>
      <c r="GQ222" s="4">
        <v>0</v>
      </c>
      <c r="GR222" s="4">
        <v>1.868</v>
      </c>
      <c r="GS222" s="4">
        <v>1.868</v>
      </c>
      <c r="GT222" s="6"/>
      <c r="GU222" s="6"/>
      <c r="GV222" s="6"/>
      <c r="GW222" s="9"/>
      <c r="GX222" s="7">
        <f>IFERROR(GM222/F222,0)</f>
        <v>0</v>
      </c>
      <c r="GY222"/>
      <c r="GZ222"/>
      <c r="HA222"/>
      <c r="HB222"/>
      <c r="HC222"/>
      <c r="HD222" s="4"/>
      <c r="HE222" s="4"/>
      <c r="HF222" s="6"/>
      <c r="HG222" s="4"/>
      <c r="HH222" s="5">
        <v>0</v>
      </c>
      <c r="HI222" s="5"/>
      <c r="HJ222" s="6"/>
      <c r="HK222" s="4"/>
      <c r="HL222" s="4"/>
      <c r="HM222" s="5">
        <v>0</v>
      </c>
      <c r="HN222" s="5">
        <v>0</v>
      </c>
      <c r="HO222" s="5"/>
      <c r="HP222" s="4"/>
      <c r="HQ222" s="5">
        <v>0</v>
      </c>
      <c r="HR222" s="4"/>
      <c r="HS222" s="4"/>
      <c r="HT222" s="4"/>
      <c r="HU222" s="4"/>
      <c r="HV222" s="6"/>
      <c r="HW222" s="6"/>
      <c r="HX222" s="6"/>
      <c r="HY222" s="9"/>
      <c r="HZ222"/>
      <c r="IA222"/>
      <c r="IB222"/>
      <c r="IC222"/>
      <c r="ID222"/>
      <c r="IE222"/>
      <c r="IF222" s="4"/>
      <c r="IG222" s="4"/>
      <c r="IH222" s="6"/>
      <c r="II222" s="4"/>
      <c r="IJ222" s="5">
        <v>0</v>
      </c>
      <c r="IK222" s="5"/>
      <c r="IL222" s="6"/>
      <c r="IM222" s="4"/>
      <c r="IN222" s="4"/>
      <c r="IO222" s="5">
        <v>0</v>
      </c>
      <c r="IP222" s="5">
        <v>0</v>
      </c>
      <c r="IQ222" s="5"/>
      <c r="IR222" s="4"/>
      <c r="IS222" s="5">
        <v>0</v>
      </c>
      <c r="IT222" s="4"/>
      <c r="IU222" s="4"/>
      <c r="IV222" s="4"/>
      <c r="IW222" s="4"/>
      <c r="IX222" s="6"/>
      <c r="IY222" s="6"/>
      <c r="IZ222" s="6"/>
      <c r="JA222" s="9"/>
      <c r="JB222"/>
      <c r="JC222"/>
      <c r="JD222"/>
      <c r="JE222"/>
      <c r="JF222"/>
      <c r="JG222"/>
      <c r="JH222" s="4"/>
      <c r="JI222" s="4"/>
      <c r="JJ222" s="6"/>
      <c r="JK222" s="4"/>
      <c r="JL222" s="5">
        <v>0</v>
      </c>
      <c r="JM222" s="5"/>
      <c r="JN222" s="6"/>
      <c r="JO222" s="4"/>
      <c r="JP222" s="4"/>
      <c r="JQ222" s="5">
        <v>0</v>
      </c>
      <c r="JR222" s="5">
        <v>0</v>
      </c>
      <c r="JS222" s="5"/>
      <c r="JT222" s="4"/>
      <c r="JU222" s="5">
        <v>0</v>
      </c>
      <c r="JV222" s="4"/>
      <c r="JW222" s="4"/>
      <c r="JX222" s="4"/>
      <c r="JY222" s="4"/>
      <c r="JZ222" s="6"/>
      <c r="KA222" s="6"/>
      <c r="KB222" s="6"/>
      <c r="KC222" s="9"/>
      <c r="KD222"/>
      <c r="KE222"/>
      <c r="KF222"/>
      <c r="KG222"/>
      <c r="KH222"/>
      <c r="KI222"/>
      <c r="KJ222" s="4"/>
      <c r="KK222" s="4"/>
      <c r="KL222" s="6"/>
      <c r="KM222" s="4"/>
      <c r="KN222" s="5">
        <v>0</v>
      </c>
      <c r="KO222" s="5"/>
      <c r="KP222" s="6"/>
      <c r="KQ222" s="4"/>
      <c r="KR222" s="4"/>
      <c r="KS222" s="5">
        <v>0</v>
      </c>
      <c r="KT222" s="5">
        <v>0</v>
      </c>
      <c r="KU222" s="5"/>
      <c r="KV222" s="4"/>
      <c r="KW222" s="5">
        <v>0</v>
      </c>
      <c r="KX222" s="4"/>
      <c r="KY222" s="4"/>
      <c r="KZ222" s="4"/>
      <c r="LA222" s="4"/>
      <c r="LB222" s="6"/>
      <c r="LC222" s="6"/>
      <c r="LD222" s="6"/>
      <c r="LE222" s="9"/>
      <c r="LF222"/>
      <c r="LG222"/>
      <c r="LH222"/>
      <c r="LI222"/>
      <c r="LJ222"/>
      <c r="LK222"/>
      <c r="LL222" s="4"/>
      <c r="LM222" s="4"/>
      <c r="LN222" s="6"/>
      <c r="LO222" s="4"/>
      <c r="LP222" s="5">
        <v>0</v>
      </c>
      <c r="LQ222" s="5"/>
      <c r="LR222" s="6"/>
      <c r="LS222" s="4"/>
      <c r="LT222" s="4"/>
      <c r="LU222" s="5">
        <v>0</v>
      </c>
      <c r="LV222" s="5">
        <v>0</v>
      </c>
      <c r="LW222" s="5"/>
      <c r="LX222" s="4"/>
      <c r="LY222" s="5">
        <v>0</v>
      </c>
      <c r="LZ222" s="4"/>
      <c r="MA222" s="4"/>
      <c r="MB222" s="4"/>
      <c r="MC222" s="4"/>
      <c r="MD222" s="6"/>
      <c r="ME222" s="6"/>
      <c r="MF222" s="6"/>
      <c r="MG222" s="9"/>
      <c r="MH222"/>
    </row>
    <row r="223">
      <c r="A223" s="8">
        <v>25533</v>
      </c>
      <c r="B223" s="8">
        <v>25535</v>
      </c>
      <c r="C223" s="9">
        <f>B223-A223</f>
        <v>2</v>
      </c>
      <c r="D223" s="8">
        <v>25533</v>
      </c>
      <c r="E223" t="inlineStr">
        <is>
          <t xml:space="preserve">positive</t>
        </is>
      </c>
      <c r="F223" s="4">
        <v>2.010271781744971</v>
      </c>
      <c r="G223" s="6">
        <v>0.011475833976227652</v>
      </c>
      <c r="H223" s="7">
        <f>SUM(CP223,DR223,ET223,FV223,GX223,HZ223,JB223,KD223,LF223,MH223)</f>
        <v>0.011475833976227652</v>
      </c>
      <c r="I223" s="7">
        <f>G223-H223</f>
        <v>0</v>
      </c>
      <c r="J223" s="5">
        <f>F223*(1+H223)</f>
        <v>2.0333413269593716</v>
      </c>
      <c r="K223" s="4">
        <v>2.0333413269593716</v>
      </c>
      <c r="L223" s="5">
        <f>K223-J223</f>
        <v>0</v>
      </c>
      <c r="M223" s="4">
        <v>1.868</v>
      </c>
      <c r="N223" s="4">
        <v>1.887</v>
      </c>
      <c r="O223" s="5">
        <f>M223/$M$3</f>
        <v>0.9540347293156283</v>
      </c>
      <c r="P223" s="5">
        <f>N223/$M$3</f>
        <v>0.9637385086823289</v>
      </c>
      <c r="Q223" s="7">
        <f>IFERROR(N223/M223-1,0)</f>
        <v>0.010171306209850073</v>
      </c>
      <c r="R223" s="5">
        <f>SUM(IF(BQ223="lease",CB223,0),IF(CS223="lease",DD223,0),IF(DU223="lease",EF223,0),IF(EW223="lease",FH223,0),IF(FY223="lease",GJ223,0),IF(HA223="lease",HL223,0),IF(IC223="lease",IN223,0),IF(JE223="lease",JP223,0),IF(KG223="lease",KR223,0),IF(LI223="lease",LT223,0))</f>
        <v>2.010271781744971</v>
      </c>
      <c r="S223" s="5">
        <f>SUM(IF(BQ223="lease",CI223,0),IF(CS223="lease",DK223,0),IF(DU223="lease",EM223,0),IF(EW223="lease",FO223,0),IF(FY223="lease",GQ223,0),IF(HA223="lease",HS223,0),IF(IC223="lease",IU223,0),IF(JE223="lease",JW223,0),IF(KG223="lease",KY223,0),IF(LI223="lease",MA223,0))</f>
        <v>2.0333413269593716</v>
      </c>
      <c r="T223" s="5">
        <f>SUM(IF(BQ223="keep",CB223,0),IF(CS223="keep",DD223,0),IF(DU223="keep",EF223,0),IF(EW223="keep",FH223,0),IF(FY223="keep",GJ223,0),IF(HA223="keep",HL223,0),IF(IC223="keep",IN223,0),IF(JE223="keep",JP223,0),IF(KG223="keep",KR223,0),IF(LI223="keep",LT223,0))</f>
        <v>0</v>
      </c>
      <c r="U223" s="5">
        <f>SUM(IF(BQ223="keep",CI223,0),IF(CS223="keep",DK223,0),IF(DU223="keep",EM223,0),IF(EW223="keep",FO223,0),IF(FY223="keep",GQ223,0),IF(HA223="keep",HS223,0),IF(IC223="keep",IU223,0),IF(JE223="keep",JW223,0),IF(KG223="keep",KY223,0),IF(LI223="keep",MA223,0))</f>
        <v>0</v>
      </c>
      <c r="V223" s="5">
        <f>R223/O223</f>
        <v>2.1071264179104134</v>
      </c>
      <c r="W223" s="5">
        <f>S223/P223</f>
        <v>2.1098475454088232</v>
      </c>
      <c r="X223" s="5">
        <f>T223/O223</f>
        <v>0</v>
      </c>
      <c r="Y223" s="5">
        <f>U223/P223</f>
        <v>0</v>
      </c>
      <c r="Z223" s="5">
        <f>V223+X223</f>
        <v>2.1071264179104134</v>
      </c>
      <c r="AA223" s="7">
        <f>IFERROR(W223/V223-1,0)</f>
        <v>0.0012913926166366885</v>
      </c>
      <c r="AB223" s="7">
        <f>IFERROR((W223-V223)/Z223,0)</f>
        <v>0.001291392616636775</v>
      </c>
      <c r="AC223" s="7">
        <f>IFERROR(Y223/X223-1,0)</f>
        <v>0</v>
      </c>
      <c r="AD223" s="7">
        <f>IFERROR((Y223-X223)/Z223,0)</f>
        <v>0</v>
      </c>
      <c r="AE223" s="7">
        <f>AB223+AD223</f>
        <v>0.001291392616636775</v>
      </c>
      <c r="AF223" s="7">
        <f>(1+Q223)*(1+AE223)-1</f>
        <v>0.011475833976227756</v>
      </c>
      <c r="AG223" s="7">
        <f>G223-AF223</f>
        <v>-1.0408340855860843e-16</v>
      </c>
      <c r="AH223" s="5">
        <f>SUM(IF(BQ223="lease",CE223,0),IF(CS223="lease",DG223,0),IF(DU223="lease",EI223,0),IF(EW223="lease",FK223,0),IF(FY223="lease",GM223,0),IF(HA223="lease",HO223,0),IF(IC223="lease",IQ223,0),IF(JE223="lease",JS223,0),IF(KG223="lease",KU223,0),IF(LI223="lease",LW223,0))</f>
        <v>0.023069545214400636</v>
      </c>
      <c r="AI223" s="5">
        <f>SUM(IF(BQ223="keep",CE223,0),IF(CS223="keep",DG223,0),IF(DU223="keep",EI223,0),IF(EW223="keep",FK223,0),IF(FY223="keep",GM223,0),IF(HA223="keep",HO223,0),IF(IC223="keep",IQ223,0),IF(JE223="keep",JS223,0),IF(KG223="keep",KU223,0),IF(LI223="keep",LW223,0))</f>
        <v>0</v>
      </c>
      <c r="AJ223" s="5">
        <f>SUM(IF(BQ223="lease",CH223,0),IF(CS223="lease",DJ223,0),IF(DU223="lease",EL223,0),IF(EW223="lease",FN223,0),IF(FY223="lease",GP223,0),IF(HA223="lease",HR223,0),IF(IC223="lease",IT223,0),IF(JE223="lease",JV223,0),IF(KG223="lease",KX223,0),IF(LI223="lease",LZ223,0))</f>
        <v>0</v>
      </c>
      <c r="AK223" s="5">
        <f>SUM(IF(BQ223="keep",CH223,0),IF(CS223="keep",DJ223,0),IF(DU223="keep",EL223,0),IF(EW223="keep",FN223,0),IF(FY223="keep",GP223,0),IF(HA223="keep",HR223,0),IF(IC223="keep",IT223,0),IF(JE223="keep",JV223,0),IF(KG223="keep",KX223,0),IF(LI223="keep",LZ223,0))</f>
        <v>0</v>
      </c>
      <c r="AL223" s="5">
        <f>R223-S222</f>
        <v>4.440892098500626e-16</v>
      </c>
      <c r="AM223" s="5">
        <f>T223-U222</f>
        <v>0</v>
      </c>
      <c r="AN223" s="5">
        <f>AN222</f>
        <v>1</v>
      </c>
      <c r="AO223" s="5">
        <f>AO222+AH223</f>
        <v>1.033341326959372</v>
      </c>
      <c r="AP223" s="5">
        <f>AP222+AL223</f>
        <v>1.5543122344752192e-15</v>
      </c>
      <c r="AQ223" s="5">
        <f>AN223+AO223+AP223</f>
        <v>2.0333413269593734</v>
      </c>
      <c r="AR223" s="5">
        <f>S223-AQ223</f>
        <v>-1.7763568394002505e-15</v>
      </c>
      <c r="AS223" s="5">
        <f>AS222</f>
        <v>0</v>
      </c>
      <c r="AT223" s="5">
        <f>AT222+AI223</f>
        <v>0</v>
      </c>
      <c r="AU223" s="5">
        <f>AU222+AM223</f>
        <v>0</v>
      </c>
      <c r="AV223" s="5">
        <f>AS223+AT223+AU223</f>
        <v>0</v>
      </c>
      <c r="AW223" s="5">
        <f>U223-AV223</f>
        <v>0</v>
      </c>
      <c r="AX223" s="4">
        <v>2.010271781744971</v>
      </c>
      <c r="AY223" s="4">
        <v>2.0333413269593716</v>
      </c>
      <c r="AZ223" s="5">
        <f>S223-AY223</f>
        <v>0</v>
      </c>
      <c r="BA223" s="4">
        <v>0</v>
      </c>
      <c r="BB223" s="4">
        <v>0</v>
      </c>
      <c r="BC223" s="5">
        <f>U223-BB223</f>
        <v>0</v>
      </c>
      <c r="BD223" s="7">
        <f>SUM(IF(BP223="direct",CC223/F223,0),IF(CR223="direct",DE223/F223,0),IF(DT223="direct",EG223/F223,0),IF(EV223="direct",FI223/F223,0),IF(FX223="direct",GK223/F223,0),IF(GZ223="direct",HM223/F223,0),IF(IB223="direct",IO223/F223,0),IF(JD223="direct",JQ223/F223,0),IF(KF223="direct",KS223/F223,0),IF(LH223="direct",LU223/F223,0))</f>
        <v>0.008665265167667757</v>
      </c>
      <c r="BE223" s="7">
        <f>-SUM(IF(BP223="direct",CD223/F223,0),IF(CR223="direct",DF223/F223,0),IF(DT223="direct",EH223/F223,0),IF(EV223="direct",FJ223/F223,0),IF(FX223="direct",GL223/F223,0),IF(GZ223="direct",HN223/F223,0),IF(IB223="direct",IP223/F223,0),IF(JD223="direct",JR223/F223,0),IF(KF223="direct",KT223/F223,0),IF(LH223="direct",LV223/F223,0))</f>
        <v>-0.000011670306656959952</v>
      </c>
      <c r="BF223" s="7">
        <f>BD223+BE223</f>
        <v>0.008653594861010796</v>
      </c>
      <c r="BG223" s="7">
        <f>BF223-SUM(IF(BP223="direct",CP223,0),IF(CR223="direct",DR223,0),IF(DT223="direct",ET223,0),IF(EV223="direct",FV223,0),IF(FX223="direct",GX223,0),IF(GZ223="direct",HZ223,0),IF(IB223="direct",JB223,0),IF(JD223="direct",KD223,0),IF(KF223="direct",LF223,0),IF(LH223="direct",MH223,0))</f>
        <v>-1.734723475976807e-17</v>
      </c>
      <c r="BH223" s="7">
        <f>SUM(IF(BP223="treasury",CP223,0),IF(CR223="treasury",DR223,0),IF(DT223="treasury",ET223,0),IF(EV223="treasury",FV223,0),IF(FX223="treasury",GX223,0),IF(GZ223="treasury",HZ223,0),IF(IB223="treasury",JB223,0),IF(JD223="treasury",KD223,0),IF(KF223="treasury",LF223,0),IF(LH223="treasury",MH223,0))</f>
        <v>0.00006125536909679579</v>
      </c>
      <c r="BI223" s="7">
        <f>SUM(IF(BP223="future",CP223,0),IF(CR223="future",DR223,0),IF(DT223="future",ET223,0),IF(EV223="future",FV223,0),IF(FX223="future",GX223,0),IF(GZ223="future",HZ223,0),IF(IB223="future",JB223,0),IF(JD223="future",KD223,0),IF(KF223="future",LF223,0),IF(LH223="future",MH223,0))</f>
        <v>0.002760983746120043</v>
      </c>
      <c r="BJ223" s="7">
        <f>SUM(IF(BP223="cash",CP223,0),IF(CR223="cash",DR223,0),IF(DT223="cash",ET223,0),IF(EV223="cash",FV223,0),IF(FX223="cash",GX223,0),IF(GZ223="cash",HZ223,0),IF(IB223="cash",JB223,0),IF(JD223="cash",KD223,0),IF(KF223="cash",LF223,0),IF(LH223="cash",MH223,0))</f>
        <v>0</v>
      </c>
      <c r="BK223" s="7">
        <f>SUM(BF223,BH223,BI223,BJ223)</f>
        <v>0.011475833976227652</v>
      </c>
      <c r="BL223" s="7">
        <f>G223-BK223</f>
        <v>0</v>
      </c>
      <c r="BM223" s="5">
        <f>MAX(ABS(CG223),ABS(DI223),ABS(EK223),ABS(FM223),ABS(GO223),ABS(HQ223),ABS(IS223),ABS(JU223),ABS(KW223),ABS(LY223))</f>
        <v>3.261415660107958e-17</v>
      </c>
      <c r="BN223" s="9">
        <f>COUNTA(BO223,CQ223,DS223,EU223,FW223,GY223,IA223,JC223,KE223,LG223)</f>
        <v>5</v>
      </c>
      <c r="BO223" t="inlineStr">
        <is>
          <t xml:space="preserve">Direct commodity holding</t>
        </is>
      </c>
      <c r="BP223" t="inlineStr">
        <is>
          <t xml:space="preserve">direct</t>
        </is>
      </c>
      <c r="BQ223" t="inlineStr">
        <is>
          <t xml:space="preserve">lease</t>
        </is>
      </c>
      <c r="BR223" t="inlineStr">
        <is>
          <t xml:space="preserve">long</t>
        </is>
      </c>
      <c r="BS223"/>
      <c r="BT223" s="4">
        <v>1.868</v>
      </c>
      <c r="BU223" s="4">
        <v>1.887</v>
      </c>
      <c r="BV223" s="6">
        <v>0.0025</v>
      </c>
      <c r="BW223" s="4">
        <v>0.9168177919947464</v>
      </c>
      <c r="BX223" s="5">
        <f>IF(BP223="direct",IFERROR(CD223/BU223,0),0)</f>
        <v>0.000012432691127078473</v>
      </c>
      <c r="BY223" s="5">
        <f>IF(BP223="direct",BW223-BX223,IF(BP223="cash",CI223,BW223))</f>
        <v>0.9168053593036194</v>
      </c>
      <c r="BZ223" s="6">
        <v>0.8519323859580764</v>
      </c>
      <c r="CA223" s="4">
        <v>1.7126156354461866</v>
      </c>
      <c r="CB223" s="4">
        <v>1.7126156354461866</v>
      </c>
      <c r="CC223" s="5">
        <f>IF(BP223="direct",BW223*(BU223-BT223),CF223)</f>
        <v>0.017419538047900095</v>
      </c>
      <c r="CD223" s="5">
        <f>IF(BP223="direct",CB223*BV223*C223/365,0)</f>
        <v>0.000023460488156797078</v>
      </c>
      <c r="CE223" s="5">
        <f>CC223-CD223</f>
        <v>0.01739607755974333</v>
      </c>
      <c r="CF223" s="4">
        <v>0.01739607755974333</v>
      </c>
      <c r="CG223" s="5">
        <f>CF223-CE223</f>
        <v>3.261415660107958e-17</v>
      </c>
      <c r="CH223" s="4">
        <v>0</v>
      </c>
      <c r="CI223" s="4">
        <v>1.7300117130059298</v>
      </c>
      <c r="CJ223" s="4">
        <v>1.868</v>
      </c>
      <c r="CK223" s="4">
        <v>1.887</v>
      </c>
      <c r="CL223" s="6"/>
      <c r="CM223" s="6"/>
      <c r="CN223" s="6"/>
      <c r="CO223" s="9"/>
      <c r="CP223" s="7">
        <f>IFERROR(CE223/F223,0)</f>
        <v>0.008653594861010814</v>
      </c>
      <c r="CQ223" t="inlineStr">
        <is>
          <t xml:space="preserve">Treasury collateral</t>
        </is>
      </c>
      <c r="CR223" t="inlineStr">
        <is>
          <t xml:space="preserve">treasury</t>
        </is>
      </c>
      <c r="CS223" t="inlineStr">
        <is>
          <t xml:space="preserve">lease</t>
        </is>
      </c>
      <c r="CT223" t="inlineStr">
        <is>
          <t xml:space="preserve">long</t>
        </is>
      </c>
      <c r="CU223"/>
      <c r="CV223" s="4">
        <v>106.05776052393632</v>
      </c>
      <c r="CW223" s="4">
        <v>106.10163647418047</v>
      </c>
      <c r="CX223" s="6"/>
      <c r="CY223" s="4">
        <v>0.0028065475343655405</v>
      </c>
      <c r="CZ223" s="5">
        <f>IF(CR223="direct",IFERROR(DF223/CW223,0),0)</f>
        <v>0</v>
      </c>
      <c r="DA223" s="5">
        <f>IF(CR223="direct",CY223-CZ223,IF(CR223="cash",DK223,CY223))</f>
        <v>0.0028065475343655405</v>
      </c>
      <c r="DB223" s="6">
        <v>0.14806761404192362</v>
      </c>
      <c r="DC223" s="4">
        <v>0.29765614629878445</v>
      </c>
      <c r="DD223" s="4">
        <v>0.29765614629878445</v>
      </c>
      <c r="DE223" s="5">
        <f>IF(CR223="direct",CY223*(CW223-CV223),DH223)</f>
        <v>0.00012313993997564414</v>
      </c>
      <c r="DF223" s="5">
        <f>IF(CR223="direct",DD223*CX223*C223/365,0)</f>
        <v>0</v>
      </c>
      <c r="DG223" s="5">
        <f>DE223-DF223</f>
        <v>0.00012313993997566152</v>
      </c>
      <c r="DH223" s="4">
        <v>0.00012313993997566152</v>
      </c>
      <c r="DI223" s="5">
        <f>DH223-DG223</f>
        <v>1.737433981408021e-17</v>
      </c>
      <c r="DJ223" s="4">
        <v>-1.431146867680866e-17</v>
      </c>
      <c r="DK223" s="4">
        <v>0.2977792862387601</v>
      </c>
      <c r="DL223" s="4">
        <v>1.868</v>
      </c>
      <c r="DM223" s="4">
        <v>1.887</v>
      </c>
      <c r="DN223" s="6"/>
      <c r="DO223" s="6"/>
      <c r="DP223" s="6"/>
      <c r="DQ223" s="9">
        <v>33</v>
      </c>
      <c r="DR223" s="7">
        <f>IFERROR(DG223/F223,0)</f>
        <v>0.00006125536909679579</v>
      </c>
      <c r="DS223" t="inlineStr">
        <is>
          <t xml:space="preserve">SI69Z</t>
        </is>
      </c>
      <c r="DT223" t="inlineStr">
        <is>
          <t xml:space="preserve">future</t>
        </is>
      </c>
      <c r="DU223" t="inlineStr">
        <is>
          <t xml:space="preserve">lease</t>
        </is>
      </c>
      <c r="DV223" t="inlineStr">
        <is>
          <t xml:space="preserve">long</t>
        </is>
      </c>
      <c r="DW223" t="inlineStr">
        <is>
          <t xml:space="preserve">regular</t>
        </is>
      </c>
      <c r="DX223" s="4">
        <v>1.8769999999999998</v>
      </c>
      <c r="DY223" s="4">
        <v>1.912</v>
      </c>
      <c r="DZ223" s="6"/>
      <c r="EA223" s="4">
        <v>0.15858079184804713</v>
      </c>
      <c r="EB223" s="5">
        <f>IF(DT223="direct",IFERROR(EH223/DY223,0),0)</f>
        <v>0</v>
      </c>
      <c r="EC223" s="5">
        <f>IF(DT223="direct",EA223-EB223,IF(DT223="cash",EM223,EA223))</f>
        <v>0.15858079184804713</v>
      </c>
      <c r="ED223" s="6">
        <v>0.14806761404192362</v>
      </c>
      <c r="EE223" s="4">
        <v>0.29765614629878445</v>
      </c>
      <c r="EF223" s="4">
        <v>0</v>
      </c>
      <c r="EG223" s="5">
        <f>IF(DT223="direct",EA223*(DY223-DX223),EJ223)</f>
        <v>0.005550327714681644</v>
      </c>
      <c r="EH223" s="5">
        <f>IF(DT223="direct",EF223*DZ223*C223/365,0)</f>
        <v>0</v>
      </c>
      <c r="EI223" s="5">
        <f>EG223-EH223</f>
        <v>0.005550327714681644</v>
      </c>
      <c r="EJ223" s="4">
        <v>0.005550327714681644</v>
      </c>
      <c r="EK223" s="5">
        <f>EJ223-EI223</f>
        <v>0</v>
      </c>
      <c r="EL223" s="4">
        <v>-0.005550327714681644</v>
      </c>
      <c r="EM223" s="4">
        <v>0</v>
      </c>
      <c r="EN223" s="4">
        <v>1.868</v>
      </c>
      <c r="EO223" s="4">
        <v>1.887</v>
      </c>
      <c r="EP223" s="6">
        <v>0.004817987152034187</v>
      </c>
      <c r="EQ223" s="6">
        <v>0.0755</v>
      </c>
      <c r="ER223" s="6">
        <v>0.022210142106288543</v>
      </c>
      <c r="ES223" s="9">
        <v>33</v>
      </c>
      <c r="ET223" s="7">
        <f>IFERROR(EI223/F223,0)</f>
        <v>0.002760983746120043</v>
      </c>
      <c r="EU223" t="inlineStr">
        <is>
          <t xml:space="preserve">Lease cash / margin / financing</t>
        </is>
      </c>
      <c r="EV223" t="inlineStr">
        <is>
          <t xml:space="preserve">cash</t>
        </is>
      </c>
      <c r="EW223" t="inlineStr">
        <is>
          <t xml:space="preserve">lease</t>
        </is>
      </c>
      <c r="EX223" t="inlineStr">
        <is>
          <t xml:space="preserve">cash</t>
        </is>
      </c>
      <c r="EY223"/>
      <c r="EZ223" s="4">
        <v>1</v>
      </c>
      <c r="FA223" s="4">
        <v>1</v>
      </c>
      <c r="FB223" s="6"/>
      <c r="FC223" s="4">
        <v>0</v>
      </c>
      <c r="FD223" s="5">
        <f>IF(EV223="direct",IFERROR(FJ223/FA223,0),0)</f>
        <v>0</v>
      </c>
      <c r="FE223" s="5">
        <f>IF(EV223="direct",FC223-FD223,IF(EV223="cash",FO223,FC223))</f>
        <v>0.005550327714681658</v>
      </c>
      <c r="FF223" s="6"/>
      <c r="FG223" s="4">
        <v>0</v>
      </c>
      <c r="FH223" s="4">
        <v>0</v>
      </c>
      <c r="FI223" s="5">
        <f>IF(EV223="direct",FC223*(FA223-EZ223),FL223)</f>
        <v>0</v>
      </c>
      <c r="FJ223" s="5">
        <f>IF(EV223="direct",FH223*FB223*C223/365,0)</f>
        <v>0</v>
      </c>
      <c r="FK223" s="5">
        <f>FI223-FJ223</f>
        <v>0</v>
      </c>
      <c r="FL223" s="4">
        <v>0</v>
      </c>
      <c r="FM223" s="5">
        <f>FL223-FK223</f>
        <v>0</v>
      </c>
      <c r="FN223" s="4">
        <v>0.005550327714681658</v>
      </c>
      <c r="FO223" s="4">
        <v>0.005550327714681658</v>
      </c>
      <c r="FP223" s="4">
        <v>1.868</v>
      </c>
      <c r="FQ223" s="4">
        <v>1.887</v>
      </c>
      <c r="FR223" s="6"/>
      <c r="FS223" s="6"/>
      <c r="FT223" s="6"/>
      <c r="FU223" s="9"/>
      <c r="FV223" s="7">
        <f>IFERROR(FK223/F223,0)</f>
        <v>0</v>
      </c>
      <c r="FW223" t="inlineStr">
        <is>
          <t xml:space="preserve">Keep cash / margin / financing</t>
        </is>
      </c>
      <c r="FX223" t="inlineStr">
        <is>
          <t xml:space="preserve">cash</t>
        </is>
      </c>
      <c r="FY223" t="inlineStr">
        <is>
          <t xml:space="preserve">keep</t>
        </is>
      </c>
      <c r="FZ223" t="inlineStr">
        <is>
          <t xml:space="preserve">cash</t>
        </is>
      </c>
      <c r="GA223"/>
      <c r="GB223" s="4">
        <v>1</v>
      </c>
      <c r="GC223" s="4">
        <v>1</v>
      </c>
      <c r="GD223" s="6"/>
      <c r="GE223" s="4">
        <v>0</v>
      </c>
      <c r="GF223" s="5">
        <f>IF(FX223="direct",IFERROR(GL223/GC223,0),0)</f>
        <v>0</v>
      </c>
      <c r="GG223" s="5">
        <f>IF(FX223="direct",GE223-GF223,IF(FX223="cash",GQ223,GE223))</f>
        <v>0</v>
      </c>
      <c r="GH223" s="6"/>
      <c r="GI223" s="4">
        <v>0</v>
      </c>
      <c r="GJ223" s="4">
        <v>0</v>
      </c>
      <c r="GK223" s="5">
        <f>IF(FX223="direct",GE223*(GC223-GB223),GN223)</f>
        <v>0</v>
      </c>
      <c r="GL223" s="5">
        <f>IF(FX223="direct",GJ223*GD223*C223/365,0)</f>
        <v>0</v>
      </c>
      <c r="GM223" s="5">
        <f>GK223-GL223</f>
        <v>0</v>
      </c>
      <c r="GN223" s="4">
        <v>0</v>
      </c>
      <c r="GO223" s="5">
        <f>GN223-GM223</f>
        <v>0</v>
      </c>
      <c r="GP223" s="4">
        <v>0</v>
      </c>
      <c r="GQ223" s="4">
        <v>0</v>
      </c>
      <c r="GR223" s="4">
        <v>1.868</v>
      </c>
      <c r="GS223" s="4">
        <v>1.887</v>
      </c>
      <c r="GT223" s="6"/>
      <c r="GU223" s="6"/>
      <c r="GV223" s="6"/>
      <c r="GW223" s="9"/>
      <c r="GX223" s="7">
        <f>IFERROR(GM223/F223,0)</f>
        <v>0</v>
      </c>
      <c r="GY223"/>
      <c r="GZ223"/>
      <c r="HA223"/>
      <c r="HB223"/>
      <c r="HC223"/>
      <c r="HD223" s="4"/>
      <c r="HE223" s="4"/>
      <c r="HF223" s="6"/>
      <c r="HG223" s="4"/>
      <c r="HH223" s="5">
        <v>0</v>
      </c>
      <c r="HI223" s="5"/>
      <c r="HJ223" s="6"/>
      <c r="HK223" s="4"/>
      <c r="HL223" s="4"/>
      <c r="HM223" s="5">
        <v>0</v>
      </c>
      <c r="HN223" s="5">
        <v>0</v>
      </c>
      <c r="HO223" s="5"/>
      <c r="HP223" s="4"/>
      <c r="HQ223" s="5">
        <v>0</v>
      </c>
      <c r="HR223" s="4"/>
      <c r="HS223" s="4"/>
      <c r="HT223" s="4"/>
      <c r="HU223" s="4"/>
      <c r="HV223" s="6"/>
      <c r="HW223" s="6"/>
      <c r="HX223" s="6"/>
      <c r="HY223" s="9"/>
      <c r="HZ223"/>
      <c r="IA223"/>
      <c r="IB223"/>
      <c r="IC223"/>
      <c r="ID223"/>
      <c r="IE223"/>
      <c r="IF223" s="4"/>
      <c r="IG223" s="4"/>
      <c r="IH223" s="6"/>
      <c r="II223" s="4"/>
      <c r="IJ223" s="5">
        <v>0</v>
      </c>
      <c r="IK223" s="5"/>
      <c r="IL223" s="6"/>
      <c r="IM223" s="4"/>
      <c r="IN223" s="4"/>
      <c r="IO223" s="5">
        <v>0</v>
      </c>
      <c r="IP223" s="5">
        <v>0</v>
      </c>
      <c r="IQ223" s="5"/>
      <c r="IR223" s="4"/>
      <c r="IS223" s="5">
        <v>0</v>
      </c>
      <c r="IT223" s="4"/>
      <c r="IU223" s="4"/>
      <c r="IV223" s="4"/>
      <c r="IW223" s="4"/>
      <c r="IX223" s="6"/>
      <c r="IY223" s="6"/>
      <c r="IZ223" s="6"/>
      <c r="JA223" s="9"/>
      <c r="JB223"/>
      <c r="JC223"/>
      <c r="JD223"/>
      <c r="JE223"/>
      <c r="JF223"/>
      <c r="JG223"/>
      <c r="JH223" s="4"/>
      <c r="JI223" s="4"/>
      <c r="JJ223" s="6"/>
      <c r="JK223" s="4"/>
      <c r="JL223" s="5">
        <v>0</v>
      </c>
      <c r="JM223" s="5"/>
      <c r="JN223" s="6"/>
      <c r="JO223" s="4"/>
      <c r="JP223" s="4"/>
      <c r="JQ223" s="5">
        <v>0</v>
      </c>
      <c r="JR223" s="5">
        <v>0</v>
      </c>
      <c r="JS223" s="5"/>
      <c r="JT223" s="4"/>
      <c r="JU223" s="5">
        <v>0</v>
      </c>
      <c r="JV223" s="4"/>
      <c r="JW223" s="4"/>
      <c r="JX223" s="4"/>
      <c r="JY223" s="4"/>
      <c r="JZ223" s="6"/>
      <c r="KA223" s="6"/>
      <c r="KB223" s="6"/>
      <c r="KC223" s="9"/>
      <c r="KD223"/>
      <c r="KE223"/>
      <c r="KF223"/>
      <c r="KG223"/>
      <c r="KH223"/>
      <c r="KI223"/>
      <c r="KJ223" s="4"/>
      <c r="KK223" s="4"/>
      <c r="KL223" s="6"/>
      <c r="KM223" s="4"/>
      <c r="KN223" s="5">
        <v>0</v>
      </c>
      <c r="KO223" s="5"/>
      <c r="KP223" s="6"/>
      <c r="KQ223" s="4"/>
      <c r="KR223" s="4"/>
      <c r="KS223" s="5">
        <v>0</v>
      </c>
      <c r="KT223" s="5">
        <v>0</v>
      </c>
      <c r="KU223" s="5"/>
      <c r="KV223" s="4"/>
      <c r="KW223" s="5">
        <v>0</v>
      </c>
      <c r="KX223" s="4"/>
      <c r="KY223" s="4"/>
      <c r="KZ223" s="4"/>
      <c r="LA223" s="4"/>
      <c r="LB223" s="6"/>
      <c r="LC223" s="6"/>
      <c r="LD223" s="6"/>
      <c r="LE223" s="9"/>
      <c r="LF223"/>
      <c r="LG223"/>
      <c r="LH223"/>
      <c r="LI223"/>
      <c r="LJ223"/>
      <c r="LK223"/>
      <c r="LL223" s="4"/>
      <c r="LM223" s="4"/>
      <c r="LN223" s="6"/>
      <c r="LO223" s="4"/>
      <c r="LP223" s="5">
        <v>0</v>
      </c>
      <c r="LQ223" s="5"/>
      <c r="LR223" s="6"/>
      <c r="LS223" s="4"/>
      <c r="LT223" s="4"/>
      <c r="LU223" s="5">
        <v>0</v>
      </c>
      <c r="LV223" s="5">
        <v>0</v>
      </c>
      <c r="LW223" s="5"/>
      <c r="LX223" s="4"/>
      <c r="LY223" s="5">
        <v>0</v>
      </c>
      <c r="LZ223" s="4"/>
      <c r="MA223" s="4"/>
      <c r="MB223" s="4"/>
      <c r="MC223" s="4"/>
      <c r="MD223" s="6"/>
      <c r="ME223" s="6"/>
      <c r="MF223" s="6"/>
      <c r="MG223" s="9"/>
      <c r="MH223"/>
    </row>
    <row r="224">
      <c r="A224" s="8">
        <v>25535</v>
      </c>
      <c r="B224" s="8">
        <v>25538</v>
      </c>
      <c r="C224" s="9">
        <f>B224-A224</f>
        <v>3</v>
      </c>
      <c r="D224" s="8">
        <v>25535</v>
      </c>
      <c r="E224" t="inlineStr">
        <is>
          <t xml:space="preserve">neutral</t>
        </is>
      </c>
      <c r="F224" s="4">
        <v>2.0333413269593716</v>
      </c>
      <c r="G224" s="6">
        <v>0.010578286183040438</v>
      </c>
      <c r="H224" s="7">
        <f>SUM(CP224,DR224,ET224,FV224,GX224,HZ224,JB224,KD224,LF224,MH224)</f>
        <v>0.010578286183040436</v>
      </c>
      <c r="I224" s="7">
        <f>G224-H224</f>
        <v>1.734723475976807e-18</v>
      </c>
      <c r="J224" s="5">
        <f>F224*(1+H224)</f>
        <v>2.054850593423751</v>
      </c>
      <c r="K224" s="4">
        <v>2.054850593423751</v>
      </c>
      <c r="L224" s="5">
        <f>K224-J224</f>
        <v>0</v>
      </c>
      <c r="M224" s="4">
        <v>1.887</v>
      </c>
      <c r="N224" s="4">
        <v>1.907</v>
      </c>
      <c r="O224" s="5">
        <f>M224/$M$3</f>
        <v>0.9637385086823289</v>
      </c>
      <c r="P224" s="5">
        <f>N224/$M$3</f>
        <v>0.973953013278856</v>
      </c>
      <c r="Q224" s="7">
        <f>IFERROR(N224/M224-1,0)</f>
        <v>0.010598834128245915</v>
      </c>
      <c r="R224" s="5">
        <f>SUM(IF(BQ224="lease",CB224,0),IF(CS224="lease",DD224,0),IF(DU224="lease",EF224,0),IF(EW224="lease",FH224,0),IF(FY224="lease",GJ224,0),IF(HA224="lease",HL224,0),IF(IC224="lease",IN224,0),IF(JE224="lease",JP224,0),IF(KG224="lease",KR224,0),IF(LI224="lease",LT224,0))</f>
        <v>2.0333413269593716</v>
      </c>
      <c r="S224" s="5">
        <f>SUM(IF(BQ224="lease",CI224,0),IF(CS224="lease",DK224,0),IF(DU224="lease",EM224,0),IF(EW224="lease",FO224,0),IF(FY224="lease",GQ224,0),IF(HA224="lease",HS224,0),IF(IC224="lease",IU224,0),IF(JE224="lease",JW224,0),IF(KG224="lease",KY224,0),IF(LI224="lease",MA224,0))</f>
        <v>2.054850593423751</v>
      </c>
      <c r="T224" s="5">
        <f>SUM(IF(BQ224="keep",CB224,0),IF(CS224="keep",DD224,0),IF(DU224="keep",EF224,0),IF(EW224="keep",FH224,0),IF(FY224="keep",GJ224,0),IF(HA224="keep",HL224,0),IF(IC224="keep",IN224,0),IF(JE224="keep",JP224,0),IF(KG224="keep",KR224,0),IF(LI224="keep",LT224,0))</f>
        <v>0</v>
      </c>
      <c r="U224" s="5">
        <f>SUM(IF(BQ224="keep",CI224,0),IF(CS224="keep",DK224,0),IF(DU224="keep",EM224,0),IF(EW224="keep",FO224,0),IF(FY224="keep",GQ224,0),IF(HA224="keep",HS224,0),IF(IC224="keep",IU224,0),IF(JE224="keep",JW224,0),IF(KG224="keep",KY224,0),IF(LI224="keep",MA224,0))</f>
        <v>0</v>
      </c>
      <c r="V224" s="5">
        <f>R224/O224</f>
        <v>2.1098475454088232</v>
      </c>
      <c r="W224" s="5">
        <f>S224/P224</f>
        <v>2.1098046470496614</v>
      </c>
      <c r="X224" s="5">
        <f>T224/O224</f>
        <v>0</v>
      </c>
      <c r="Y224" s="5">
        <f>U224/P224</f>
        <v>0</v>
      </c>
      <c r="Z224" s="5">
        <f>V224+X224</f>
        <v>2.1098475454088232</v>
      </c>
      <c r="AA224" s="7">
        <f>IFERROR(W224/V224-1,0)</f>
        <v>-0.0000203324449935538</v>
      </c>
      <c r="AB224" s="7">
        <f>IFERROR((W224-V224)/Z224,0)</f>
        <v>-0.00002033244499356111</v>
      </c>
      <c r="AC224" s="7">
        <f>IFERROR(Y224/X224-1,0)</f>
        <v>0</v>
      </c>
      <c r="AD224" s="7">
        <f>IFERROR((Y224-X224)/Z224,0)</f>
        <v>0</v>
      </c>
      <c r="AE224" s="7">
        <f>AB224+AD224</f>
        <v>-0.00002033244499356111</v>
      </c>
      <c r="AF224" s="7">
        <f>(1+Q224)*(1+AE224)-1</f>
        <v>0.010578286183040353</v>
      </c>
      <c r="AG224" s="7">
        <f>G224-AF224</f>
        <v>8.500145032286355e-17</v>
      </c>
      <c r="AH224" s="5">
        <f>SUM(IF(BQ224="lease",CE224,0),IF(CS224="lease",DG224,0),IF(DU224="lease",EI224,0),IF(EW224="lease",FK224,0),IF(FY224="lease",GM224,0),IF(HA224="lease",HO224,0),IF(IC224="lease",IQ224,0),IF(JE224="lease",JS224,0),IF(KG224="lease",KU224,0),IF(LI224="lease",LW224,0))</f>
        <v>0.021509266464379426</v>
      </c>
      <c r="AI224" s="5">
        <f>SUM(IF(BQ224="keep",CE224,0),IF(CS224="keep",DG224,0),IF(DU224="keep",EI224,0),IF(EW224="keep",FK224,0),IF(FY224="keep",GM224,0),IF(HA224="keep",HO224,0),IF(IC224="keep",IQ224,0),IF(JE224="keep",JS224,0),IF(KG224="keep",KU224,0),IF(LI224="keep",LW224,0))</f>
        <v>0</v>
      </c>
      <c r="AJ224" s="5">
        <f>SUM(IF(BQ224="lease",CH224,0),IF(CS224="lease",DJ224,0),IF(DU224="lease",EL224,0),IF(EW224="lease",FN224,0),IF(FY224="lease",GP224,0),IF(HA224="lease",HR224,0),IF(IC224="lease",IT224,0),IF(JE224="lease",JV224,0),IF(KG224="lease",KX224,0),IF(LI224="lease",LZ224,0))</f>
        <v>0</v>
      </c>
      <c r="AK224" s="5">
        <f>SUM(IF(BQ224="keep",CH224,0),IF(CS224="keep",DJ224,0),IF(DU224="keep",EL224,0),IF(EW224="keep",FN224,0),IF(FY224="keep",GP224,0),IF(HA224="keep",HR224,0),IF(IC224="keep",IT224,0),IF(JE224="keep",JV224,0),IF(KG224="keep",KX224,0),IF(LI224="keep",LZ224,0))</f>
        <v>0</v>
      </c>
      <c r="AL224" s="5">
        <f>R224-S223</f>
        <v>0</v>
      </c>
      <c r="AM224" s="5">
        <f>T224-U223</f>
        <v>0</v>
      </c>
      <c r="AN224" s="5">
        <f>AN223</f>
        <v>1</v>
      </c>
      <c r="AO224" s="5">
        <f>AO223+AH224</f>
        <v>1.0548505934237515</v>
      </c>
      <c r="AP224" s="5">
        <f>AP223+AL224</f>
        <v>1.5543122344752192e-15</v>
      </c>
      <c r="AQ224" s="5">
        <f>AN224+AO224+AP224</f>
        <v>2.054850593423753</v>
      </c>
      <c r="AR224" s="5">
        <f>S224-AQ224</f>
        <v>-1.7763568394002505e-15</v>
      </c>
      <c r="AS224" s="5">
        <f>AS223</f>
        <v>0</v>
      </c>
      <c r="AT224" s="5">
        <f>AT223+AI224</f>
        <v>0</v>
      </c>
      <c r="AU224" s="5">
        <f>AU223+AM224</f>
        <v>0</v>
      </c>
      <c r="AV224" s="5">
        <f>AS224+AT224+AU224</f>
        <v>0</v>
      </c>
      <c r="AW224" s="5">
        <f>U224-AV224</f>
        <v>0</v>
      </c>
      <c r="AX224" s="4">
        <v>2.0333413269593716</v>
      </c>
      <c r="AY224" s="4">
        <v>2.054850593423751</v>
      </c>
      <c r="AZ224" s="5">
        <f>S224-AY224</f>
        <v>0</v>
      </c>
      <c r="BA224" s="4">
        <v>0</v>
      </c>
      <c r="BB224" s="4">
        <v>0</v>
      </c>
      <c r="BC224" s="5">
        <f>U224-BB224</f>
        <v>0</v>
      </c>
      <c r="BD224" s="7">
        <f>SUM(IF(BP224="direct",CC224/F224,0),IF(CR224="direct",DE224/F224,0),IF(DT224="direct",EG224/F224,0),IF(EV224="direct",FI224/F224,0),IF(FX224="direct",GK224/F224,0),IF(GZ224="direct",HM224/F224,0),IF(IB224="direct",IO224/F224,0),IF(JD224="direct",JQ224/F224,0),IF(KF224="direct",KS224/F224,0),IF(LH224="direct",LU224/F224,0))</f>
        <v>0.010598834128245903</v>
      </c>
      <c r="BE224" s="7">
        <f>-SUM(IF(BP224="direct",CD224/F224,0),IF(CR224="direct",DF224/F224,0),IF(DT224="direct",EH224/F224,0),IF(EV224="direct",FJ224/F224,0),IF(FX224="direct",GL224/F224,0),IF(GZ224="direct",HN224/F224,0),IF(IB224="direct",IP224/F224,0),IF(JD224="direct",JR224/F224,0),IF(KF224="direct",KT224/F224,0),IF(LH224="direct",LV224/F224,0))</f>
        <v>-0.000020547945205479453</v>
      </c>
      <c r="BF224" s="7">
        <f>BD224+BE224</f>
        <v>0.010578286183040424</v>
      </c>
      <c r="BG224" s="7">
        <f>BF224-SUM(IF(BP224="direct",CP224,0),IF(CR224="direct",DR224,0),IF(DT224="direct",ET224,0),IF(EV224="direct",FV224,0),IF(FX224="direct",GX224,0),IF(GZ224="direct",HZ224,0),IF(IB224="direct",JB224,0),IF(JD224="direct",KD224,0),IF(KF224="direct",LF224,0),IF(LH224="direct",MH224,0))</f>
        <v>-1.214306433183765e-17</v>
      </c>
      <c r="BH224" s="7">
        <f>SUM(IF(BP224="treasury",CP224,0),IF(CR224="treasury",DR224,0),IF(DT224="treasury",ET224,0),IF(EV224="treasury",FV224,0),IF(FX224="treasury",GX224,0),IF(GZ224="treasury",HZ224,0),IF(IB224="treasury",JB224,0),IF(JD224="treasury",KD224,0),IF(KF224="treasury",LF224,0),IF(LH224="treasury",MH224,0))</f>
        <v>0</v>
      </c>
      <c r="BI224" s="7">
        <f>SUM(IF(BP224="future",CP224,0),IF(CR224="future",DR224,0),IF(DT224="future",ET224,0),IF(EV224="future",FV224,0),IF(FX224="future",GX224,0),IF(GZ224="future",HZ224,0),IF(IB224="future",JB224,0),IF(JD224="future",KD224,0),IF(KF224="future",LF224,0),IF(LH224="future",MH224,0))</f>
        <v>0</v>
      </c>
      <c r="BJ224" s="7">
        <f>SUM(IF(BP224="cash",CP224,0),IF(CR224="cash",DR224,0),IF(DT224="cash",ET224,0),IF(EV224="cash",FV224,0),IF(FX224="cash",GX224,0),IF(GZ224="cash",HZ224,0),IF(IB224="cash",JB224,0),IF(JD224="cash",KD224,0),IF(KF224="cash",LF224,0),IF(LH224="cash",MH224,0))</f>
        <v>0</v>
      </c>
      <c r="BK224" s="7">
        <f>SUM(BF224,BH224,BI224,BJ224)</f>
        <v>0.010578286183040436</v>
      </c>
      <c r="BL224" s="7">
        <f>G224-BK224</f>
        <v>1.734723475976807e-18</v>
      </c>
      <c r="BM224" s="5">
        <f>MAX(ABS(CG224),ABS(DI224),ABS(EK224),ABS(FM224),ABS(GO224),ABS(HQ224),ABS(IS224),ABS(JU224),ABS(KW224),ABS(LY224))</f>
        <v>2.5309344463958494e-17</v>
      </c>
      <c r="BN224" s="9">
        <f>COUNTA(BO224,CQ224,DS224,EU224,FW224,GY224,IA224,JC224,KE224,LG224)</f>
        <v>3</v>
      </c>
      <c r="BO224" t="inlineStr">
        <is>
          <t xml:space="preserve">Direct commodity holding</t>
        </is>
      </c>
      <c r="BP224" t="inlineStr">
        <is>
          <t xml:space="preserve">direct</t>
        </is>
      </c>
      <c r="BQ224" t="inlineStr">
        <is>
          <t xml:space="preserve">lease</t>
        </is>
      </c>
      <c r="BR224" t="inlineStr">
        <is>
          <t xml:space="preserve">long</t>
        </is>
      </c>
      <c r="BS224"/>
      <c r="BT224" s="4">
        <v>1.887</v>
      </c>
      <c r="BU224" s="4">
        <v>1.907</v>
      </c>
      <c r="BV224" s="6">
        <v>0.0025</v>
      </c>
      <c r="BW224" s="4">
        <v>1.077552372527489</v>
      </c>
      <c r="BX224" s="5">
        <f>IF(BP224="direct",IFERROR(CD224/BU224,0),0)</f>
        <v>0.000021909274342106998</v>
      </c>
      <c r="BY224" s="5">
        <f>IF(BP224="direct",BW224-BX224,IF(BP224="cash",CI224,BW224))</f>
        <v>1.0775304632531468</v>
      </c>
      <c r="BZ224" s="6">
        <v>1</v>
      </c>
      <c r="CA224" s="4">
        <v>2.0333413269593716</v>
      </c>
      <c r="CB224" s="4">
        <v>2.0333413269593716</v>
      </c>
      <c r="CC224" s="5">
        <f>IF(BP224="direct",BW224*(BU224-BT224),CF224)</f>
        <v>0.0215510474505498</v>
      </c>
      <c r="CD224" s="5">
        <f>IF(BP224="direct",CB224*BV224*C224/365,0)</f>
        <v>0.000041780986170398045</v>
      </c>
      <c r="CE224" s="5">
        <f>CC224-CD224</f>
        <v>0.021509266464379426</v>
      </c>
      <c r="CF224" s="4">
        <v>0.021509266464379426</v>
      </c>
      <c r="CG224" s="5">
        <f>CF224-CE224</f>
        <v>2.5309344463958494e-17</v>
      </c>
      <c r="CH224" s="4">
        <v>0</v>
      </c>
      <c r="CI224" s="4">
        <v>2.054850593423751</v>
      </c>
      <c r="CJ224" s="4">
        <v>1.887</v>
      </c>
      <c r="CK224" s="4">
        <v>1.907</v>
      </c>
      <c r="CL224" s="6"/>
      <c r="CM224" s="6"/>
      <c r="CN224" s="6"/>
      <c r="CO224" s="9"/>
      <c r="CP224" s="7">
        <f>IFERROR(CE224/F224,0)</f>
        <v>0.010578286183040436</v>
      </c>
      <c r="CQ224" t="inlineStr">
        <is>
          <t xml:space="preserve">Lease cash / margin / financing</t>
        </is>
      </c>
      <c r="CR224" t="inlineStr">
        <is>
          <t xml:space="preserve">cash</t>
        </is>
      </c>
      <c r="CS224" t="inlineStr">
        <is>
          <t xml:space="preserve">lease</t>
        </is>
      </c>
      <c r="CT224" t="inlineStr">
        <is>
          <t xml:space="preserve">cash</t>
        </is>
      </c>
      <c r="CU224"/>
      <c r="CV224" s="4">
        <v>1</v>
      </c>
      <c r="CW224" s="4">
        <v>1</v>
      </c>
      <c r="CX224" s="6"/>
      <c r="CY224" s="4">
        <v>0</v>
      </c>
      <c r="CZ224" s="5">
        <f>IF(CR224="direct",IFERROR(DF224/CW224,0),0)</f>
        <v>0</v>
      </c>
      <c r="DA224" s="5">
        <f>IF(CR224="direct",CY224-CZ224,IF(CR224="cash",DK224,CY224))</f>
        <v>0</v>
      </c>
      <c r="DB224" s="6"/>
      <c r="DC224" s="4">
        <v>0</v>
      </c>
      <c r="DD224" s="4">
        <v>0</v>
      </c>
      <c r="DE224" s="5">
        <f>IF(CR224="direct",CY224*(CW224-CV224),DH224)</f>
        <v>0</v>
      </c>
      <c r="DF224" s="5">
        <f>IF(CR224="direct",DD224*CX224*C224/365,0)</f>
        <v>0</v>
      </c>
      <c r="DG224" s="5">
        <f>DE224-DF224</f>
        <v>0</v>
      </c>
      <c r="DH224" s="4">
        <v>0</v>
      </c>
      <c r="DI224" s="5">
        <f>DH224-DG224</f>
        <v>0</v>
      </c>
      <c r="DJ224" s="4">
        <v>0</v>
      </c>
      <c r="DK224" s="4">
        <v>0</v>
      </c>
      <c r="DL224" s="4">
        <v>1.887</v>
      </c>
      <c r="DM224" s="4">
        <v>1.907</v>
      </c>
      <c r="DN224" s="6"/>
      <c r="DO224" s="6"/>
      <c r="DP224" s="6"/>
      <c r="DQ224" s="9"/>
      <c r="DR224" s="7">
        <f>IFERROR(DG224/F224,0)</f>
        <v>0</v>
      </c>
      <c r="DS224" t="inlineStr">
        <is>
          <t xml:space="preserve">Keep cash / margin / financing</t>
        </is>
      </c>
      <c r="DT224" t="inlineStr">
        <is>
          <t xml:space="preserve">cash</t>
        </is>
      </c>
      <c r="DU224" t="inlineStr">
        <is>
          <t xml:space="preserve">keep</t>
        </is>
      </c>
      <c r="DV224" t="inlineStr">
        <is>
          <t xml:space="preserve">cash</t>
        </is>
      </c>
      <c r="DW224"/>
      <c r="DX224" s="4">
        <v>1</v>
      </c>
      <c r="DY224" s="4">
        <v>1</v>
      </c>
      <c r="DZ224" s="6"/>
      <c r="EA224" s="4">
        <v>0</v>
      </c>
      <c r="EB224" s="5">
        <f>IF(DT224="direct",IFERROR(EH224/DY224,0),0)</f>
        <v>0</v>
      </c>
      <c r="EC224" s="5">
        <f>IF(DT224="direct",EA224-EB224,IF(DT224="cash",EM224,EA224))</f>
        <v>0</v>
      </c>
      <c r="ED224" s="6"/>
      <c r="EE224" s="4">
        <v>0</v>
      </c>
      <c r="EF224" s="4">
        <v>0</v>
      </c>
      <c r="EG224" s="5">
        <f>IF(DT224="direct",EA224*(DY224-DX224),EJ224)</f>
        <v>0</v>
      </c>
      <c r="EH224" s="5">
        <f>IF(DT224="direct",EF224*DZ224*C224/365,0)</f>
        <v>0</v>
      </c>
      <c r="EI224" s="5">
        <f>EG224-EH224</f>
        <v>0</v>
      </c>
      <c r="EJ224" s="4">
        <v>0</v>
      </c>
      <c r="EK224" s="5">
        <f>EJ224-EI224</f>
        <v>0</v>
      </c>
      <c r="EL224" s="4">
        <v>0</v>
      </c>
      <c r="EM224" s="4">
        <v>0</v>
      </c>
      <c r="EN224" s="4">
        <v>1.887</v>
      </c>
      <c r="EO224" s="4">
        <v>1.907</v>
      </c>
      <c r="EP224" s="6"/>
      <c r="EQ224" s="6"/>
      <c r="ER224" s="6"/>
      <c r="ES224" s="9"/>
      <c r="ET224" s="7">
        <f>IFERROR(EI224/F224,0)</f>
        <v>0</v>
      </c>
      <c r="EU224"/>
      <c r="EV224"/>
      <c r="EW224"/>
      <c r="EX224"/>
      <c r="EY224"/>
      <c r="EZ224" s="4"/>
      <c r="FA224" s="4"/>
      <c r="FB224" s="6"/>
      <c r="FC224" s="4"/>
      <c r="FD224" s="5">
        <v>0</v>
      </c>
      <c r="FE224" s="5"/>
      <c r="FF224" s="6"/>
      <c r="FG224" s="4"/>
      <c r="FH224" s="4"/>
      <c r="FI224" s="5">
        <v>0</v>
      </c>
      <c r="FJ224" s="5">
        <v>0</v>
      </c>
      <c r="FK224" s="5"/>
      <c r="FL224" s="4"/>
      <c r="FM224" s="5">
        <v>0</v>
      </c>
      <c r="FN224" s="4"/>
      <c r="FO224" s="4"/>
      <c r="FP224" s="4"/>
      <c r="FQ224" s="4"/>
      <c r="FR224" s="6"/>
      <c r="FS224" s="6"/>
      <c r="FT224" s="6"/>
      <c r="FU224" s="9"/>
      <c r="FV224"/>
      <c r="FW224"/>
      <c r="FX224"/>
      <c r="FY224"/>
      <c r="FZ224"/>
      <c r="GA224"/>
      <c r="GB224" s="4"/>
      <c r="GC224" s="4"/>
      <c r="GD224" s="6"/>
      <c r="GE224" s="4"/>
      <c r="GF224" s="5">
        <v>0</v>
      </c>
      <c r="GG224" s="5"/>
      <c r="GH224" s="6"/>
      <c r="GI224" s="4"/>
      <c r="GJ224" s="4"/>
      <c r="GK224" s="5">
        <v>0</v>
      </c>
      <c r="GL224" s="5">
        <v>0</v>
      </c>
      <c r="GM224" s="5"/>
      <c r="GN224" s="4"/>
      <c r="GO224" s="5">
        <v>0</v>
      </c>
      <c r="GP224" s="4"/>
      <c r="GQ224" s="4"/>
      <c r="GR224" s="4"/>
      <c r="GS224" s="4"/>
      <c r="GT224" s="6"/>
      <c r="GU224" s="6"/>
      <c r="GV224" s="6"/>
      <c r="GW224" s="9"/>
      <c r="GX224"/>
      <c r="GY224"/>
      <c r="GZ224"/>
      <c r="HA224"/>
      <c r="HB224"/>
      <c r="HC224"/>
      <c r="HD224" s="4"/>
      <c r="HE224" s="4"/>
      <c r="HF224" s="6"/>
      <c r="HG224" s="4"/>
      <c r="HH224" s="5">
        <v>0</v>
      </c>
      <c r="HI224" s="5"/>
      <c r="HJ224" s="6"/>
      <c r="HK224" s="4"/>
      <c r="HL224" s="4"/>
      <c r="HM224" s="5">
        <v>0</v>
      </c>
      <c r="HN224" s="5">
        <v>0</v>
      </c>
      <c r="HO224" s="5"/>
      <c r="HP224" s="4"/>
      <c r="HQ224" s="5">
        <v>0</v>
      </c>
      <c r="HR224" s="4"/>
      <c r="HS224" s="4"/>
      <c r="HT224" s="4"/>
      <c r="HU224" s="4"/>
      <c r="HV224" s="6"/>
      <c r="HW224" s="6"/>
      <c r="HX224" s="6"/>
      <c r="HY224" s="9"/>
      <c r="HZ224"/>
      <c r="IA224"/>
      <c r="IB224"/>
      <c r="IC224"/>
      <c r="ID224"/>
      <c r="IE224"/>
      <c r="IF224" s="4"/>
      <c r="IG224" s="4"/>
      <c r="IH224" s="6"/>
      <c r="II224" s="4"/>
      <c r="IJ224" s="5">
        <v>0</v>
      </c>
      <c r="IK224" s="5"/>
      <c r="IL224" s="6"/>
      <c r="IM224" s="4"/>
      <c r="IN224" s="4"/>
      <c r="IO224" s="5">
        <v>0</v>
      </c>
      <c r="IP224" s="5">
        <v>0</v>
      </c>
      <c r="IQ224" s="5"/>
      <c r="IR224" s="4"/>
      <c r="IS224" s="5">
        <v>0</v>
      </c>
      <c r="IT224" s="4"/>
      <c r="IU224" s="4"/>
      <c r="IV224" s="4"/>
      <c r="IW224" s="4"/>
      <c r="IX224" s="6"/>
      <c r="IY224" s="6"/>
      <c r="IZ224" s="6"/>
      <c r="JA224" s="9"/>
      <c r="JB224"/>
      <c r="JC224"/>
      <c r="JD224"/>
      <c r="JE224"/>
      <c r="JF224"/>
      <c r="JG224"/>
      <c r="JH224" s="4"/>
      <c r="JI224" s="4"/>
      <c r="JJ224" s="6"/>
      <c r="JK224" s="4"/>
      <c r="JL224" s="5">
        <v>0</v>
      </c>
      <c r="JM224" s="5"/>
      <c r="JN224" s="6"/>
      <c r="JO224" s="4"/>
      <c r="JP224" s="4"/>
      <c r="JQ224" s="5">
        <v>0</v>
      </c>
      <c r="JR224" s="5">
        <v>0</v>
      </c>
      <c r="JS224" s="5"/>
      <c r="JT224" s="4"/>
      <c r="JU224" s="5">
        <v>0</v>
      </c>
      <c r="JV224" s="4"/>
      <c r="JW224" s="4"/>
      <c r="JX224" s="4"/>
      <c r="JY224" s="4"/>
      <c r="JZ224" s="6"/>
      <c r="KA224" s="6"/>
      <c r="KB224" s="6"/>
      <c r="KC224" s="9"/>
      <c r="KD224"/>
      <c r="KE224"/>
      <c r="KF224"/>
      <c r="KG224"/>
      <c r="KH224"/>
      <c r="KI224"/>
      <c r="KJ224" s="4"/>
      <c r="KK224" s="4"/>
      <c r="KL224" s="6"/>
      <c r="KM224" s="4"/>
      <c r="KN224" s="5">
        <v>0</v>
      </c>
      <c r="KO224" s="5"/>
      <c r="KP224" s="6"/>
      <c r="KQ224" s="4"/>
      <c r="KR224" s="4"/>
      <c r="KS224" s="5">
        <v>0</v>
      </c>
      <c r="KT224" s="5">
        <v>0</v>
      </c>
      <c r="KU224" s="5"/>
      <c r="KV224" s="4"/>
      <c r="KW224" s="5">
        <v>0</v>
      </c>
      <c r="KX224" s="4"/>
      <c r="KY224" s="4"/>
      <c r="KZ224" s="4"/>
      <c r="LA224" s="4"/>
      <c r="LB224" s="6"/>
      <c r="LC224" s="6"/>
      <c r="LD224" s="6"/>
      <c r="LE224" s="9"/>
      <c r="LF224"/>
      <c r="LG224"/>
      <c r="LH224"/>
      <c r="LI224"/>
      <c r="LJ224"/>
      <c r="LK224"/>
      <c r="LL224" s="4"/>
      <c r="LM224" s="4"/>
      <c r="LN224" s="6"/>
      <c r="LO224" s="4"/>
      <c r="LP224" s="5">
        <v>0</v>
      </c>
      <c r="LQ224" s="5"/>
      <c r="LR224" s="6"/>
      <c r="LS224" s="4"/>
      <c r="LT224" s="4"/>
      <c r="LU224" s="5">
        <v>0</v>
      </c>
      <c r="LV224" s="5">
        <v>0</v>
      </c>
      <c r="LW224" s="5"/>
      <c r="LX224" s="4"/>
      <c r="LY224" s="5">
        <v>0</v>
      </c>
      <c r="LZ224" s="4"/>
      <c r="MA224" s="4"/>
      <c r="MB224" s="4"/>
      <c r="MC224" s="4"/>
      <c r="MD224" s="6"/>
      <c r="ME224" s="6"/>
      <c r="MF224" s="6"/>
      <c r="MG224" s="9"/>
      <c r="MH224"/>
    </row>
    <row r="225">
      <c r="A225" s="8">
        <v>25538</v>
      </c>
      <c r="B225" s="8">
        <v>25539</v>
      </c>
      <c r="C225" s="9">
        <f>B225-A225</f>
        <v>1</v>
      </c>
      <c r="D225" s="8">
        <v>25538</v>
      </c>
      <c r="E225" t="inlineStr">
        <is>
          <t xml:space="preserve">neutral</t>
        </is>
      </c>
      <c r="F225" s="4">
        <v>2.054850593423751</v>
      </c>
      <c r="G225" s="6">
        <v>0.0078589084195932</v>
      </c>
      <c r="H225" s="7">
        <f>SUM(CP225,DR225,ET225,FV225,GX225,HZ225,JB225,KD225,LF225,MH225)</f>
        <v>0.0078589084195932</v>
      </c>
      <c r="I225" s="7">
        <f>G225-H225</f>
        <v>0</v>
      </c>
      <c r="J225" s="5">
        <f>F225*(1+H225)</f>
        <v>2.0709994760534154</v>
      </c>
      <c r="K225" s="4">
        <v>2.0709994760534154</v>
      </c>
      <c r="L225" s="5">
        <f>K225-J225</f>
        <v>0</v>
      </c>
      <c r="M225" s="4">
        <v>1.907</v>
      </c>
      <c r="N225" s="4">
        <v>1.922</v>
      </c>
      <c r="O225" s="5">
        <f>M225/$M$3</f>
        <v>0.973953013278856</v>
      </c>
      <c r="P225" s="5">
        <f>N225/$M$3</f>
        <v>0.9816138917262512</v>
      </c>
      <c r="Q225" s="7">
        <f>IFERROR(N225/M225-1,0)</f>
        <v>0.007865757734661694</v>
      </c>
      <c r="R225" s="5">
        <f>SUM(IF(BQ225="lease",CB225,0),IF(CS225="lease",DD225,0),IF(DU225="lease",EF225,0),IF(EW225="lease",FH225,0),IF(FY225="lease",GJ225,0),IF(HA225="lease",HL225,0),IF(IC225="lease",IN225,0),IF(JE225="lease",JP225,0),IF(KG225="lease",KR225,0),IF(LI225="lease",LT225,0))</f>
        <v>2.054850593423751</v>
      </c>
      <c r="S225" s="5">
        <f>SUM(IF(BQ225="lease",CI225,0),IF(CS225="lease",DK225,0),IF(DU225="lease",EM225,0),IF(EW225="lease",FO225,0),IF(FY225="lease",GQ225,0),IF(HA225="lease",HS225,0),IF(IC225="lease",IU225,0),IF(JE225="lease",JW225,0),IF(KG225="lease",KY225,0),IF(LI225="lease",MA225,0))</f>
        <v>2.0709994760534154</v>
      </c>
      <c r="T225" s="5">
        <f>SUM(IF(BQ225="keep",CB225,0),IF(CS225="keep",DD225,0),IF(DU225="keep",EF225,0),IF(EW225="keep",FH225,0),IF(FY225="keep",GJ225,0),IF(HA225="keep",HL225,0),IF(IC225="keep",IN225,0),IF(JE225="keep",JP225,0),IF(KG225="keep",KR225,0),IF(LI225="keep",LT225,0))</f>
        <v>0</v>
      </c>
      <c r="U225" s="5">
        <f>SUM(IF(BQ225="keep",CI225,0),IF(CS225="keep",DK225,0),IF(DU225="keep",EM225,0),IF(EW225="keep",FO225,0),IF(FY225="keep",GQ225,0),IF(HA225="keep",HS225,0),IF(IC225="keep",IU225,0),IF(JE225="keep",JW225,0),IF(KG225="keep",KY225,0),IF(LI225="keep",MA225,0))</f>
        <v>0</v>
      </c>
      <c r="V225" s="5">
        <f>R225/O225</f>
        <v>2.1098046470496614</v>
      </c>
      <c r="W225" s="5">
        <f>S225/P225</f>
        <v>2.109790309111648</v>
      </c>
      <c r="X225" s="5">
        <f>T225/O225</f>
        <v>0</v>
      </c>
      <c r="Y225" s="5">
        <f>U225/P225</f>
        <v>0</v>
      </c>
      <c r="Z225" s="5">
        <f>V225+X225</f>
        <v>2.1098046470496614</v>
      </c>
      <c r="AA225" s="7">
        <f>IFERROR(W225/V225-1,0)</f>
        <v>-0.000006795860476138671</v>
      </c>
      <c r="AB225" s="7">
        <f>IFERROR((W225-V225)/Z225,0)</f>
        <v>-0.000006795860476162644</v>
      </c>
      <c r="AC225" s="7">
        <f>IFERROR(Y225/X225-1,0)</f>
        <v>0</v>
      </c>
      <c r="AD225" s="7">
        <f>IFERROR((Y225-X225)/Z225,0)</f>
        <v>0</v>
      </c>
      <c r="AE225" s="7">
        <f>AB225+AD225</f>
        <v>-0.000006795860476162644</v>
      </c>
      <c r="AF225" s="7">
        <f>(1+Q225)*(1+AE225)-1</f>
        <v>0.007858908419593469</v>
      </c>
      <c r="AG225" s="7">
        <f>G225-AF225</f>
        <v>-2.688821387764051e-16</v>
      </c>
      <c r="AH225" s="5">
        <f>SUM(IF(BQ225="lease",CE225,0),IF(CS225="lease",DG225,0),IF(DU225="lease",EI225,0),IF(EW225="lease",FK225,0),IF(FY225="lease",GM225,0),IF(HA225="lease",HO225,0),IF(IC225="lease",IQ225,0),IF(JE225="lease",JS225,0),IF(KG225="lease",KU225,0),IF(LI225="lease",LW225,0))</f>
        <v>0.016148882629664</v>
      </c>
      <c r="AI225" s="5">
        <f>SUM(IF(BQ225="keep",CE225,0),IF(CS225="keep",DG225,0),IF(DU225="keep",EI225,0),IF(EW225="keep",FK225,0),IF(FY225="keep",GM225,0),IF(HA225="keep",HO225,0),IF(IC225="keep",IQ225,0),IF(JE225="keep",JS225,0),IF(KG225="keep",KU225,0),IF(LI225="keep",LW225,0))</f>
        <v>0</v>
      </c>
      <c r="AJ225" s="5">
        <f>SUM(IF(BQ225="lease",CH225,0),IF(CS225="lease",DJ225,0),IF(DU225="lease",EL225,0),IF(EW225="lease",FN225,0),IF(FY225="lease",GP225,0),IF(HA225="lease",HR225,0),IF(IC225="lease",IT225,0),IF(JE225="lease",JV225,0),IF(KG225="lease",KX225,0),IF(LI225="lease",LZ225,0))</f>
        <v>0</v>
      </c>
      <c r="AK225" s="5">
        <f>SUM(IF(BQ225="keep",CH225,0),IF(CS225="keep",DJ225,0),IF(DU225="keep",EL225,0),IF(EW225="keep",FN225,0),IF(FY225="keep",GP225,0),IF(HA225="keep",HR225,0),IF(IC225="keep",IT225,0),IF(JE225="keep",JV225,0),IF(KG225="keep",KX225,0),IF(LI225="keep",LZ225,0))</f>
        <v>0</v>
      </c>
      <c r="AL225" s="5">
        <f>R225-S224</f>
        <v>0</v>
      </c>
      <c r="AM225" s="5">
        <f>T225-U224</f>
        <v>0</v>
      </c>
      <c r="AN225" s="5">
        <f>AN224</f>
        <v>1</v>
      </c>
      <c r="AO225" s="5">
        <f>AO224+AH225</f>
        <v>1.0709994760534156</v>
      </c>
      <c r="AP225" s="5">
        <f>AP224+AL225</f>
        <v>1.5543122344752192e-15</v>
      </c>
      <c r="AQ225" s="5">
        <f>AN225+AO225+AP225</f>
        <v>2.0709994760534176</v>
      </c>
      <c r="AR225" s="5">
        <f>S225-AQ225</f>
        <v>-2.220446049250313e-15</v>
      </c>
      <c r="AS225" s="5">
        <f>AS224</f>
        <v>0</v>
      </c>
      <c r="AT225" s="5">
        <f>AT224+AI225</f>
        <v>0</v>
      </c>
      <c r="AU225" s="5">
        <f>AU224+AM225</f>
        <v>0</v>
      </c>
      <c r="AV225" s="5">
        <f>AS225+AT225+AU225</f>
        <v>0</v>
      </c>
      <c r="AW225" s="5">
        <f>U225-AV225</f>
        <v>0</v>
      </c>
      <c r="AX225" s="4">
        <v>2.054850593423751</v>
      </c>
      <c r="AY225" s="4">
        <v>2.070999476053415</v>
      </c>
      <c r="AZ225" s="5">
        <f>S225-AY225</f>
        <v>4.440892098500626e-16</v>
      </c>
      <c r="BA225" s="4">
        <v>0</v>
      </c>
      <c r="BB225" s="4">
        <v>0</v>
      </c>
      <c r="BC225" s="5">
        <f>U225-BB225</f>
        <v>0</v>
      </c>
      <c r="BD225" s="7">
        <f>SUM(IF(BP225="direct",CC225/F225,0),IF(CR225="direct",DE225/F225,0),IF(DT225="direct",EG225/F225,0),IF(EV225="direct",FI225/F225,0),IF(FX225="direct",GK225/F225,0),IF(GZ225="direct",HM225/F225,0),IF(IB225="direct",IO225/F225,0),IF(JD225="direct",JQ225/F225,0),IF(KF225="direct",KS225/F225,0),IF(LH225="direct",LU225/F225,0))</f>
        <v>0.00786575773466172</v>
      </c>
      <c r="BE225" s="7">
        <f>-SUM(IF(BP225="direct",CD225/F225,0),IF(CR225="direct",DF225/F225,0),IF(DT225="direct",EH225/F225,0),IF(EV225="direct",FJ225/F225,0),IF(FX225="direct",GL225/F225,0),IF(GZ225="direct",HN225/F225,0),IF(IB225="direct",IP225/F225,0),IF(JD225="direct",JR225/F225,0),IF(KF225="direct",KT225/F225,0),IF(LH225="direct",LV225/F225,0))</f>
        <v>-0.000006849315068493151</v>
      </c>
      <c r="BF225" s="7">
        <f>BD225+BE225</f>
        <v>0.007858908419593226</v>
      </c>
      <c r="BG225" s="7">
        <f>BF225-SUM(IF(BP225="direct",CP225,0),IF(CR225="direct",DR225,0),IF(DT225="direct",ET225,0),IF(EV225="direct",FV225,0),IF(FX225="direct",GX225,0),IF(GZ225="direct",HZ225,0),IF(IB225="direct",JB225,0),IF(JD225="direct",KD225,0),IF(KF225="direct",LF225,0),IF(LH225="direct",MH225,0))</f>
        <v>2.6020852139652106e-17</v>
      </c>
      <c r="BH225" s="7">
        <f>SUM(IF(BP225="treasury",CP225,0),IF(CR225="treasury",DR225,0),IF(DT225="treasury",ET225,0),IF(EV225="treasury",FV225,0),IF(FX225="treasury",GX225,0),IF(GZ225="treasury",HZ225,0),IF(IB225="treasury",JB225,0),IF(JD225="treasury",KD225,0),IF(KF225="treasury",LF225,0),IF(LH225="treasury",MH225,0))</f>
        <v>0</v>
      </c>
      <c r="BI225" s="7">
        <f>SUM(IF(BP225="future",CP225,0),IF(CR225="future",DR225,0),IF(DT225="future",ET225,0),IF(EV225="future",FV225,0),IF(FX225="future",GX225,0),IF(GZ225="future",HZ225,0),IF(IB225="future",JB225,0),IF(JD225="future",KD225,0),IF(KF225="future",LF225,0),IF(LH225="future",MH225,0))</f>
        <v>0</v>
      </c>
      <c r="BJ225" s="7">
        <f>SUM(IF(BP225="cash",CP225,0),IF(CR225="cash",DR225,0),IF(DT225="cash",ET225,0),IF(EV225="cash",FV225,0),IF(FX225="cash",GX225,0),IF(GZ225="cash",HZ225,0),IF(IB225="cash",JB225,0),IF(JD225="cash",KD225,0),IF(KF225="cash",LF225,0),IF(LH225="cash",MH225,0))</f>
        <v>0</v>
      </c>
      <c r="BK225" s="7">
        <f>SUM(BF225,BH225,BI225,BJ225)</f>
        <v>0.0078589084195932</v>
      </c>
      <c r="BL225" s="7">
        <f>G225-BK225</f>
        <v>0</v>
      </c>
      <c r="BM225" s="5">
        <f>MAX(ABS(CG225),ABS(DI225),ABS(EK225),ABS(FM225),ABS(GO225),ABS(HQ225),ABS(IS225),ABS(JU225),ABS(KW225),ABS(LY225))</f>
        <v>5.4896205311551205e-17</v>
      </c>
      <c r="BN225" s="9">
        <f>COUNTA(BO225,CQ225,DS225,EU225,FW225,GY225,IA225,JC225,KE225,LG225)</f>
        <v>3</v>
      </c>
      <c r="BO225" t="inlineStr">
        <is>
          <t xml:space="preserve">Direct commodity holding</t>
        </is>
      </c>
      <c r="BP225" t="inlineStr">
        <is>
          <t xml:space="preserve">direct</t>
        </is>
      </c>
      <c r="BQ225" t="inlineStr">
        <is>
          <t xml:space="preserve">lease</t>
        </is>
      </c>
      <c r="BR225" t="inlineStr">
        <is>
          <t xml:space="preserve">long</t>
        </is>
      </c>
      <c r="BS225"/>
      <c r="BT225" s="4">
        <v>1.907</v>
      </c>
      <c r="BU225" s="4">
        <v>1.922</v>
      </c>
      <c r="BV225" s="6">
        <v>0.0025</v>
      </c>
      <c r="BW225" s="4">
        <v>1.0775304632531468</v>
      </c>
      <c r="BX225" s="5">
        <f>IF(BP225="direct",IFERROR(CD225/BU225,0),0)</f>
        <v>0.000007322746687325386</v>
      </c>
      <c r="BY225" s="5">
        <f>IF(BP225="direct",BW225-BX225,IF(BP225="cash",CI225,BW225))</f>
        <v>1.0775231405064596</v>
      </c>
      <c r="BZ225" s="6">
        <v>1</v>
      </c>
      <c r="CA225" s="4">
        <v>2.054850593423751</v>
      </c>
      <c r="CB225" s="4">
        <v>2.054850593423751</v>
      </c>
      <c r="CC225" s="5">
        <f>IF(BP225="direct",BW225*(BU225-BT225),CF225)</f>
        <v>0.016162956948797096</v>
      </c>
      <c r="CD225" s="5">
        <f>IF(BP225="direct",CB225*BV225*C225/365,0)</f>
        <v>0.000014074319133039391</v>
      </c>
      <c r="CE225" s="5">
        <f>CC225-CD225</f>
        <v>0.016148882629664</v>
      </c>
      <c r="CF225" s="4">
        <v>0.016148882629664</v>
      </c>
      <c r="CG225" s="5">
        <f>CF225-CE225</f>
        <v>-5.4896205311551205e-17</v>
      </c>
      <c r="CH225" s="4">
        <v>0</v>
      </c>
      <c r="CI225" s="4">
        <v>2.0709994760534154</v>
      </c>
      <c r="CJ225" s="4">
        <v>1.907</v>
      </c>
      <c r="CK225" s="4">
        <v>1.922</v>
      </c>
      <c r="CL225" s="6"/>
      <c r="CM225" s="6"/>
      <c r="CN225" s="6"/>
      <c r="CO225" s="9"/>
      <c r="CP225" s="7">
        <f>IFERROR(CE225/F225,0)</f>
        <v>0.0078589084195932</v>
      </c>
      <c r="CQ225" t="inlineStr">
        <is>
          <t xml:space="preserve">Lease cash / margin / financing</t>
        </is>
      </c>
      <c r="CR225" t="inlineStr">
        <is>
          <t xml:space="preserve">cash</t>
        </is>
      </c>
      <c r="CS225" t="inlineStr">
        <is>
          <t xml:space="preserve">lease</t>
        </is>
      </c>
      <c r="CT225" t="inlineStr">
        <is>
          <t xml:space="preserve">cash</t>
        </is>
      </c>
      <c r="CU225"/>
      <c r="CV225" s="4">
        <v>1</v>
      </c>
      <c r="CW225" s="4">
        <v>1</v>
      </c>
      <c r="CX225" s="6"/>
      <c r="CY225" s="4">
        <v>0</v>
      </c>
      <c r="CZ225" s="5">
        <f>IF(CR225="direct",IFERROR(DF225/CW225,0),0)</f>
        <v>0</v>
      </c>
      <c r="DA225" s="5">
        <f>IF(CR225="direct",CY225-CZ225,IF(CR225="cash",DK225,CY225))</f>
        <v>0</v>
      </c>
      <c r="DB225" s="6"/>
      <c r="DC225" s="4">
        <v>0</v>
      </c>
      <c r="DD225" s="4">
        <v>0</v>
      </c>
      <c r="DE225" s="5">
        <f>IF(CR225="direct",CY225*(CW225-CV225),DH225)</f>
        <v>0</v>
      </c>
      <c r="DF225" s="5">
        <f>IF(CR225="direct",DD225*CX225*C225/365,0)</f>
        <v>0</v>
      </c>
      <c r="DG225" s="5">
        <f>DE225-DF225</f>
        <v>0</v>
      </c>
      <c r="DH225" s="4">
        <v>0</v>
      </c>
      <c r="DI225" s="5">
        <f>DH225-DG225</f>
        <v>0</v>
      </c>
      <c r="DJ225" s="4">
        <v>0</v>
      </c>
      <c r="DK225" s="4">
        <v>0</v>
      </c>
      <c r="DL225" s="4">
        <v>1.907</v>
      </c>
      <c r="DM225" s="4">
        <v>1.922</v>
      </c>
      <c r="DN225" s="6"/>
      <c r="DO225" s="6"/>
      <c r="DP225" s="6"/>
      <c r="DQ225" s="9"/>
      <c r="DR225" s="7">
        <f>IFERROR(DG225/F225,0)</f>
        <v>0</v>
      </c>
      <c r="DS225" t="inlineStr">
        <is>
          <t xml:space="preserve">Keep cash / margin / financing</t>
        </is>
      </c>
      <c r="DT225" t="inlineStr">
        <is>
          <t xml:space="preserve">cash</t>
        </is>
      </c>
      <c r="DU225" t="inlineStr">
        <is>
          <t xml:space="preserve">keep</t>
        </is>
      </c>
      <c r="DV225" t="inlineStr">
        <is>
          <t xml:space="preserve">cash</t>
        </is>
      </c>
      <c r="DW225"/>
      <c r="DX225" s="4">
        <v>1</v>
      </c>
      <c r="DY225" s="4">
        <v>1</v>
      </c>
      <c r="DZ225" s="6"/>
      <c r="EA225" s="4">
        <v>0</v>
      </c>
      <c r="EB225" s="5">
        <f>IF(DT225="direct",IFERROR(EH225/DY225,0),0)</f>
        <v>0</v>
      </c>
      <c r="EC225" s="5">
        <f>IF(DT225="direct",EA225-EB225,IF(DT225="cash",EM225,EA225))</f>
        <v>0</v>
      </c>
      <c r="ED225" s="6"/>
      <c r="EE225" s="4">
        <v>0</v>
      </c>
      <c r="EF225" s="4">
        <v>0</v>
      </c>
      <c r="EG225" s="5">
        <f>IF(DT225="direct",EA225*(DY225-DX225),EJ225)</f>
        <v>0</v>
      </c>
      <c r="EH225" s="5">
        <f>IF(DT225="direct",EF225*DZ225*C225/365,0)</f>
        <v>0</v>
      </c>
      <c r="EI225" s="5">
        <f>EG225-EH225</f>
        <v>0</v>
      </c>
      <c r="EJ225" s="4">
        <v>0</v>
      </c>
      <c r="EK225" s="5">
        <f>EJ225-EI225</f>
        <v>0</v>
      </c>
      <c r="EL225" s="4">
        <v>0</v>
      </c>
      <c r="EM225" s="4">
        <v>0</v>
      </c>
      <c r="EN225" s="4">
        <v>1.907</v>
      </c>
      <c r="EO225" s="4">
        <v>1.922</v>
      </c>
      <c r="EP225" s="6"/>
      <c r="EQ225" s="6"/>
      <c r="ER225" s="6"/>
      <c r="ES225" s="9"/>
      <c r="ET225" s="7">
        <f>IFERROR(EI225/F225,0)</f>
        <v>0</v>
      </c>
      <c r="EU225"/>
      <c r="EV225"/>
      <c r="EW225"/>
      <c r="EX225"/>
      <c r="EY225"/>
      <c r="EZ225" s="4"/>
      <c r="FA225" s="4"/>
      <c r="FB225" s="6"/>
      <c r="FC225" s="4"/>
      <c r="FD225" s="5">
        <v>0</v>
      </c>
      <c r="FE225" s="5"/>
      <c r="FF225" s="6"/>
      <c r="FG225" s="4"/>
      <c r="FH225" s="4"/>
      <c r="FI225" s="5">
        <v>0</v>
      </c>
      <c r="FJ225" s="5">
        <v>0</v>
      </c>
      <c r="FK225" s="5"/>
      <c r="FL225" s="4"/>
      <c r="FM225" s="5">
        <v>0</v>
      </c>
      <c r="FN225" s="4"/>
      <c r="FO225" s="4"/>
      <c r="FP225" s="4"/>
      <c r="FQ225" s="4"/>
      <c r="FR225" s="6"/>
      <c r="FS225" s="6"/>
      <c r="FT225" s="6"/>
      <c r="FU225" s="9"/>
      <c r="FV225"/>
      <c r="FW225"/>
      <c r="FX225"/>
      <c r="FY225"/>
      <c r="FZ225"/>
      <c r="GA225"/>
      <c r="GB225" s="4"/>
      <c r="GC225" s="4"/>
      <c r="GD225" s="6"/>
      <c r="GE225" s="4"/>
      <c r="GF225" s="5">
        <v>0</v>
      </c>
      <c r="GG225" s="5"/>
      <c r="GH225" s="6"/>
      <c r="GI225" s="4"/>
      <c r="GJ225" s="4"/>
      <c r="GK225" s="5">
        <v>0</v>
      </c>
      <c r="GL225" s="5">
        <v>0</v>
      </c>
      <c r="GM225" s="5"/>
      <c r="GN225" s="4"/>
      <c r="GO225" s="5">
        <v>0</v>
      </c>
      <c r="GP225" s="4"/>
      <c r="GQ225" s="4"/>
      <c r="GR225" s="4"/>
      <c r="GS225" s="4"/>
      <c r="GT225" s="6"/>
      <c r="GU225" s="6"/>
      <c r="GV225" s="6"/>
      <c r="GW225" s="9"/>
      <c r="GX225"/>
      <c r="GY225"/>
      <c r="GZ225"/>
      <c r="HA225"/>
      <c r="HB225"/>
      <c r="HC225"/>
      <c r="HD225" s="4"/>
      <c r="HE225" s="4"/>
      <c r="HF225" s="6"/>
      <c r="HG225" s="4"/>
      <c r="HH225" s="5">
        <v>0</v>
      </c>
      <c r="HI225" s="5"/>
      <c r="HJ225" s="6"/>
      <c r="HK225" s="4"/>
      <c r="HL225" s="4"/>
      <c r="HM225" s="5">
        <v>0</v>
      </c>
      <c r="HN225" s="5">
        <v>0</v>
      </c>
      <c r="HO225" s="5"/>
      <c r="HP225" s="4"/>
      <c r="HQ225" s="5">
        <v>0</v>
      </c>
      <c r="HR225" s="4"/>
      <c r="HS225" s="4"/>
      <c r="HT225" s="4"/>
      <c r="HU225" s="4"/>
      <c r="HV225" s="6"/>
      <c r="HW225" s="6"/>
      <c r="HX225" s="6"/>
      <c r="HY225" s="9"/>
      <c r="HZ225"/>
      <c r="IA225"/>
      <c r="IB225"/>
      <c r="IC225"/>
      <c r="ID225"/>
      <c r="IE225"/>
      <c r="IF225" s="4"/>
      <c r="IG225" s="4"/>
      <c r="IH225" s="6"/>
      <c r="II225" s="4"/>
      <c r="IJ225" s="5">
        <v>0</v>
      </c>
      <c r="IK225" s="5"/>
      <c r="IL225" s="6"/>
      <c r="IM225" s="4"/>
      <c r="IN225" s="4"/>
      <c r="IO225" s="5">
        <v>0</v>
      </c>
      <c r="IP225" s="5">
        <v>0</v>
      </c>
      <c r="IQ225" s="5"/>
      <c r="IR225" s="4"/>
      <c r="IS225" s="5">
        <v>0</v>
      </c>
      <c r="IT225" s="4"/>
      <c r="IU225" s="4"/>
      <c r="IV225" s="4"/>
      <c r="IW225" s="4"/>
      <c r="IX225" s="6"/>
      <c r="IY225" s="6"/>
      <c r="IZ225" s="6"/>
      <c r="JA225" s="9"/>
      <c r="JB225"/>
      <c r="JC225"/>
      <c r="JD225"/>
      <c r="JE225"/>
      <c r="JF225"/>
      <c r="JG225"/>
      <c r="JH225" s="4"/>
      <c r="JI225" s="4"/>
      <c r="JJ225" s="6"/>
      <c r="JK225" s="4"/>
      <c r="JL225" s="5">
        <v>0</v>
      </c>
      <c r="JM225" s="5"/>
      <c r="JN225" s="6"/>
      <c r="JO225" s="4"/>
      <c r="JP225" s="4"/>
      <c r="JQ225" s="5">
        <v>0</v>
      </c>
      <c r="JR225" s="5">
        <v>0</v>
      </c>
      <c r="JS225" s="5"/>
      <c r="JT225" s="4"/>
      <c r="JU225" s="5">
        <v>0</v>
      </c>
      <c r="JV225" s="4"/>
      <c r="JW225" s="4"/>
      <c r="JX225" s="4"/>
      <c r="JY225" s="4"/>
      <c r="JZ225" s="6"/>
      <c r="KA225" s="6"/>
      <c r="KB225" s="6"/>
      <c r="KC225" s="9"/>
      <c r="KD225"/>
      <c r="KE225"/>
      <c r="KF225"/>
      <c r="KG225"/>
      <c r="KH225"/>
      <c r="KI225"/>
      <c r="KJ225" s="4"/>
      <c r="KK225" s="4"/>
      <c r="KL225" s="6"/>
      <c r="KM225" s="4"/>
      <c r="KN225" s="5">
        <v>0</v>
      </c>
      <c r="KO225" s="5"/>
      <c r="KP225" s="6"/>
      <c r="KQ225" s="4"/>
      <c r="KR225" s="4"/>
      <c r="KS225" s="5">
        <v>0</v>
      </c>
      <c r="KT225" s="5">
        <v>0</v>
      </c>
      <c r="KU225" s="5"/>
      <c r="KV225" s="4"/>
      <c r="KW225" s="5">
        <v>0</v>
      </c>
      <c r="KX225" s="4"/>
      <c r="KY225" s="4"/>
      <c r="KZ225" s="4"/>
      <c r="LA225" s="4"/>
      <c r="LB225" s="6"/>
      <c r="LC225" s="6"/>
      <c r="LD225" s="6"/>
      <c r="LE225" s="9"/>
      <c r="LF225"/>
      <c r="LG225"/>
      <c r="LH225"/>
      <c r="LI225"/>
      <c r="LJ225"/>
      <c r="LK225"/>
      <c r="LL225" s="4"/>
      <c r="LM225" s="4"/>
      <c r="LN225" s="6"/>
      <c r="LO225" s="4"/>
      <c r="LP225" s="5">
        <v>0</v>
      </c>
      <c r="LQ225" s="5"/>
      <c r="LR225" s="6"/>
      <c r="LS225" s="4"/>
      <c r="LT225" s="4"/>
      <c r="LU225" s="5">
        <v>0</v>
      </c>
      <c r="LV225" s="5">
        <v>0</v>
      </c>
      <c r="LW225" s="5"/>
      <c r="LX225" s="4"/>
      <c r="LY225" s="5">
        <v>0</v>
      </c>
      <c r="LZ225" s="4"/>
      <c r="MA225" s="4"/>
      <c r="MB225" s="4"/>
      <c r="MC225" s="4"/>
      <c r="MD225" s="6"/>
      <c r="ME225" s="6"/>
      <c r="MF225" s="6"/>
      <c r="MG225" s="9"/>
      <c r="MH225"/>
    </row>
    <row r="226">
      <c r="A226" s="8">
        <v>25539</v>
      </c>
      <c r="B226" s="8">
        <v>25540</v>
      </c>
      <c r="C226" s="9">
        <f>B226-A226</f>
        <v>1</v>
      </c>
      <c r="D226" s="8">
        <v>25539</v>
      </c>
      <c r="E226" t="inlineStr">
        <is>
          <t xml:space="preserve">positive</t>
        </is>
      </c>
      <c r="F226" s="4">
        <v>2.0709994760534154</v>
      </c>
      <c r="G226" s="6">
        <v>-0.00975327438357818</v>
      </c>
      <c r="H226" s="7">
        <f>SUM(CP226,DR226,ET226,FV226,GX226,HZ226,JB226,KD226,LF226,MH226)</f>
        <v>-0.00975327438357818</v>
      </c>
      <c r="I226" s="7">
        <f>G226-H226</f>
        <v>0</v>
      </c>
      <c r="J226" s="5">
        <f>F226*(1+H226)</f>
        <v>2.05080044991522</v>
      </c>
      <c r="K226" s="4">
        <v>2.05080044991522</v>
      </c>
      <c r="L226" s="5">
        <f>K226-J226</f>
        <v>0</v>
      </c>
      <c r="M226" s="4">
        <v>1.922</v>
      </c>
      <c r="N226" s="4">
        <v>1.908</v>
      </c>
      <c r="O226" s="5">
        <f>M226/$M$3</f>
        <v>0.9816138917262512</v>
      </c>
      <c r="P226" s="5">
        <f>N226/$M$3</f>
        <v>0.9744637385086823</v>
      </c>
      <c r="Q226" s="7">
        <f>IFERROR(N226/M226-1,0)</f>
        <v>-0.007284079084287187</v>
      </c>
      <c r="R226" s="5">
        <f>SUM(IF(BQ226="lease",CB226,0),IF(CS226="lease",DD226,0),IF(DU226="lease",EF226,0),IF(EW226="lease",FH226,0),IF(FY226="lease",GJ226,0),IF(HA226="lease",HL226,0),IF(IC226="lease",IN226,0),IF(JE226="lease",JP226,0),IF(KG226="lease",KR226,0),IF(LI226="lease",LT226,0))</f>
        <v>2.070999476053415</v>
      </c>
      <c r="S226" s="5">
        <f>SUM(IF(BQ226="lease",CI226,0),IF(CS226="lease",DK226,0),IF(DU226="lease",EM226,0),IF(EW226="lease",FO226,0),IF(FY226="lease",GQ226,0),IF(HA226="lease",HS226,0),IF(IC226="lease",IU226,0),IF(JE226="lease",JW226,0),IF(KG226="lease",KY226,0),IF(LI226="lease",MA226,0))</f>
        <v>2.0508004499152195</v>
      </c>
      <c r="T226" s="5">
        <f>SUM(IF(BQ226="keep",CB226,0),IF(CS226="keep",DD226,0),IF(DU226="keep",EF226,0),IF(EW226="keep",FH226,0),IF(FY226="keep",GJ226,0),IF(HA226="keep",HL226,0),IF(IC226="keep",IN226,0),IF(JE226="keep",JP226,0),IF(KG226="keep",KR226,0),IF(LI226="keep",LT226,0))</f>
        <v>0</v>
      </c>
      <c r="U226" s="5">
        <f>SUM(IF(BQ226="keep",CI226,0),IF(CS226="keep",DK226,0),IF(DU226="keep",EM226,0),IF(EW226="keep",FO226,0),IF(FY226="keep",GQ226,0),IF(HA226="keep",HS226,0),IF(IC226="keep",IU226,0),IF(JE226="keep",JW226,0),IF(KG226="keep",KY226,0),IF(LI226="keep",MA226,0))</f>
        <v>0</v>
      </c>
      <c r="V226" s="5">
        <f>R226/O226</f>
        <v>2.1097903091116477</v>
      </c>
      <c r="W226" s="5">
        <f>S226/P226</f>
        <v>2.1045426000702308</v>
      </c>
      <c r="X226" s="5">
        <f>T226/O226</f>
        <v>0</v>
      </c>
      <c r="Y226" s="5">
        <f>U226/P226</f>
        <v>0</v>
      </c>
      <c r="Z226" s="5">
        <f>V226+X226</f>
        <v>2.1097903091116477</v>
      </c>
      <c r="AA226" s="7">
        <f>IFERROR(W226/V226-1,0)</f>
        <v>-0.0024873130845057823</v>
      </c>
      <c r="AB226" s="7">
        <f>IFERROR((W226-V226)/Z226,0)</f>
        <v>-0.002487313084505789</v>
      </c>
      <c r="AC226" s="7">
        <f>IFERROR(Y226/X226-1,0)</f>
        <v>0</v>
      </c>
      <c r="AD226" s="7">
        <f>IFERROR((Y226-X226)/Z226,0)</f>
        <v>0</v>
      </c>
      <c r="AE226" s="7">
        <f>AB226+AD226</f>
        <v>-0.002487313084505789</v>
      </c>
      <c r="AF226" s="7">
        <f>(1+Q226)*(1+AE226)-1</f>
        <v>-0.009753274383578092</v>
      </c>
      <c r="AG226" s="7">
        <f>G226-AF226</f>
        <v>-8.847089727481716e-17</v>
      </c>
      <c r="AH226" s="5">
        <f>SUM(IF(BQ226="lease",CE226,0),IF(CS226="lease",DG226,0),IF(DU226="lease",EI226,0),IF(EW226="lease",FK226,0),IF(FY226="lease",GM226,0),IF(HA226="lease",HO226,0),IF(IC226="lease",IQ226,0),IF(JE226="lease",JS226,0),IF(KG226="lease",KU226,0),IF(LI226="lease",LW226,0))</f>
        <v>-0.02019902613819561</v>
      </c>
      <c r="AI226" s="5">
        <f>SUM(IF(BQ226="keep",CE226,0),IF(CS226="keep",DG226,0),IF(DU226="keep",EI226,0),IF(EW226="keep",FK226,0),IF(FY226="keep",GM226,0),IF(HA226="keep",HO226,0),IF(IC226="keep",IQ226,0),IF(JE226="keep",JS226,0),IF(KG226="keep",KU226,0),IF(LI226="keep",LW226,0))</f>
        <v>0</v>
      </c>
      <c r="AJ226" s="5">
        <f>SUM(IF(BQ226="lease",CH226,0),IF(CS226="lease",DJ226,0),IF(DU226="lease",EL226,0),IF(EW226="lease",FN226,0),IF(FY226="lease",GP226,0),IF(HA226="lease",HR226,0),IF(IC226="lease",IT226,0),IF(JE226="lease",JV226,0),IF(KG226="lease",KX226,0),IF(LI226="lease",LZ226,0))</f>
        <v>0</v>
      </c>
      <c r="AK226" s="5">
        <f>SUM(IF(BQ226="keep",CH226,0),IF(CS226="keep",DJ226,0),IF(DU226="keep",EL226,0),IF(EW226="keep",FN226,0),IF(FY226="keep",GP226,0),IF(HA226="keep",HR226,0),IF(IC226="keep",IT226,0),IF(JE226="keep",JV226,0),IF(KG226="keep",KX226,0),IF(LI226="keep",LZ226,0))</f>
        <v>0</v>
      </c>
      <c r="AL226" s="5">
        <f>R226-S225</f>
        <v>-4.440892098500626e-16</v>
      </c>
      <c r="AM226" s="5">
        <f>T226-U225</f>
        <v>0</v>
      </c>
      <c r="AN226" s="5">
        <f>AN225</f>
        <v>1</v>
      </c>
      <c r="AO226" s="5">
        <f>AO225+AH226</f>
        <v>1.05080044991522</v>
      </c>
      <c r="AP226" s="5">
        <f>AP225+AL226</f>
        <v>1.1102230246251565e-15</v>
      </c>
      <c r="AQ226" s="5">
        <f>AN226+AO226+AP226</f>
        <v>2.0508004499152213</v>
      </c>
      <c r="AR226" s="5">
        <f>S226-AQ226</f>
        <v>-1.7763568394002505e-15</v>
      </c>
      <c r="AS226" s="5">
        <f>AS225</f>
        <v>0</v>
      </c>
      <c r="AT226" s="5">
        <f>AT225+AI226</f>
        <v>0</v>
      </c>
      <c r="AU226" s="5">
        <f>AU225+AM226</f>
        <v>0</v>
      </c>
      <c r="AV226" s="5">
        <f>AS226+AT226+AU226</f>
        <v>0</v>
      </c>
      <c r="AW226" s="5">
        <f>U226-AV226</f>
        <v>0</v>
      </c>
      <c r="AX226" s="4">
        <v>2.070999476053415</v>
      </c>
      <c r="AY226" s="4">
        <v>2.0508004499152195</v>
      </c>
      <c r="AZ226" s="5">
        <f>S226-AY226</f>
        <v>0</v>
      </c>
      <c r="BA226" s="4">
        <v>0</v>
      </c>
      <c r="BB226" s="4">
        <v>0</v>
      </c>
      <c r="BC226" s="5">
        <f>U226-BB226</f>
        <v>0</v>
      </c>
      <c r="BD226" s="7">
        <f>SUM(IF(BP226="direct",CC226/F226,0),IF(CR226="direct",DE226/F226,0),IF(DT226="direct",EG226/F226,0),IF(EV226="direct",FI226/F226,0),IF(FX226="direct",GK226/F226,0),IF(GZ226="direct",HM226/F226,0),IF(IB226="direct",IO226/F226,0),IF(JD226="direct",JQ226/F226,0),IF(KF226="direct",KS226/F226,0),IF(LH226="direct",LU226/F226,0))</f>
        <v>-0.0032762054873698137</v>
      </c>
      <c r="BE226" s="7">
        <f>-SUM(IF(BP226="direct",CD226/F226,0),IF(CR226="direct",DF226/F226,0),IF(DT226="direct",EH226/F226,0),IF(EV226="direct",FJ226/F226,0),IF(FX226="direct",GL226/F226,0),IF(GZ226="direct",HN226/F226,0),IF(IB226="direct",IP226/F226,0),IF(JD226="direct",JR226/F226,0),IF(KF226="direct",KT226/F226,0),IF(LH226="direct",LV226/F226,0))</f>
        <v>-0.0000030806589758927473</v>
      </c>
      <c r="BF226" s="7">
        <f>BD226+BE226</f>
        <v>-0.0032792861463457066</v>
      </c>
      <c r="BG226" s="7">
        <f>BF226-SUM(IF(BP226="direct",CP226,0),IF(CR226="direct",DR226,0),IF(DT226="direct",ET226,0),IF(EV226="direct",FV226,0),IF(FX226="direct",GX226,0),IF(GZ226="direct",HZ226,0),IF(IB226="direct",JB226,0),IF(JD226="direct",KD226,0),IF(KF226="direct",LF226,0),IF(LH226="direct",MH226,0))</f>
        <v>-9.974659986866641e-18</v>
      </c>
      <c r="BH226" s="7">
        <f>SUM(IF(BP226="treasury",CP226,0),IF(CR226="treasury",DR226,0),IF(DT226="treasury",ET226,0),IF(EV226="treasury",FV226,0),IF(FX226="treasury",GX226,0),IF(GZ226="treasury",HZ226,0),IF(IB226="treasury",JB226,0),IF(JD226="treasury",KD226,0),IF(KF226="treasury",LF226,0),IF(LH226="treasury",MH226,0))</f>
        <v>0.0001138134139965322</v>
      </c>
      <c r="BI226" s="7">
        <f>SUM(IF(BP226="future",CP226,0),IF(CR226="future",DR226,0),IF(DT226="future",ET226,0),IF(EV226="future",FV226,0),IF(FX226="future",GX226,0),IF(GZ226="future",HZ226,0),IF(IB226="future",JB226,0),IF(JD226="future",KD226,0),IF(KF226="future",LF226,0),IF(LH226="future",MH226,0))</f>
        <v>-0.006587801651229015</v>
      </c>
      <c r="BJ226" s="7">
        <f>SUM(IF(BP226="cash",CP226,0),IF(CR226="cash",DR226,0),IF(DT226="cash",ET226,0),IF(EV226="cash",FV226,0),IF(FX226="cash",GX226,0),IF(GZ226="cash",HZ226,0),IF(IB226="cash",JB226,0),IF(JD226="cash",KD226,0),IF(KF226="cash",LF226,0),IF(LH226="cash",MH226,0))</f>
        <v>0</v>
      </c>
      <c r="BK226" s="7">
        <f>SUM(BF226,BH226,BI226,BJ226)</f>
        <v>-0.009753274383578179</v>
      </c>
      <c r="BL226" s="7">
        <f>G226-BK226</f>
        <v>-1.734723475976807e-18</v>
      </c>
      <c r="BM226" s="5">
        <f>MAX(ABS(CG226),ABS(DI226),ABS(EK226),ABS(FM226),ABS(GO226),ABS(HQ226),ABS(IS226),ABS(JU226),ABS(KW226),ABS(LY226))</f>
        <v>1.1362438767648086e-16</v>
      </c>
      <c r="BN226" s="9">
        <f>COUNTA(BO226,CQ226,DS226,EU226,FW226,GY226,IA226,JC226,KE226,LG226)</f>
        <v>6</v>
      </c>
      <c r="BO226" t="inlineStr">
        <is>
          <t xml:space="preserve">Direct commodity holding</t>
        </is>
      </c>
      <c r="BP226" t="inlineStr">
        <is>
          <t xml:space="preserve">direct</t>
        </is>
      </c>
      <c r="BQ226" t="inlineStr">
        <is>
          <t xml:space="preserve">lease</t>
        </is>
      </c>
      <c r="BR226" t="inlineStr">
        <is>
          <t xml:space="preserve">long</t>
        </is>
      </c>
      <c r="BS226"/>
      <c r="BT226" s="4">
        <v>1.922</v>
      </c>
      <c r="BU226" s="4">
        <v>1.908</v>
      </c>
      <c r="BV226" s="6">
        <v>0.0025</v>
      </c>
      <c r="BW226" s="4">
        <v>0.48464427484187156</v>
      </c>
      <c r="BX226" s="5">
        <f>IF(BP226="direct",IFERROR(CD226/BU226,0),0)</f>
        <v>0.00000334383811581401</v>
      </c>
      <c r="BY226" s="5">
        <f>IF(BP226="direct",BW226-BX226,IF(BP226="cash",CI226,BW226))</f>
        <v>0.48464093100375577</v>
      </c>
      <c r="BZ226" s="6">
        <v>0.4497762104803411</v>
      </c>
      <c r="CA226" s="4">
        <v>0.9314862962460772</v>
      </c>
      <c r="CB226" s="4">
        <v>0.9314862962460772</v>
      </c>
      <c r="CC226" s="5">
        <f>IF(BP226="direct",BW226*(BU226-BT226),CF226)</f>
        <v>-0.006785019847786208</v>
      </c>
      <c r="CD226" s="5">
        <f>IF(BP226="direct",CB226*BV226*C226/365,0)</f>
        <v>0.000006380043124973131</v>
      </c>
      <c r="CE226" s="5">
        <f>CC226-CD226</f>
        <v>-0.006791399890911162</v>
      </c>
      <c r="CF226" s="4">
        <v>-0.006791399890911162</v>
      </c>
      <c r="CG226" s="5">
        <f>CF226-CE226</f>
        <v>1.9595260201780984e-17</v>
      </c>
      <c r="CH226" s="4">
        <v>0</v>
      </c>
      <c r="CI226" s="4">
        <v>0.924694896355166</v>
      </c>
      <c r="CJ226" s="4">
        <v>1.922</v>
      </c>
      <c r="CK226" s="4">
        <v>1.908</v>
      </c>
      <c r="CL226" s="6"/>
      <c r="CM226" s="6"/>
      <c r="CN226" s="6"/>
      <c r="CO226" s="9"/>
      <c r="CP226" s="7">
        <f>IFERROR(CE226/F226,0)</f>
        <v>-0.0032792861463456966</v>
      </c>
      <c r="CQ226" t="inlineStr">
        <is>
          <t xml:space="preserve">Treasury collateral</t>
        </is>
      </c>
      <c r="CR226" t="inlineStr">
        <is>
          <t xml:space="preserve">treasury</t>
        </is>
      </c>
      <c r="CS226" t="inlineStr">
        <is>
          <t xml:space="preserve">lease</t>
        </is>
      </c>
      <c r="CT226" t="inlineStr">
        <is>
          <t xml:space="preserve">long</t>
        </is>
      </c>
      <c r="CU226"/>
      <c r="CV226" s="4">
        <v>106.1889439628314</v>
      </c>
      <c r="CW226" s="4">
        <v>106.21090907315795</v>
      </c>
      <c r="CX226" s="6"/>
      <c r="CY226" s="4">
        <v>0.010730996441646453</v>
      </c>
      <c r="CZ226" s="5">
        <f>IF(CR226="direct",IFERROR(DF226/CW226,0),0)</f>
        <v>0</v>
      </c>
      <c r="DA226" s="5">
        <f>IF(CR226="direct",CY226-CZ226,IF(CR226="cash",DK226,CY226))</f>
        <v>0.010730996441646453</v>
      </c>
      <c r="DB226" s="6">
        <v>0.5502237895196589</v>
      </c>
      <c r="DC226" s="4">
        <v>1.1395131798073384</v>
      </c>
      <c r="DD226" s="4">
        <v>1.1395131798073384</v>
      </c>
      <c r="DE226" s="5">
        <f>IF(CR226="direct",CY226*(CW226-CV226),DH226)</f>
        <v>0.000235707520754555</v>
      </c>
      <c r="DF226" s="5">
        <f>IF(CR226="direct",DD226*CX226*C226/365,0)</f>
        <v>0</v>
      </c>
      <c r="DG226" s="5">
        <f>DE226-DF226</f>
        <v>0.00023570752075466862</v>
      </c>
      <c r="DH226" s="4">
        <v>0.00023570752075466862</v>
      </c>
      <c r="DI226" s="5">
        <f>DH226-DG226</f>
        <v>1.1362438767648086e-16</v>
      </c>
      <c r="DJ226" s="4">
        <v>-3.309527131512002e-17</v>
      </c>
      <c r="DK226" s="4">
        <v>1.139748887328093</v>
      </c>
      <c r="DL226" s="4">
        <v>1.922</v>
      </c>
      <c r="DM226" s="4">
        <v>1.908</v>
      </c>
      <c r="DN226" s="6"/>
      <c r="DO226" s="6"/>
      <c r="DP226" s="6"/>
      <c r="DQ226" s="9">
        <v>27</v>
      </c>
      <c r="DR226" s="7">
        <f>IFERROR(DG226/F226,0)</f>
        <v>0.0001138134139965322</v>
      </c>
      <c r="DS226" t="inlineStr">
        <is>
          <t xml:space="preserve">SI69Z</t>
        </is>
      </c>
      <c r="DT226" t="inlineStr">
        <is>
          <t xml:space="preserve">future</t>
        </is>
      </c>
      <c r="DU226" t="inlineStr">
        <is>
          <t xml:space="preserve">lease</t>
        </is>
      </c>
      <c r="DV226" t="inlineStr">
        <is>
          <t xml:space="preserve">long</t>
        </is>
      </c>
      <c r="DW226" t="inlineStr">
        <is>
          <t xml:space="preserve">regular</t>
        </is>
      </c>
      <c r="DX226" s="4">
        <v>1.921</v>
      </c>
      <c r="DY226" s="4">
        <v>1.8980000000000001</v>
      </c>
      <c r="DZ226" s="6"/>
      <c r="EA226" s="4">
        <v>0.5931796012346897</v>
      </c>
      <c r="EB226" s="5">
        <f>IF(DT226="direct",IFERROR(EH226/DY226,0),0)</f>
        <v>0</v>
      </c>
      <c r="EC226" s="5">
        <f>IF(DT226="direct",EA226-EB226,IF(DT226="cash",EM226,EA226))</f>
        <v>0.5931796012346897</v>
      </c>
      <c r="ED226" s="6">
        <v>0.5502164665648852</v>
      </c>
      <c r="EE226" s="4">
        <v>1.139498013971839</v>
      </c>
      <c r="EF226" s="4">
        <v>0</v>
      </c>
      <c r="EG226" s="5">
        <f>IF(DT226="direct",EA226*(DY226-DX226),EJ226)</f>
        <v>-0.013643130828397847</v>
      </c>
      <c r="EH226" s="5">
        <f>IF(DT226="direct",EF226*DZ226*C226/365,0)</f>
        <v>0</v>
      </c>
      <c r="EI226" s="5">
        <f>EG226-EH226</f>
        <v>-0.013643130828397847</v>
      </c>
      <c r="EJ226" s="4">
        <v>-0.013643130828397847</v>
      </c>
      <c r="EK226" s="5">
        <f>EJ226-EI226</f>
        <v>0</v>
      </c>
      <c r="EL226" s="4">
        <v>0.013643130828397847</v>
      </c>
      <c r="EM226" s="4">
        <v>0</v>
      </c>
      <c r="EN226" s="4">
        <v>1.922</v>
      </c>
      <c r="EO226" s="4">
        <v>1.908</v>
      </c>
      <c r="EP226" s="6">
        <v>-0.0005202913631633388</v>
      </c>
      <c r="EQ226" s="6">
        <v>0.0755</v>
      </c>
      <c r="ER226" s="6">
        <v>0.08253356842794883</v>
      </c>
      <c r="ES226" s="9">
        <v>27</v>
      </c>
      <c r="ET226" s="7">
        <f>IFERROR(EI226/F226,0)</f>
        <v>-0.006587703660068894</v>
      </c>
      <c r="EU226" t="inlineStr">
        <is>
          <t xml:space="preserve">SI70F</t>
        </is>
      </c>
      <c r="EV226" t="inlineStr">
        <is>
          <t xml:space="preserve">future</t>
        </is>
      </c>
      <c r="EW226" t="inlineStr">
        <is>
          <t xml:space="preserve">lease</t>
        </is>
      </c>
      <c r="EX226" t="inlineStr">
        <is>
          <t xml:space="preserve">long</t>
        </is>
      </c>
      <c r="EY226" t="inlineStr">
        <is>
          <t xml:space="preserve">regular</t>
        </is>
      </c>
      <c r="EZ226" s="4">
        <v>1.943</v>
      </c>
      <c r="FA226" s="4">
        <v>1.9169999999999998</v>
      </c>
      <c r="FB226" s="6"/>
      <c r="FC226" s="4">
        <v>0.000007805370818034926</v>
      </c>
      <c r="FD226" s="5">
        <f>IF(EV226="direct",IFERROR(FJ226/FA226,0),0)</f>
        <v>0</v>
      </c>
      <c r="FE226" s="5">
        <f>IF(EV226="direct",FC226-FD226,IF(EV226="cash",FO226,FC226))</f>
        <v>0.000007805370818034926</v>
      </c>
      <c r="FF226" s="6">
        <v>0.000007322954773674073</v>
      </c>
      <c r="FG226" s="4">
        <v>0.000015165835499441863</v>
      </c>
      <c r="FH226" s="4">
        <v>0</v>
      </c>
      <c r="FI226" s="5">
        <f>IF(EV226="direct",FC226*(FA226-EZ226),FL226)</f>
        <v>-2.0293964126890997e-7</v>
      </c>
      <c r="FJ226" s="5">
        <f>IF(EV226="direct",FH226*FB226*C226/365,0)</f>
        <v>0</v>
      </c>
      <c r="FK226" s="5">
        <f>FI226-FJ226</f>
        <v>-2.0293964126890997e-7</v>
      </c>
      <c r="FL226" s="4">
        <v>-2.0293964126890997e-7</v>
      </c>
      <c r="FM226" s="5">
        <f>FL226-FK226</f>
        <v>0</v>
      </c>
      <c r="FN226" s="4">
        <v>2.0293964126890997e-7</v>
      </c>
      <c r="FO226" s="4">
        <v>0</v>
      </c>
      <c r="FP226" s="4">
        <v>1.922</v>
      </c>
      <c r="FQ226" s="4">
        <v>1.908</v>
      </c>
      <c r="FR226" s="6">
        <v>0.010926118626430892</v>
      </c>
      <c r="FS226" s="6">
        <v>0.0755</v>
      </c>
      <c r="FT226" s="6">
        <v>0.005534503532503941</v>
      </c>
      <c r="FU226" s="9">
        <v>57</v>
      </c>
      <c r="FV226" s="7">
        <f>IFERROR(FK226/F226,0)</f>
        <v>-9.799116012121856e-8</v>
      </c>
      <c r="FW226" t="inlineStr">
        <is>
          <t xml:space="preserve">Lease cash / margin / financing</t>
        </is>
      </c>
      <c r="FX226" t="inlineStr">
        <is>
          <t xml:space="preserve">cash</t>
        </is>
      </c>
      <c r="FY226" t="inlineStr">
        <is>
          <t xml:space="preserve">lease</t>
        </is>
      </c>
      <c r="FZ226" t="inlineStr">
        <is>
          <t xml:space="preserve">cash</t>
        </is>
      </c>
      <c r="GA226"/>
      <c r="GB226" s="4">
        <v>1</v>
      </c>
      <c r="GC226" s="4">
        <v>1</v>
      </c>
      <c r="GD226" s="6"/>
      <c r="GE226" s="4">
        <v>-4.440892098500626e-16</v>
      </c>
      <c r="GF226" s="5">
        <f>IF(FX226="direct",IFERROR(GL226/GC226,0),0)</f>
        <v>0</v>
      </c>
      <c r="GG226" s="5">
        <f>IF(FX226="direct",GE226-GF226,IF(FX226="cash",GQ226,GE226))</f>
        <v>-0.013643333768039527</v>
      </c>
      <c r="GH226" s="6"/>
      <c r="GI226" s="4">
        <v>-4.440892098500626e-16</v>
      </c>
      <c r="GJ226" s="4">
        <v>-4.440892098500626e-16</v>
      </c>
      <c r="GK226" s="5">
        <f>IF(FX226="direct",GE226*(GC226-GB226),GN226)</f>
        <v>0</v>
      </c>
      <c r="GL226" s="5">
        <f>IF(FX226="direct",GJ226*GD226*C226/365,0)</f>
        <v>0</v>
      </c>
      <c r="GM226" s="5">
        <f>GK226-GL226</f>
        <v>0</v>
      </c>
      <c r="GN226" s="4">
        <v>0</v>
      </c>
      <c r="GO226" s="5">
        <f>GN226-GM226</f>
        <v>0</v>
      </c>
      <c r="GP226" s="4">
        <v>-0.013643333768039083</v>
      </c>
      <c r="GQ226" s="4">
        <v>-0.013643333768039527</v>
      </c>
      <c r="GR226" s="4">
        <v>1.922</v>
      </c>
      <c r="GS226" s="4">
        <v>1.908</v>
      </c>
      <c r="GT226" s="6"/>
      <c r="GU226" s="6"/>
      <c r="GV226" s="6"/>
      <c r="GW226" s="9"/>
      <c r="GX226" s="7">
        <f>IFERROR(GM226/F226,0)</f>
        <v>0</v>
      </c>
      <c r="GY226" t="inlineStr">
        <is>
          <t xml:space="preserve">Keep cash / margin / financing</t>
        </is>
      </c>
      <c r="GZ226" t="inlineStr">
        <is>
          <t xml:space="preserve">cash</t>
        </is>
      </c>
      <c r="HA226" t="inlineStr">
        <is>
          <t xml:space="preserve">keep</t>
        </is>
      </c>
      <c r="HB226" t="inlineStr">
        <is>
          <t xml:space="preserve">cash</t>
        </is>
      </c>
      <c r="HC226"/>
      <c r="HD226" s="4">
        <v>1</v>
      </c>
      <c r="HE226" s="4">
        <v>1</v>
      </c>
      <c r="HF226" s="6"/>
      <c r="HG226" s="4">
        <v>0</v>
      </c>
      <c r="HH226" s="5">
        <f>IF(GZ226="direct",IFERROR(HN226/HE226,0),0)</f>
        <v>0</v>
      </c>
      <c r="HI226" s="5">
        <f>IF(GZ226="direct",HG226-HH226,IF(GZ226="cash",HS226,HG226))</f>
        <v>0</v>
      </c>
      <c r="HJ226" s="6"/>
      <c r="HK226" s="4">
        <v>0</v>
      </c>
      <c r="HL226" s="4">
        <v>0</v>
      </c>
      <c r="HM226" s="5">
        <f>IF(GZ226="direct",HG226*(HE226-HD226),HP226)</f>
        <v>0</v>
      </c>
      <c r="HN226" s="5">
        <f>IF(GZ226="direct",HL226*HF226*C226/365,0)</f>
        <v>0</v>
      </c>
      <c r="HO226" s="5">
        <f>HM226-HN226</f>
        <v>0</v>
      </c>
      <c r="HP226" s="4">
        <v>0</v>
      </c>
      <c r="HQ226" s="5">
        <f>HP226-HO226</f>
        <v>0</v>
      </c>
      <c r="HR226" s="4">
        <v>0</v>
      </c>
      <c r="HS226" s="4">
        <v>0</v>
      </c>
      <c r="HT226" s="4">
        <v>1.922</v>
      </c>
      <c r="HU226" s="4">
        <v>1.908</v>
      </c>
      <c r="HV226" s="6"/>
      <c r="HW226" s="6"/>
      <c r="HX226" s="6"/>
      <c r="HY226" s="9"/>
      <c r="HZ226" s="7">
        <f>IFERROR(HO226/F226,0)</f>
        <v>0</v>
      </c>
      <c r="IA226"/>
      <c r="IB226"/>
      <c r="IC226"/>
      <c r="ID226"/>
      <c r="IE226"/>
      <c r="IF226" s="4"/>
      <c r="IG226" s="4"/>
      <c r="IH226" s="6"/>
      <c r="II226" s="4"/>
      <c r="IJ226" s="5">
        <v>0</v>
      </c>
      <c r="IK226" s="5"/>
      <c r="IL226" s="6"/>
      <c r="IM226" s="4"/>
      <c r="IN226" s="4"/>
      <c r="IO226" s="5">
        <v>0</v>
      </c>
      <c r="IP226" s="5">
        <v>0</v>
      </c>
      <c r="IQ226" s="5"/>
      <c r="IR226" s="4"/>
      <c r="IS226" s="5">
        <v>0</v>
      </c>
      <c r="IT226" s="4"/>
      <c r="IU226" s="4"/>
      <c r="IV226" s="4"/>
      <c r="IW226" s="4"/>
      <c r="IX226" s="6"/>
      <c r="IY226" s="6"/>
      <c r="IZ226" s="6"/>
      <c r="JA226" s="9"/>
      <c r="JB226"/>
      <c r="JC226"/>
      <c r="JD226"/>
      <c r="JE226"/>
      <c r="JF226"/>
      <c r="JG226"/>
      <c r="JH226" s="4"/>
      <c r="JI226" s="4"/>
      <c r="JJ226" s="6"/>
      <c r="JK226" s="4"/>
      <c r="JL226" s="5">
        <v>0</v>
      </c>
      <c r="JM226" s="5"/>
      <c r="JN226" s="6"/>
      <c r="JO226" s="4"/>
      <c r="JP226" s="4"/>
      <c r="JQ226" s="5">
        <v>0</v>
      </c>
      <c r="JR226" s="5">
        <v>0</v>
      </c>
      <c r="JS226" s="5"/>
      <c r="JT226" s="4"/>
      <c r="JU226" s="5">
        <v>0</v>
      </c>
      <c r="JV226" s="4"/>
      <c r="JW226" s="4"/>
      <c r="JX226" s="4"/>
      <c r="JY226" s="4"/>
      <c r="JZ226" s="6"/>
      <c r="KA226" s="6"/>
      <c r="KB226" s="6"/>
      <c r="KC226" s="9"/>
      <c r="KD226"/>
      <c r="KE226"/>
      <c r="KF226"/>
      <c r="KG226"/>
      <c r="KH226"/>
      <c r="KI226"/>
      <c r="KJ226" s="4"/>
      <c r="KK226" s="4"/>
      <c r="KL226" s="6"/>
      <c r="KM226" s="4"/>
      <c r="KN226" s="5">
        <v>0</v>
      </c>
      <c r="KO226" s="5"/>
      <c r="KP226" s="6"/>
      <c r="KQ226" s="4"/>
      <c r="KR226" s="4"/>
      <c r="KS226" s="5">
        <v>0</v>
      </c>
      <c r="KT226" s="5">
        <v>0</v>
      </c>
      <c r="KU226" s="5"/>
      <c r="KV226" s="4"/>
      <c r="KW226" s="5">
        <v>0</v>
      </c>
      <c r="KX226" s="4"/>
      <c r="KY226" s="4"/>
      <c r="KZ226" s="4"/>
      <c r="LA226" s="4"/>
      <c r="LB226" s="6"/>
      <c r="LC226" s="6"/>
      <c r="LD226" s="6"/>
      <c r="LE226" s="9"/>
      <c r="LF226"/>
      <c r="LG226"/>
      <c r="LH226"/>
      <c r="LI226"/>
      <c r="LJ226"/>
      <c r="LK226"/>
      <c r="LL226" s="4"/>
      <c r="LM226" s="4"/>
      <c r="LN226" s="6"/>
      <c r="LO226" s="4"/>
      <c r="LP226" s="5">
        <v>0</v>
      </c>
      <c r="LQ226" s="5"/>
      <c r="LR226" s="6"/>
      <c r="LS226" s="4"/>
      <c r="LT226" s="4"/>
      <c r="LU226" s="5">
        <v>0</v>
      </c>
      <c r="LV226" s="5">
        <v>0</v>
      </c>
      <c r="LW226" s="5"/>
      <c r="LX226" s="4"/>
      <c r="LY226" s="5">
        <v>0</v>
      </c>
      <c r="LZ226" s="4"/>
      <c r="MA226" s="4"/>
      <c r="MB226" s="4"/>
      <c r="MC226" s="4"/>
      <c r="MD226" s="6"/>
      <c r="ME226" s="6"/>
      <c r="MF226" s="6"/>
      <c r="MG226" s="9"/>
      <c r="MH226"/>
    </row>
    <row r="227">
      <c r="A227" s="8">
        <v>25540</v>
      </c>
      <c r="B227" s="8">
        <v>25541</v>
      </c>
      <c r="C227" s="9">
        <f>B227-A227</f>
        <v>1</v>
      </c>
      <c r="D227" s="8">
        <v>25540</v>
      </c>
      <c r="E227" t="inlineStr">
        <is>
          <t xml:space="preserve">positive</t>
        </is>
      </c>
      <c r="F227" s="4">
        <v>2.05080044991522</v>
      </c>
      <c r="G227" s="6">
        <v>-0.027172215518384567</v>
      </c>
      <c r="H227" s="7">
        <f>SUM(CP227,DR227,ET227,FV227,GX227,HZ227,JB227,KD227,LF227,MH227)</f>
        <v>-0.02717221551838456</v>
      </c>
      <c r="I227" s="7">
        <f>G227-H227</f>
        <v>-6.938893903907228e-18</v>
      </c>
      <c r="J227" s="5">
        <f>F227*(1+H227)</f>
        <v>1.9950756581049236</v>
      </c>
      <c r="K227" s="4">
        <v>1.9950756581049236</v>
      </c>
      <c r="L227" s="5">
        <f>K227-J227</f>
        <v>0</v>
      </c>
      <c r="M227" s="4">
        <v>1.908</v>
      </c>
      <c r="N227" s="4">
        <v>1.877</v>
      </c>
      <c r="O227" s="5">
        <f>M227/$M$3</f>
        <v>0.9744637385086823</v>
      </c>
      <c r="P227" s="5">
        <f>N227/$M$3</f>
        <v>0.9586312563840654</v>
      </c>
      <c r="Q227" s="7">
        <f>IFERROR(N227/M227-1,0)</f>
        <v>-0.016247379454926603</v>
      </c>
      <c r="R227" s="5">
        <f>SUM(IF(BQ227="lease",CB227,0),IF(CS227="lease",DD227,0),IF(DU227="lease",EF227,0),IF(EW227="lease",FH227,0),IF(FY227="lease",GJ227,0),IF(HA227="lease",HL227,0),IF(IC227="lease",IN227,0),IF(JE227="lease",JP227,0),IF(KG227="lease",KR227,0),IF(LI227="lease",LT227,0))</f>
        <v>2.0508004499152195</v>
      </c>
      <c r="S227" s="5">
        <f>SUM(IF(BQ227="lease",CI227,0),IF(CS227="lease",DK227,0),IF(DU227="lease",EM227,0),IF(EW227="lease",FO227,0),IF(FY227="lease",GQ227,0),IF(HA227="lease",HS227,0),IF(IC227="lease",IU227,0),IF(JE227="lease",JW227,0),IF(KG227="lease",KY227,0),IF(LI227="lease",MA227,0))</f>
        <v>1.9950756581049227</v>
      </c>
      <c r="T227" s="5">
        <f>SUM(IF(BQ227="keep",CB227,0),IF(CS227="keep",DD227,0),IF(DU227="keep",EF227,0),IF(EW227="keep",FH227,0),IF(FY227="keep",GJ227,0),IF(HA227="keep",HL227,0),IF(IC227="keep",IN227,0),IF(JE227="keep",JP227,0),IF(KG227="keep",KR227,0),IF(LI227="keep",LT227,0))</f>
        <v>0</v>
      </c>
      <c r="U227" s="5">
        <f>SUM(IF(BQ227="keep",CI227,0),IF(CS227="keep",DK227,0),IF(DU227="keep",EM227,0),IF(EW227="keep",FO227,0),IF(FY227="keep",GQ227,0),IF(HA227="keep",HS227,0),IF(IC227="keep",IU227,0),IF(JE227="keep",JW227,0),IF(KG227="keep",KY227,0),IF(LI227="keep",MA227,0))</f>
        <v>0</v>
      </c>
      <c r="V227" s="5">
        <f>R227/O227</f>
        <v>2.1045426000702308</v>
      </c>
      <c r="W227" s="5">
        <f>S227/P227</f>
        <v>2.0811710914062007</v>
      </c>
      <c r="X227" s="5">
        <f>T227/O227</f>
        <v>0</v>
      </c>
      <c r="Y227" s="5">
        <f>U227/P227</f>
        <v>0</v>
      </c>
      <c r="Z227" s="5">
        <f>V227+X227</f>
        <v>2.1045426000702308</v>
      </c>
      <c r="AA227" s="7">
        <f>IFERROR(W227/V227-1,0)</f>
        <v>-0.011105267559445076</v>
      </c>
      <c r="AB227" s="7">
        <f>IFERROR((W227-V227)/Z227,0)</f>
        <v>-0.011105267559445034</v>
      </c>
      <c r="AC227" s="7">
        <f>IFERROR(Y227/X227-1,0)</f>
        <v>0</v>
      </c>
      <c r="AD227" s="7">
        <f>IFERROR((Y227-X227)/Z227,0)</f>
        <v>0</v>
      </c>
      <c r="AE227" s="7">
        <f>AB227+AD227</f>
        <v>-0.011105267559445034</v>
      </c>
      <c r="AF227" s="7">
        <f>(1+Q227)*(1+AE227)-1</f>
        <v>-0.02717221551838489</v>
      </c>
      <c r="AG227" s="7">
        <f>G227-AF227</f>
        <v>3.226585665316861e-16</v>
      </c>
      <c r="AH227" s="5">
        <f>SUM(IF(BQ227="lease",CE227,0),IF(CS227="lease",DG227,0),IF(DU227="lease",EI227,0),IF(EW227="lease",FK227,0),IF(FY227="lease",GM227,0),IF(HA227="lease",HO227,0),IF(IC227="lease",IQ227,0),IF(JE227="lease",JS227,0),IF(KG227="lease",KU227,0),IF(LI227="lease",LW227,0))</f>
        <v>-0.055724791810296374</v>
      </c>
      <c r="AI227" s="5">
        <f>SUM(IF(BQ227="keep",CE227,0),IF(CS227="keep",DG227,0),IF(DU227="keep",EI227,0),IF(EW227="keep",FK227,0),IF(FY227="keep",GM227,0),IF(HA227="keep",HO227,0),IF(IC227="keep",IQ227,0),IF(JE227="keep",JS227,0),IF(KG227="keep",KU227,0),IF(LI227="keep",LW227,0))</f>
        <v>0</v>
      </c>
      <c r="AJ227" s="5">
        <f>SUM(IF(BQ227="lease",CH227,0),IF(CS227="lease",DJ227,0),IF(DU227="lease",EL227,0),IF(EW227="lease",FN227,0),IF(FY227="lease",GP227,0),IF(HA227="lease",HR227,0),IF(IC227="lease",IT227,0),IF(JE227="lease",JV227,0),IF(KG227="lease",KX227,0),IF(LI227="lease",LZ227,0))</f>
        <v>0</v>
      </c>
      <c r="AK227" s="5">
        <f>SUM(IF(BQ227="keep",CH227,0),IF(CS227="keep",DJ227,0),IF(DU227="keep",EL227,0),IF(EW227="keep",FN227,0),IF(FY227="keep",GP227,0),IF(HA227="keep",HR227,0),IF(IC227="keep",IT227,0),IF(JE227="keep",JV227,0),IF(KG227="keep",KX227,0),IF(LI227="keep",LZ227,0))</f>
        <v>0</v>
      </c>
      <c r="AL227" s="5">
        <f>R227-S226</f>
        <v>0</v>
      </c>
      <c r="AM227" s="5">
        <f>T227-U226</f>
        <v>0</v>
      </c>
      <c r="AN227" s="5">
        <f>AN226</f>
        <v>1</v>
      </c>
      <c r="AO227" s="5">
        <f>AO226+AH227</f>
        <v>0.9950756581049236</v>
      </c>
      <c r="AP227" s="5">
        <f>AP226+AL227</f>
        <v>1.1102230246251565e-15</v>
      </c>
      <c r="AQ227" s="5">
        <f>AN227+AO227+AP227</f>
        <v>1.9950756581049247</v>
      </c>
      <c r="AR227" s="5">
        <f>S227-AQ227</f>
        <v>-1.9984014443252818e-15</v>
      </c>
      <c r="AS227" s="5">
        <f>AS226</f>
        <v>0</v>
      </c>
      <c r="AT227" s="5">
        <f>AT226+AI227</f>
        <v>0</v>
      </c>
      <c r="AU227" s="5">
        <f>AU226+AM227</f>
        <v>0</v>
      </c>
      <c r="AV227" s="5">
        <f>AS227+AT227+AU227</f>
        <v>0</v>
      </c>
      <c r="AW227" s="5">
        <f>U227-AV227</f>
        <v>0</v>
      </c>
      <c r="AX227" s="4">
        <v>2.0508004499152195</v>
      </c>
      <c r="AY227" s="4">
        <v>1.9950756581049232</v>
      </c>
      <c r="AZ227" s="5">
        <f>S227-AY227</f>
        <v>-4.440892098500626e-16</v>
      </c>
      <c r="BA227" s="4">
        <v>0</v>
      </c>
      <c r="BB227" s="4">
        <v>0</v>
      </c>
      <c r="BC227" s="5">
        <f>U227-BB227</f>
        <v>0</v>
      </c>
      <c r="BD227" s="7">
        <f>SUM(IF(BP227="direct",CC227/F227,0),IF(CR227="direct",DE227/F227,0),IF(DT227="direct",EG227/F227,0),IF(EV227="direct",FI227/F227,0),IF(FX227="direct",GK227/F227,0),IF(GZ227="direct",HM227/F227,0),IF(IB227="direct",IO227/F227,0),IF(JD227="direct",JQ227/F227,0),IF(KF227="direct",KS227/F227,0),IF(LH227="direct",LU227/F227,0))</f>
        <v>-0.000024171503187479778</v>
      </c>
      <c r="BE227" s="7">
        <f>-SUM(IF(BP227="direct",CD227/F227,0),IF(CR227="direct",DF227/F227,0),IF(DT227="direct",EH227/F227,0),IF(EV227="direct",FJ227/F227,0),IF(FX227="direct",GL227/F227,0),IF(GZ227="direct",HN227/F227,0),IF(IB227="direct",IP227/F227,0),IF(JD227="direct",JR227/F227,0),IF(KF227="direct",KT227/F227,0),IF(LH227="direct",LV227/F227,0))</f>
        <v>-1.018984270475288e-8</v>
      </c>
      <c r="BF227" s="7">
        <f>BD227+BE227</f>
        <v>-0.00002418169303018453</v>
      </c>
      <c r="BG227" s="7">
        <f>BF227-SUM(IF(BP227="direct",CP227,0),IF(CR227="direct",DR227,0),IF(DT227="direct",ET227,0),IF(EV227="direct",FV227,0),IF(FX227="direct",GX227,0),IF(GZ227="direct",HZ227,0),IF(IB227="direct",JB227,0),IF(JD227="direct",KD227,0),IF(KF227="direct",LF227,0),IF(LH227="direct",MH227,0))</f>
        <v>3.049318610115481e-20</v>
      </c>
      <c r="BH227" s="7">
        <f>SUM(IF(BP227="treasury",CP227,0),IF(CR227="treasury",DR227,0),IF(DT227="treasury",ET227,0),IF(EV227="treasury",FV227,0),IF(FX227="treasury",GX227,0),IF(GZ227="treasury",HZ227,0),IF(IB227="treasury",JB227,0),IF(JD227="treasury",KD227,0),IF(KF227="treasury",LF227,0),IF(LH227="treasury",MH227,0))</f>
        <v>0.00020845653688203038</v>
      </c>
      <c r="BI227" s="7">
        <f>SUM(IF(BP227="future",CP227,0),IF(CR227="future",DR227,0),IF(DT227="future",ET227,0),IF(EV227="future",FV227,0),IF(FX227="future",GX227,0),IF(GZ227="future",HZ227,0),IF(IB227="future",JB227,0),IF(JD227="future",KD227,0),IF(KF227="future",LF227,0),IF(LH227="future",MH227,0))</f>
        <v>-0.027356490362236405</v>
      </c>
      <c r="BJ227" s="7">
        <f>SUM(IF(BP227="cash",CP227,0),IF(CR227="cash",DR227,0),IF(DT227="cash",ET227,0),IF(EV227="cash",FV227,0),IF(FX227="cash",GX227,0),IF(GZ227="cash",HZ227,0),IF(IB227="cash",JB227,0),IF(JD227="cash",KD227,0),IF(KF227="cash",LF227,0),IF(LH227="cash",MH227,0))</f>
        <v>0</v>
      </c>
      <c r="BK227" s="7">
        <f>SUM(BF227,BH227,BI227,BJ227)</f>
        <v>-0.02717221551838456</v>
      </c>
      <c r="BL227" s="7">
        <f>G227-BK227</f>
        <v>-6.938893903907228e-18</v>
      </c>
      <c r="BM227" s="5">
        <f>MAX(ABS(CG227),ABS(DI227),ABS(EK227),ABS(FM227),ABS(GO227),ABS(HQ227),ABS(IS227),ABS(JU227),ABS(KW227),ABS(LY227))</f>
        <v>2.6698478497455547e-16</v>
      </c>
      <c r="BN227" s="9">
        <f>COUNTA(BO227,CQ227,DS227,EU227,FW227,GY227,IA227,JC227,KE227,LG227)</f>
        <v>6</v>
      </c>
      <c r="BO227" t="inlineStr">
        <is>
          <t xml:space="preserve">Direct commodity holding</t>
        </is>
      </c>
      <c r="BP227" t="inlineStr">
        <is>
          <t xml:space="preserve">direct</t>
        </is>
      </c>
      <c r="BQ227" t="inlineStr">
        <is>
          <t xml:space="preserve">lease</t>
        </is>
      </c>
      <c r="BR227" t="inlineStr">
        <is>
          <t xml:space="preserve">long</t>
        </is>
      </c>
      <c r="BS227"/>
      <c r="BT227" s="4">
        <v>1.908</v>
      </c>
      <c r="BU227" s="4">
        <v>1.877</v>
      </c>
      <c r="BV227" s="6">
        <v>0.0025</v>
      </c>
      <c r="BW227" s="4">
        <v>0.0015990622455487366</v>
      </c>
      <c r="BX227" s="5">
        <f>IF(BP227="direct",IFERROR(CD227/BU227,0),0)</f>
        <v>1.1133369208030117e-8</v>
      </c>
      <c r="BY227" s="5">
        <f>IF(BP227="direct",BW227-BX227,IF(BP227="cash",CI227,BW227))</f>
        <v>0.0015990511121795285</v>
      </c>
      <c r="BZ227" s="6">
        <v>0.0014877170348939206</v>
      </c>
      <c r="CA227" s="4">
        <v>0.0030510107645069892</v>
      </c>
      <c r="CB227" s="4">
        <v>0.0030510107645069892</v>
      </c>
      <c r="CC227" s="5">
        <f>IF(BP227="direct",BW227*(BU227-BT227),CF227)</f>
        <v>-0.0000495709296120107</v>
      </c>
      <c r="CD227" s="5">
        <f>IF(BP227="direct",CB227*BV227*C227/365,0)</f>
        <v>2.089733400347253e-8</v>
      </c>
      <c r="CE227" s="5">
        <f>CC227-CD227</f>
        <v>-0.000049591826946014235</v>
      </c>
      <c r="CF227" s="4">
        <v>-0.000049591826946014235</v>
      </c>
      <c r="CG227" s="5">
        <f>CF227-CE227</f>
        <v>-6.039080216127144e-20</v>
      </c>
      <c r="CH227" s="4">
        <v>0</v>
      </c>
      <c r="CI227" s="4">
        <v>0.003001418937560975</v>
      </c>
      <c r="CJ227" s="4">
        <v>1.908</v>
      </c>
      <c r="CK227" s="4">
        <v>1.877</v>
      </c>
      <c r="CL227" s="6"/>
      <c r="CM227" s="6"/>
      <c r="CN227" s="6"/>
      <c r="CO227" s="9"/>
      <c r="CP227" s="7">
        <f>IFERROR(CE227/F227,0)</f>
        <v>-0.00002418169303018456</v>
      </c>
      <c r="CQ227" t="inlineStr">
        <is>
          <t xml:space="preserve">Treasury collateral</t>
        </is>
      </c>
      <c r="CR227" t="inlineStr">
        <is>
          <t xml:space="preserve">treasury</t>
        </is>
      </c>
      <c r="CS227" t="inlineStr">
        <is>
          <t xml:space="preserve">lease</t>
        </is>
      </c>
      <c r="CT227" t="inlineStr">
        <is>
          <t xml:space="preserve">long</t>
        </is>
      </c>
      <c r="CU227"/>
      <c r="CV227" s="4">
        <v>106.21090907315795</v>
      </c>
      <c r="CW227" s="4">
        <v>106.23308241910694</v>
      </c>
      <c r="CX227" s="6"/>
      <c r="CY227" s="4">
        <v>0.019280029302265224</v>
      </c>
      <c r="CZ227" s="5">
        <f>IF(CR227="direct",IFERROR(DF227/CW227,0),0)</f>
        <v>0</v>
      </c>
      <c r="DA227" s="5">
        <f>IF(CR227="direct",CY227-CZ227,IF(CR227="cash",DK227,CY227))</f>
        <v>0.019280029302265224</v>
      </c>
      <c r="DB227" s="6">
        <v>0.9985122829651061</v>
      </c>
      <c r="DC227" s="4">
        <v>2.0477494391507127</v>
      </c>
      <c r="DD227" s="4">
        <v>2.0477494391507127</v>
      </c>
      <c r="DE227" s="5">
        <f>IF(CR227="direct",CY227*(CW227-CV227),DH227)</f>
        <v>0.0004275027596257035</v>
      </c>
      <c r="DF227" s="5">
        <f>IF(CR227="direct",DD227*CX227*C227/365,0)</f>
        <v>0</v>
      </c>
      <c r="DG227" s="5">
        <f>DE227-DF227</f>
        <v>0.0004275027596254365</v>
      </c>
      <c r="DH227" s="4">
        <v>0.0004275027596254365</v>
      </c>
      <c r="DI227" s="5">
        <f>DH227-DG227</f>
        <v>-2.6698478497455547e-16</v>
      </c>
      <c r="DJ227" s="4">
        <v>2.2768245622195593e-16</v>
      </c>
      <c r="DK227" s="4">
        <v>2.0481769419103384</v>
      </c>
      <c r="DL227" s="4">
        <v>1.908</v>
      </c>
      <c r="DM227" s="4">
        <v>1.877</v>
      </c>
      <c r="DN227" s="6"/>
      <c r="DO227" s="6"/>
      <c r="DP227" s="6"/>
      <c r="DQ227" s="9">
        <v>26</v>
      </c>
      <c r="DR227" s="7">
        <f>IFERROR(DG227/F227,0)</f>
        <v>0.00020845653688203038</v>
      </c>
      <c r="DS227" t="inlineStr">
        <is>
          <t xml:space="preserve">SI69Z</t>
        </is>
      </c>
      <c r="DT227" t="inlineStr">
        <is>
          <t xml:space="preserve">future</t>
        </is>
      </c>
      <c r="DU227" t="inlineStr">
        <is>
          <t xml:space="preserve">lease</t>
        </is>
      </c>
      <c r="DV227" t="inlineStr">
        <is>
          <t xml:space="preserve">long</t>
        </is>
      </c>
      <c r="DW227" t="inlineStr">
        <is>
          <t xml:space="preserve">regular</t>
        </is>
      </c>
      <c r="DX227" s="4">
        <v>1.8980000000000001</v>
      </c>
      <c r="DY227" s="4">
        <v>1.8459999999999999</v>
      </c>
      <c r="DZ227" s="6"/>
      <c r="EA227" s="4">
        <v>1.0788841862778333</v>
      </c>
      <c r="EB227" s="5">
        <f>IF(DT227="direct",IFERROR(EH227/DY227,0),0)</f>
        <v>0</v>
      </c>
      <c r="EC227" s="5">
        <f>IF(DT227="direct",EA227-EB227,IF(DT227="cash",EM227,EA227))</f>
        <v>1.0788841862778333</v>
      </c>
      <c r="ED227" s="6">
        <v>0.9984989937172974</v>
      </c>
      <c r="EE227" s="4">
        <v>2.047722185555328</v>
      </c>
      <c r="EF227" s="4">
        <v>0</v>
      </c>
      <c r="EG227" s="5">
        <f>IF(DT227="direct",EA227*(DY227-DX227),EJ227)</f>
        <v>-0.05610197768644756</v>
      </c>
      <c r="EH227" s="5">
        <f>IF(DT227="direct",EF227*DZ227*C227/365,0)</f>
        <v>0</v>
      </c>
      <c r="EI227" s="5">
        <f>EG227-EH227</f>
        <v>-0.05610197768644756</v>
      </c>
      <c r="EJ227" s="4">
        <v>-0.05610197768644756</v>
      </c>
      <c r="EK227" s="5">
        <f>EJ227-EI227</f>
        <v>0</v>
      </c>
      <c r="EL227" s="4">
        <v>0.05610197768644756</v>
      </c>
      <c r="EM227" s="4">
        <v>0</v>
      </c>
      <c r="EN227" s="4">
        <v>1.908</v>
      </c>
      <c r="EO227" s="4">
        <v>1.877</v>
      </c>
      <c r="EP227" s="6">
        <v>-0.005241090146750449</v>
      </c>
      <c r="EQ227" s="6">
        <v>0.0762</v>
      </c>
      <c r="ER227" s="6">
        <v>0.1497768424447659</v>
      </c>
      <c r="ES227" s="9">
        <v>26</v>
      </c>
      <c r="ET227" s="7">
        <f>IFERROR(EI227/F227,0)</f>
        <v>-0.027356136814172642</v>
      </c>
      <c r="EU227" t="inlineStr">
        <is>
          <t xml:space="preserve">SI70F</t>
        </is>
      </c>
      <c r="EV227" t="inlineStr">
        <is>
          <t xml:space="preserve">future</t>
        </is>
      </c>
      <c r="EW227" t="inlineStr">
        <is>
          <t xml:space="preserve">lease</t>
        </is>
      </c>
      <c r="EX227" t="inlineStr">
        <is>
          <t xml:space="preserve">long</t>
        </is>
      </c>
      <c r="EY227" t="inlineStr">
        <is>
          <t xml:space="preserve">regular</t>
        </is>
      </c>
      <c r="EZ227" s="4">
        <v>1.9169999999999998</v>
      </c>
      <c r="FA227" s="4">
        <v>1.8659999999999999</v>
      </c>
      <c r="FB227" s="6"/>
      <c r="FC227" s="4">
        <v>0.000014216794671311191</v>
      </c>
      <c r="FD227" s="5">
        <f>IF(EV227="direct",IFERROR(FJ227/FA227,0),0)</f>
        <v>0</v>
      </c>
      <c r="FE227" s="5">
        <f>IF(EV227="direct",FC227-FD227,IF(EV227="cash",FO227,FC227))</f>
        <v>0.000014216794671311191</v>
      </c>
      <c r="FF227" s="6">
        <v>0.000013289247808596012</v>
      </c>
      <c r="FG227" s="4">
        <v>0.00002725359538490355</v>
      </c>
      <c r="FH227" s="4">
        <v>0</v>
      </c>
      <c r="FI227" s="5">
        <f>IF(EV227="direct",FC227*(FA227-EZ227),FL227)</f>
        <v>-7.250565282368691e-7</v>
      </c>
      <c r="FJ227" s="5">
        <f>IF(EV227="direct",FH227*FB227*C227/365,0)</f>
        <v>0</v>
      </c>
      <c r="FK227" s="5">
        <f>FI227-FJ227</f>
        <v>-7.250565282368691e-7</v>
      </c>
      <c r="FL227" s="4">
        <v>-7.250565282368691e-7</v>
      </c>
      <c r="FM227" s="5">
        <f>FL227-FK227</f>
        <v>0</v>
      </c>
      <c r="FN227" s="4">
        <v>7.250565282368691e-7</v>
      </c>
      <c r="FO227" s="4">
        <v>0</v>
      </c>
      <c r="FP227" s="4">
        <v>1.908</v>
      </c>
      <c r="FQ227" s="4">
        <v>1.877</v>
      </c>
      <c r="FR227" s="6">
        <v>0.004716981132075526</v>
      </c>
      <c r="FS227" s="6">
        <v>0.0762</v>
      </c>
      <c r="FT227" s="6">
        <v>0.04545539083557916</v>
      </c>
      <c r="FU227" s="9">
        <v>56</v>
      </c>
      <c r="FV227" s="7">
        <f>IFERROR(FK227/F227,0)</f>
        <v>-3.535480637654643e-7</v>
      </c>
      <c r="FW227" t="inlineStr">
        <is>
          <t xml:space="preserve">Lease cash / margin / financing</t>
        </is>
      </c>
      <c r="FX227" t="inlineStr">
        <is>
          <t xml:space="preserve">cash</t>
        </is>
      </c>
      <c r="FY227" t="inlineStr">
        <is>
          <t xml:space="preserve">lease</t>
        </is>
      </c>
      <c r="FZ227" t="inlineStr">
        <is>
          <t xml:space="preserve">cash</t>
        </is>
      </c>
      <c r="GA227"/>
      <c r="GB227" s="4">
        <v>1</v>
      </c>
      <c r="GC227" s="4">
        <v>1</v>
      </c>
      <c r="GD227" s="6"/>
      <c r="GE227" s="4">
        <v>-4.440892098500626e-16</v>
      </c>
      <c r="GF227" s="5">
        <f>IF(FX227="direct",IFERROR(GL227/GC227,0),0)</f>
        <v>0</v>
      </c>
      <c r="GG227" s="5">
        <f>IF(FX227="direct",GE227-GF227,IF(FX227="cash",GQ227,GE227))</f>
        <v>-0.05610270274297647</v>
      </c>
      <c r="GH227" s="6"/>
      <c r="GI227" s="4">
        <v>-4.440892098500626e-16</v>
      </c>
      <c r="GJ227" s="4">
        <v>-4.440892098500626e-16</v>
      </c>
      <c r="GK227" s="5">
        <f>IF(FX227="direct",GE227*(GC227-GB227),GN227)</f>
        <v>0</v>
      </c>
      <c r="GL227" s="5">
        <f>IF(FX227="direct",GJ227*GD227*C227/365,0)</f>
        <v>0</v>
      </c>
      <c r="GM227" s="5">
        <f>GK227-GL227</f>
        <v>0</v>
      </c>
      <c r="GN227" s="4">
        <v>0</v>
      </c>
      <c r="GO227" s="5">
        <f>GN227-GM227</f>
        <v>0</v>
      </c>
      <c r="GP227" s="4">
        <v>-0.056102702742976025</v>
      </c>
      <c r="GQ227" s="4">
        <v>-0.05610270274297647</v>
      </c>
      <c r="GR227" s="4">
        <v>1.908</v>
      </c>
      <c r="GS227" s="4">
        <v>1.877</v>
      </c>
      <c r="GT227" s="6"/>
      <c r="GU227" s="6"/>
      <c r="GV227" s="6"/>
      <c r="GW227" s="9"/>
      <c r="GX227" s="7">
        <f>IFERROR(GM227/F227,0)</f>
        <v>0</v>
      </c>
      <c r="GY227" t="inlineStr">
        <is>
          <t xml:space="preserve">Keep cash / margin / financing</t>
        </is>
      </c>
      <c r="GZ227" t="inlineStr">
        <is>
          <t xml:space="preserve">cash</t>
        </is>
      </c>
      <c r="HA227" t="inlineStr">
        <is>
          <t xml:space="preserve">keep</t>
        </is>
      </c>
      <c r="HB227" t="inlineStr">
        <is>
          <t xml:space="preserve">cash</t>
        </is>
      </c>
      <c r="HC227"/>
      <c r="HD227" s="4">
        <v>1</v>
      </c>
      <c r="HE227" s="4">
        <v>1</v>
      </c>
      <c r="HF227" s="6"/>
      <c r="HG227" s="4">
        <v>0</v>
      </c>
      <c r="HH227" s="5">
        <f>IF(GZ227="direct",IFERROR(HN227/HE227,0),0)</f>
        <v>0</v>
      </c>
      <c r="HI227" s="5">
        <f>IF(GZ227="direct",HG227-HH227,IF(GZ227="cash",HS227,HG227))</f>
        <v>0</v>
      </c>
      <c r="HJ227" s="6"/>
      <c r="HK227" s="4">
        <v>0</v>
      </c>
      <c r="HL227" s="4">
        <v>0</v>
      </c>
      <c r="HM227" s="5">
        <f>IF(GZ227="direct",HG227*(HE227-HD227),HP227)</f>
        <v>0</v>
      </c>
      <c r="HN227" s="5">
        <f>IF(GZ227="direct",HL227*HF227*C227/365,0)</f>
        <v>0</v>
      </c>
      <c r="HO227" s="5">
        <f>HM227-HN227</f>
        <v>0</v>
      </c>
      <c r="HP227" s="4">
        <v>0</v>
      </c>
      <c r="HQ227" s="5">
        <f>HP227-HO227</f>
        <v>0</v>
      </c>
      <c r="HR227" s="4">
        <v>0</v>
      </c>
      <c r="HS227" s="4">
        <v>0</v>
      </c>
      <c r="HT227" s="4">
        <v>1.908</v>
      </c>
      <c r="HU227" s="4">
        <v>1.877</v>
      </c>
      <c r="HV227" s="6"/>
      <c r="HW227" s="6"/>
      <c r="HX227" s="6"/>
      <c r="HY227" s="9"/>
      <c r="HZ227" s="7">
        <f>IFERROR(HO227/F227,0)</f>
        <v>0</v>
      </c>
      <c r="IA227"/>
      <c r="IB227"/>
      <c r="IC227"/>
      <c r="ID227"/>
      <c r="IE227"/>
      <c r="IF227" s="4"/>
      <c r="IG227" s="4"/>
      <c r="IH227" s="6"/>
      <c r="II227" s="4"/>
      <c r="IJ227" s="5">
        <v>0</v>
      </c>
      <c r="IK227" s="5"/>
      <c r="IL227" s="6"/>
      <c r="IM227" s="4"/>
      <c r="IN227" s="4"/>
      <c r="IO227" s="5">
        <v>0</v>
      </c>
      <c r="IP227" s="5">
        <v>0</v>
      </c>
      <c r="IQ227" s="5"/>
      <c r="IR227" s="4"/>
      <c r="IS227" s="5">
        <v>0</v>
      </c>
      <c r="IT227" s="4"/>
      <c r="IU227" s="4"/>
      <c r="IV227" s="4"/>
      <c r="IW227" s="4"/>
      <c r="IX227" s="6"/>
      <c r="IY227" s="6"/>
      <c r="IZ227" s="6"/>
      <c r="JA227" s="9"/>
      <c r="JB227"/>
      <c r="JC227"/>
      <c r="JD227"/>
      <c r="JE227"/>
      <c r="JF227"/>
      <c r="JG227"/>
      <c r="JH227" s="4"/>
      <c r="JI227" s="4"/>
      <c r="JJ227" s="6"/>
      <c r="JK227" s="4"/>
      <c r="JL227" s="5">
        <v>0</v>
      </c>
      <c r="JM227" s="5"/>
      <c r="JN227" s="6"/>
      <c r="JO227" s="4"/>
      <c r="JP227" s="4"/>
      <c r="JQ227" s="5">
        <v>0</v>
      </c>
      <c r="JR227" s="5">
        <v>0</v>
      </c>
      <c r="JS227" s="5"/>
      <c r="JT227" s="4"/>
      <c r="JU227" s="5">
        <v>0</v>
      </c>
      <c r="JV227" s="4"/>
      <c r="JW227" s="4"/>
      <c r="JX227" s="4"/>
      <c r="JY227" s="4"/>
      <c r="JZ227" s="6"/>
      <c r="KA227" s="6"/>
      <c r="KB227" s="6"/>
      <c r="KC227" s="9"/>
      <c r="KD227"/>
      <c r="KE227"/>
      <c r="KF227"/>
      <c r="KG227"/>
      <c r="KH227"/>
      <c r="KI227"/>
      <c r="KJ227" s="4"/>
      <c r="KK227" s="4"/>
      <c r="KL227" s="6"/>
      <c r="KM227" s="4"/>
      <c r="KN227" s="5">
        <v>0</v>
      </c>
      <c r="KO227" s="5"/>
      <c r="KP227" s="6"/>
      <c r="KQ227" s="4"/>
      <c r="KR227" s="4"/>
      <c r="KS227" s="5">
        <v>0</v>
      </c>
      <c r="KT227" s="5">
        <v>0</v>
      </c>
      <c r="KU227" s="5"/>
      <c r="KV227" s="4"/>
      <c r="KW227" s="5">
        <v>0</v>
      </c>
      <c r="KX227" s="4"/>
      <c r="KY227" s="4"/>
      <c r="KZ227" s="4"/>
      <c r="LA227" s="4"/>
      <c r="LB227" s="6"/>
      <c r="LC227" s="6"/>
      <c r="LD227" s="6"/>
      <c r="LE227" s="9"/>
      <c r="LF227"/>
      <c r="LG227"/>
      <c r="LH227"/>
      <c r="LI227"/>
      <c r="LJ227"/>
      <c r="LK227"/>
      <c r="LL227" s="4"/>
      <c r="LM227" s="4"/>
      <c r="LN227" s="6"/>
      <c r="LO227" s="4"/>
      <c r="LP227" s="5">
        <v>0</v>
      </c>
      <c r="LQ227" s="5"/>
      <c r="LR227" s="6"/>
      <c r="LS227" s="4"/>
      <c r="LT227" s="4"/>
      <c r="LU227" s="5">
        <v>0</v>
      </c>
      <c r="LV227" s="5">
        <v>0</v>
      </c>
      <c r="LW227" s="5"/>
      <c r="LX227" s="4"/>
      <c r="LY227" s="5">
        <v>0</v>
      </c>
      <c r="LZ227" s="4"/>
      <c r="MA227" s="4"/>
      <c r="MB227" s="4"/>
      <c r="MC227" s="4"/>
      <c r="MD227" s="6"/>
      <c r="ME227" s="6"/>
      <c r="MF227" s="6"/>
      <c r="MG227" s="9"/>
      <c r="MH227"/>
    </row>
    <row r="228">
      <c r="A228" s="8">
        <v>25541</v>
      </c>
      <c r="B228" s="8">
        <v>25542</v>
      </c>
      <c r="C228" s="9">
        <f>B228-A228</f>
        <v>1</v>
      </c>
      <c r="D228" s="8">
        <v>25541</v>
      </c>
      <c r="E228" t="inlineStr">
        <is>
          <t xml:space="preserve">positive</t>
        </is>
      </c>
      <c r="F228" s="4">
        <v>1.9950756581049236</v>
      </c>
      <c r="G228" s="6">
        <v>0.0018344504946505712</v>
      </c>
      <c r="H228" s="7">
        <f>SUM(CP228,DR228,ET228,FV228,GX228,HZ228,JB228,KD228,LF228,MH228)</f>
        <v>0.0018344504946505714</v>
      </c>
      <c r="I228" s="7">
        <f>G228-H228</f>
        <v>-2.168404344971009e-19</v>
      </c>
      <c r="J228" s="5">
        <f>F228*(1+H228)</f>
        <v>1.9987355256327994</v>
      </c>
      <c r="K228" s="4">
        <v>1.9987355256327994</v>
      </c>
      <c r="L228" s="5">
        <f>K228-J228</f>
        <v>0</v>
      </c>
      <c r="M228" s="4">
        <v>1.877</v>
      </c>
      <c r="N228" s="4">
        <v>1.852</v>
      </c>
      <c r="O228" s="5">
        <f>M228/$M$3</f>
        <v>0.9586312563840654</v>
      </c>
      <c r="P228" s="5">
        <f>N228/$M$3</f>
        <v>0.9458631256384066</v>
      </c>
      <c r="Q228" s="7">
        <f>IFERROR(N228/M228-1,0)</f>
        <v>-0.01331912626531695</v>
      </c>
      <c r="R228" s="5">
        <f>SUM(IF(BQ228="lease",CB228,0),IF(CS228="lease",DD228,0),IF(DU228="lease",EF228,0),IF(EW228="lease",FH228,0),IF(FY228="lease",GJ228,0),IF(HA228="lease",HL228,0),IF(IC228="lease",IN228,0),IF(JE228="lease",JP228,0),IF(KG228="lease",KR228,0),IF(LI228="lease",LT228,0))</f>
        <v>1.9950756581049232</v>
      </c>
      <c r="S228" s="5">
        <f>SUM(IF(BQ228="lease",CI228,0),IF(CS228="lease",DK228,0),IF(DU228="lease",EM228,0),IF(EW228="lease",FO228,0),IF(FY228="lease",GQ228,0),IF(HA228="lease",HS228,0),IF(IC228="lease",IU228,0),IF(JE228="lease",JW228,0),IF(KG228="lease",KY228,0),IF(LI228="lease",MA228,0))</f>
        <v>1.998735525632799</v>
      </c>
      <c r="T228" s="5">
        <f>SUM(IF(BQ228="keep",CB228,0),IF(CS228="keep",DD228,0),IF(DU228="keep",EF228,0),IF(EW228="keep",FH228,0),IF(FY228="keep",GJ228,0),IF(HA228="keep",HL228,0),IF(IC228="keep",IN228,0),IF(JE228="keep",JP228,0),IF(KG228="keep",KR228,0),IF(LI228="keep",LT228,0))</f>
        <v>0</v>
      </c>
      <c r="U228" s="5">
        <f>SUM(IF(BQ228="keep",CI228,0),IF(CS228="keep",DK228,0),IF(DU228="keep",EM228,0),IF(EW228="keep",FO228,0),IF(FY228="keep",GQ228,0),IF(HA228="keep",HS228,0),IF(IC228="keep",IU228,0),IF(JE228="keep",JW228,0),IF(KG228="keep",KY228,0),IF(LI228="keep",MA228,0))</f>
        <v>0</v>
      </c>
      <c r="V228" s="5">
        <f>R228/O228</f>
        <v>2.081171091406201</v>
      </c>
      <c r="W228" s="5">
        <f>S228/P228</f>
        <v>2.1131339952424515</v>
      </c>
      <c r="X228" s="5">
        <f>T228/O228</f>
        <v>0</v>
      </c>
      <c r="Y228" s="5">
        <f>U228/P228</f>
        <v>0</v>
      </c>
      <c r="Z228" s="5">
        <f>V228+X228</f>
        <v>2.081171091406201</v>
      </c>
      <c r="AA228" s="7">
        <f>IFERROR(W228/V228-1,0)</f>
        <v>0.01535813368167327</v>
      </c>
      <c r="AB228" s="7">
        <f>IFERROR((W228-V228)/Z228,0)</f>
        <v>0.015358133681673287</v>
      </c>
      <c r="AC228" s="7">
        <f>IFERROR(Y228/X228-1,0)</f>
        <v>0</v>
      </c>
      <c r="AD228" s="7">
        <f>IFERROR((Y228-X228)/Z228,0)</f>
        <v>0</v>
      </c>
      <c r="AE228" s="7">
        <f>AB228+AD228</f>
        <v>0.015358133681673287</v>
      </c>
      <c r="AF228" s="7">
        <f>(1+Q228)*(1+AE228)-1</f>
        <v>0.0018344504946505857</v>
      </c>
      <c r="AG228" s="7">
        <f>G228-AF228</f>
        <v>-1.452830911130576e-17</v>
      </c>
      <c r="AH228" s="5">
        <f>SUM(IF(BQ228="lease",CE228,0),IF(CS228="lease",DG228,0),IF(DU228="lease",EI228,0),IF(EW228="lease",FK228,0),IF(FY228="lease",GM228,0),IF(HA228="lease",HO228,0),IF(IC228="lease",IQ228,0),IF(JE228="lease",JS228,0),IF(KG228="lease",KU228,0),IF(LI228="lease",LW228,0))</f>
        <v>0.0036598675278758912</v>
      </c>
      <c r="AI228" s="5">
        <f>SUM(IF(BQ228="keep",CE228,0),IF(CS228="keep",DG228,0),IF(DU228="keep",EI228,0),IF(EW228="keep",FK228,0),IF(FY228="keep",GM228,0),IF(HA228="keep",HO228,0),IF(IC228="keep",IQ228,0),IF(JE228="keep",JS228,0),IF(KG228="keep",KU228,0),IF(LI228="keep",LW228,0))</f>
        <v>0</v>
      </c>
      <c r="AJ228" s="5">
        <f>SUM(IF(BQ228="lease",CH228,0),IF(CS228="lease",DJ228,0),IF(DU228="lease",EL228,0),IF(EW228="lease",FN228,0),IF(FY228="lease",GP228,0),IF(HA228="lease",HR228,0),IF(IC228="lease",IT228,0),IF(JE228="lease",JV228,0),IF(KG228="lease",KX228,0),IF(LI228="lease",LZ228,0))</f>
        <v>0</v>
      </c>
      <c r="AK228" s="5">
        <f>SUM(IF(BQ228="keep",CH228,0),IF(CS228="keep",DJ228,0),IF(DU228="keep",EL228,0),IF(EW228="keep",FN228,0),IF(FY228="keep",GP228,0),IF(HA228="keep",HR228,0),IF(IC228="keep",IT228,0),IF(JE228="keep",JV228,0),IF(KG228="keep",KX228,0),IF(LI228="keep",LZ228,0))</f>
        <v>0</v>
      </c>
      <c r="AL228" s="5">
        <f>R228-S227</f>
        <v>4.440892098500626e-16</v>
      </c>
      <c r="AM228" s="5">
        <f>T228-U227</f>
        <v>0</v>
      </c>
      <c r="AN228" s="5">
        <f>AN227</f>
        <v>1</v>
      </c>
      <c r="AO228" s="5">
        <f>AO227+AH228</f>
        <v>0.9987355256327994</v>
      </c>
      <c r="AP228" s="5">
        <f>AP227+AL228</f>
        <v>1.5543122344752192e-15</v>
      </c>
      <c r="AQ228" s="5">
        <f>AN228+AO228+AP228</f>
        <v>1.998735525632801</v>
      </c>
      <c r="AR228" s="5">
        <f>S228-AQ228</f>
        <v>-1.9984014443252818e-15</v>
      </c>
      <c r="AS228" s="5">
        <f>AS227</f>
        <v>0</v>
      </c>
      <c r="AT228" s="5">
        <f>AT227+AI228</f>
        <v>0</v>
      </c>
      <c r="AU228" s="5">
        <f>AU227+AM228</f>
        <v>0</v>
      </c>
      <c r="AV228" s="5">
        <f>AS228+AT228+AU228</f>
        <v>0</v>
      </c>
      <c r="AW228" s="5">
        <f>U228-AV228</f>
        <v>0</v>
      </c>
      <c r="AX228" s="4">
        <v>1.9950756581049232</v>
      </c>
      <c r="AY228" s="4">
        <v>1.998735525632799</v>
      </c>
      <c r="AZ228" s="5">
        <f>S228-AY228</f>
        <v>0</v>
      </c>
      <c r="BA228" s="4">
        <v>0</v>
      </c>
      <c r="BB228" s="4">
        <v>0</v>
      </c>
      <c r="BC228" s="5">
        <f>U228-BB228</f>
        <v>0</v>
      </c>
      <c r="BD228" s="7">
        <f>SUM(IF(BP228="direct",CC228/F228,0),IF(CR228="direct",DE228/F228,0),IF(DT228="direct",EG228/F228,0),IF(EV228="direct",FI228/F228,0),IF(FX228="direct",GK228/F228,0),IF(GZ228="direct",HM228/F228,0),IF(IB228="direct",IO228/F228,0),IF(JD228="direct",JQ228/F228,0),IF(KF228="direct",KS228/F228,0),IF(LH228="direct",LU228/F228,0))</f>
        <v>0</v>
      </c>
      <c r="BE228" s="7">
        <f>-SUM(IF(BP228="direct",CD228/F228,0),IF(CR228="direct",DF228/F228,0),IF(DT228="direct",EH228/F228,0),IF(EV228="direct",FJ228/F228,0),IF(FX228="direct",GL228/F228,0),IF(GZ228="direct",HN228/F228,0),IF(IB228="direct",IP228/F228,0),IF(JD228="direct",JR228/F228,0),IF(KF228="direct",KT228/F228,0),IF(LH228="direct",LV228/F228,0))</f>
        <v>0</v>
      </c>
      <c r="BF228" s="7">
        <f>BD228+BE228</f>
        <v>0</v>
      </c>
      <c r="BG228" s="7">
        <f>BF228-SUM(IF(BP228="direct",CP228,0),IF(CR228="direct",DR228,0),IF(DT228="direct",ET228,0),IF(EV228="direct",FV228,0),IF(FX228="direct",GX228,0),IF(GZ228="direct",HZ228,0),IF(IB228="direct",JB228,0),IF(JD228="direct",KD228,0),IF(KF228="direct",LF228,0),IF(LH228="direct",MH228,0))</f>
        <v>0</v>
      </c>
      <c r="BH228" s="7">
        <f>SUM(IF(BP228="treasury",CP228,0),IF(CR228="treasury",DR228,0),IF(DT228="treasury",ET228,0),IF(EV228="treasury",FV228,0),IF(FX228="treasury",GX228,0),IF(GZ228="treasury",HZ228,0),IF(IB228="treasury",JB228,0),IF(JD228="treasury",KD228,0),IF(KF228="treasury",LF228,0),IF(LH228="treasury",MH228,0))</f>
        <v>0.00020931506849315067</v>
      </c>
      <c r="BI228" s="7">
        <f>SUM(IF(BP228="future",CP228,0),IF(CR228="future",DR228,0),IF(DT228="future",ET228,0),IF(EV228="future",FV228,0),IF(FX228="future",GX228,0),IF(GZ228="future",HZ228,0),IF(IB228="future",JB228,0),IF(JD228="future",KD228,0),IF(KF228="future",LF228,0),IF(LH228="future",MH228,0))</f>
        <v>0.0016251354261574208</v>
      </c>
      <c r="BJ228" s="7">
        <f>SUM(IF(BP228="cash",CP228,0),IF(CR228="cash",DR228,0),IF(DT228="cash",ET228,0),IF(EV228="cash",FV228,0),IF(FX228="cash",GX228,0),IF(GZ228="cash",HZ228,0),IF(IB228="cash",JB228,0),IF(JD228="cash",KD228,0),IF(KF228="cash",LF228,0),IF(LH228="cash",MH228,0))</f>
        <v>0</v>
      </c>
      <c r="BK228" s="7">
        <f>SUM(BF228,BH228,BI228,BJ228)</f>
        <v>0.0018344504946505714</v>
      </c>
      <c r="BL228" s="7">
        <f>G228-BK228</f>
        <v>-2.168404344971009e-19</v>
      </c>
      <c r="BM228" s="5">
        <f>MAX(ABS(CG228),ABS(DI228),ABS(EK228),ABS(FM228),ABS(GO228),ABS(HQ228),ABS(IS228),ABS(JU228),ABS(KW228),ABS(LY228))</f>
        <v>4.503775824504785e-16</v>
      </c>
      <c r="BN228" s="9">
        <f>COUNTA(BO228,CQ228,DS228,EU228,FW228,GY228,IA228,JC228,KE228,LG228)</f>
        <v>6</v>
      </c>
      <c r="BO228" t="inlineStr">
        <is>
          <t xml:space="preserve">Treasury collateral</t>
        </is>
      </c>
      <c r="BP228" t="inlineStr">
        <is>
          <t xml:space="preserve">treasury</t>
        </is>
      </c>
      <c r="BQ228" t="inlineStr">
        <is>
          <t xml:space="preserve">lease</t>
        </is>
      </c>
      <c r="BR228" t="inlineStr">
        <is>
          <t xml:space="preserve">long</t>
        </is>
      </c>
      <c r="BS228"/>
      <c r="BT228" s="4">
        <v>106.23308241910694</v>
      </c>
      <c r="BU228" s="4">
        <v>106.25531860402975</v>
      </c>
      <c r="BV228" s="6"/>
      <c r="BW228" s="4">
        <v>0.018780172924231106</v>
      </c>
      <c r="BX228" s="5">
        <f>IF(BP228="direct",IFERROR(CD228/BU228,0),0)</f>
        <v>0</v>
      </c>
      <c r="BY228" s="5">
        <f>IF(BP228="direct",BW228-BX228,IF(BP228="cash",CI228,BW228))</f>
        <v>0.018780172924231106</v>
      </c>
      <c r="BZ228" s="6">
        <v>1</v>
      </c>
      <c r="CA228" s="4">
        <v>1.9950756581049236</v>
      </c>
      <c r="CB228" s="4">
        <v>1.9950756581049236</v>
      </c>
      <c r="CC228" s="5">
        <f>IF(BP228="direct",BW228*(BU228-BT228),CF228)</f>
        <v>0.0004175993980257001</v>
      </c>
      <c r="CD228" s="5">
        <f>IF(BP228="direct",CB228*BV228*C228/365,0)</f>
        <v>0</v>
      </c>
      <c r="CE228" s="5">
        <f>CC228-CD228</f>
        <v>0.00041759939802524975</v>
      </c>
      <c r="CF228" s="4">
        <v>0.00041759939802524975</v>
      </c>
      <c r="CG228" s="5">
        <f>CF228-CE228</f>
        <v>-4.503775824504785e-16</v>
      </c>
      <c r="CH228" s="4">
        <v>5.199833619240479e-16</v>
      </c>
      <c r="CI228" s="4">
        <v>1.9954932575029494</v>
      </c>
      <c r="CJ228" s="4">
        <v>1.877</v>
      </c>
      <c r="CK228" s="4">
        <v>1.852</v>
      </c>
      <c r="CL228" s="6"/>
      <c r="CM228" s="6"/>
      <c r="CN228" s="6"/>
      <c r="CO228" s="9">
        <v>25</v>
      </c>
      <c r="CP228" s="7">
        <f>IFERROR(CE228/F228,0)</f>
        <v>0.00020931506849315067</v>
      </c>
      <c r="CQ228" t="inlineStr">
        <is>
          <t xml:space="preserve">SI69Z</t>
        </is>
      </c>
      <c r="CR228" t="inlineStr">
        <is>
          <t xml:space="preserve">future</t>
        </is>
      </c>
      <c r="CS228" t="inlineStr">
        <is>
          <t xml:space="preserve">lease</t>
        </is>
      </c>
      <c r="CT228" t="inlineStr">
        <is>
          <t xml:space="preserve">long</t>
        </is>
      </c>
      <c r="CU228" t="inlineStr">
        <is>
          <t xml:space="preserve">regular</t>
        </is>
      </c>
      <c r="CV228" s="4">
        <v>1.8459999999999999</v>
      </c>
      <c r="CW228" s="4">
        <v>1.849</v>
      </c>
      <c r="CX228" s="6"/>
      <c r="CY228" s="4">
        <v>1.08075604269621</v>
      </c>
      <c r="CZ228" s="5">
        <f>IF(CR228="direct",IFERROR(DF228/CW228,0),0)</f>
        <v>0</v>
      </c>
      <c r="DA228" s="5">
        <f>IF(CR228="direct",CY228-CZ228,IF(CR228="cash",DK228,CY228))</f>
        <v>1.08075604269621</v>
      </c>
      <c r="DB228" s="6">
        <v>0.9999999983520824</v>
      </c>
      <c r="DC228" s="4">
        <v>1.9950756548172033</v>
      </c>
      <c r="DD228" s="4">
        <v>0</v>
      </c>
      <c r="DE228" s="5">
        <f>IF(CR228="direct",CY228*(CW228-CV228),DH228)</f>
        <v>0.0032422681280887614</v>
      </c>
      <c r="DF228" s="5">
        <f>IF(CR228="direct",DD228*CX228*C228/365,0)</f>
        <v>0</v>
      </c>
      <c r="DG228" s="5">
        <f>DE228-DF228</f>
        <v>0.0032422681280887614</v>
      </c>
      <c r="DH228" s="4">
        <v>0.0032422681280887614</v>
      </c>
      <c r="DI228" s="5">
        <f>DH228-DG228</f>
        <v>0</v>
      </c>
      <c r="DJ228" s="4">
        <v>-0.0032422681280887614</v>
      </c>
      <c r="DK228" s="4">
        <v>0</v>
      </c>
      <c r="DL228" s="4">
        <v>1.877</v>
      </c>
      <c r="DM228" s="4">
        <v>1.852</v>
      </c>
      <c r="DN228" s="6">
        <v>-0.0165157165689932</v>
      </c>
      <c r="DO228" s="6">
        <v>0.0764</v>
      </c>
      <c r="DP228" s="6">
        <v>0.3175294619073007</v>
      </c>
      <c r="DQ228" s="9">
        <v>25</v>
      </c>
      <c r="DR228" s="7">
        <f>IFERROR(DG228/F228,0)</f>
        <v>0.0016251354252743062</v>
      </c>
      <c r="DS228" t="inlineStr">
        <is>
          <t xml:space="preserve">SI70F</t>
        </is>
      </c>
      <c r="DT228" t="inlineStr">
        <is>
          <t xml:space="preserve">future</t>
        </is>
      </c>
      <c r="DU228" t="inlineStr">
        <is>
          <t xml:space="preserve">lease</t>
        </is>
      </c>
      <c r="DV228" t="inlineStr">
        <is>
          <t xml:space="preserve">long</t>
        </is>
      </c>
      <c r="DW228" t="inlineStr">
        <is>
          <t xml:space="preserve">regular</t>
        </is>
      </c>
      <c r="DX228" s="4">
        <v>1.8659999999999999</v>
      </c>
      <c r="DY228" s="4">
        <v>1.867</v>
      </c>
      <c r="DZ228" s="6"/>
      <c r="EA228" s="4">
        <v>1.7618940322544516e-9</v>
      </c>
      <c r="EB228" s="5">
        <f>IF(DT228="direct",IFERROR(EH228/DY228,0),0)</f>
        <v>0</v>
      </c>
      <c r="EC228" s="5">
        <f>IF(DT228="direct",EA228-EB228,IF(DT228="cash",EM228,EA228))</f>
        <v>1.7618940322544516e-9</v>
      </c>
      <c r="ED228" s="6">
        <v>1.6479045548125784e-9</v>
      </c>
      <c r="EE228" s="4">
        <v>3.2876942641868063e-9</v>
      </c>
      <c r="EF228" s="4">
        <v>0</v>
      </c>
      <c r="EG228" s="5">
        <f>IF(DT228="direct",EA228*(DY228-DX228),EJ228)</f>
        <v>1.7618940322545557e-12</v>
      </c>
      <c r="EH228" s="5">
        <f>IF(DT228="direct",EF228*DZ228*C228/365,0)</f>
        <v>0</v>
      </c>
      <c r="EI228" s="5">
        <f>EG228-EH228</f>
        <v>1.7618940322545557e-12</v>
      </c>
      <c r="EJ228" s="4">
        <v>1.7618940322545557e-12</v>
      </c>
      <c r="EK228" s="5">
        <f>EJ228-EI228</f>
        <v>0</v>
      </c>
      <c r="EL228" s="4">
        <v>-1.7618940322545557e-12</v>
      </c>
      <c r="EM228" s="4">
        <v>0</v>
      </c>
      <c r="EN228" s="4">
        <v>1.877</v>
      </c>
      <c r="EO228" s="4">
        <v>1.852</v>
      </c>
      <c r="EP228" s="6">
        <v>-0.005860415556739551</v>
      </c>
      <c r="EQ228" s="6">
        <v>0.0764</v>
      </c>
      <c r="ER228" s="6">
        <v>0.11529184869472613</v>
      </c>
      <c r="ES228" s="9">
        <v>55</v>
      </c>
      <c r="ET228" s="7">
        <f>IFERROR(EI228/F228,0)</f>
        <v>8.831214120110804e-13</v>
      </c>
      <c r="EU228" t="inlineStr">
        <is>
          <t xml:space="preserve">SI70H</t>
        </is>
      </c>
      <c r="EV228" t="inlineStr">
        <is>
          <t xml:space="preserve">future</t>
        </is>
      </c>
      <c r="EW228" t="inlineStr">
        <is>
          <t xml:space="preserve">lease</t>
        </is>
      </c>
      <c r="EX228" t="inlineStr">
        <is>
          <t xml:space="preserve">long</t>
        </is>
      </c>
      <c r="EY228" t="inlineStr">
        <is>
          <t xml:space="preserve">regular</t>
        </is>
      </c>
      <c r="EZ228" s="4">
        <v>1.91</v>
      </c>
      <c r="FA228" s="4">
        <v>1.909</v>
      </c>
      <c r="FB228" s="6"/>
      <c r="FC228" s="4">
        <v>1.3668036567640729e-14</v>
      </c>
      <c r="FD228" s="5">
        <f>IF(EV228="direct",IFERROR(FJ228/FA228,0),0)</f>
        <v>0</v>
      </c>
      <c r="FE228" s="5">
        <f>IF(EV228="direct",FC228-FD228,IF(EV228="cash",FO228,FC228))</f>
        <v>1.3668036567640729e-14</v>
      </c>
      <c r="FF228" s="6">
        <v>1.3085192903907831e-14</v>
      </c>
      <c r="FG228" s="4">
        <v>2.6105949844193792e-14</v>
      </c>
      <c r="FH228" s="4">
        <v>0</v>
      </c>
      <c r="FI228" s="5">
        <f>IF(EV228="direct",FC228*(FA228-EZ228),FL228)</f>
        <v>-1.3668036567638858e-17</v>
      </c>
      <c r="FJ228" s="5">
        <f>IF(EV228="direct",FH228*FB228*C228/365,0)</f>
        <v>0</v>
      </c>
      <c r="FK228" s="5">
        <f>FI228-FJ228</f>
        <v>-1.3668036567638858e-17</v>
      </c>
      <c r="FL228" s="4">
        <v>-1.3668036567638858e-17</v>
      </c>
      <c r="FM228" s="5">
        <f>FL228-FK228</f>
        <v>0</v>
      </c>
      <c r="FN228" s="4">
        <v>1.3668036567638858e-17</v>
      </c>
      <c r="FO228" s="4">
        <v>0</v>
      </c>
      <c r="FP228" s="4">
        <v>1.877</v>
      </c>
      <c r="FQ228" s="4">
        <v>1.852</v>
      </c>
      <c r="FR228" s="6">
        <v>0.01758124667021832</v>
      </c>
      <c r="FS228" s="6">
        <v>0.07695604395604395</v>
      </c>
      <c r="FT228" s="6">
        <v>0.020167061348701595</v>
      </c>
      <c r="FU228" s="9">
        <v>113</v>
      </c>
      <c r="FV228" s="7">
        <f>IFERROR(FK228/F228,0)</f>
        <v>-6.8508863371235814e-18</v>
      </c>
      <c r="FW228" t="inlineStr">
        <is>
          <t xml:space="preserve">Lease cash / margin / financing</t>
        </is>
      </c>
      <c r="FX228" t="inlineStr">
        <is>
          <t xml:space="preserve">cash</t>
        </is>
      </c>
      <c r="FY228" t="inlineStr">
        <is>
          <t xml:space="preserve">lease</t>
        </is>
      </c>
      <c r="FZ228" t="inlineStr">
        <is>
          <t xml:space="preserve">cash</t>
        </is>
      </c>
      <c r="GA228"/>
      <c r="GB228" s="4">
        <v>1</v>
      </c>
      <c r="GC228" s="4">
        <v>1</v>
      </c>
      <c r="GD228" s="6"/>
      <c r="GE228" s="4">
        <v>-4.440892098500626e-16</v>
      </c>
      <c r="GF228" s="5">
        <f>IF(FX228="direct",IFERROR(GL228/GC228,0),0)</f>
        <v>0</v>
      </c>
      <c r="GG228" s="5">
        <f>IF(FX228="direct",GE228-GF228,IF(FX228="cash",GQ228,GE228))</f>
        <v>0.0032422681298496774</v>
      </c>
      <c r="GH228" s="6"/>
      <c r="GI228" s="4">
        <v>-4.440892098500626e-16</v>
      </c>
      <c r="GJ228" s="4">
        <v>-4.440892098500626e-16</v>
      </c>
      <c r="GK228" s="5">
        <f>IF(FX228="direct",GE228*(GC228-GB228),GN228)</f>
        <v>0</v>
      </c>
      <c r="GL228" s="5">
        <f>IF(FX228="direct",GJ228*GD228*C228/365,0)</f>
        <v>0</v>
      </c>
      <c r="GM228" s="5">
        <f>GK228-GL228</f>
        <v>0</v>
      </c>
      <c r="GN228" s="4">
        <v>0</v>
      </c>
      <c r="GO228" s="5">
        <f>GN228-GM228</f>
        <v>0</v>
      </c>
      <c r="GP228" s="4">
        <v>0.0032422681298501215</v>
      </c>
      <c r="GQ228" s="4">
        <v>0.0032422681298496774</v>
      </c>
      <c r="GR228" s="4">
        <v>1.877</v>
      </c>
      <c r="GS228" s="4">
        <v>1.852</v>
      </c>
      <c r="GT228" s="6"/>
      <c r="GU228" s="6"/>
      <c r="GV228" s="6"/>
      <c r="GW228" s="9"/>
      <c r="GX228" s="7">
        <f>IFERROR(GM228/F228,0)</f>
        <v>0</v>
      </c>
      <c r="GY228" t="inlineStr">
        <is>
          <t xml:space="preserve">Keep cash / margin / financing</t>
        </is>
      </c>
      <c r="GZ228" t="inlineStr">
        <is>
          <t xml:space="preserve">cash</t>
        </is>
      </c>
      <c r="HA228" t="inlineStr">
        <is>
          <t xml:space="preserve">keep</t>
        </is>
      </c>
      <c r="HB228" t="inlineStr">
        <is>
          <t xml:space="preserve">cash</t>
        </is>
      </c>
      <c r="HC228"/>
      <c r="HD228" s="4">
        <v>1</v>
      </c>
      <c r="HE228" s="4">
        <v>1</v>
      </c>
      <c r="HF228" s="6"/>
      <c r="HG228" s="4">
        <v>0</v>
      </c>
      <c r="HH228" s="5">
        <f>IF(GZ228="direct",IFERROR(HN228/HE228,0),0)</f>
        <v>0</v>
      </c>
      <c r="HI228" s="5">
        <f>IF(GZ228="direct",HG228-HH228,IF(GZ228="cash",HS228,HG228))</f>
        <v>0</v>
      </c>
      <c r="HJ228" s="6"/>
      <c r="HK228" s="4">
        <v>0</v>
      </c>
      <c r="HL228" s="4">
        <v>0</v>
      </c>
      <c r="HM228" s="5">
        <f>IF(GZ228="direct",HG228*(HE228-HD228),HP228)</f>
        <v>0</v>
      </c>
      <c r="HN228" s="5">
        <f>IF(GZ228="direct",HL228*HF228*C228/365,0)</f>
        <v>0</v>
      </c>
      <c r="HO228" s="5">
        <f>HM228-HN228</f>
        <v>0</v>
      </c>
      <c r="HP228" s="4">
        <v>0</v>
      </c>
      <c r="HQ228" s="5">
        <f>HP228-HO228</f>
        <v>0</v>
      </c>
      <c r="HR228" s="4">
        <v>0</v>
      </c>
      <c r="HS228" s="4">
        <v>0</v>
      </c>
      <c r="HT228" s="4">
        <v>1.877</v>
      </c>
      <c r="HU228" s="4">
        <v>1.852</v>
      </c>
      <c r="HV228" s="6"/>
      <c r="HW228" s="6"/>
      <c r="HX228" s="6"/>
      <c r="HY228" s="9"/>
      <c r="HZ228" s="7">
        <f>IFERROR(HO228/F228,0)</f>
        <v>0</v>
      </c>
      <c r="IA228"/>
      <c r="IB228"/>
      <c r="IC228"/>
      <c r="ID228"/>
      <c r="IE228"/>
      <c r="IF228" s="4"/>
      <c r="IG228" s="4"/>
      <c r="IH228" s="6"/>
      <c r="II228" s="4"/>
      <c r="IJ228" s="5">
        <v>0</v>
      </c>
      <c r="IK228" s="5"/>
      <c r="IL228" s="6"/>
      <c r="IM228" s="4"/>
      <c r="IN228" s="4"/>
      <c r="IO228" s="5">
        <v>0</v>
      </c>
      <c r="IP228" s="5">
        <v>0</v>
      </c>
      <c r="IQ228" s="5"/>
      <c r="IR228" s="4"/>
      <c r="IS228" s="5">
        <v>0</v>
      </c>
      <c r="IT228" s="4"/>
      <c r="IU228" s="4"/>
      <c r="IV228" s="4"/>
      <c r="IW228" s="4"/>
      <c r="IX228" s="6"/>
      <c r="IY228" s="6"/>
      <c r="IZ228" s="6"/>
      <c r="JA228" s="9"/>
      <c r="JB228"/>
      <c r="JC228"/>
      <c r="JD228"/>
      <c r="JE228"/>
      <c r="JF228"/>
      <c r="JG228"/>
      <c r="JH228" s="4"/>
      <c r="JI228" s="4"/>
      <c r="JJ228" s="6"/>
      <c r="JK228" s="4"/>
      <c r="JL228" s="5">
        <v>0</v>
      </c>
      <c r="JM228" s="5"/>
      <c r="JN228" s="6"/>
      <c r="JO228" s="4"/>
      <c r="JP228" s="4"/>
      <c r="JQ228" s="5">
        <v>0</v>
      </c>
      <c r="JR228" s="5">
        <v>0</v>
      </c>
      <c r="JS228" s="5"/>
      <c r="JT228" s="4"/>
      <c r="JU228" s="5">
        <v>0</v>
      </c>
      <c r="JV228" s="4"/>
      <c r="JW228" s="4"/>
      <c r="JX228" s="4"/>
      <c r="JY228" s="4"/>
      <c r="JZ228" s="6"/>
      <c r="KA228" s="6"/>
      <c r="KB228" s="6"/>
      <c r="KC228" s="9"/>
      <c r="KD228"/>
      <c r="KE228"/>
      <c r="KF228"/>
      <c r="KG228"/>
      <c r="KH228"/>
      <c r="KI228"/>
      <c r="KJ228" s="4"/>
      <c r="KK228" s="4"/>
      <c r="KL228" s="6"/>
      <c r="KM228" s="4"/>
      <c r="KN228" s="5">
        <v>0</v>
      </c>
      <c r="KO228" s="5"/>
      <c r="KP228" s="6"/>
      <c r="KQ228" s="4"/>
      <c r="KR228" s="4"/>
      <c r="KS228" s="5">
        <v>0</v>
      </c>
      <c r="KT228" s="5">
        <v>0</v>
      </c>
      <c r="KU228" s="5"/>
      <c r="KV228" s="4"/>
      <c r="KW228" s="5">
        <v>0</v>
      </c>
      <c r="KX228" s="4"/>
      <c r="KY228" s="4"/>
      <c r="KZ228" s="4"/>
      <c r="LA228" s="4"/>
      <c r="LB228" s="6"/>
      <c r="LC228" s="6"/>
      <c r="LD228" s="6"/>
      <c r="LE228" s="9"/>
      <c r="LF228"/>
      <c r="LG228"/>
      <c r="LH228"/>
      <c r="LI228"/>
      <c r="LJ228"/>
      <c r="LK228"/>
      <c r="LL228" s="4"/>
      <c r="LM228" s="4"/>
      <c r="LN228" s="6"/>
      <c r="LO228" s="4"/>
      <c r="LP228" s="5">
        <v>0</v>
      </c>
      <c r="LQ228" s="5"/>
      <c r="LR228" s="6"/>
      <c r="LS228" s="4"/>
      <c r="LT228" s="4"/>
      <c r="LU228" s="5">
        <v>0</v>
      </c>
      <c r="LV228" s="5">
        <v>0</v>
      </c>
      <c r="LW228" s="5"/>
      <c r="LX228" s="4"/>
      <c r="LY228" s="5">
        <v>0</v>
      </c>
      <c r="LZ228" s="4"/>
      <c r="MA228" s="4"/>
      <c r="MB228" s="4"/>
      <c r="MC228" s="4"/>
      <c r="MD228" s="6"/>
      <c r="ME228" s="6"/>
      <c r="MF228" s="6"/>
      <c r="MG228" s="9"/>
      <c r="MH228"/>
    </row>
    <row r="229">
      <c r="A229" s="8">
        <v>25542</v>
      </c>
      <c r="B229" s="8">
        <v>25545</v>
      </c>
      <c r="C229" s="9">
        <f>B229-A229</f>
        <v>3</v>
      </c>
      <c r="D229" s="8">
        <v>25542</v>
      </c>
      <c r="E229" t="inlineStr">
        <is>
          <t xml:space="preserve">positive</t>
        </is>
      </c>
      <c r="F229" s="4">
        <v>1.9987355256327994</v>
      </c>
      <c r="G229" s="6">
        <v>-0.01938586266899968</v>
      </c>
      <c r="H229" s="7">
        <f>SUM(CP229,DR229,ET229,FV229,GX229,HZ229,JB229,KD229,LF229,MH229)</f>
        <v>-0.01938586266899968</v>
      </c>
      <c r="I229" s="7">
        <f>G229-H229</f>
        <v>0</v>
      </c>
      <c r="J229" s="5">
        <f>F229*(1+H229)</f>
        <v>1.9599883132212312</v>
      </c>
      <c r="K229" s="4">
        <v>1.9599883132212312</v>
      </c>
      <c r="L229" s="5">
        <f>K229-J229</f>
        <v>0</v>
      </c>
      <c r="M229" s="4">
        <v>1.852</v>
      </c>
      <c r="N229" s="4">
        <v>1.862</v>
      </c>
      <c r="O229" s="5">
        <f>M229/$M$3</f>
        <v>0.9458631256384066</v>
      </c>
      <c r="P229" s="5">
        <f>N229/$M$3</f>
        <v>0.9509703779366702</v>
      </c>
      <c r="Q229" s="7">
        <f>IFERROR(N229/M229-1,0)</f>
        <v>0.005399568034557323</v>
      </c>
      <c r="R229" s="5">
        <f>SUM(IF(BQ229="lease",CB229,0),IF(CS229="lease",DD229,0),IF(DU229="lease",EF229,0),IF(EW229="lease",FH229,0),IF(FY229="lease",GJ229,0),IF(HA229="lease",HL229,0),IF(IC229="lease",IN229,0),IF(JE229="lease",JP229,0),IF(KG229="lease",KR229,0),IF(LI229="lease",LT229,0))</f>
        <v>1.998735525632799</v>
      </c>
      <c r="S229" s="5">
        <f>SUM(IF(BQ229="lease",CI229,0),IF(CS229="lease",DK229,0),IF(DU229="lease",EM229,0),IF(EW229="lease",FO229,0),IF(FY229="lease",GQ229,0),IF(HA229="lease",HS229,0),IF(IC229="lease",IU229,0),IF(JE229="lease",JW229,0),IF(KG229="lease",KY229,0),IF(LI229="lease",MA229,0))</f>
        <v>1.9599883132212306</v>
      </c>
      <c r="T229" s="5">
        <f>SUM(IF(BQ229="keep",CB229,0),IF(CS229="keep",DD229,0),IF(DU229="keep",EF229,0),IF(EW229="keep",FH229,0),IF(FY229="keep",GJ229,0),IF(HA229="keep",HL229,0),IF(IC229="keep",IN229,0),IF(JE229="keep",JP229,0),IF(KG229="keep",KR229,0),IF(LI229="keep",LT229,0))</f>
        <v>0</v>
      </c>
      <c r="U229" s="5">
        <f>SUM(IF(BQ229="keep",CI229,0),IF(CS229="keep",DK229,0),IF(DU229="keep",EM229,0),IF(EW229="keep",FO229,0),IF(FY229="keep",GQ229,0),IF(HA229="keep",HS229,0),IF(IC229="keep",IU229,0),IF(JE229="keep",JW229,0),IF(KG229="keep",KY229,0),IF(LI229="keep",MA229,0))</f>
        <v>0</v>
      </c>
      <c r="V229" s="5">
        <f>R229/O229</f>
        <v>2.1131339952424515</v>
      </c>
      <c r="W229" s="5">
        <f>S229/P229</f>
        <v>2.0610403422594894</v>
      </c>
      <c r="X229" s="5">
        <f>T229/O229</f>
        <v>0</v>
      </c>
      <c r="Y229" s="5">
        <f>U229/P229</f>
        <v>0</v>
      </c>
      <c r="Z229" s="5">
        <f>V229+X229</f>
        <v>2.1131339952424515</v>
      </c>
      <c r="AA229" s="7">
        <f>IFERROR(W229/V229-1,0)</f>
        <v>-0.024652318830820308</v>
      </c>
      <c r="AB229" s="7">
        <f>IFERROR((W229-V229)/Z229,0)</f>
        <v>-0.024652318830820332</v>
      </c>
      <c r="AC229" s="7">
        <f>IFERROR(Y229/X229-1,0)</f>
        <v>0</v>
      </c>
      <c r="AD229" s="7">
        <f>IFERROR((Y229-X229)/Z229,0)</f>
        <v>0</v>
      </c>
      <c r="AE229" s="7">
        <f>AB229+AD229</f>
        <v>-0.024652318830820332</v>
      </c>
      <c r="AF229" s="7">
        <f>(1+Q229)*(1+AE229)-1</f>
        <v>-0.019385862668999554</v>
      </c>
      <c r="AG229" s="7">
        <f>G229-AF229</f>
        <v>-1.249000902703301e-16</v>
      </c>
      <c r="AH229" s="5">
        <f>SUM(IF(BQ229="lease",CE229,0),IF(CS229="lease",DG229,0),IF(DU229="lease",EI229,0),IF(EW229="lease",FK229,0),IF(FY229="lease",GM229,0),IF(HA229="lease",HO229,0),IF(IC229="lease",IQ229,0),IF(JE229="lease",JS229,0),IF(KG229="lease",KU229,0),IF(LI229="lease",LW229,0))</f>
        <v>-0.03874721241156834</v>
      </c>
      <c r="AI229" s="5">
        <f>SUM(IF(BQ229="keep",CE229,0),IF(CS229="keep",DG229,0),IF(DU229="keep",EI229,0),IF(EW229="keep",FK229,0),IF(FY229="keep",GM229,0),IF(HA229="keep",HO229,0),IF(IC229="keep",IQ229,0),IF(JE229="keep",JS229,0),IF(KG229="keep",KU229,0),IF(LI229="keep",LW229,0))</f>
        <v>0</v>
      </c>
      <c r="AJ229" s="5">
        <f>SUM(IF(BQ229="lease",CH229,0),IF(CS229="lease",DJ229,0),IF(DU229="lease",EL229,0),IF(EW229="lease",FN229,0),IF(FY229="lease",GP229,0),IF(HA229="lease",HR229,0),IF(IC229="lease",IT229,0),IF(JE229="lease",JV229,0),IF(KG229="lease",KX229,0),IF(LI229="lease",LZ229,0))</f>
        <v>0</v>
      </c>
      <c r="AK229" s="5">
        <f>SUM(IF(BQ229="keep",CH229,0),IF(CS229="keep",DJ229,0),IF(DU229="keep",EL229,0),IF(EW229="keep",FN229,0),IF(FY229="keep",GP229,0),IF(HA229="keep",HR229,0),IF(IC229="keep",IT229,0),IF(JE229="keep",JV229,0),IF(KG229="keep",KX229,0),IF(LI229="keep",LZ229,0))</f>
        <v>0</v>
      </c>
      <c r="AL229" s="5">
        <f>R229-S228</f>
        <v>0</v>
      </c>
      <c r="AM229" s="5">
        <f>T229-U228</f>
        <v>0</v>
      </c>
      <c r="AN229" s="5">
        <f>AN228</f>
        <v>1</v>
      </c>
      <c r="AO229" s="5">
        <f>AO228+AH229</f>
        <v>0.9599883132212311</v>
      </c>
      <c r="AP229" s="5">
        <f>AP228+AL229</f>
        <v>1.5543122344752192e-15</v>
      </c>
      <c r="AQ229" s="5">
        <f>AN229+AO229+AP229</f>
        <v>1.9599883132212328</v>
      </c>
      <c r="AR229" s="5">
        <f>S229-AQ229</f>
        <v>-2.220446049250313e-15</v>
      </c>
      <c r="AS229" s="5">
        <f>AS228</f>
        <v>0</v>
      </c>
      <c r="AT229" s="5">
        <f>AT228+AI229</f>
        <v>0</v>
      </c>
      <c r="AU229" s="5">
        <f>AU228+AM229</f>
        <v>0</v>
      </c>
      <c r="AV229" s="5">
        <f>AS229+AT229+AU229</f>
        <v>0</v>
      </c>
      <c r="AW229" s="5">
        <f>U229-AV229</f>
        <v>0</v>
      </c>
      <c r="AX229" s="4">
        <v>1.998735525632799</v>
      </c>
      <c r="AY229" s="4">
        <v>1.9599883132212306</v>
      </c>
      <c r="AZ229" s="5">
        <f>S229-AY229</f>
        <v>0</v>
      </c>
      <c r="BA229" s="4">
        <v>0</v>
      </c>
      <c r="BB229" s="4">
        <v>0</v>
      </c>
      <c r="BC229" s="5">
        <f>U229-BB229</f>
        <v>0</v>
      </c>
      <c r="BD229" s="7">
        <f>SUM(IF(BP229="direct",CC229/F229,0),IF(CR229="direct",DE229/F229,0),IF(DT229="direct",EG229/F229,0),IF(EV229="direct",FI229/F229,0),IF(FX229="direct",GK229/F229,0),IF(GZ229="direct",HM229/F229,0),IF(IB229="direct",IO229/F229,0),IF(JD229="direct",JQ229/F229,0),IF(KF229="direct",KS229/F229,0),IF(LH229="direct",LU229/F229,0))</f>
        <v>0.0017517808078592956</v>
      </c>
      <c r="BE229" s="7">
        <f>-SUM(IF(BP229="direct",CD229/F229,0),IF(CR229="direct",DF229/F229,0),IF(DT229="direct",EH229/F229,0),IF(EV229="direct",FJ229/F229,0),IF(FX229="direct",GL229/F229,0),IF(GZ229="direct",HN229/F229,0),IF(IB229="direct",IP229/F229,0),IF(JD229="direct",JR229/F229,0),IF(KF229="direct",KT229/F229,0),IF(LH229="direct",LV229/F229,0))</f>
        <v>-0.000006666365868812492</v>
      </c>
      <c r="BF229" s="7">
        <f>BD229+BE229</f>
        <v>0.0017451144419904831</v>
      </c>
      <c r="BG229" s="7">
        <f>BF229-SUM(IF(BP229="direct",CP229,0),IF(CR229="direct",DR229,0),IF(DT229="direct",ET229,0),IF(EV229="direct",FV229,0),IF(FX229="direct",GX229,0),IF(GZ229="direct",HZ229,0),IF(IB229="direct",JB229,0),IF(JD229="direct",KD229,0),IF(KF229="direct",LF229,0),IF(LH229="direct",MH229,0))</f>
        <v>-2.688821387764051e-17</v>
      </c>
      <c r="BH229" s="7">
        <f>SUM(IF(BP229="treasury",CP229,0),IF(CR229="treasury",DR229,0),IF(DT229="treasury",ET229,0),IF(EV229="treasury",FV229,0),IF(FX229="treasury",GX229,0),IF(GZ229="treasury",HZ229,0),IF(IB229="treasury",JB229,0),IF(JD229="treasury",KD229,0),IF(KF229="treasury",LF229,0),IF(LH229="treasury",MH229,0))</f>
        <v>0.0004258868540489424</v>
      </c>
      <c r="BI229" s="7">
        <f>SUM(IF(BP229="future",CP229,0),IF(CR229="future",DR229,0),IF(DT229="future",ET229,0),IF(EV229="future",FV229,0),IF(FX229="future",GX229,0),IF(GZ229="future",HZ229,0),IF(IB229="future",JB229,0),IF(JD229="future",KD229,0),IF(KF229="future",LF229,0),IF(LH229="future",MH229,0))</f>
        <v>-0.02155686396503913</v>
      </c>
      <c r="BJ229" s="7">
        <f>SUM(IF(BP229="cash",CP229,0),IF(CR229="cash",DR229,0),IF(DT229="cash",ET229,0),IF(EV229="cash",FV229,0),IF(FX229="cash",GX229,0),IF(GZ229="cash",HZ229,0),IF(IB229="cash",JB229,0),IF(JD229="cash",KD229,0),IF(KF229="cash",LF229,0),IF(LH229="cash",MH229,0))</f>
        <v>0</v>
      </c>
      <c r="BK229" s="7">
        <f>SUM(BF229,BH229,BI229,BJ229)</f>
        <v>-0.01938586266899968</v>
      </c>
      <c r="BL229" s="7">
        <f>G229-BK229</f>
        <v>0</v>
      </c>
      <c r="BM229" s="5">
        <f>MAX(ABS(CG229),ABS(DI229),ABS(EK229),ABS(FM229),ABS(GO229),ABS(HQ229),ABS(IS229),ABS(JU229),ABS(KW229),ABS(LY229))</f>
        <v>5.3901788631474656e-17</v>
      </c>
      <c r="BN229" s="9">
        <f>COUNTA(BO229,CQ229,DS229,EU229,FW229,GY229,IA229,JC229,KE229,LG229)</f>
        <v>6</v>
      </c>
      <c r="BO229" t="inlineStr">
        <is>
          <t xml:space="preserve">Direct commodity holding</t>
        </is>
      </c>
      <c r="BP229" t="inlineStr">
        <is>
          <t xml:space="preserve">direct</t>
        </is>
      </c>
      <c r="BQ229" t="inlineStr">
        <is>
          <t xml:space="preserve">lease</t>
        </is>
      </c>
      <c r="BR229" t="inlineStr">
        <is>
          <t xml:space="preserve">long</t>
        </is>
      </c>
      <c r="BS229"/>
      <c r="BT229" s="4">
        <v>1.852</v>
      </c>
      <c r="BU229" s="4">
        <v>1.862</v>
      </c>
      <c r="BV229" s="6">
        <v>0.0025</v>
      </c>
      <c r="BW229" s="4">
        <v>0.3501346533790096</v>
      </c>
      <c r="BX229" s="5">
        <f>IF(BP229="direct",IFERROR(CD229/BU229,0),0)</f>
        <v>0.000007155908855457299</v>
      </c>
      <c r="BY229" s="5">
        <f>IF(BP229="direct",BW229-BX229,IF(BP229="cash",CI229,BW229))</f>
        <v>0.35012749747015415</v>
      </c>
      <c r="BZ229" s="6">
        <v>0.32442980561554124</v>
      </c>
      <c r="CA229" s="4">
        <v>0.6484493780579258</v>
      </c>
      <c r="CB229" s="4">
        <v>0.6484493780579258</v>
      </c>
      <c r="CC229" s="5">
        <f>IF(BP229="direct",BW229*(BU229-BT229),CF229)</f>
        <v>0.003501346533790099</v>
      </c>
      <c r="CD229" s="5">
        <f>IF(BP229="direct",CB229*BV229*C229/365,0)</f>
        <v>0.00001332430228886149</v>
      </c>
      <c r="CE229" s="5">
        <f>CC229-CD229</f>
        <v>0.0034880222315012916</v>
      </c>
      <c r="CF229" s="4">
        <v>0.0034880222315012916</v>
      </c>
      <c r="CG229" s="5">
        <f>CF229-CE229</f>
        <v>5.3901788631474656e-17</v>
      </c>
      <c r="CH229" s="4">
        <v>0</v>
      </c>
      <c r="CI229" s="4">
        <v>0.651937400289427</v>
      </c>
      <c r="CJ229" s="4">
        <v>1.852</v>
      </c>
      <c r="CK229" s="4">
        <v>1.862</v>
      </c>
      <c r="CL229" s="6"/>
      <c r="CM229" s="6"/>
      <c r="CN229" s="6"/>
      <c r="CO229" s="9"/>
      <c r="CP229" s="7">
        <f>IFERROR(CE229/F229,0)</f>
        <v>0.00174511444199051</v>
      </c>
      <c r="CQ229" t="inlineStr">
        <is>
          <t xml:space="preserve">Treasury collateral</t>
        </is>
      </c>
      <c r="CR229" t="inlineStr">
        <is>
          <t xml:space="preserve">treasury</t>
        </is>
      </c>
      <c r="CS229" t="inlineStr">
        <is>
          <t xml:space="preserve">lease</t>
        </is>
      </c>
      <c r="CT229" t="inlineStr">
        <is>
          <t xml:space="preserve">long</t>
        </is>
      </c>
      <c r="CU229"/>
      <c r="CV229" s="4">
        <v>106.25531860402975</v>
      </c>
      <c r="CW229" s="4">
        <v>106.32230312131958</v>
      </c>
      <c r="CX229" s="6"/>
      <c r="CY229" s="4">
        <v>0.01270793937955087</v>
      </c>
      <c r="CZ229" s="5">
        <f>IF(CR229="direct",IFERROR(DF229/CW229,0),0)</f>
        <v>0</v>
      </c>
      <c r="DA229" s="5">
        <f>IF(CR229="direct",CY229-CZ229,IF(CR229="cash",DK229,CY229))</f>
        <v>0.01270793937955087</v>
      </c>
      <c r="DB229" s="6">
        <v>0.6755701943844588</v>
      </c>
      <c r="DC229" s="4">
        <v>1.3502861475748738</v>
      </c>
      <c r="DD229" s="4">
        <v>1.3502861475748738</v>
      </c>
      <c r="DE229" s="5">
        <f>IF(CR229="direct",CY229*(CW229-CV229),DH229)</f>
        <v>0.000851235185087572</v>
      </c>
      <c r="DF229" s="5">
        <f>IF(CR229="direct",DD229*CX229*C229/365,0)</f>
        <v>0</v>
      </c>
      <c r="DG229" s="5">
        <f>DE229-DF229</f>
        <v>0.0008512351850876122</v>
      </c>
      <c r="DH229" s="4">
        <v>0.0008512351850876122</v>
      </c>
      <c r="DI229" s="5">
        <f>DH229-DG229</f>
        <v>4.0223900599212215e-17</v>
      </c>
      <c r="DJ229" s="4">
        <v>-5.0090140368830305e-17</v>
      </c>
      <c r="DK229" s="4">
        <v>1.3511373827599613</v>
      </c>
      <c r="DL229" s="4">
        <v>1.852</v>
      </c>
      <c r="DM229" s="4">
        <v>1.862</v>
      </c>
      <c r="DN229" s="6"/>
      <c r="DO229" s="6"/>
      <c r="DP229" s="6"/>
      <c r="DQ229" s="9">
        <v>24</v>
      </c>
      <c r="DR229" s="7">
        <f>IFERROR(DG229/F229,0)</f>
        <v>0.0004258868540489424</v>
      </c>
      <c r="DS229" t="inlineStr">
        <is>
          <t xml:space="preserve">SI69Z</t>
        </is>
      </c>
      <c r="DT229" t="inlineStr">
        <is>
          <t xml:space="preserve">future</t>
        </is>
      </c>
      <c r="DU229" t="inlineStr">
        <is>
          <t xml:space="preserve">lease</t>
        </is>
      </c>
      <c r="DV229" t="inlineStr">
        <is>
          <t xml:space="preserve">long</t>
        </is>
      </c>
      <c r="DW229" t="inlineStr">
        <is>
          <t xml:space="preserve">regular</t>
        </is>
      </c>
      <c r="DX229" s="4">
        <v>1.849</v>
      </c>
      <c r="DY229" s="4">
        <v>1.79</v>
      </c>
      <c r="DZ229" s="6"/>
      <c r="EA229" s="4">
        <v>0.7302791483773557</v>
      </c>
      <c r="EB229" s="5">
        <f>IF(DT229="direct",IFERROR(EH229/DY229,0),0)</f>
        <v>0</v>
      </c>
      <c r="EC229" s="5">
        <f>IF(DT229="direct",EA229-EB229,IF(DT229="cash",EM229,EA229))</f>
        <v>0.7302791483773557</v>
      </c>
      <c r="ED229" s="6">
        <v>0.6755701932711835</v>
      </c>
      <c r="EE229" s="4">
        <v>1.3502861453497308</v>
      </c>
      <c r="EF229" s="4">
        <v>0</v>
      </c>
      <c r="EG229" s="5">
        <f>IF(DT229="direct",EA229*(DY229-DX229),EJ229)</f>
        <v>-0.04308646975426391</v>
      </c>
      <c r="EH229" s="5">
        <f>IF(DT229="direct",EF229*DZ229*C229/365,0)</f>
        <v>0</v>
      </c>
      <c r="EI229" s="5">
        <f>EG229-EH229</f>
        <v>-0.04308646975426391</v>
      </c>
      <c r="EJ229" s="4">
        <v>-0.04308646975426391</v>
      </c>
      <c r="EK229" s="5">
        <f>EJ229-EI229</f>
        <v>0</v>
      </c>
      <c r="EL229" s="4">
        <v>0.04308646975426391</v>
      </c>
      <c r="EM229" s="4">
        <v>0</v>
      </c>
      <c r="EN229" s="4">
        <v>1.852</v>
      </c>
      <c r="EO229" s="4">
        <v>1.862</v>
      </c>
      <c r="EP229" s="6">
        <v>-0.0016198704103672634</v>
      </c>
      <c r="EQ229" s="6">
        <v>0.07670000000000002</v>
      </c>
      <c r="ER229" s="6">
        <v>0.1013355291576688</v>
      </c>
      <c r="ES229" s="9">
        <v>24</v>
      </c>
      <c r="ET229" s="7">
        <f>IFERROR(EI229/F229,0)</f>
        <v>-0.021556863928069093</v>
      </c>
      <c r="EU229" t="inlineStr">
        <is>
          <t xml:space="preserve">SI70F</t>
        </is>
      </c>
      <c r="EV229" t="inlineStr">
        <is>
          <t xml:space="preserve">future</t>
        </is>
      </c>
      <c r="EW229" t="inlineStr">
        <is>
          <t xml:space="preserve">lease</t>
        </is>
      </c>
      <c r="EX229" t="inlineStr">
        <is>
          <t xml:space="preserve">long</t>
        </is>
      </c>
      <c r="EY229" t="inlineStr">
        <is>
          <t xml:space="preserve">regular</t>
        </is>
      </c>
      <c r="EZ229" s="4">
        <v>1.867</v>
      </c>
      <c r="FA229" s="4">
        <v>1.805</v>
      </c>
      <c r="FB229" s="6"/>
      <c r="FC229" s="4">
        <v>1.1918279019223315e-9</v>
      </c>
      <c r="FD229" s="5">
        <f>IF(EV229="direct",IFERROR(FJ229/FA229,0),0)</f>
        <v>0</v>
      </c>
      <c r="FE229" s="5">
        <f>IF(EV229="direct",FC229-FD229,IF(EV229="cash",FO229,FC229))</f>
        <v>1.1918279019223315e-9</v>
      </c>
      <c r="FF229" s="6">
        <v>1.1132752004217831e-9</v>
      </c>
      <c r="FG229" s="4">
        <v>2.225142692888993e-9</v>
      </c>
      <c r="FH229" s="4">
        <v>0</v>
      </c>
      <c r="FI229" s="5">
        <f>IF(EV229="direct",FC229*(FA229-EZ229),FL229)</f>
        <v>-7.389332991918449e-11</v>
      </c>
      <c r="FJ229" s="5">
        <f>IF(EV229="direct",FH229*FB229*C229/365,0)</f>
        <v>0</v>
      </c>
      <c r="FK229" s="5">
        <f>FI229-FJ229</f>
        <v>-7.389332991918449e-11</v>
      </c>
      <c r="FL229" s="4">
        <v>-7.389332991918449e-11</v>
      </c>
      <c r="FM229" s="5">
        <f>FL229-FK229</f>
        <v>0</v>
      </c>
      <c r="FN229" s="4">
        <v>7.389332991918449e-11</v>
      </c>
      <c r="FO229" s="4">
        <v>0</v>
      </c>
      <c r="FP229" s="4">
        <v>1.852</v>
      </c>
      <c r="FQ229" s="4">
        <v>1.862</v>
      </c>
      <c r="FR229" s="6">
        <v>0.008099352051835762</v>
      </c>
      <c r="FS229" s="6">
        <v>0.07670000000000002</v>
      </c>
      <c r="FT229" s="6">
        <v>0.021954379649628653</v>
      </c>
      <c r="FU229" s="9">
        <v>54</v>
      </c>
      <c r="FV229" s="7">
        <f>IFERROR(FK229/F229,0)</f>
        <v>-3.69700387927962e-11</v>
      </c>
      <c r="FW229" t="inlineStr">
        <is>
          <t xml:space="preserve">Lease cash / margin / financing</t>
        </is>
      </c>
      <c r="FX229" t="inlineStr">
        <is>
          <t xml:space="preserve">cash</t>
        </is>
      </c>
      <c r="FY229" t="inlineStr">
        <is>
          <t xml:space="preserve">lease</t>
        </is>
      </c>
      <c r="FZ229" t="inlineStr">
        <is>
          <t xml:space="preserve">cash</t>
        </is>
      </c>
      <c r="GA229"/>
      <c r="GB229" s="4">
        <v>1</v>
      </c>
      <c r="GC229" s="4">
        <v>1</v>
      </c>
      <c r="GD229" s="6"/>
      <c r="GE229" s="4">
        <v>-4.440892098500626e-16</v>
      </c>
      <c r="GF229" s="5">
        <f>IF(FX229="direct",IFERROR(GL229/GC229,0),0)</f>
        <v>0</v>
      </c>
      <c r="GG229" s="5">
        <f>IF(FX229="direct",GE229-GF229,IF(FX229="cash",GQ229,GE229))</f>
        <v>-0.043086469828157635</v>
      </c>
      <c r="GH229" s="6"/>
      <c r="GI229" s="4">
        <v>-4.440892098500626e-16</v>
      </c>
      <c r="GJ229" s="4">
        <v>-4.440892098500626e-16</v>
      </c>
      <c r="GK229" s="5">
        <f>IF(FX229="direct",GE229*(GC229-GB229),GN229)</f>
        <v>0</v>
      </c>
      <c r="GL229" s="5">
        <f>IF(FX229="direct",GJ229*GD229*C229/365,0)</f>
        <v>0</v>
      </c>
      <c r="GM229" s="5">
        <f>GK229-GL229</f>
        <v>0</v>
      </c>
      <c r="GN229" s="4">
        <v>0</v>
      </c>
      <c r="GO229" s="5">
        <f>GN229-GM229</f>
        <v>0</v>
      </c>
      <c r="GP229" s="4">
        <v>-0.04308646982815719</v>
      </c>
      <c r="GQ229" s="4">
        <v>-0.043086469828157635</v>
      </c>
      <c r="GR229" s="4">
        <v>1.852</v>
      </c>
      <c r="GS229" s="4">
        <v>1.862</v>
      </c>
      <c r="GT229" s="6"/>
      <c r="GU229" s="6"/>
      <c r="GV229" s="6"/>
      <c r="GW229" s="9"/>
      <c r="GX229" s="7">
        <f>IFERROR(GM229/F229,0)</f>
        <v>0</v>
      </c>
      <c r="GY229" t="inlineStr">
        <is>
          <t xml:space="preserve">Keep cash / margin / financing</t>
        </is>
      </c>
      <c r="GZ229" t="inlineStr">
        <is>
          <t xml:space="preserve">cash</t>
        </is>
      </c>
      <c r="HA229" t="inlineStr">
        <is>
          <t xml:space="preserve">keep</t>
        </is>
      </c>
      <c r="HB229" t="inlineStr">
        <is>
          <t xml:space="preserve">cash</t>
        </is>
      </c>
      <c r="HC229"/>
      <c r="HD229" s="4">
        <v>1</v>
      </c>
      <c r="HE229" s="4">
        <v>1</v>
      </c>
      <c r="HF229" s="6"/>
      <c r="HG229" s="4">
        <v>0</v>
      </c>
      <c r="HH229" s="5">
        <f>IF(GZ229="direct",IFERROR(HN229/HE229,0),0)</f>
        <v>0</v>
      </c>
      <c r="HI229" s="5">
        <f>IF(GZ229="direct",HG229-HH229,IF(GZ229="cash",HS229,HG229))</f>
        <v>0</v>
      </c>
      <c r="HJ229" s="6"/>
      <c r="HK229" s="4">
        <v>0</v>
      </c>
      <c r="HL229" s="4">
        <v>0</v>
      </c>
      <c r="HM229" s="5">
        <f>IF(GZ229="direct",HG229*(HE229-HD229),HP229)</f>
        <v>0</v>
      </c>
      <c r="HN229" s="5">
        <f>IF(GZ229="direct",HL229*HF229*C229/365,0)</f>
        <v>0</v>
      </c>
      <c r="HO229" s="5">
        <f>HM229-HN229</f>
        <v>0</v>
      </c>
      <c r="HP229" s="4">
        <v>0</v>
      </c>
      <c r="HQ229" s="5">
        <f>HP229-HO229</f>
        <v>0</v>
      </c>
      <c r="HR229" s="4">
        <v>0</v>
      </c>
      <c r="HS229" s="4">
        <v>0</v>
      </c>
      <c r="HT229" s="4">
        <v>1.852</v>
      </c>
      <c r="HU229" s="4">
        <v>1.862</v>
      </c>
      <c r="HV229" s="6"/>
      <c r="HW229" s="6"/>
      <c r="HX229" s="6"/>
      <c r="HY229" s="9"/>
      <c r="HZ229" s="7">
        <f>IFERROR(HO229/F229,0)</f>
        <v>0</v>
      </c>
      <c r="IA229"/>
      <c r="IB229"/>
      <c r="IC229"/>
      <c r="ID229"/>
      <c r="IE229"/>
      <c r="IF229" s="4"/>
      <c r="IG229" s="4"/>
      <c r="IH229" s="6"/>
      <c r="II229" s="4"/>
      <c r="IJ229" s="5">
        <v>0</v>
      </c>
      <c r="IK229" s="5"/>
      <c r="IL229" s="6"/>
      <c r="IM229" s="4"/>
      <c r="IN229" s="4"/>
      <c r="IO229" s="5">
        <v>0</v>
      </c>
      <c r="IP229" s="5">
        <v>0</v>
      </c>
      <c r="IQ229" s="5"/>
      <c r="IR229" s="4"/>
      <c r="IS229" s="5">
        <v>0</v>
      </c>
      <c r="IT229" s="4"/>
      <c r="IU229" s="4"/>
      <c r="IV229" s="4"/>
      <c r="IW229" s="4"/>
      <c r="IX229" s="6"/>
      <c r="IY229" s="6"/>
      <c r="IZ229" s="6"/>
      <c r="JA229" s="9"/>
      <c r="JB229"/>
      <c r="JC229"/>
      <c r="JD229"/>
      <c r="JE229"/>
      <c r="JF229"/>
      <c r="JG229"/>
      <c r="JH229" s="4"/>
      <c r="JI229" s="4"/>
      <c r="JJ229" s="6"/>
      <c r="JK229" s="4"/>
      <c r="JL229" s="5">
        <v>0</v>
      </c>
      <c r="JM229" s="5"/>
      <c r="JN229" s="6"/>
      <c r="JO229" s="4"/>
      <c r="JP229" s="4"/>
      <c r="JQ229" s="5">
        <v>0</v>
      </c>
      <c r="JR229" s="5">
        <v>0</v>
      </c>
      <c r="JS229" s="5"/>
      <c r="JT229" s="4"/>
      <c r="JU229" s="5">
        <v>0</v>
      </c>
      <c r="JV229" s="4"/>
      <c r="JW229" s="4"/>
      <c r="JX229" s="4"/>
      <c r="JY229" s="4"/>
      <c r="JZ229" s="6"/>
      <c r="KA229" s="6"/>
      <c r="KB229" s="6"/>
      <c r="KC229" s="9"/>
      <c r="KD229"/>
      <c r="KE229"/>
      <c r="KF229"/>
      <c r="KG229"/>
      <c r="KH229"/>
      <c r="KI229"/>
      <c r="KJ229" s="4"/>
      <c r="KK229" s="4"/>
      <c r="KL229" s="6"/>
      <c r="KM229" s="4"/>
      <c r="KN229" s="5">
        <v>0</v>
      </c>
      <c r="KO229" s="5"/>
      <c r="KP229" s="6"/>
      <c r="KQ229" s="4"/>
      <c r="KR229" s="4"/>
      <c r="KS229" s="5">
        <v>0</v>
      </c>
      <c r="KT229" s="5">
        <v>0</v>
      </c>
      <c r="KU229" s="5"/>
      <c r="KV229" s="4"/>
      <c r="KW229" s="5">
        <v>0</v>
      </c>
      <c r="KX229" s="4"/>
      <c r="KY229" s="4"/>
      <c r="KZ229" s="4"/>
      <c r="LA229" s="4"/>
      <c r="LB229" s="6"/>
      <c r="LC229" s="6"/>
      <c r="LD229" s="6"/>
      <c r="LE229" s="9"/>
      <c r="LF229"/>
      <c r="LG229"/>
      <c r="LH229"/>
      <c r="LI229"/>
      <c r="LJ229"/>
      <c r="LK229"/>
      <c r="LL229" s="4"/>
      <c r="LM229" s="4"/>
      <c r="LN229" s="6"/>
      <c r="LO229" s="4"/>
      <c r="LP229" s="5">
        <v>0</v>
      </c>
      <c r="LQ229" s="5"/>
      <c r="LR229" s="6"/>
      <c r="LS229" s="4"/>
      <c r="LT229" s="4"/>
      <c r="LU229" s="5">
        <v>0</v>
      </c>
      <c r="LV229" s="5">
        <v>0</v>
      </c>
      <c r="LW229" s="5"/>
      <c r="LX229" s="4"/>
      <c r="LY229" s="5">
        <v>0</v>
      </c>
      <c r="LZ229" s="4"/>
      <c r="MA229" s="4"/>
      <c r="MB229" s="4"/>
      <c r="MC229" s="4"/>
      <c r="MD229" s="6"/>
      <c r="ME229" s="6"/>
      <c r="MF229" s="6"/>
      <c r="MG229" s="9"/>
      <c r="MH229"/>
    </row>
    <row r="230">
      <c r="A230" s="8">
        <v>25545</v>
      </c>
      <c r="B230" s="8">
        <v>25546</v>
      </c>
      <c r="C230" s="9">
        <f>B230-A230</f>
        <v>1</v>
      </c>
      <c r="D230" s="8">
        <v>25545</v>
      </c>
      <c r="E230" t="inlineStr">
        <is>
          <t xml:space="preserve">positive</t>
        </is>
      </c>
      <c r="F230" s="4">
        <v>1.9599883132212312</v>
      </c>
      <c r="G230" s="6">
        <v>-0.027163890717073653</v>
      </c>
      <c r="H230" s="7">
        <f>SUM(CP230,DR230,ET230,FV230,GX230,HZ230,JB230,KD230,LF230,MH230)</f>
        <v>-0.027163890717073653</v>
      </c>
      <c r="I230" s="7">
        <f>G230-H230</f>
        <v>0</v>
      </c>
      <c r="J230" s="5">
        <f>F230*(1+H230)</f>
        <v>1.9067474048741482</v>
      </c>
      <c r="K230" s="4">
        <v>1.9067474048741482</v>
      </c>
      <c r="L230" s="5">
        <f>K230-J230</f>
        <v>0</v>
      </c>
      <c r="M230" s="4">
        <v>1.862</v>
      </c>
      <c r="N230" s="4">
        <v>1.812</v>
      </c>
      <c r="O230" s="5">
        <f>M230/$M$3</f>
        <v>0.9509703779366702</v>
      </c>
      <c r="P230" s="5">
        <f>N230/$M$3</f>
        <v>0.9254341164453525</v>
      </c>
      <c r="Q230" s="7">
        <f>IFERROR(N230/M230-1,0)</f>
        <v>-0.02685284640171859</v>
      </c>
      <c r="R230" s="5">
        <f>SUM(IF(BQ230="lease",CB230,0),IF(CS230="lease",DD230,0),IF(DU230="lease",EF230,0),IF(EW230="lease",FH230,0),IF(FY230="lease",GJ230,0),IF(HA230="lease",HL230,0),IF(IC230="lease",IN230,0),IF(JE230="lease",JP230,0),IF(KG230="lease",KR230,0),IF(LI230="lease",LT230,0))</f>
        <v>1.9599883132212306</v>
      </c>
      <c r="S230" s="5">
        <f>SUM(IF(BQ230="lease",CI230,0),IF(CS230="lease",DK230,0),IF(DU230="lease",EM230,0),IF(EW230="lease",FO230,0),IF(FY230="lease",GQ230,0),IF(HA230="lease",HS230,0),IF(IC230="lease",IU230,0),IF(JE230="lease",JW230,0),IF(KG230="lease",KY230,0),IF(LI230="lease",MA230,0))</f>
        <v>1.9067474048741475</v>
      </c>
      <c r="T230" s="5">
        <f>SUM(IF(BQ230="keep",CB230,0),IF(CS230="keep",DD230,0),IF(DU230="keep",EF230,0),IF(EW230="keep",FH230,0),IF(FY230="keep",GJ230,0),IF(HA230="keep",HL230,0),IF(IC230="keep",IN230,0),IF(JE230="keep",JP230,0),IF(KG230="keep",KR230,0),IF(LI230="keep",LT230,0))</f>
        <v>0</v>
      </c>
      <c r="U230" s="5">
        <f>SUM(IF(BQ230="keep",CI230,0),IF(CS230="keep",DK230,0),IF(DU230="keep",EM230,0),IF(EW230="keep",FO230,0),IF(FY230="keep",GQ230,0),IF(HA230="keep",HS230,0),IF(IC230="keep",IU230,0),IF(JE230="keep",JW230,0),IF(KG230="keep",KY230,0),IF(LI230="keep",MA230,0))</f>
        <v>0</v>
      </c>
      <c r="V230" s="5">
        <f>R230/O230</f>
        <v>2.0610403422594894</v>
      </c>
      <c r="W230" s="5">
        <f>S230/P230</f>
        <v>2.060381577673058</v>
      </c>
      <c r="X230" s="5">
        <f>T230/O230</f>
        <v>0</v>
      </c>
      <c r="Y230" s="5">
        <f>U230/P230</f>
        <v>0</v>
      </c>
      <c r="Z230" s="5">
        <f>V230+X230</f>
        <v>2.0610403422594894</v>
      </c>
      <c r="AA230" s="7">
        <f>IFERROR(W230/V230-1,0)</f>
        <v>-0.0003196272158890734</v>
      </c>
      <c r="AB230" s="7">
        <f>IFERROR((W230-V230)/Z230,0)</f>
        <v>-0.00031962721588911454</v>
      </c>
      <c r="AC230" s="7">
        <f>IFERROR(Y230/X230-1,0)</f>
        <v>0</v>
      </c>
      <c r="AD230" s="7">
        <f>IFERROR((Y230-X230)/Z230,0)</f>
        <v>0</v>
      </c>
      <c r="AE230" s="7">
        <f>AB230+AD230</f>
        <v>-0.00031962721588911454</v>
      </c>
      <c r="AF230" s="7">
        <f>(1+Q230)*(1+AE230)-1</f>
        <v>-0.02716389071707359</v>
      </c>
      <c r="AG230" s="7">
        <f>G230-AF230</f>
        <v>-6.245004513516506e-17</v>
      </c>
      <c r="AH230" s="5">
        <f>SUM(IF(BQ230="lease",CE230,0),IF(CS230="lease",DG230,0),IF(DU230="lease",EI230,0),IF(EW230="lease",FK230,0),IF(FY230="lease",GM230,0),IF(HA230="lease",HO230,0),IF(IC230="lease",IQ230,0),IF(JE230="lease",JS230,0),IF(KG230="lease",KU230,0),IF(LI230="lease",LW230,0))</f>
        <v>-0.05324090834708305</v>
      </c>
      <c r="AI230" s="5">
        <f>SUM(IF(BQ230="keep",CE230,0),IF(CS230="keep",DG230,0),IF(DU230="keep",EI230,0),IF(EW230="keep",FK230,0),IF(FY230="keep",GM230,0),IF(HA230="keep",HO230,0),IF(IC230="keep",IQ230,0),IF(JE230="keep",JS230,0),IF(KG230="keep",KU230,0),IF(LI230="keep",LW230,0))</f>
        <v>0</v>
      </c>
      <c r="AJ230" s="5">
        <f>SUM(IF(BQ230="lease",CH230,0),IF(CS230="lease",DJ230,0),IF(DU230="lease",EL230,0),IF(EW230="lease",FN230,0),IF(FY230="lease",GP230,0),IF(HA230="lease",HR230,0),IF(IC230="lease",IT230,0),IF(JE230="lease",JV230,0),IF(KG230="lease",KX230,0),IF(LI230="lease",LZ230,0))</f>
        <v>0</v>
      </c>
      <c r="AK230" s="5">
        <f>SUM(IF(BQ230="keep",CH230,0),IF(CS230="keep",DJ230,0),IF(DU230="keep",EL230,0),IF(EW230="keep",FN230,0),IF(FY230="keep",GP230,0),IF(HA230="keep",HR230,0),IF(IC230="keep",IT230,0),IF(JE230="keep",JV230,0),IF(KG230="keep",KX230,0),IF(LI230="keep",LZ230,0))</f>
        <v>0</v>
      </c>
      <c r="AL230" s="5">
        <f>R230-S229</f>
        <v>0</v>
      </c>
      <c r="AM230" s="5">
        <f>T230-U229</f>
        <v>0</v>
      </c>
      <c r="AN230" s="5">
        <f>AN229</f>
        <v>1</v>
      </c>
      <c r="AO230" s="5">
        <f>AO229+AH230</f>
        <v>0.9067474048741481</v>
      </c>
      <c r="AP230" s="5">
        <f>AP229+AL230</f>
        <v>1.5543122344752192e-15</v>
      </c>
      <c r="AQ230" s="5">
        <f>AN230+AO230+AP230</f>
        <v>1.9067474048741497</v>
      </c>
      <c r="AR230" s="5">
        <f>S230-AQ230</f>
        <v>-2.220446049250313e-15</v>
      </c>
      <c r="AS230" s="5">
        <f>AS229</f>
        <v>0</v>
      </c>
      <c r="AT230" s="5">
        <f>AT229+AI230</f>
        <v>0</v>
      </c>
      <c r="AU230" s="5">
        <f>AU229+AM230</f>
        <v>0</v>
      </c>
      <c r="AV230" s="5">
        <f>AS230+AT230+AU230</f>
        <v>0</v>
      </c>
      <c r="AW230" s="5">
        <f>U230-AV230</f>
        <v>0</v>
      </c>
      <c r="AX230" s="4">
        <v>1.9599883132212306</v>
      </c>
      <c r="AY230" s="4">
        <v>1.9067474048741475</v>
      </c>
      <c r="AZ230" s="5">
        <f>S230-AY230</f>
        <v>0</v>
      </c>
      <c r="BA230" s="4">
        <v>0</v>
      </c>
      <c r="BB230" s="4">
        <v>0</v>
      </c>
      <c r="BC230" s="5">
        <f>U230-BB230</f>
        <v>0</v>
      </c>
      <c r="BD230" s="7">
        <f>SUM(IF(BP230="direct",CC230/F230,0),IF(CR230="direct",DE230/F230,0),IF(DT230="direct",EG230/F230,0),IF(EV230="direct",FI230/F230,0),IF(FX230="direct",GK230/F230,0),IF(GZ230="direct",HM230/F230,0),IF(IB230="direct",IO230/F230,0),IF(JD230="direct",JQ230/F230,0),IF(KF230="direct",KS230/F230,0),IF(LH230="direct",LU230/F230,0))</f>
        <v>0</v>
      </c>
      <c r="BE230" s="7">
        <f>-SUM(IF(BP230="direct",CD230/F230,0),IF(CR230="direct",DF230/F230,0),IF(DT230="direct",EH230/F230,0),IF(EV230="direct",FJ230/F230,0),IF(FX230="direct",GL230/F230,0),IF(GZ230="direct",HN230/F230,0),IF(IB230="direct",IP230/F230,0),IF(JD230="direct",JR230/F230,0),IF(KF230="direct",KT230/F230,0),IF(LH230="direct",LV230/F230,0))</f>
        <v>0</v>
      </c>
      <c r="BF230" s="7">
        <f>BD230+BE230</f>
        <v>0</v>
      </c>
      <c r="BG230" s="7">
        <f>BF230-SUM(IF(BP230="direct",CP230,0),IF(CR230="direct",DR230,0),IF(DT230="direct",ET230,0),IF(EV230="direct",FV230,0),IF(FX230="direct",GX230,0),IF(GZ230="direct",HZ230,0),IF(IB230="direct",JB230,0),IF(JD230="direct",KD230,0),IF(KF230="direct",LF230,0),IF(LH230="direct",MH230,0))</f>
        <v>0</v>
      </c>
      <c r="BH230" s="7">
        <f>SUM(IF(BP230="treasury",CP230,0),IF(CR230="treasury",DR230,0),IF(DT230="treasury",ET230,0),IF(EV230="treasury",FV230,0),IF(FX230="treasury",GX230,0),IF(GZ230="treasury",HZ230,0),IF(IB230="treasury",JB230,0),IF(JD230="treasury",KD230,0),IF(KF230="treasury",LF230,0),IF(LH230="treasury",MH230,0))</f>
        <v>0.00021041095890410956</v>
      </c>
      <c r="BI230" s="7">
        <f>SUM(IF(BP230="future",CP230,0),IF(CR230="future",DR230,0),IF(DT230="future",ET230,0),IF(EV230="future",FV230,0),IF(FX230="future",GX230,0),IF(GZ230="future",HZ230,0),IF(IB230="future",JB230,0),IF(JD230="future",KD230,0),IF(KF230="future",LF230,0),IF(LH230="future",MH230,0))</f>
        <v>-0.027374301675977764</v>
      </c>
      <c r="BJ230" s="7">
        <f>SUM(IF(BP230="cash",CP230,0),IF(CR230="cash",DR230,0),IF(DT230="cash",ET230,0),IF(EV230="cash",FV230,0),IF(FX230="cash",GX230,0),IF(GZ230="cash",HZ230,0),IF(IB230="cash",JB230,0),IF(JD230="cash",KD230,0),IF(KF230="cash",LF230,0),IF(LH230="cash",MH230,0))</f>
        <v>0</v>
      </c>
      <c r="BK230" s="7">
        <f>SUM(BF230,BH230,BI230,BJ230)</f>
        <v>-0.027163890717073653</v>
      </c>
      <c r="BL230" s="7">
        <f>G230-BK230</f>
        <v>0</v>
      </c>
      <c r="BM230" s="5">
        <f>MAX(ABS(CG230),ABS(DI230),ABS(EK230),ABS(FM230),ABS(GO230),ABS(HQ230),ABS(IS230),ABS(JU230),ABS(KW230),ABS(LY230))</f>
        <v>3.3881317890172014e-17</v>
      </c>
      <c r="BN230" s="9">
        <f>COUNTA(BO230,CQ230,DS230,EU230,FW230,GY230,IA230,JC230,KE230,LG230)</f>
        <v>4</v>
      </c>
      <c r="BO230" t="inlineStr">
        <is>
          <t xml:space="preserve">Treasury collateral</t>
        </is>
      </c>
      <c r="BP230" t="inlineStr">
        <is>
          <t xml:space="preserve">treasury</t>
        </is>
      </c>
      <c r="BQ230" t="inlineStr">
        <is>
          <t xml:space="preserve">lease</t>
        </is>
      </c>
      <c r="BR230" t="inlineStr">
        <is>
          <t xml:space="preserve">long</t>
        </is>
      </c>
      <c r="BS230"/>
      <c r="BT230" s="4">
        <v>106.32230312131958</v>
      </c>
      <c r="BU230" s="4">
        <v>106.34467449907223</v>
      </c>
      <c r="BV230" s="6"/>
      <c r="BW230" s="4">
        <v>0.018434404218885075</v>
      </c>
      <c r="BX230" s="5">
        <f>IF(BP230="direct",IFERROR(CD230/BU230,0),0)</f>
        <v>0</v>
      </c>
      <c r="BY230" s="5">
        <f>IF(BP230="direct",BW230-BX230,IF(BP230="cash",CI230,BW230))</f>
        <v>0.018434404218885075</v>
      </c>
      <c r="BZ230" s="6">
        <v>1</v>
      </c>
      <c r="CA230" s="4">
        <v>1.9599883132212312</v>
      </c>
      <c r="CB230" s="4">
        <v>1.9599883132212312</v>
      </c>
      <c r="CC230" s="5">
        <f>IF(BP230="direct",BW230*(BU230-BT230),CF230)</f>
        <v>0.0004124030204256936</v>
      </c>
      <c r="CD230" s="5">
        <f>IF(BP230="direct",CB230*BV230*C230/365,0)</f>
        <v>0</v>
      </c>
      <c r="CE230" s="5">
        <f>CC230-CD230</f>
        <v>0.0004124030204257275</v>
      </c>
      <c r="CF230" s="4">
        <v>0.0004124030204257275</v>
      </c>
      <c r="CG230" s="5">
        <f>CF230-CE230</f>
        <v>3.3881317890172014e-17</v>
      </c>
      <c r="CH230" s="4">
        <v>5.0306980803327406e-17</v>
      </c>
      <c r="CI230" s="4">
        <v>1.960400716241657</v>
      </c>
      <c r="CJ230" s="4">
        <v>1.862</v>
      </c>
      <c r="CK230" s="4">
        <v>1.812</v>
      </c>
      <c r="CL230" s="6"/>
      <c r="CM230" s="6"/>
      <c r="CN230" s="6"/>
      <c r="CO230" s="9">
        <v>21</v>
      </c>
      <c r="CP230" s="7">
        <f>IFERROR(CE230/F230,0)</f>
        <v>0.00021041095890410956</v>
      </c>
      <c r="CQ230" t="inlineStr">
        <is>
          <t xml:space="preserve">SI69Z</t>
        </is>
      </c>
      <c r="CR230" t="inlineStr">
        <is>
          <t xml:space="preserve">future</t>
        </is>
      </c>
      <c r="CS230" t="inlineStr">
        <is>
          <t xml:space="preserve">lease</t>
        </is>
      </c>
      <c r="CT230" t="inlineStr">
        <is>
          <t xml:space="preserve">long</t>
        </is>
      </c>
      <c r="CU230" t="inlineStr">
        <is>
          <t xml:space="preserve">regular</t>
        </is>
      </c>
      <c r="CV230" s="4">
        <v>1.79</v>
      </c>
      <c r="CW230" s="4">
        <v>1.7409999999999999</v>
      </c>
      <c r="CX230" s="6"/>
      <c r="CY230" s="4">
        <v>1.0949655381124197</v>
      </c>
      <c r="CZ230" s="5">
        <f>IF(CR230="direct",IFERROR(DF230/CW230,0),0)</f>
        <v>0</v>
      </c>
      <c r="DA230" s="5">
        <f>IF(CR230="direct",CY230-CZ230,IF(CR230="cash",DK230,CY230))</f>
        <v>1.0949655381124197</v>
      </c>
      <c r="DB230" s="6">
        <v>1</v>
      </c>
      <c r="DC230" s="4">
        <v>1.9599883132212312</v>
      </c>
      <c r="DD230" s="4">
        <v>0</v>
      </c>
      <c r="DE230" s="5">
        <f>IF(CR230="direct",CY230*(CW230-CV230),DH230)</f>
        <v>-0.05365331136750878</v>
      </c>
      <c r="DF230" s="5">
        <f>IF(CR230="direct",DD230*CX230*C230/365,0)</f>
        <v>0</v>
      </c>
      <c r="DG230" s="5">
        <f>DE230-DF230</f>
        <v>-0.05365331136750878</v>
      </c>
      <c r="DH230" s="4">
        <v>-0.05365331136750878</v>
      </c>
      <c r="DI230" s="5">
        <f>DH230-DG230</f>
        <v>0</v>
      </c>
      <c r="DJ230" s="4">
        <v>0.05365331136750878</v>
      </c>
      <c r="DK230" s="4">
        <v>0</v>
      </c>
      <c r="DL230" s="4">
        <v>1.862</v>
      </c>
      <c r="DM230" s="4">
        <v>1.812</v>
      </c>
      <c r="DN230" s="6">
        <v>-0.03866809881847477</v>
      </c>
      <c r="DO230" s="6">
        <v>0.0768</v>
      </c>
      <c r="DP230" s="6">
        <v>0.748888384225871</v>
      </c>
      <c r="DQ230" s="9">
        <v>21</v>
      </c>
      <c r="DR230" s="7">
        <f>IFERROR(DG230/F230,0)</f>
        <v>-0.027374301675977764</v>
      </c>
      <c r="DS230" t="inlineStr">
        <is>
          <t xml:space="preserve">Lease cash / margin / financing</t>
        </is>
      </c>
      <c r="DT230" t="inlineStr">
        <is>
          <t xml:space="preserve">cash</t>
        </is>
      </c>
      <c r="DU230" t="inlineStr">
        <is>
          <t xml:space="preserve">lease</t>
        </is>
      </c>
      <c r="DV230" t="inlineStr">
        <is>
          <t xml:space="preserve">cash</t>
        </is>
      </c>
      <c r="DW230"/>
      <c r="DX230" s="4">
        <v>1</v>
      </c>
      <c r="DY230" s="4">
        <v>1</v>
      </c>
      <c r="DZ230" s="6"/>
      <c r="EA230" s="4">
        <v>-6.661338147750939e-16</v>
      </c>
      <c r="EB230" s="5">
        <f>IF(DT230="direct",IFERROR(EH230/DY230,0),0)</f>
        <v>0</v>
      </c>
      <c r="EC230" s="5">
        <f>IF(DT230="direct",EA230-EB230,IF(DT230="cash",EM230,EA230))</f>
        <v>-0.0536533113675095</v>
      </c>
      <c r="ED230" s="6"/>
      <c r="EE230" s="4">
        <v>-6.661338147750939e-16</v>
      </c>
      <c r="EF230" s="4">
        <v>-6.661338147750939e-16</v>
      </c>
      <c r="EG230" s="5">
        <f>IF(DT230="direct",EA230*(DY230-DX230),EJ230)</f>
        <v>0</v>
      </c>
      <c r="EH230" s="5">
        <f>IF(DT230="direct",EF230*DZ230*C230/365,0)</f>
        <v>0</v>
      </c>
      <c r="EI230" s="5">
        <f>EG230-EH230</f>
        <v>0</v>
      </c>
      <c r="EJ230" s="4">
        <v>0</v>
      </c>
      <c r="EK230" s="5">
        <f>EJ230-EI230</f>
        <v>0</v>
      </c>
      <c r="EL230" s="4">
        <v>-0.05365331136750883</v>
      </c>
      <c r="EM230" s="4">
        <v>-0.0536533113675095</v>
      </c>
      <c r="EN230" s="4">
        <v>1.862</v>
      </c>
      <c r="EO230" s="4">
        <v>1.812</v>
      </c>
      <c r="EP230" s="6"/>
      <c r="EQ230" s="6"/>
      <c r="ER230" s="6"/>
      <c r="ES230" s="9"/>
      <c r="ET230" s="7">
        <f>IFERROR(EI230/F230,0)</f>
        <v>0</v>
      </c>
      <c r="EU230" t="inlineStr">
        <is>
          <t xml:space="preserve">Keep cash / margin / financing</t>
        </is>
      </c>
      <c r="EV230" t="inlineStr">
        <is>
          <t xml:space="preserve">cash</t>
        </is>
      </c>
      <c r="EW230" t="inlineStr">
        <is>
          <t xml:space="preserve">keep</t>
        </is>
      </c>
      <c r="EX230" t="inlineStr">
        <is>
          <t xml:space="preserve">cash</t>
        </is>
      </c>
      <c r="EY230"/>
      <c r="EZ230" s="4">
        <v>1</v>
      </c>
      <c r="FA230" s="4">
        <v>1</v>
      </c>
      <c r="FB230" s="6"/>
      <c r="FC230" s="4">
        <v>0</v>
      </c>
      <c r="FD230" s="5">
        <f>IF(EV230="direct",IFERROR(FJ230/FA230,0),0)</f>
        <v>0</v>
      </c>
      <c r="FE230" s="5">
        <f>IF(EV230="direct",FC230-FD230,IF(EV230="cash",FO230,FC230))</f>
        <v>0</v>
      </c>
      <c r="FF230" s="6"/>
      <c r="FG230" s="4">
        <v>0</v>
      </c>
      <c r="FH230" s="4">
        <v>0</v>
      </c>
      <c r="FI230" s="5">
        <f>IF(EV230="direct",FC230*(FA230-EZ230),FL230)</f>
        <v>0</v>
      </c>
      <c r="FJ230" s="5">
        <f>IF(EV230="direct",FH230*FB230*C230/365,0)</f>
        <v>0</v>
      </c>
      <c r="FK230" s="5">
        <f>FI230-FJ230</f>
        <v>0</v>
      </c>
      <c r="FL230" s="4">
        <v>0</v>
      </c>
      <c r="FM230" s="5">
        <f>FL230-FK230</f>
        <v>0</v>
      </c>
      <c r="FN230" s="4">
        <v>0</v>
      </c>
      <c r="FO230" s="4">
        <v>0</v>
      </c>
      <c r="FP230" s="4">
        <v>1.862</v>
      </c>
      <c r="FQ230" s="4">
        <v>1.812</v>
      </c>
      <c r="FR230" s="6"/>
      <c r="FS230" s="6"/>
      <c r="FT230" s="6"/>
      <c r="FU230" s="9"/>
      <c r="FV230" s="7">
        <f>IFERROR(FK230/F230,0)</f>
        <v>0</v>
      </c>
      <c r="FW230"/>
      <c r="FX230"/>
      <c r="FY230"/>
      <c r="FZ230"/>
      <c r="GA230"/>
      <c r="GB230" s="4"/>
      <c r="GC230" s="4"/>
      <c r="GD230" s="6"/>
      <c r="GE230" s="4"/>
      <c r="GF230" s="5">
        <v>0</v>
      </c>
      <c r="GG230" s="5"/>
      <c r="GH230" s="6"/>
      <c r="GI230" s="4"/>
      <c r="GJ230" s="4"/>
      <c r="GK230" s="5">
        <v>0</v>
      </c>
      <c r="GL230" s="5">
        <v>0</v>
      </c>
      <c r="GM230" s="5"/>
      <c r="GN230" s="4"/>
      <c r="GO230" s="5">
        <v>0</v>
      </c>
      <c r="GP230" s="4"/>
      <c r="GQ230" s="4"/>
      <c r="GR230" s="4"/>
      <c r="GS230" s="4"/>
      <c r="GT230" s="6"/>
      <c r="GU230" s="6"/>
      <c r="GV230" s="6"/>
      <c r="GW230" s="9"/>
      <c r="GX230"/>
      <c r="GY230"/>
      <c r="GZ230"/>
      <c r="HA230"/>
      <c r="HB230"/>
      <c r="HC230"/>
      <c r="HD230" s="4"/>
      <c r="HE230" s="4"/>
      <c r="HF230" s="6"/>
      <c r="HG230" s="4"/>
      <c r="HH230" s="5">
        <v>0</v>
      </c>
      <c r="HI230" s="5"/>
      <c r="HJ230" s="6"/>
      <c r="HK230" s="4"/>
      <c r="HL230" s="4"/>
      <c r="HM230" s="5">
        <v>0</v>
      </c>
      <c r="HN230" s="5">
        <v>0</v>
      </c>
      <c r="HO230" s="5"/>
      <c r="HP230" s="4"/>
      <c r="HQ230" s="5">
        <v>0</v>
      </c>
      <c r="HR230" s="4"/>
      <c r="HS230" s="4"/>
      <c r="HT230" s="4"/>
      <c r="HU230" s="4"/>
      <c r="HV230" s="6"/>
      <c r="HW230" s="6"/>
      <c r="HX230" s="6"/>
      <c r="HY230" s="9"/>
      <c r="HZ230"/>
      <c r="IA230"/>
      <c r="IB230"/>
      <c r="IC230"/>
      <c r="ID230"/>
      <c r="IE230"/>
      <c r="IF230" s="4"/>
      <c r="IG230" s="4"/>
      <c r="IH230" s="6"/>
      <c r="II230" s="4"/>
      <c r="IJ230" s="5">
        <v>0</v>
      </c>
      <c r="IK230" s="5"/>
      <c r="IL230" s="6"/>
      <c r="IM230" s="4"/>
      <c r="IN230" s="4"/>
      <c r="IO230" s="5">
        <v>0</v>
      </c>
      <c r="IP230" s="5">
        <v>0</v>
      </c>
      <c r="IQ230" s="5"/>
      <c r="IR230" s="4"/>
      <c r="IS230" s="5">
        <v>0</v>
      </c>
      <c r="IT230" s="4"/>
      <c r="IU230" s="4"/>
      <c r="IV230" s="4"/>
      <c r="IW230" s="4"/>
      <c r="IX230" s="6"/>
      <c r="IY230" s="6"/>
      <c r="IZ230" s="6"/>
      <c r="JA230" s="9"/>
      <c r="JB230"/>
      <c r="JC230"/>
      <c r="JD230"/>
      <c r="JE230"/>
      <c r="JF230"/>
      <c r="JG230"/>
      <c r="JH230" s="4"/>
      <c r="JI230" s="4"/>
      <c r="JJ230" s="6"/>
      <c r="JK230" s="4"/>
      <c r="JL230" s="5">
        <v>0</v>
      </c>
      <c r="JM230" s="5"/>
      <c r="JN230" s="6"/>
      <c r="JO230" s="4"/>
      <c r="JP230" s="4"/>
      <c r="JQ230" s="5">
        <v>0</v>
      </c>
      <c r="JR230" s="5">
        <v>0</v>
      </c>
      <c r="JS230" s="5"/>
      <c r="JT230" s="4"/>
      <c r="JU230" s="5">
        <v>0</v>
      </c>
      <c r="JV230" s="4"/>
      <c r="JW230" s="4"/>
      <c r="JX230" s="4"/>
      <c r="JY230" s="4"/>
      <c r="JZ230" s="6"/>
      <c r="KA230" s="6"/>
      <c r="KB230" s="6"/>
      <c r="KC230" s="9"/>
      <c r="KD230"/>
      <c r="KE230"/>
      <c r="KF230"/>
      <c r="KG230"/>
      <c r="KH230"/>
      <c r="KI230"/>
      <c r="KJ230" s="4"/>
      <c r="KK230" s="4"/>
      <c r="KL230" s="6"/>
      <c r="KM230" s="4"/>
      <c r="KN230" s="5">
        <v>0</v>
      </c>
      <c r="KO230" s="5"/>
      <c r="KP230" s="6"/>
      <c r="KQ230" s="4"/>
      <c r="KR230" s="4"/>
      <c r="KS230" s="5">
        <v>0</v>
      </c>
      <c r="KT230" s="5">
        <v>0</v>
      </c>
      <c r="KU230" s="5"/>
      <c r="KV230" s="4"/>
      <c r="KW230" s="5">
        <v>0</v>
      </c>
      <c r="KX230" s="4"/>
      <c r="KY230" s="4"/>
      <c r="KZ230" s="4"/>
      <c r="LA230" s="4"/>
      <c r="LB230" s="6"/>
      <c r="LC230" s="6"/>
      <c r="LD230" s="6"/>
      <c r="LE230" s="9"/>
      <c r="LF230"/>
      <c r="LG230"/>
      <c r="LH230"/>
      <c r="LI230"/>
      <c r="LJ230"/>
      <c r="LK230"/>
      <c r="LL230" s="4"/>
      <c r="LM230" s="4"/>
      <c r="LN230" s="6"/>
      <c r="LO230" s="4"/>
      <c r="LP230" s="5">
        <v>0</v>
      </c>
      <c r="LQ230" s="5"/>
      <c r="LR230" s="6"/>
      <c r="LS230" s="4"/>
      <c r="LT230" s="4"/>
      <c r="LU230" s="5">
        <v>0</v>
      </c>
      <c r="LV230" s="5">
        <v>0</v>
      </c>
      <c r="LW230" s="5"/>
      <c r="LX230" s="4"/>
      <c r="LY230" s="5">
        <v>0</v>
      </c>
      <c r="LZ230" s="4"/>
      <c r="MA230" s="4"/>
      <c r="MB230" s="4"/>
      <c r="MC230" s="4"/>
      <c r="MD230" s="6"/>
      <c r="ME230" s="6"/>
      <c r="MF230" s="6"/>
      <c r="MG230" s="9"/>
      <c r="MH230"/>
    </row>
    <row r="231">
      <c r="A231" s="8">
        <v>25546</v>
      </c>
      <c r="B231" s="8">
        <v>25547</v>
      </c>
      <c r="C231" s="9">
        <f>B231-A231</f>
        <v>1</v>
      </c>
      <c r="D231" s="8">
        <v>25546</v>
      </c>
      <c r="E231" t="inlineStr">
        <is>
          <t xml:space="preserve">positive</t>
        </is>
      </c>
      <c r="F231" s="4">
        <v>1.9067474048741482</v>
      </c>
      <c r="G231" s="6">
        <v>-0.0015083530957643698</v>
      </c>
      <c r="H231" s="7">
        <f>SUM(CP231,DR231,ET231,FV231,GX231,HZ231,JB231,KD231,LF231,MH231)</f>
        <v>-0.0015083530957643698</v>
      </c>
      <c r="I231" s="7">
        <f>G231-H231</f>
        <v>0</v>
      </c>
      <c r="J231" s="5">
        <f>F231*(1+H231)</f>
        <v>1.9038713565231655</v>
      </c>
      <c r="K231" s="4">
        <v>1.9038713565231655</v>
      </c>
      <c r="L231" s="5">
        <f>K231-J231</f>
        <v>0</v>
      </c>
      <c r="M231" s="4">
        <v>1.812</v>
      </c>
      <c r="N231" s="4">
        <v>1.758</v>
      </c>
      <c r="O231" s="5">
        <f>M231/$M$3</f>
        <v>0.9254341164453525</v>
      </c>
      <c r="P231" s="5">
        <f>N231/$M$3</f>
        <v>0.8978549540347294</v>
      </c>
      <c r="Q231" s="7">
        <f>IFERROR(N231/M231-1,0)</f>
        <v>-0.0298013245033113</v>
      </c>
      <c r="R231" s="5">
        <f>SUM(IF(BQ231="lease",CB231,0),IF(CS231="lease",DD231,0),IF(DU231="lease",EF231,0),IF(EW231="lease",FH231,0),IF(FY231="lease",GJ231,0),IF(HA231="lease",HL231,0),IF(IC231="lease",IN231,0),IF(JE231="lease",JP231,0),IF(KG231="lease",KR231,0),IF(LI231="lease",LT231,0))</f>
        <v>1.9067474048741475</v>
      </c>
      <c r="S231" s="5">
        <f>SUM(IF(BQ231="lease",CI231,0),IF(CS231="lease",DK231,0),IF(DU231="lease",EM231,0),IF(EW231="lease",FO231,0),IF(FY231="lease",GQ231,0),IF(HA231="lease",HS231,0),IF(IC231="lease",IU231,0),IF(JE231="lease",JW231,0),IF(KG231="lease",KY231,0),IF(LI231="lease",MA231,0))</f>
        <v>1.9038713565231649</v>
      </c>
      <c r="T231" s="5">
        <f>SUM(IF(BQ231="keep",CB231,0),IF(CS231="keep",DD231,0),IF(DU231="keep",EF231,0),IF(EW231="keep",FH231,0),IF(FY231="keep",GJ231,0),IF(HA231="keep",HL231,0),IF(IC231="keep",IN231,0),IF(JE231="keep",JP231,0),IF(KG231="keep",KR231,0),IF(LI231="keep",LT231,0))</f>
        <v>0</v>
      </c>
      <c r="U231" s="5">
        <f>SUM(IF(BQ231="keep",CI231,0),IF(CS231="keep",DK231,0),IF(DU231="keep",EM231,0),IF(EW231="keep",FO231,0),IF(FY231="keep",GQ231,0),IF(HA231="keep",HS231,0),IF(IC231="keep",IU231,0),IF(JE231="keep",JW231,0),IF(KG231="keep",KY231,0),IF(LI231="keep",MA231,0))</f>
        <v>0</v>
      </c>
      <c r="V231" s="5">
        <f>R231/O231</f>
        <v>2.060381577673058</v>
      </c>
      <c r="W231" s="5">
        <f>S231/P231</f>
        <v>2.1204665051606124</v>
      </c>
      <c r="X231" s="5">
        <f>T231/O231</f>
        <v>0</v>
      </c>
      <c r="Y231" s="5">
        <f>U231/P231</f>
        <v>0</v>
      </c>
      <c r="Z231" s="5">
        <f>V231+X231</f>
        <v>2.060381577673058</v>
      </c>
      <c r="AA231" s="7">
        <f>IFERROR(W231/V231-1,0)</f>
        <v>0.029162038788665967</v>
      </c>
      <c r="AB231" s="7">
        <f>IFERROR((W231-V231)/Z231,0)</f>
        <v>0.029162038788666002</v>
      </c>
      <c r="AC231" s="7">
        <f>IFERROR(Y231/X231-1,0)</f>
        <v>0</v>
      </c>
      <c r="AD231" s="7">
        <f>IFERROR((Y231-X231)/Z231,0)</f>
        <v>0</v>
      </c>
      <c r="AE231" s="7">
        <f>AB231+AD231</f>
        <v>0.029162038788666002</v>
      </c>
      <c r="AF231" s="7">
        <f>(1+Q231)*(1+AE231)-1</f>
        <v>-0.0015083530957644697</v>
      </c>
      <c r="AG231" s="7">
        <f>G231-AF231</f>
        <v>9.996344030316351e-17</v>
      </c>
      <c r="AH231" s="5">
        <f>SUM(IF(BQ231="lease",CE231,0),IF(CS231="lease",DG231,0),IF(DU231="lease",EI231,0),IF(EW231="lease",FK231,0),IF(FY231="lease",GM231,0),IF(HA231="lease",HO231,0),IF(IC231="lease",IQ231,0),IF(JE231="lease",JS231,0),IF(KG231="lease",KU231,0),IF(LI231="lease",LW231,0))</f>
        <v>-0.0028760483509825997</v>
      </c>
      <c r="AI231" s="5">
        <f>SUM(IF(BQ231="keep",CE231,0),IF(CS231="keep",DG231,0),IF(DU231="keep",EI231,0),IF(EW231="keep",FK231,0),IF(FY231="keep",GM231,0),IF(HA231="keep",HO231,0),IF(IC231="keep",IQ231,0),IF(JE231="keep",JS231,0),IF(KG231="keep",KU231,0),IF(LI231="keep",LW231,0))</f>
        <v>0</v>
      </c>
      <c r="AJ231" s="5">
        <f>SUM(IF(BQ231="lease",CH231,0),IF(CS231="lease",DJ231,0),IF(DU231="lease",EL231,0),IF(EW231="lease",FN231,0),IF(FY231="lease",GP231,0),IF(HA231="lease",HR231,0),IF(IC231="lease",IT231,0),IF(JE231="lease",JV231,0),IF(KG231="lease",KX231,0),IF(LI231="lease",LZ231,0))</f>
        <v>0</v>
      </c>
      <c r="AK231" s="5">
        <f>SUM(IF(BQ231="keep",CH231,0),IF(CS231="keep",DJ231,0),IF(DU231="keep",EL231,0),IF(EW231="keep",FN231,0),IF(FY231="keep",GP231,0),IF(HA231="keep",HR231,0),IF(IC231="keep",IT231,0),IF(JE231="keep",JV231,0),IF(KG231="keep",KX231,0),IF(LI231="keep",LZ231,0))</f>
        <v>0</v>
      </c>
      <c r="AL231" s="5">
        <f>R231-S230</f>
        <v>0</v>
      </c>
      <c r="AM231" s="5">
        <f>T231-U230</f>
        <v>0</v>
      </c>
      <c r="AN231" s="5">
        <f>AN230</f>
        <v>1</v>
      </c>
      <c r="AO231" s="5">
        <f>AO230+AH231</f>
        <v>0.9038713565231654</v>
      </c>
      <c r="AP231" s="5">
        <f>AP230+AL231</f>
        <v>1.5543122344752192e-15</v>
      </c>
      <c r="AQ231" s="5">
        <f>AN231+AO231+AP231</f>
        <v>1.9038713565231669</v>
      </c>
      <c r="AR231" s="5">
        <f>S231-AQ231</f>
        <v>-1.9984014443252818e-15</v>
      </c>
      <c r="AS231" s="5">
        <f>AS230</f>
        <v>0</v>
      </c>
      <c r="AT231" s="5">
        <f>AT230+AI231</f>
        <v>0</v>
      </c>
      <c r="AU231" s="5">
        <f>AU230+AM231</f>
        <v>0</v>
      </c>
      <c r="AV231" s="5">
        <f>AS231+AT231+AU231</f>
        <v>0</v>
      </c>
      <c r="AW231" s="5">
        <f>U231-AV231</f>
        <v>0</v>
      </c>
      <c r="AX231" s="4">
        <v>1.9067474048741475</v>
      </c>
      <c r="AY231" s="4">
        <v>1.9038713565231649</v>
      </c>
      <c r="AZ231" s="5">
        <f>S231-AY231</f>
        <v>0</v>
      </c>
      <c r="BA231" s="4">
        <v>0</v>
      </c>
      <c r="BB231" s="4">
        <v>0</v>
      </c>
      <c r="BC231" s="5">
        <f>U231-BB231</f>
        <v>0</v>
      </c>
      <c r="BD231" s="7">
        <f>SUM(IF(BP231="direct",CC231/F231,0),IF(CR231="direct",DE231/F231,0),IF(DT231="direct",EG231/F231,0),IF(EV231="direct",FI231/F231,0),IF(FX231="direct",GK231/F231,0),IF(GZ231="direct",HM231/F231,0),IF(IB231="direct",IO231/F231,0),IF(JD231="direct",JQ231/F231,0),IF(KF231="direct",KS231/F231,0),IF(LH231="direct",LU231/F231,0))</f>
        <v>0</v>
      </c>
      <c r="BE231" s="7">
        <f>-SUM(IF(BP231="direct",CD231/F231,0),IF(CR231="direct",DF231/F231,0),IF(DT231="direct",EH231/F231,0),IF(EV231="direct",FJ231/F231,0),IF(FX231="direct",GL231/F231,0),IF(GZ231="direct",HN231/F231,0),IF(IB231="direct",IP231/F231,0),IF(JD231="direct",JR231/F231,0),IF(KF231="direct",KT231/F231,0),IF(LH231="direct",LV231/F231,0))</f>
        <v>0</v>
      </c>
      <c r="BF231" s="7">
        <f>BD231+BE231</f>
        <v>0</v>
      </c>
      <c r="BG231" s="7">
        <f>BF231-SUM(IF(BP231="direct",CP231,0),IF(CR231="direct",DR231,0),IF(DT231="direct",ET231,0),IF(EV231="direct",FV231,0),IF(FX231="direct",GX231,0),IF(GZ231="direct",HZ231,0),IF(IB231="direct",JB231,0),IF(JD231="direct",KD231,0),IF(KF231="direct",LF231,0),IF(LH231="direct",MH231,0))</f>
        <v>0</v>
      </c>
      <c r="BH231" s="7">
        <f>SUM(IF(BP231="treasury",CP231,0),IF(CR231="treasury",DR231,0),IF(DT231="treasury",ET231,0),IF(EV231="treasury",FV231,0),IF(FX231="treasury",GX231,0),IF(GZ231="treasury",HZ231,0),IF(IB231="treasury",JB231,0),IF(JD231="treasury",KD231,0),IF(KF231="treasury",LF231,0),IF(LH231="treasury",MH231,0))</f>
        <v>0.0002147945205479452</v>
      </c>
      <c r="BI231" s="7">
        <f>SUM(IF(BP231="future",CP231,0),IF(CR231="future",DR231,0),IF(DT231="future",ET231,0),IF(EV231="future",FV231,0),IF(FX231="future",GX231,0),IF(GZ231="future",HZ231,0),IF(IB231="future",JB231,0),IF(JD231="future",KD231,0),IF(KF231="future",LF231,0),IF(LH231="future",MH231,0))</f>
        <v>-0.001723147616312315</v>
      </c>
      <c r="BJ231" s="7">
        <f>SUM(IF(BP231="cash",CP231,0),IF(CR231="cash",DR231,0),IF(DT231="cash",ET231,0),IF(EV231="cash",FV231,0),IF(FX231="cash",GX231,0),IF(GZ231="cash",HZ231,0),IF(IB231="cash",JB231,0),IF(JD231="cash",KD231,0),IF(KF231="cash",LF231,0),IF(LH231="cash",MH231,0))</f>
        <v>0</v>
      </c>
      <c r="BK231" s="7">
        <f>SUM(BF231,BH231,BI231,BJ231)</f>
        <v>-0.0015083530957643698</v>
      </c>
      <c r="BL231" s="7">
        <f>G231-BK231</f>
        <v>0</v>
      </c>
      <c r="BM231" s="5">
        <f>MAX(ABS(CG231),ABS(DI231),ABS(EK231),ABS(FM231),ABS(GO231),ABS(HQ231),ABS(IS231),ABS(JU231),ABS(KW231),ABS(LY231))</f>
        <v>1.3162214373974024e-16</v>
      </c>
      <c r="BN231" s="9">
        <f>COUNTA(BO231,CQ231,DS231,EU231,FW231,GY231,IA231,JC231,KE231,LG231)</f>
        <v>4</v>
      </c>
      <c r="BO231" t="inlineStr">
        <is>
          <t xml:space="preserve">Treasury collateral</t>
        </is>
      </c>
      <c r="BP231" t="inlineStr">
        <is>
          <t xml:space="preserve">treasury</t>
        </is>
      </c>
      <c r="BQ231" t="inlineStr">
        <is>
          <t xml:space="preserve">lease</t>
        </is>
      </c>
      <c r="BR231" t="inlineStr">
        <is>
          <t xml:space="preserve">long</t>
        </is>
      </c>
      <c r="BS231"/>
      <c r="BT231" s="4">
        <v>106.34467449907223</v>
      </c>
      <c r="BU231" s="4">
        <v>106.36751675244409</v>
      </c>
      <c r="BV231" s="6"/>
      <c r="BW231" s="4">
        <v>0.017929881433703415</v>
      </c>
      <c r="BX231" s="5">
        <f>IF(BP231="direct",IFERROR(CD231/BU231,0),0)</f>
        <v>0</v>
      </c>
      <c r="BY231" s="5">
        <f>IF(BP231="direct",BW231-BX231,IF(BP231="cash",CI231,BW231))</f>
        <v>0.017929881433703415</v>
      </c>
      <c r="BZ231" s="6">
        <v>1</v>
      </c>
      <c r="CA231" s="4">
        <v>1.9067474048741482</v>
      </c>
      <c r="CB231" s="4">
        <v>1.9067474048741482</v>
      </c>
      <c r="CC231" s="5">
        <f>IF(BP231="direct",BW231*(BU231-BT231),CF231)</f>
        <v>0.000409558894636113</v>
      </c>
      <c r="CD231" s="5">
        <f>IF(BP231="direct",CB231*BV231*C231/365,0)</f>
        <v>0</v>
      </c>
      <c r="CE231" s="5">
        <f>CC231-CD231</f>
        <v>0.00040955889463598137</v>
      </c>
      <c r="CF231" s="4">
        <v>0.00040955889463598137</v>
      </c>
      <c r="CG231" s="5">
        <f>CF231-CE231</f>
        <v>-1.3162214373974024e-16</v>
      </c>
      <c r="CH231" s="4">
        <v>2.710505431213761e-17</v>
      </c>
      <c r="CI231" s="4">
        <v>1.9071569637687842</v>
      </c>
      <c r="CJ231" s="4">
        <v>1.812</v>
      </c>
      <c r="CK231" s="4">
        <v>1.758</v>
      </c>
      <c r="CL231" s="6"/>
      <c r="CM231" s="6"/>
      <c r="CN231" s="6"/>
      <c r="CO231" s="9">
        <v>20</v>
      </c>
      <c r="CP231" s="7">
        <f>IFERROR(CE231/F231,0)</f>
        <v>0.0002147945205479452</v>
      </c>
      <c r="CQ231" t="inlineStr">
        <is>
          <t xml:space="preserve">SI69Z</t>
        </is>
      </c>
      <c r="CR231" t="inlineStr">
        <is>
          <t xml:space="preserve">future</t>
        </is>
      </c>
      <c r="CS231" t="inlineStr">
        <is>
          <t xml:space="preserve">lease</t>
        </is>
      </c>
      <c r="CT231" t="inlineStr">
        <is>
          <t xml:space="preserve">long</t>
        </is>
      </c>
      <c r="CU231" t="inlineStr">
        <is>
          <t xml:space="preserve">regular</t>
        </is>
      </c>
      <c r="CV231" s="4">
        <v>1.7409999999999999</v>
      </c>
      <c r="CW231" s="4">
        <v>1.7380000000000002</v>
      </c>
      <c r="CX231" s="6"/>
      <c r="CY231" s="4">
        <v>1.0952024152062885</v>
      </c>
      <c r="CZ231" s="5">
        <f>IF(CR231="direct",IFERROR(DF231/CW231,0),0)</f>
        <v>0</v>
      </c>
      <c r="DA231" s="5">
        <f>IF(CR231="direct",CY231-CZ231,IF(CR231="cash",DK231,CY231))</f>
        <v>1.0952024152062885</v>
      </c>
      <c r="DB231" s="6">
        <v>1</v>
      </c>
      <c r="DC231" s="4">
        <v>1.9067474048741482</v>
      </c>
      <c r="DD231" s="4">
        <v>0</v>
      </c>
      <c r="DE231" s="5">
        <f>IF(CR231="direct",CY231*(CW231-CV231),DH231)</f>
        <v>-0.003285607245618581</v>
      </c>
      <c r="DF231" s="5">
        <f>IF(CR231="direct",DD231*CX231*C231/365,0)</f>
        <v>0</v>
      </c>
      <c r="DG231" s="5">
        <f>DE231-DF231</f>
        <v>-0.003285607245618581</v>
      </c>
      <c r="DH231" s="4">
        <v>-0.003285607245618581</v>
      </c>
      <c r="DI231" s="5">
        <f>DH231-DG231</f>
        <v>0</v>
      </c>
      <c r="DJ231" s="4">
        <v>0.003285607245618581</v>
      </c>
      <c r="DK231" s="4">
        <v>0</v>
      </c>
      <c r="DL231" s="4">
        <v>1.812</v>
      </c>
      <c r="DM231" s="4">
        <v>1.758</v>
      </c>
      <c r="DN231" s="6">
        <v>-0.03918322295805754</v>
      </c>
      <c r="DO231" s="6">
        <v>0.0784</v>
      </c>
      <c r="DP231" s="6">
        <v>0.7934938189845502</v>
      </c>
      <c r="DQ231" s="9">
        <v>20</v>
      </c>
      <c r="DR231" s="7">
        <f>IFERROR(DG231/F231,0)</f>
        <v>-0.001723147616312315</v>
      </c>
      <c r="DS231" t="inlineStr">
        <is>
          <t xml:space="preserve">Lease cash / margin / financing</t>
        </is>
      </c>
      <c r="DT231" t="inlineStr">
        <is>
          <t xml:space="preserve">cash</t>
        </is>
      </c>
      <c r="DU231" t="inlineStr">
        <is>
          <t xml:space="preserve">lease</t>
        </is>
      </c>
      <c r="DV231" t="inlineStr">
        <is>
          <t xml:space="preserve">cash</t>
        </is>
      </c>
      <c r="DW231"/>
      <c r="DX231" s="4">
        <v>1</v>
      </c>
      <c r="DY231" s="4">
        <v>1</v>
      </c>
      <c r="DZ231" s="6"/>
      <c r="EA231" s="4">
        <v>-6.661338147750939e-16</v>
      </c>
      <c r="EB231" s="5">
        <f>IF(DT231="direct",IFERROR(EH231/DY231,0),0)</f>
        <v>0</v>
      </c>
      <c r="EC231" s="5">
        <f>IF(DT231="direct",EA231-EB231,IF(DT231="cash",EM231,EA231))</f>
        <v>-0.0032856072456192743</v>
      </c>
      <c r="ED231" s="6"/>
      <c r="EE231" s="4">
        <v>-6.661338147750939e-16</v>
      </c>
      <c r="EF231" s="4">
        <v>-6.661338147750939e-16</v>
      </c>
      <c r="EG231" s="5">
        <f>IF(DT231="direct",EA231*(DY231-DX231),EJ231)</f>
        <v>0</v>
      </c>
      <c r="EH231" s="5">
        <f>IF(DT231="direct",EF231*DZ231*C231/365,0)</f>
        <v>0</v>
      </c>
      <c r="EI231" s="5">
        <f>EG231-EH231</f>
        <v>0</v>
      </c>
      <c r="EJ231" s="4">
        <v>0</v>
      </c>
      <c r="EK231" s="5">
        <f>EJ231-EI231</f>
        <v>0</v>
      </c>
      <c r="EL231" s="4">
        <v>-0.003285607245618608</v>
      </c>
      <c r="EM231" s="4">
        <v>-0.0032856072456192743</v>
      </c>
      <c r="EN231" s="4">
        <v>1.812</v>
      </c>
      <c r="EO231" s="4">
        <v>1.758</v>
      </c>
      <c r="EP231" s="6"/>
      <c r="EQ231" s="6"/>
      <c r="ER231" s="6"/>
      <c r="ES231" s="9"/>
      <c r="ET231" s="7">
        <f>IFERROR(EI231/F231,0)</f>
        <v>0</v>
      </c>
      <c r="EU231" t="inlineStr">
        <is>
          <t xml:space="preserve">Keep cash / margin / financing</t>
        </is>
      </c>
      <c r="EV231" t="inlineStr">
        <is>
          <t xml:space="preserve">cash</t>
        </is>
      </c>
      <c r="EW231" t="inlineStr">
        <is>
          <t xml:space="preserve">keep</t>
        </is>
      </c>
      <c r="EX231" t="inlineStr">
        <is>
          <t xml:space="preserve">cash</t>
        </is>
      </c>
      <c r="EY231"/>
      <c r="EZ231" s="4">
        <v>1</v>
      </c>
      <c r="FA231" s="4">
        <v>1</v>
      </c>
      <c r="FB231" s="6"/>
      <c r="FC231" s="4">
        <v>0</v>
      </c>
      <c r="FD231" s="5">
        <f>IF(EV231="direct",IFERROR(FJ231/FA231,0),0)</f>
        <v>0</v>
      </c>
      <c r="FE231" s="5">
        <f>IF(EV231="direct",FC231-FD231,IF(EV231="cash",FO231,FC231))</f>
        <v>0</v>
      </c>
      <c r="FF231" s="6"/>
      <c r="FG231" s="4">
        <v>0</v>
      </c>
      <c r="FH231" s="4">
        <v>0</v>
      </c>
      <c r="FI231" s="5">
        <f>IF(EV231="direct",FC231*(FA231-EZ231),FL231)</f>
        <v>0</v>
      </c>
      <c r="FJ231" s="5">
        <f>IF(EV231="direct",FH231*FB231*C231/365,0)</f>
        <v>0</v>
      </c>
      <c r="FK231" s="5">
        <f>FI231-FJ231</f>
        <v>0</v>
      </c>
      <c r="FL231" s="4">
        <v>0</v>
      </c>
      <c r="FM231" s="5">
        <f>FL231-FK231</f>
        <v>0</v>
      </c>
      <c r="FN231" s="4">
        <v>0</v>
      </c>
      <c r="FO231" s="4">
        <v>0</v>
      </c>
      <c r="FP231" s="4">
        <v>1.812</v>
      </c>
      <c r="FQ231" s="4">
        <v>1.758</v>
      </c>
      <c r="FR231" s="6"/>
      <c r="FS231" s="6"/>
      <c r="FT231" s="6"/>
      <c r="FU231" s="9"/>
      <c r="FV231" s="7">
        <f>IFERROR(FK231/F231,0)</f>
        <v>0</v>
      </c>
      <c r="FW231"/>
      <c r="FX231"/>
      <c r="FY231"/>
      <c r="FZ231"/>
      <c r="GA231"/>
      <c r="GB231" s="4"/>
      <c r="GC231" s="4"/>
      <c r="GD231" s="6"/>
      <c r="GE231" s="4"/>
      <c r="GF231" s="5">
        <v>0</v>
      </c>
      <c r="GG231" s="5"/>
      <c r="GH231" s="6"/>
      <c r="GI231" s="4"/>
      <c r="GJ231" s="4"/>
      <c r="GK231" s="5">
        <v>0</v>
      </c>
      <c r="GL231" s="5">
        <v>0</v>
      </c>
      <c r="GM231" s="5"/>
      <c r="GN231" s="4"/>
      <c r="GO231" s="5">
        <v>0</v>
      </c>
      <c r="GP231" s="4"/>
      <c r="GQ231" s="4"/>
      <c r="GR231" s="4"/>
      <c r="GS231" s="4"/>
      <c r="GT231" s="6"/>
      <c r="GU231" s="6"/>
      <c r="GV231" s="6"/>
      <c r="GW231" s="9"/>
      <c r="GX231"/>
      <c r="GY231"/>
      <c r="GZ231"/>
      <c r="HA231"/>
      <c r="HB231"/>
      <c r="HC231"/>
      <c r="HD231" s="4"/>
      <c r="HE231" s="4"/>
      <c r="HF231" s="6"/>
      <c r="HG231" s="4"/>
      <c r="HH231" s="5">
        <v>0</v>
      </c>
      <c r="HI231" s="5"/>
      <c r="HJ231" s="6"/>
      <c r="HK231" s="4"/>
      <c r="HL231" s="4"/>
      <c r="HM231" s="5">
        <v>0</v>
      </c>
      <c r="HN231" s="5">
        <v>0</v>
      </c>
      <c r="HO231" s="5"/>
      <c r="HP231" s="4"/>
      <c r="HQ231" s="5">
        <v>0</v>
      </c>
      <c r="HR231" s="4"/>
      <c r="HS231" s="4"/>
      <c r="HT231" s="4"/>
      <c r="HU231" s="4"/>
      <c r="HV231" s="6"/>
      <c r="HW231" s="6"/>
      <c r="HX231" s="6"/>
      <c r="HY231" s="9"/>
      <c r="HZ231"/>
      <c r="IA231"/>
      <c r="IB231"/>
      <c r="IC231"/>
      <c r="ID231"/>
      <c r="IE231"/>
      <c r="IF231" s="4"/>
      <c r="IG231" s="4"/>
      <c r="IH231" s="6"/>
      <c r="II231" s="4"/>
      <c r="IJ231" s="5">
        <v>0</v>
      </c>
      <c r="IK231" s="5"/>
      <c r="IL231" s="6"/>
      <c r="IM231" s="4"/>
      <c r="IN231" s="4"/>
      <c r="IO231" s="5">
        <v>0</v>
      </c>
      <c r="IP231" s="5">
        <v>0</v>
      </c>
      <c r="IQ231" s="5"/>
      <c r="IR231" s="4"/>
      <c r="IS231" s="5">
        <v>0</v>
      </c>
      <c r="IT231" s="4"/>
      <c r="IU231" s="4"/>
      <c r="IV231" s="4"/>
      <c r="IW231" s="4"/>
      <c r="IX231" s="6"/>
      <c r="IY231" s="6"/>
      <c r="IZ231" s="6"/>
      <c r="JA231" s="9"/>
      <c r="JB231"/>
      <c r="JC231"/>
      <c r="JD231"/>
      <c r="JE231"/>
      <c r="JF231"/>
      <c r="JG231"/>
      <c r="JH231" s="4"/>
      <c r="JI231" s="4"/>
      <c r="JJ231" s="6"/>
      <c r="JK231" s="4"/>
      <c r="JL231" s="5">
        <v>0</v>
      </c>
      <c r="JM231" s="5"/>
      <c r="JN231" s="6"/>
      <c r="JO231" s="4"/>
      <c r="JP231" s="4"/>
      <c r="JQ231" s="5">
        <v>0</v>
      </c>
      <c r="JR231" s="5">
        <v>0</v>
      </c>
      <c r="JS231" s="5"/>
      <c r="JT231" s="4"/>
      <c r="JU231" s="5">
        <v>0</v>
      </c>
      <c r="JV231" s="4"/>
      <c r="JW231" s="4"/>
      <c r="JX231" s="4"/>
      <c r="JY231" s="4"/>
      <c r="JZ231" s="6"/>
      <c r="KA231" s="6"/>
      <c r="KB231" s="6"/>
      <c r="KC231" s="9"/>
      <c r="KD231"/>
      <c r="KE231"/>
      <c r="KF231"/>
      <c r="KG231"/>
      <c r="KH231"/>
      <c r="KI231"/>
      <c r="KJ231" s="4"/>
      <c r="KK231" s="4"/>
      <c r="KL231" s="6"/>
      <c r="KM231" s="4"/>
      <c r="KN231" s="5">
        <v>0</v>
      </c>
      <c r="KO231" s="5"/>
      <c r="KP231" s="6"/>
      <c r="KQ231" s="4"/>
      <c r="KR231" s="4"/>
      <c r="KS231" s="5">
        <v>0</v>
      </c>
      <c r="KT231" s="5">
        <v>0</v>
      </c>
      <c r="KU231" s="5"/>
      <c r="KV231" s="4"/>
      <c r="KW231" s="5">
        <v>0</v>
      </c>
      <c r="KX231" s="4"/>
      <c r="KY231" s="4"/>
      <c r="KZ231" s="4"/>
      <c r="LA231" s="4"/>
      <c r="LB231" s="6"/>
      <c r="LC231" s="6"/>
      <c r="LD231" s="6"/>
      <c r="LE231" s="9"/>
      <c r="LF231"/>
      <c r="LG231"/>
      <c r="LH231"/>
      <c r="LI231"/>
      <c r="LJ231"/>
      <c r="LK231"/>
      <c r="LL231" s="4"/>
      <c r="LM231" s="4"/>
      <c r="LN231" s="6"/>
      <c r="LO231" s="4"/>
      <c r="LP231" s="5">
        <v>0</v>
      </c>
      <c r="LQ231" s="5"/>
      <c r="LR231" s="6"/>
      <c r="LS231" s="4"/>
      <c r="LT231" s="4"/>
      <c r="LU231" s="5">
        <v>0</v>
      </c>
      <c r="LV231" s="5">
        <v>0</v>
      </c>
      <c r="LW231" s="5"/>
      <c r="LX231" s="4"/>
      <c r="LY231" s="5">
        <v>0</v>
      </c>
      <c r="LZ231" s="4"/>
      <c r="MA231" s="4"/>
      <c r="MB231" s="4"/>
      <c r="MC231" s="4"/>
      <c r="MD231" s="6"/>
      <c r="ME231" s="6"/>
      <c r="MF231" s="6"/>
      <c r="MG231" s="9"/>
      <c r="MH231"/>
    </row>
    <row r="232">
      <c r="A232" s="8">
        <v>25547</v>
      </c>
      <c r="B232" s="8">
        <v>25548</v>
      </c>
      <c r="C232" s="9">
        <f>B232-A232</f>
        <v>1</v>
      </c>
      <c r="D232" s="8">
        <v>25547</v>
      </c>
      <c r="E232" t="inlineStr">
        <is>
          <t xml:space="preserve">positive</t>
        </is>
      </c>
      <c r="F232" s="4">
        <v>1.9038713565231655</v>
      </c>
      <c r="G232" s="6">
        <v>0.017477932121632334</v>
      </c>
      <c r="H232" s="7">
        <f>SUM(CP232,DR232,ET232,FV232,GX232,HZ232,JB232,KD232,LF232,MH232)</f>
        <v>0.017477932121632334</v>
      </c>
      <c r="I232" s="7">
        <f>G232-H232</f>
        <v>0</v>
      </c>
      <c r="J232" s="5">
        <f>F232*(1+H232)</f>
        <v>1.9371470908607975</v>
      </c>
      <c r="K232" s="4">
        <v>1.9371470908607975</v>
      </c>
      <c r="L232" s="5">
        <f>K232-J232</f>
        <v>0</v>
      </c>
      <c r="M232" s="4">
        <v>1.758</v>
      </c>
      <c r="N232" s="4">
        <v>1.767</v>
      </c>
      <c r="O232" s="5">
        <f>M232/$M$3</f>
        <v>0.8978549540347294</v>
      </c>
      <c r="P232" s="5">
        <f>N232/$M$3</f>
        <v>0.9024514811031664</v>
      </c>
      <c r="Q232" s="7">
        <f>IFERROR(N232/M232-1,0)</f>
        <v>0.005119453924914641</v>
      </c>
      <c r="R232" s="5">
        <f>SUM(IF(BQ232="lease",CB232,0),IF(CS232="lease",DD232,0),IF(DU232="lease",EF232,0),IF(EW232="lease",FH232,0),IF(FY232="lease",GJ232,0),IF(HA232="lease",HL232,0),IF(IC232="lease",IN232,0),IF(JE232="lease",JP232,0),IF(KG232="lease",KR232,0),IF(LI232="lease",LT232,0))</f>
        <v>1.9038713565231649</v>
      </c>
      <c r="S232" s="5">
        <f>SUM(IF(BQ232="lease",CI232,0),IF(CS232="lease",DK232,0),IF(DU232="lease",EM232,0),IF(EW232="lease",FO232,0),IF(FY232="lease",GQ232,0),IF(HA232="lease",HS232,0),IF(IC232="lease",IU232,0),IF(JE232="lease",JW232,0),IF(KG232="lease",KY232,0),IF(LI232="lease",MA232,0))</f>
        <v>1.9371470908607968</v>
      </c>
      <c r="T232" s="5">
        <f>SUM(IF(BQ232="keep",CB232,0),IF(CS232="keep",DD232,0),IF(DU232="keep",EF232,0),IF(EW232="keep",FH232,0),IF(FY232="keep",GJ232,0),IF(HA232="keep",HL232,0),IF(IC232="keep",IN232,0),IF(JE232="keep",JP232,0),IF(KG232="keep",KR232,0),IF(LI232="keep",LT232,0))</f>
        <v>0</v>
      </c>
      <c r="U232" s="5">
        <f>SUM(IF(BQ232="keep",CI232,0),IF(CS232="keep",DK232,0),IF(DU232="keep",EM232,0),IF(EW232="keep",FO232,0),IF(FY232="keep",GQ232,0),IF(HA232="keep",HS232,0),IF(IC232="keep",IU232,0),IF(JE232="keep",JW232,0),IF(KG232="keep",KY232,0),IF(LI232="keep",MA232,0))</f>
        <v>0</v>
      </c>
      <c r="V232" s="5">
        <f>R232/O232</f>
        <v>2.1204665051606124</v>
      </c>
      <c r="W232" s="5">
        <f>S232/P232</f>
        <v>2.146538768480725</v>
      </c>
      <c r="X232" s="5">
        <f>T232/O232</f>
        <v>0</v>
      </c>
      <c r="Y232" s="5">
        <f>U232/P232</f>
        <v>0</v>
      </c>
      <c r="Z232" s="5">
        <f>V232+X232</f>
        <v>2.1204665051606124</v>
      </c>
      <c r="AA232" s="7">
        <f>IFERROR(W232/V232-1,0)</f>
        <v>0.012295531788245606</v>
      </c>
      <c r="AB232" s="7">
        <f>IFERROR((W232-V232)/Z232,0)</f>
        <v>0.012295531788245653</v>
      </c>
      <c r="AC232" s="7">
        <f>IFERROR(Y232/X232-1,0)</f>
        <v>0</v>
      </c>
      <c r="AD232" s="7">
        <f>IFERROR((Y232-X232)/Z232,0)</f>
        <v>0</v>
      </c>
      <c r="AE232" s="7">
        <f>AB232+AD232</f>
        <v>0.012295531788245653</v>
      </c>
      <c r="AF232" s="7">
        <f>(1+Q232)*(1+AE232)-1</f>
        <v>0.01747793212163251</v>
      </c>
      <c r="AG232" s="7">
        <f>G232-AF232</f>
        <v>-1.7694179454963432e-16</v>
      </c>
      <c r="AH232" s="5">
        <f>SUM(IF(BQ232="lease",CE232,0),IF(CS232="lease",DG232,0),IF(DU232="lease",EI232,0),IF(EW232="lease",FK232,0),IF(FY232="lease",GM232,0),IF(HA232="lease",HO232,0),IF(IC232="lease",IQ232,0),IF(JE232="lease",JS232,0),IF(KG232="lease",KU232,0),IF(LI232="lease",LW232,0))</f>
        <v>0.03327573433763196</v>
      </c>
      <c r="AI232" s="5">
        <f>SUM(IF(BQ232="keep",CE232,0),IF(CS232="keep",DG232,0),IF(DU232="keep",EI232,0),IF(EW232="keep",FK232,0),IF(FY232="keep",GM232,0),IF(HA232="keep",HO232,0),IF(IC232="keep",IQ232,0),IF(JE232="keep",JS232,0),IF(KG232="keep",KU232,0),IF(LI232="keep",LW232,0))</f>
        <v>0</v>
      </c>
      <c r="AJ232" s="5">
        <f>SUM(IF(BQ232="lease",CH232,0),IF(CS232="lease",DJ232,0),IF(DU232="lease",EL232,0),IF(EW232="lease",FN232,0),IF(FY232="lease",GP232,0),IF(HA232="lease",HR232,0),IF(IC232="lease",IT232,0),IF(JE232="lease",JV232,0),IF(KG232="lease",KX232,0),IF(LI232="lease",LZ232,0))</f>
        <v>0</v>
      </c>
      <c r="AK232" s="5">
        <f>SUM(IF(BQ232="keep",CH232,0),IF(CS232="keep",DJ232,0),IF(DU232="keep",EL232,0),IF(EW232="keep",FN232,0),IF(FY232="keep",GP232,0),IF(HA232="keep",HR232,0),IF(IC232="keep",IT232,0),IF(JE232="keep",JV232,0),IF(KG232="keep",KX232,0),IF(LI232="keep",LZ232,0))</f>
        <v>0</v>
      </c>
      <c r="AL232" s="5">
        <f>R232-S231</f>
        <v>0</v>
      </c>
      <c r="AM232" s="5">
        <f>T232-U231</f>
        <v>0</v>
      </c>
      <c r="AN232" s="5">
        <f>AN231</f>
        <v>1</v>
      </c>
      <c r="AO232" s="5">
        <f>AO231+AH232</f>
        <v>0.9371470908607974</v>
      </c>
      <c r="AP232" s="5">
        <f>AP231+AL232</f>
        <v>1.5543122344752192e-15</v>
      </c>
      <c r="AQ232" s="5">
        <f>AN232+AO232+AP232</f>
        <v>1.937147090860799</v>
      </c>
      <c r="AR232" s="5">
        <f>S232-AQ232</f>
        <v>-2.220446049250313e-15</v>
      </c>
      <c r="AS232" s="5">
        <f>AS231</f>
        <v>0</v>
      </c>
      <c r="AT232" s="5">
        <f>AT231+AI232</f>
        <v>0</v>
      </c>
      <c r="AU232" s="5">
        <f>AU231+AM232</f>
        <v>0</v>
      </c>
      <c r="AV232" s="5">
        <f>AS232+AT232+AU232</f>
        <v>0</v>
      </c>
      <c r="AW232" s="5">
        <f>U232-AV232</f>
        <v>0</v>
      </c>
      <c r="AX232" s="4">
        <v>1.9038713565231649</v>
      </c>
      <c r="AY232" s="4">
        <v>1.9371470908607968</v>
      </c>
      <c r="AZ232" s="5">
        <f>S232-AY232</f>
        <v>0</v>
      </c>
      <c r="BA232" s="4">
        <v>0</v>
      </c>
      <c r="BB232" s="4">
        <v>0</v>
      </c>
      <c r="BC232" s="5">
        <f>U232-BB232</f>
        <v>0</v>
      </c>
      <c r="BD232" s="7">
        <f>SUM(IF(BP232="direct",CC232/F232,0),IF(CR232="direct",DE232/F232,0),IF(DT232="direct",EG232/F232,0),IF(EV232="direct",FI232/F232,0),IF(FX232="direct",GK232/F232,0),IF(GZ232="direct",HM232/F232,0),IF(IB232="direct",IO232/F232,0),IF(JD232="direct",JQ232/F232,0),IF(KF232="direct",KS232/F232,0),IF(LH232="direct",LU232/F232,0))</f>
        <v>0</v>
      </c>
      <c r="BE232" s="7">
        <f>-SUM(IF(BP232="direct",CD232/F232,0),IF(CR232="direct",DF232/F232,0),IF(DT232="direct",EH232/F232,0),IF(EV232="direct",FJ232/F232,0),IF(FX232="direct",GL232/F232,0),IF(GZ232="direct",HN232/F232,0),IF(IB232="direct",IP232/F232,0),IF(JD232="direct",JR232/F232,0),IF(KF232="direct",KT232/F232,0),IF(LH232="direct",LV232/F232,0))</f>
        <v>0</v>
      </c>
      <c r="BF232" s="7">
        <f>BD232+BE232</f>
        <v>0</v>
      </c>
      <c r="BG232" s="7">
        <f>BF232-SUM(IF(BP232="direct",CP232,0),IF(CR232="direct",DR232,0),IF(DT232="direct",ET232,0),IF(EV232="direct",FV232,0),IF(FX232="direct",GX232,0),IF(GZ232="direct",HZ232,0),IF(IB232="direct",JB232,0),IF(JD232="direct",KD232,0),IF(KF232="direct",LF232,0),IF(LH232="direct",MH232,0))</f>
        <v>0</v>
      </c>
      <c r="BH232" s="7">
        <f>SUM(IF(BP232="treasury",CP232,0),IF(CR232="treasury",DR232,0),IF(DT232="treasury",ET232,0),IF(EV232="treasury",FV232,0),IF(FX232="treasury",GX232,0),IF(GZ232="treasury",HZ232,0),IF(IB232="treasury",JB232,0),IF(JD232="treasury",KD232,0),IF(KF232="treasury",LF232,0),IF(LH232="treasury",MH232,0))</f>
        <v>0.0002167123287671233</v>
      </c>
      <c r="BI232" s="7">
        <f>SUM(IF(BP232="future",CP232,0),IF(CR232="future",DR232,0),IF(DT232="future",ET232,0),IF(EV232="future",FV232,0),IF(FX232="future",GX232,0),IF(GZ232="future",HZ232,0),IF(IB232="future",JB232,0),IF(JD232="future",KD232,0),IF(KF232="future",LF232,0),IF(LH232="future",MH232,0))</f>
        <v>0.017261219792865212</v>
      </c>
      <c r="BJ232" s="7">
        <f>SUM(IF(BP232="cash",CP232,0),IF(CR232="cash",DR232,0),IF(DT232="cash",ET232,0),IF(EV232="cash",FV232,0),IF(FX232="cash",GX232,0),IF(GZ232="cash",HZ232,0),IF(IB232="cash",JB232,0),IF(JD232="cash",KD232,0),IF(KF232="cash",LF232,0),IF(LH232="cash",MH232,0))</f>
        <v>0</v>
      </c>
      <c r="BK232" s="7">
        <f>SUM(BF232,BH232,BI232,BJ232)</f>
        <v>0.017477932121632334</v>
      </c>
      <c r="BL232" s="7">
        <f>G232-BK232</f>
        <v>0</v>
      </c>
      <c r="BM232" s="5">
        <f>MAX(ABS(CG232),ABS(DI232),ABS(EK232),ABS(FM232),ABS(GO232),ABS(HQ232),ABS(IS232),ABS(JU232),ABS(KW232),ABS(LY232))</f>
        <v>1.4934884925987824e-16</v>
      </c>
      <c r="BN232" s="9">
        <f>COUNTA(BO232,CQ232,DS232,EU232,FW232,GY232,IA232,JC232,KE232,LG232)</f>
        <v>4</v>
      </c>
      <c r="BO232" t="inlineStr">
        <is>
          <t xml:space="preserve">Treasury collateral</t>
        </is>
      </c>
      <c r="BP232" t="inlineStr">
        <is>
          <t xml:space="preserve">treasury</t>
        </is>
      </c>
      <c r="BQ232" t="inlineStr">
        <is>
          <t xml:space="preserve">lease</t>
        </is>
      </c>
      <c r="BR232" t="inlineStr">
        <is>
          <t xml:space="preserve">long</t>
        </is>
      </c>
      <c r="BS232"/>
      <c r="BT232" s="4">
        <v>106.36751675244409</v>
      </c>
      <c r="BU232" s="4">
        <v>106.3905679047047</v>
      </c>
      <c r="BV232" s="6"/>
      <c r="BW232" s="4">
        <v>0.01789899223608056</v>
      </c>
      <c r="BX232" s="5">
        <f>IF(BP232="direct",IFERROR(CD232/BU232,0),0)</f>
        <v>0</v>
      </c>
      <c r="BY232" s="5">
        <f>IF(BP232="direct",BW232-BX232,IF(BP232="cash",CI232,BW232))</f>
        <v>0.01789899223608056</v>
      </c>
      <c r="BZ232" s="6">
        <v>1</v>
      </c>
      <c r="CA232" s="4">
        <v>1.9038713565231655</v>
      </c>
      <c r="CB232" s="4">
        <v>1.9038713565231655</v>
      </c>
      <c r="CC232" s="5">
        <f>IF(BP232="direct",BW232*(BU232-BT232),CF232)</f>
        <v>0.0004125923953453066</v>
      </c>
      <c r="CD232" s="5">
        <f>IF(BP232="direct",CB232*BV232*C232/365,0)</f>
        <v>0</v>
      </c>
      <c r="CE232" s="5">
        <f>CC232-CD232</f>
        <v>0.00041259239534515726</v>
      </c>
      <c r="CF232" s="4">
        <v>0.00041259239534515726</v>
      </c>
      <c r="CG232" s="5">
        <f>CF232-CE232</f>
        <v>-1.4934884925987824e-16</v>
      </c>
      <c r="CH232" s="4">
        <v>3.662434938656034e-16</v>
      </c>
      <c r="CI232" s="4">
        <v>1.904283948918511</v>
      </c>
      <c r="CJ232" s="4">
        <v>1.758</v>
      </c>
      <c r="CK232" s="4">
        <v>1.767</v>
      </c>
      <c r="CL232" s="6"/>
      <c r="CM232" s="6"/>
      <c r="CN232" s="6"/>
      <c r="CO232" s="9">
        <v>19</v>
      </c>
      <c r="CP232" s="7">
        <f>IFERROR(CE232/F232,0)</f>
        <v>0.0002167123287671233</v>
      </c>
      <c r="CQ232" t="inlineStr">
        <is>
          <t xml:space="preserve">SI69Z</t>
        </is>
      </c>
      <c r="CR232" t="inlineStr">
        <is>
          <t xml:space="preserve">future</t>
        </is>
      </c>
      <c r="CS232" t="inlineStr">
        <is>
          <t xml:space="preserve">lease</t>
        </is>
      </c>
      <c r="CT232" t="inlineStr">
        <is>
          <t xml:space="preserve">long</t>
        </is>
      </c>
      <c r="CU232" t="inlineStr">
        <is>
          <t xml:space="preserve">regular</t>
        </is>
      </c>
      <c r="CV232" s="4">
        <v>1.7380000000000002</v>
      </c>
      <c r="CW232" s="4">
        <v>1.768</v>
      </c>
      <c r="CX232" s="6"/>
      <c r="CY232" s="4">
        <v>1.095438064742903</v>
      </c>
      <c r="CZ232" s="5">
        <f>IF(CR232="direct",IFERROR(DF232/CW232,0),0)</f>
        <v>0</v>
      </c>
      <c r="DA232" s="5">
        <f>IF(CR232="direct",CY232-CZ232,IF(CR232="cash",DK232,CY232))</f>
        <v>1.095438064742903</v>
      </c>
      <c r="DB232" s="6">
        <v>1</v>
      </c>
      <c r="DC232" s="4">
        <v>1.9038713565231655</v>
      </c>
      <c r="DD232" s="4">
        <v>0</v>
      </c>
      <c r="DE232" s="5">
        <f>IF(CR232="direct",CY232*(CW232-CV232),DH232)</f>
        <v>0.0328631419422868</v>
      </c>
      <c r="DF232" s="5">
        <f>IF(CR232="direct",DD232*CX232*C232/365,0)</f>
        <v>0</v>
      </c>
      <c r="DG232" s="5">
        <f>DE232-DF232</f>
        <v>0.0328631419422868</v>
      </c>
      <c r="DH232" s="4">
        <v>0.0328631419422868</v>
      </c>
      <c r="DI232" s="5">
        <f>DH232-DG232</f>
        <v>0</v>
      </c>
      <c r="DJ232" s="4">
        <v>-0.0328631419422868</v>
      </c>
      <c r="DK232" s="4">
        <v>0</v>
      </c>
      <c r="DL232" s="4">
        <v>1.758</v>
      </c>
      <c r="DM232" s="4">
        <v>1.767</v>
      </c>
      <c r="DN232" s="6">
        <v>-0.011376564277588042</v>
      </c>
      <c r="DO232" s="6">
        <v>0.0791</v>
      </c>
      <c r="DP232" s="6">
        <v>0.29764978743787557</v>
      </c>
      <c r="DQ232" s="9">
        <v>19</v>
      </c>
      <c r="DR232" s="7">
        <f>IFERROR(DG232/F232,0)</f>
        <v>0.017261219792865212</v>
      </c>
      <c r="DS232" t="inlineStr">
        <is>
          <t xml:space="preserve">Lease cash / margin / financing</t>
        </is>
      </c>
      <c r="DT232" t="inlineStr">
        <is>
          <t xml:space="preserve">cash</t>
        </is>
      </c>
      <c r="DU232" t="inlineStr">
        <is>
          <t xml:space="preserve">lease</t>
        </is>
      </c>
      <c r="DV232" t="inlineStr">
        <is>
          <t xml:space="preserve">cash</t>
        </is>
      </c>
      <c r="DW232"/>
      <c r="DX232" s="4">
        <v>1</v>
      </c>
      <c r="DY232" s="4">
        <v>1</v>
      </c>
      <c r="DZ232" s="6"/>
      <c r="EA232" s="4">
        <v>-6.661338147750939e-16</v>
      </c>
      <c r="EB232" s="5">
        <f>IF(DT232="direct",IFERROR(EH232/DY232,0),0)</f>
        <v>0</v>
      </c>
      <c r="EC232" s="5">
        <f>IF(DT232="direct",EA232-EB232,IF(DT232="cash",EM232,EA232))</f>
        <v>0.03286314194228577</v>
      </c>
      <c r="ED232" s="6"/>
      <c r="EE232" s="4">
        <v>-6.661338147750939e-16</v>
      </c>
      <c r="EF232" s="4">
        <v>-6.661338147750939e-16</v>
      </c>
      <c r="EG232" s="5">
        <f>IF(DT232="direct",EA232*(DY232-DX232),EJ232)</f>
        <v>0</v>
      </c>
      <c r="EH232" s="5">
        <f>IF(DT232="direct",EF232*DZ232*C232/365,0)</f>
        <v>0</v>
      </c>
      <c r="EI232" s="5">
        <f>EG232-EH232</f>
        <v>0</v>
      </c>
      <c r="EJ232" s="4">
        <v>0</v>
      </c>
      <c r="EK232" s="5">
        <f>EJ232-EI232</f>
        <v>0</v>
      </c>
      <c r="EL232" s="4">
        <v>0.032863141942286435</v>
      </c>
      <c r="EM232" s="4">
        <v>0.03286314194228577</v>
      </c>
      <c r="EN232" s="4">
        <v>1.758</v>
      </c>
      <c r="EO232" s="4">
        <v>1.767</v>
      </c>
      <c r="EP232" s="6"/>
      <c r="EQ232" s="6"/>
      <c r="ER232" s="6"/>
      <c r="ES232" s="9"/>
      <c r="ET232" s="7">
        <f>IFERROR(EI232/F232,0)</f>
        <v>0</v>
      </c>
      <c r="EU232" t="inlineStr">
        <is>
          <t xml:space="preserve">Keep cash / margin / financing</t>
        </is>
      </c>
      <c r="EV232" t="inlineStr">
        <is>
          <t xml:space="preserve">cash</t>
        </is>
      </c>
      <c r="EW232" t="inlineStr">
        <is>
          <t xml:space="preserve">keep</t>
        </is>
      </c>
      <c r="EX232" t="inlineStr">
        <is>
          <t xml:space="preserve">cash</t>
        </is>
      </c>
      <c r="EY232"/>
      <c r="EZ232" s="4">
        <v>1</v>
      </c>
      <c r="FA232" s="4">
        <v>1</v>
      </c>
      <c r="FB232" s="6"/>
      <c r="FC232" s="4">
        <v>0</v>
      </c>
      <c r="FD232" s="5">
        <f>IF(EV232="direct",IFERROR(FJ232/FA232,0),0)</f>
        <v>0</v>
      </c>
      <c r="FE232" s="5">
        <f>IF(EV232="direct",FC232-FD232,IF(EV232="cash",FO232,FC232))</f>
        <v>0</v>
      </c>
      <c r="FF232" s="6"/>
      <c r="FG232" s="4">
        <v>0</v>
      </c>
      <c r="FH232" s="4">
        <v>0</v>
      </c>
      <c r="FI232" s="5">
        <f>IF(EV232="direct",FC232*(FA232-EZ232),FL232)</f>
        <v>0</v>
      </c>
      <c r="FJ232" s="5">
        <f>IF(EV232="direct",FH232*FB232*C232/365,0)</f>
        <v>0</v>
      </c>
      <c r="FK232" s="5">
        <f>FI232-FJ232</f>
        <v>0</v>
      </c>
      <c r="FL232" s="4">
        <v>0</v>
      </c>
      <c r="FM232" s="5">
        <f>FL232-FK232</f>
        <v>0</v>
      </c>
      <c r="FN232" s="4">
        <v>0</v>
      </c>
      <c r="FO232" s="4">
        <v>0</v>
      </c>
      <c r="FP232" s="4">
        <v>1.758</v>
      </c>
      <c r="FQ232" s="4">
        <v>1.767</v>
      </c>
      <c r="FR232" s="6"/>
      <c r="FS232" s="6"/>
      <c r="FT232" s="6"/>
      <c r="FU232" s="9"/>
      <c r="FV232" s="7">
        <f>IFERROR(FK232/F232,0)</f>
        <v>0</v>
      </c>
      <c r="FW232"/>
      <c r="FX232"/>
      <c r="FY232"/>
      <c r="FZ232"/>
      <c r="GA232"/>
      <c r="GB232" s="4"/>
      <c r="GC232" s="4"/>
      <c r="GD232" s="6"/>
      <c r="GE232" s="4"/>
      <c r="GF232" s="5">
        <v>0</v>
      </c>
      <c r="GG232" s="5"/>
      <c r="GH232" s="6"/>
      <c r="GI232" s="4"/>
      <c r="GJ232" s="4"/>
      <c r="GK232" s="5">
        <v>0</v>
      </c>
      <c r="GL232" s="5">
        <v>0</v>
      </c>
      <c r="GM232" s="5"/>
      <c r="GN232" s="4"/>
      <c r="GO232" s="5">
        <v>0</v>
      </c>
      <c r="GP232" s="4"/>
      <c r="GQ232" s="4"/>
      <c r="GR232" s="4"/>
      <c r="GS232" s="4"/>
      <c r="GT232" s="6"/>
      <c r="GU232" s="6"/>
      <c r="GV232" s="6"/>
      <c r="GW232" s="9"/>
      <c r="GX232"/>
      <c r="GY232"/>
      <c r="GZ232"/>
      <c r="HA232"/>
      <c r="HB232"/>
      <c r="HC232"/>
      <c r="HD232" s="4"/>
      <c r="HE232" s="4"/>
      <c r="HF232" s="6"/>
      <c r="HG232" s="4"/>
      <c r="HH232" s="5">
        <v>0</v>
      </c>
      <c r="HI232" s="5"/>
      <c r="HJ232" s="6"/>
      <c r="HK232" s="4"/>
      <c r="HL232" s="4"/>
      <c r="HM232" s="5">
        <v>0</v>
      </c>
      <c r="HN232" s="5">
        <v>0</v>
      </c>
      <c r="HO232" s="5"/>
      <c r="HP232" s="4"/>
      <c r="HQ232" s="5">
        <v>0</v>
      </c>
      <c r="HR232" s="4"/>
      <c r="HS232" s="4"/>
      <c r="HT232" s="4"/>
      <c r="HU232" s="4"/>
      <c r="HV232" s="6"/>
      <c r="HW232" s="6"/>
      <c r="HX232" s="6"/>
      <c r="HY232" s="9"/>
      <c r="HZ232"/>
      <c r="IA232"/>
      <c r="IB232"/>
      <c r="IC232"/>
      <c r="ID232"/>
      <c r="IE232"/>
      <c r="IF232" s="4"/>
      <c r="IG232" s="4"/>
      <c r="IH232" s="6"/>
      <c r="II232" s="4"/>
      <c r="IJ232" s="5">
        <v>0</v>
      </c>
      <c r="IK232" s="5"/>
      <c r="IL232" s="6"/>
      <c r="IM232" s="4"/>
      <c r="IN232" s="4"/>
      <c r="IO232" s="5">
        <v>0</v>
      </c>
      <c r="IP232" s="5">
        <v>0</v>
      </c>
      <c r="IQ232" s="5"/>
      <c r="IR232" s="4"/>
      <c r="IS232" s="5">
        <v>0</v>
      </c>
      <c r="IT232" s="4"/>
      <c r="IU232" s="4"/>
      <c r="IV232" s="4"/>
      <c r="IW232" s="4"/>
      <c r="IX232" s="6"/>
      <c r="IY232" s="6"/>
      <c r="IZ232" s="6"/>
      <c r="JA232" s="9"/>
      <c r="JB232"/>
      <c r="JC232"/>
      <c r="JD232"/>
      <c r="JE232"/>
      <c r="JF232"/>
      <c r="JG232"/>
      <c r="JH232" s="4"/>
      <c r="JI232" s="4"/>
      <c r="JJ232" s="6"/>
      <c r="JK232" s="4"/>
      <c r="JL232" s="5">
        <v>0</v>
      </c>
      <c r="JM232" s="5"/>
      <c r="JN232" s="6"/>
      <c r="JO232" s="4"/>
      <c r="JP232" s="4"/>
      <c r="JQ232" s="5">
        <v>0</v>
      </c>
      <c r="JR232" s="5">
        <v>0</v>
      </c>
      <c r="JS232" s="5"/>
      <c r="JT232" s="4"/>
      <c r="JU232" s="5">
        <v>0</v>
      </c>
      <c r="JV232" s="4"/>
      <c r="JW232" s="4"/>
      <c r="JX232" s="4"/>
      <c r="JY232" s="4"/>
      <c r="JZ232" s="6"/>
      <c r="KA232" s="6"/>
      <c r="KB232" s="6"/>
      <c r="KC232" s="9"/>
      <c r="KD232"/>
      <c r="KE232"/>
      <c r="KF232"/>
      <c r="KG232"/>
      <c r="KH232"/>
      <c r="KI232"/>
      <c r="KJ232" s="4"/>
      <c r="KK232" s="4"/>
      <c r="KL232" s="6"/>
      <c r="KM232" s="4"/>
      <c r="KN232" s="5">
        <v>0</v>
      </c>
      <c r="KO232" s="5"/>
      <c r="KP232" s="6"/>
      <c r="KQ232" s="4"/>
      <c r="KR232" s="4"/>
      <c r="KS232" s="5">
        <v>0</v>
      </c>
      <c r="KT232" s="5">
        <v>0</v>
      </c>
      <c r="KU232" s="5"/>
      <c r="KV232" s="4"/>
      <c r="KW232" s="5">
        <v>0</v>
      </c>
      <c r="KX232" s="4"/>
      <c r="KY232" s="4"/>
      <c r="KZ232" s="4"/>
      <c r="LA232" s="4"/>
      <c r="LB232" s="6"/>
      <c r="LC232" s="6"/>
      <c r="LD232" s="6"/>
      <c r="LE232" s="9"/>
      <c r="LF232"/>
      <c r="LG232"/>
      <c r="LH232"/>
      <c r="LI232"/>
      <c r="LJ232"/>
      <c r="LK232"/>
      <c r="LL232" s="4"/>
      <c r="LM232" s="4"/>
      <c r="LN232" s="6"/>
      <c r="LO232" s="4"/>
      <c r="LP232" s="5">
        <v>0</v>
      </c>
      <c r="LQ232" s="5"/>
      <c r="LR232" s="6"/>
      <c r="LS232" s="4"/>
      <c r="LT232" s="4"/>
      <c r="LU232" s="5">
        <v>0</v>
      </c>
      <c r="LV232" s="5">
        <v>0</v>
      </c>
      <c r="LW232" s="5"/>
      <c r="LX232" s="4"/>
      <c r="LY232" s="5">
        <v>0</v>
      </c>
      <c r="LZ232" s="4"/>
      <c r="MA232" s="4"/>
      <c r="MB232" s="4"/>
      <c r="MC232" s="4"/>
      <c r="MD232" s="6"/>
      <c r="ME232" s="6"/>
      <c r="MF232" s="6"/>
      <c r="MG232" s="9"/>
      <c r="MH232"/>
    </row>
    <row r="233">
      <c r="A233" s="8">
        <v>25548</v>
      </c>
      <c r="B233" s="8">
        <v>25549</v>
      </c>
      <c r="C233" s="9">
        <f>B233-A233</f>
        <v>1</v>
      </c>
      <c r="D233" s="8">
        <v>25548</v>
      </c>
      <c r="E233" t="inlineStr">
        <is>
          <t xml:space="preserve">positive</t>
        </is>
      </c>
      <c r="F233" s="4">
        <v>1.9371470908607975</v>
      </c>
      <c r="G233" s="6">
        <v>-0.00813035403898632</v>
      </c>
      <c r="H233" s="7">
        <f>SUM(CP233,DR233,ET233,FV233,GX233,HZ233,JB233,KD233,LF233,MH233)</f>
        <v>-0.00813035403898632</v>
      </c>
      <c r="I233" s="7">
        <f>G233-H233</f>
        <v>0</v>
      </c>
      <c r="J233" s="5">
        <f>F233*(1+H233)</f>
        <v>1.9213973991865068</v>
      </c>
      <c r="K233" s="4">
        <v>1.9213973991865068</v>
      </c>
      <c r="L233" s="5">
        <f>K233-J233</f>
        <v>0</v>
      </c>
      <c r="M233" s="4">
        <v>1.767</v>
      </c>
      <c r="N233" s="4">
        <v>1.748</v>
      </c>
      <c r="O233" s="5">
        <f>M233/$M$3</f>
        <v>0.9024514811031664</v>
      </c>
      <c r="P233" s="5">
        <f>N233/$M$3</f>
        <v>0.8927477017364658</v>
      </c>
      <c r="Q233" s="7">
        <f>IFERROR(N233/M233-1,0)</f>
        <v>-0.010752688172043001</v>
      </c>
      <c r="R233" s="5">
        <f>SUM(IF(BQ233="lease",CB233,0),IF(CS233="lease",DD233,0),IF(DU233="lease",EF233,0),IF(EW233="lease",FH233,0),IF(FY233="lease",GJ233,0),IF(HA233="lease",HL233,0),IF(IC233="lease",IN233,0),IF(JE233="lease",JP233,0),IF(KG233="lease",KR233,0),IF(LI233="lease",LT233,0))</f>
        <v>1.9371470908607968</v>
      </c>
      <c r="S233" s="5">
        <f>SUM(IF(BQ233="lease",CI233,0),IF(CS233="lease",DK233,0),IF(DU233="lease",EM233,0),IF(EW233="lease",FO233,0),IF(FY233="lease",GQ233,0),IF(HA233="lease",HS233,0),IF(IC233="lease",IU233,0),IF(JE233="lease",JW233,0),IF(KG233="lease",KY233,0),IF(LI233="lease",MA233,0))</f>
        <v>1.921397399186506</v>
      </c>
      <c r="T233" s="5">
        <f>SUM(IF(BQ233="keep",CB233,0),IF(CS233="keep",DD233,0),IF(DU233="keep",EF233,0),IF(EW233="keep",FH233,0),IF(FY233="keep",GJ233,0),IF(HA233="keep",HL233,0),IF(IC233="keep",IN233,0),IF(JE233="keep",JP233,0),IF(KG233="keep",KR233,0),IF(LI233="keep",LT233,0))</f>
        <v>0</v>
      </c>
      <c r="U233" s="5">
        <f>SUM(IF(BQ233="keep",CI233,0),IF(CS233="keep",DK233,0),IF(DU233="keep",EM233,0),IF(EW233="keep",FO233,0),IF(FY233="keep",GQ233,0),IF(HA233="keep",HS233,0),IF(IC233="keep",IU233,0),IF(JE233="keep",JW233,0),IF(KG233="keep",KY233,0),IF(LI233="keep",MA233,0))</f>
        <v>0</v>
      </c>
      <c r="V233" s="5">
        <f>R233/O233</f>
        <v>2.146538768480725</v>
      </c>
      <c r="W233" s="5">
        <f>S233/P233</f>
        <v>2.152228894512116</v>
      </c>
      <c r="X233" s="5">
        <f>T233/O233</f>
        <v>0</v>
      </c>
      <c r="Y233" s="5">
        <f>U233/P233</f>
        <v>0</v>
      </c>
      <c r="Z233" s="5">
        <f>V233+X233</f>
        <v>2.146538768480725</v>
      </c>
      <c r="AA233" s="7">
        <f>IFERROR(W233/V233-1,0)</f>
        <v>0.0026508377649374637</v>
      </c>
      <c r="AB233" s="7">
        <f>IFERROR((W233-V233)/Z233,0)</f>
        <v>0.0026508377649374698</v>
      </c>
      <c r="AC233" s="7">
        <f>IFERROR(Y233/X233-1,0)</f>
        <v>0</v>
      </c>
      <c r="AD233" s="7">
        <f>IFERROR((Y233-X233)/Z233,0)</f>
        <v>0</v>
      </c>
      <c r="AE233" s="7">
        <f>AB233+AD233</f>
        <v>0.0026508377649374698</v>
      </c>
      <c r="AF233" s="7">
        <f>(1+Q233)*(1+AE233)-1</f>
        <v>-0.008130354038986543</v>
      </c>
      <c r="AG233" s="7">
        <f>G233-AF233</f>
        <v>2.220446049250313e-16</v>
      </c>
      <c r="AH233" s="5">
        <f>SUM(IF(BQ233="lease",CE233,0),IF(CS233="lease",DG233,0),IF(DU233="lease",EI233,0),IF(EW233="lease",FK233,0),IF(FY233="lease",GM233,0),IF(HA233="lease",HO233,0),IF(IC233="lease",IQ233,0),IF(JE233="lease",JS233,0),IF(KG233="lease",KU233,0),IF(LI233="lease",LW233,0))</f>
        <v>-0.015749691674290685</v>
      </c>
      <c r="AI233" s="5">
        <f>SUM(IF(BQ233="keep",CE233,0),IF(CS233="keep",DG233,0),IF(DU233="keep",EI233,0),IF(EW233="keep",FK233,0),IF(FY233="keep",GM233,0),IF(HA233="keep",HO233,0),IF(IC233="keep",IQ233,0),IF(JE233="keep",JS233,0),IF(KG233="keep",KU233,0),IF(LI233="keep",LW233,0))</f>
        <v>0</v>
      </c>
      <c r="AJ233" s="5">
        <f>SUM(IF(BQ233="lease",CH233,0),IF(CS233="lease",DJ233,0),IF(DU233="lease",EL233,0),IF(EW233="lease",FN233,0),IF(FY233="lease",GP233,0),IF(HA233="lease",HR233,0),IF(IC233="lease",IT233,0),IF(JE233="lease",JV233,0),IF(KG233="lease",KX233,0),IF(LI233="lease",LZ233,0))</f>
        <v>0</v>
      </c>
      <c r="AK233" s="5">
        <f>SUM(IF(BQ233="keep",CH233,0),IF(CS233="keep",DJ233,0),IF(DU233="keep",EL233,0),IF(EW233="keep",FN233,0),IF(FY233="keep",GP233,0),IF(HA233="keep",HR233,0),IF(IC233="keep",IT233,0),IF(JE233="keep",JV233,0),IF(KG233="keep",KX233,0),IF(LI233="keep",LZ233,0))</f>
        <v>0</v>
      </c>
      <c r="AL233" s="5">
        <f>R233-S232</f>
        <v>0</v>
      </c>
      <c r="AM233" s="5">
        <f>T233-U232</f>
        <v>0</v>
      </c>
      <c r="AN233" s="5">
        <f>AN232</f>
        <v>1</v>
      </c>
      <c r="AO233" s="5">
        <f>AO232+AH233</f>
        <v>0.9213973991865068</v>
      </c>
      <c r="AP233" s="5">
        <f>AP232+AL233</f>
        <v>1.5543122344752192e-15</v>
      </c>
      <c r="AQ233" s="5">
        <f>AN233+AO233+AP233</f>
        <v>1.9213973991865083</v>
      </c>
      <c r="AR233" s="5">
        <f>S233-AQ233</f>
        <v>-2.220446049250313e-15</v>
      </c>
      <c r="AS233" s="5">
        <f>AS232</f>
        <v>0</v>
      </c>
      <c r="AT233" s="5">
        <f>AT232+AI233</f>
        <v>0</v>
      </c>
      <c r="AU233" s="5">
        <f>AU232+AM233</f>
        <v>0</v>
      </c>
      <c r="AV233" s="5">
        <f>AS233+AT233+AU233</f>
        <v>0</v>
      </c>
      <c r="AW233" s="5">
        <f>U233-AV233</f>
        <v>0</v>
      </c>
      <c r="AX233" s="4">
        <v>1.9371470908607968</v>
      </c>
      <c r="AY233" s="4">
        <v>1.921397399186506</v>
      </c>
      <c r="AZ233" s="5">
        <f>S233-AY233</f>
        <v>0</v>
      </c>
      <c r="BA233" s="4">
        <v>0</v>
      </c>
      <c r="BB233" s="4">
        <v>0</v>
      </c>
      <c r="BC233" s="5">
        <f>U233-BB233</f>
        <v>0</v>
      </c>
      <c r="BD233" s="7">
        <f>SUM(IF(BP233="direct",CC233/F233,0),IF(CR233="direct",DE233/F233,0),IF(DT233="direct",EG233/F233,0),IF(EV233="direct",FI233/F233,0),IF(FX233="direct",GK233/F233,0),IF(GZ233="direct",HM233/F233,0),IF(IB233="direct",IO233/F233,0),IF(JD233="direct",JQ233/F233,0),IF(KF233="direct",KS233/F233,0),IF(LH233="direct",LU233/F233,0))</f>
        <v>-0.005948087610890264</v>
      </c>
      <c r="BE233" s="7">
        <f>-SUM(IF(BP233="direct",CD233/F233,0),IF(CR233="direct",DF233/F233,0),IF(DT233="direct",EH233/F233,0),IF(EV233="direct",FJ233/F233,0),IF(FX233="direct",GL233/F233,0),IF(GZ233="direct",HN233/F233,0),IF(IB233="direct",IP233/F233,0),IF(JD233="direct",JR233/F233,0),IF(KF233="direct",KT233/F233,0),IF(LH233="direct",LV233/F233,0))</f>
        <v>-0.0000037888503274849134</v>
      </c>
      <c r="BF233" s="7">
        <f>BD233+BE233</f>
        <v>-0.005951876461217749</v>
      </c>
      <c r="BG233" s="7">
        <f>BF233-SUM(IF(BP233="direct",CP233,0),IF(CR233="direct",DR233,0),IF(DT233="direct",ET233,0),IF(EV233="direct",FV233,0),IF(FX233="direct",GX233,0),IF(GZ233="direct",HZ233,0),IF(IB233="direct",JB233,0),IF(JD233="direct",KD233,0),IF(KF233="direct",LF233,0),IF(LH233="direct",MH233,0))</f>
        <v>2.42861286636753e-17</v>
      </c>
      <c r="BH233" s="7">
        <f>SUM(IF(BP233="treasury",CP233,0),IF(CR233="treasury",DR233,0),IF(DT233="treasury",ET233,0),IF(EV233="treasury",FV233,0),IF(FX233="treasury",GX233,0),IF(GZ233="treasury",HZ233,0),IF(IB233="treasury",JB233,0),IF(JD233="treasury",KD233,0),IF(KF233="treasury",LF233,0),IF(LH233="treasury",MH233,0))</f>
        <v>0.00009609859286765865</v>
      </c>
      <c r="BI233" s="7">
        <f>SUM(IF(BP233="future",CP233,0),IF(CR233="future",DR233,0),IF(DT233="future",ET233,0),IF(EV233="future",FV233,0),IF(FX233="future",GX233,0),IF(GZ233="future",HZ233,0),IF(IB233="future",JB233,0),IF(JD233="future",KD233,0),IF(KF233="future",LF233,0),IF(LH233="future",MH233,0))</f>
        <v>-0.0022745761706362048</v>
      </c>
      <c r="BJ233" s="7">
        <f>SUM(IF(BP233="cash",CP233,0),IF(CR233="cash",DR233,0),IF(DT233="cash",ET233,0),IF(EV233="cash",FV233,0),IF(FX233="cash",GX233,0),IF(GZ233="cash",HZ233,0),IF(IB233="cash",JB233,0),IF(JD233="cash",KD233,0),IF(KF233="cash",LF233,0),IF(LH233="cash",MH233,0))</f>
        <v>0</v>
      </c>
      <c r="BK233" s="7">
        <f>SUM(BF233,BH233,BI233,BJ233)</f>
        <v>-0.008130354038986319</v>
      </c>
      <c r="BL233" s="7">
        <f>G233-BK233</f>
        <v>-1.734723475976807e-18</v>
      </c>
      <c r="BM233" s="5">
        <f>MAX(ABS(CG233),ABS(DI233),ABS(EK233),ABS(FM233),ABS(GO233),ABS(HQ233),ABS(IS233),ABS(JU233),ABS(KW233),ABS(LY233))</f>
        <v>1.6298269157888345e-16</v>
      </c>
      <c r="BN233" s="9">
        <f>COUNTA(BO233,CQ233,DS233,EU233,FW233,GY233,IA233,JC233,KE233,LG233)</f>
        <v>5</v>
      </c>
      <c r="BO233" t="inlineStr">
        <is>
          <t xml:space="preserve">Direct commodity holding</t>
        </is>
      </c>
      <c r="BP233" t="inlineStr">
        <is>
          <t xml:space="preserve">direct</t>
        </is>
      </c>
      <c r="BQ233" t="inlineStr">
        <is>
          <t xml:space="preserve">lease</t>
        </is>
      </c>
      <c r="BR233" t="inlineStr">
        <is>
          <t xml:space="preserve">long</t>
        </is>
      </c>
      <c r="BS233"/>
      <c r="BT233" s="4">
        <v>1.767</v>
      </c>
      <c r="BU233" s="4">
        <v>1.748</v>
      </c>
      <c r="BV233" s="6">
        <v>0.0025</v>
      </c>
      <c r="BW233" s="4">
        <v>0.606437926927436</v>
      </c>
      <c r="BX233" s="5">
        <f>IF(BP233="direct",IFERROR(CD233/BU233,0),0)</f>
        <v>0.000004198833174825161</v>
      </c>
      <c r="BY233" s="5">
        <f>IF(BP233="direct",BW233-BX233,IF(BP233="cash",CI233,BW233))</f>
        <v>0.6064337280942612</v>
      </c>
      <c r="BZ233" s="6">
        <v>0.5531721478127973</v>
      </c>
      <c r="CA233" s="4">
        <v>1.0715758168807794</v>
      </c>
      <c r="CB233" s="4">
        <v>1.0715758168807794</v>
      </c>
      <c r="CC233" s="5">
        <f>IF(BP233="direct",BW233*(BU233-BT233),CF233)</f>
        <v>-0.011522320611621227</v>
      </c>
      <c r="CD233" s="5">
        <f>IF(BP233="direct",CB233*BV233*C233/365,0)</f>
        <v>0.00000733956038959438</v>
      </c>
      <c r="CE233" s="5">
        <f>CC233-CD233</f>
        <v>-0.011529660172010868</v>
      </c>
      <c r="CF233" s="4">
        <v>-0.011529660172010868</v>
      </c>
      <c r="CG233" s="5">
        <f>CF233-CE233</f>
        <v>-4.686463890568593e-17</v>
      </c>
      <c r="CH233" s="4">
        <v>0</v>
      </c>
      <c r="CI233" s="4">
        <v>1.0600461567087687</v>
      </c>
      <c r="CJ233" s="4">
        <v>1.767</v>
      </c>
      <c r="CK233" s="4">
        <v>1.748</v>
      </c>
      <c r="CL233" s="6"/>
      <c r="CM233" s="6"/>
      <c r="CN233" s="6"/>
      <c r="CO233" s="9"/>
      <c r="CP233" s="7">
        <f>IFERROR(CE233/F233,0)</f>
        <v>-0.005951876461217773</v>
      </c>
      <c r="CQ233" t="inlineStr">
        <is>
          <t xml:space="preserve">Treasury collateral</t>
        </is>
      </c>
      <c r="CR233" t="inlineStr">
        <is>
          <t xml:space="preserve">treasury</t>
        </is>
      </c>
      <c r="CS233" t="inlineStr">
        <is>
          <t xml:space="preserve">lease</t>
        </is>
      </c>
      <c r="CT233" t="inlineStr">
        <is>
          <t xml:space="preserve">long</t>
        </is>
      </c>
      <c r="CU233"/>
      <c r="CV233" s="4">
        <v>106.3905679047047</v>
      </c>
      <c r="CW233" s="4">
        <v>106.41344916382943</v>
      </c>
      <c r="CX233" s="6"/>
      <c r="CY233" s="4">
        <v>0.008135789581979868</v>
      </c>
      <c r="CZ233" s="5">
        <f>IF(CR233="direct",IFERROR(DF233/CW233,0),0)</f>
        <v>0</v>
      </c>
      <c r="DA233" s="5">
        <f>IF(CR233="direct",CY233-CZ233,IF(CR233="cash",DK233,CY233))</f>
        <v>0.008135789581979868</v>
      </c>
      <c r="DB233" s="6">
        <v>0.44682785218720267</v>
      </c>
      <c r="DC233" s="4">
        <v>0.8655712739800181</v>
      </c>
      <c r="DD233" s="4">
        <v>0.8655712739800181</v>
      </c>
      <c r="DE233" s="5">
        <f>IF(CR233="direct",CY233*(CW233-CV233),DH233)</f>
        <v>0.00018615710960956413</v>
      </c>
      <c r="DF233" s="5">
        <f>IF(CR233="direct",DD233*CX233*C233/365,0)</f>
        <v>0</v>
      </c>
      <c r="DG233" s="5">
        <f>DE233-DF233</f>
        <v>0.00018615710960940115</v>
      </c>
      <c r="DH233" s="4">
        <v>0.00018615710960940115</v>
      </c>
      <c r="DI233" s="5">
        <f>DH233-DG233</f>
        <v>-1.6298269157888345e-16</v>
      </c>
      <c r="DJ233" s="4">
        <v>2.736526283353413e-16</v>
      </c>
      <c r="DK233" s="4">
        <v>0.8657574310896278</v>
      </c>
      <c r="DL233" s="4">
        <v>1.767</v>
      </c>
      <c r="DM233" s="4">
        <v>1.748</v>
      </c>
      <c r="DN233" s="6"/>
      <c r="DO233" s="6"/>
      <c r="DP233" s="6"/>
      <c r="DQ233" s="9">
        <v>18</v>
      </c>
      <c r="DR233" s="7">
        <f>IFERROR(DG233/F233,0)</f>
        <v>0.00009609859286765865</v>
      </c>
      <c r="DS233" t="inlineStr">
        <is>
          <t xml:space="preserve">SI69Z</t>
        </is>
      </c>
      <c r="DT233" t="inlineStr">
        <is>
          <t xml:space="preserve">future</t>
        </is>
      </c>
      <c r="DU233" t="inlineStr">
        <is>
          <t xml:space="preserve">lease</t>
        </is>
      </c>
      <c r="DV233" t="inlineStr">
        <is>
          <t xml:space="preserve">long</t>
        </is>
      </c>
      <c r="DW233" t="inlineStr">
        <is>
          <t xml:space="preserve">regular</t>
        </is>
      </c>
      <c r="DX233" s="4">
        <v>1.768</v>
      </c>
      <c r="DY233" s="4">
        <v>1.7590000000000001</v>
      </c>
      <c r="DZ233" s="6"/>
      <c r="EA233" s="4">
        <v>0.4895765124321369</v>
      </c>
      <c r="EB233" s="5">
        <f>IF(DT233="direct",IFERROR(EH233/DY233,0),0)</f>
        <v>0</v>
      </c>
      <c r="EC233" s="5">
        <f>IF(DT233="direct",EA233-EB233,IF(DT233="cash",EM233,EA233))</f>
        <v>0.4895765124321369</v>
      </c>
      <c r="ED233" s="6">
        <v>0.44682785218720267</v>
      </c>
      <c r="EE233" s="4">
        <v>0.8655712739800181</v>
      </c>
      <c r="EF233" s="4">
        <v>0</v>
      </c>
      <c r="EG233" s="5">
        <f>IF(DT233="direct",EA233*(DY233-DX233),EJ233)</f>
        <v>-0.004406188611889217</v>
      </c>
      <c r="EH233" s="5">
        <f>IF(DT233="direct",EF233*DZ233*C233/365,0)</f>
        <v>0</v>
      </c>
      <c r="EI233" s="5">
        <f>EG233-EH233</f>
        <v>-0.004406188611889217</v>
      </c>
      <c r="EJ233" s="4">
        <v>-0.004406188611889217</v>
      </c>
      <c r="EK233" s="5">
        <f>EJ233-EI233</f>
        <v>0</v>
      </c>
      <c r="EL233" s="4">
        <v>0.004406188611889217</v>
      </c>
      <c r="EM233" s="4">
        <v>0</v>
      </c>
      <c r="EN233" s="4">
        <v>1.767</v>
      </c>
      <c r="EO233" s="4">
        <v>1.748</v>
      </c>
      <c r="EP233" s="6">
        <v>0.0005659309564234327</v>
      </c>
      <c r="EQ233" s="6">
        <v>0.0785</v>
      </c>
      <c r="ER233" s="6">
        <v>0.0670241778280804</v>
      </c>
      <c r="ES233" s="9">
        <v>18</v>
      </c>
      <c r="ET233" s="7">
        <f>IFERROR(EI233/F233,0)</f>
        <v>-0.0022745761706362048</v>
      </c>
      <c r="EU233" t="inlineStr">
        <is>
          <t xml:space="preserve">Lease cash / margin / financing</t>
        </is>
      </c>
      <c r="EV233" t="inlineStr">
        <is>
          <t xml:space="preserve">cash</t>
        </is>
      </c>
      <c r="EW233" t="inlineStr">
        <is>
          <t xml:space="preserve">lease</t>
        </is>
      </c>
      <c r="EX233" t="inlineStr">
        <is>
          <t xml:space="preserve">cash</t>
        </is>
      </c>
      <c r="EY233"/>
      <c r="EZ233" s="4">
        <v>1</v>
      </c>
      <c r="FA233" s="4">
        <v>1</v>
      </c>
      <c r="FB233" s="6"/>
      <c r="FC233" s="4">
        <v>-6.661338147750939e-16</v>
      </c>
      <c r="FD233" s="5">
        <f>IF(EV233="direct",IFERROR(FJ233/FA233,0),0)</f>
        <v>0</v>
      </c>
      <c r="FE233" s="5">
        <f>IF(EV233="direct",FC233-FD233,IF(EV233="cash",FO233,FC233))</f>
        <v>-0.004406188611890157</v>
      </c>
      <c r="FF233" s="6"/>
      <c r="FG233" s="4">
        <v>-6.661338147750939e-16</v>
      </c>
      <c r="FH233" s="4">
        <v>-6.661338147750939e-16</v>
      </c>
      <c r="FI233" s="5">
        <f>IF(EV233="direct",FC233*(FA233-EZ233),FL233)</f>
        <v>0</v>
      </c>
      <c r="FJ233" s="5">
        <f>IF(EV233="direct",FH233*FB233*C233/365,0)</f>
        <v>0</v>
      </c>
      <c r="FK233" s="5">
        <f>FI233-FJ233</f>
        <v>0</v>
      </c>
      <c r="FL233" s="4">
        <v>0</v>
      </c>
      <c r="FM233" s="5">
        <f>FL233-FK233</f>
        <v>0</v>
      </c>
      <c r="FN233" s="4">
        <v>-0.004406188611889491</v>
      </c>
      <c r="FO233" s="4">
        <v>-0.004406188611890157</v>
      </c>
      <c r="FP233" s="4">
        <v>1.767</v>
      </c>
      <c r="FQ233" s="4">
        <v>1.748</v>
      </c>
      <c r="FR233" s="6"/>
      <c r="FS233" s="6"/>
      <c r="FT233" s="6"/>
      <c r="FU233" s="9"/>
      <c r="FV233" s="7">
        <f>IFERROR(FK233/F233,0)</f>
        <v>0</v>
      </c>
      <c r="FW233" t="inlineStr">
        <is>
          <t xml:space="preserve">Keep cash / margin / financing</t>
        </is>
      </c>
      <c r="FX233" t="inlineStr">
        <is>
          <t xml:space="preserve">cash</t>
        </is>
      </c>
      <c r="FY233" t="inlineStr">
        <is>
          <t xml:space="preserve">keep</t>
        </is>
      </c>
      <c r="FZ233" t="inlineStr">
        <is>
          <t xml:space="preserve">cash</t>
        </is>
      </c>
      <c r="GA233"/>
      <c r="GB233" s="4">
        <v>1</v>
      </c>
      <c r="GC233" s="4">
        <v>1</v>
      </c>
      <c r="GD233" s="6"/>
      <c r="GE233" s="4">
        <v>0</v>
      </c>
      <c r="GF233" s="5">
        <f>IF(FX233="direct",IFERROR(GL233/GC233,0),0)</f>
        <v>0</v>
      </c>
      <c r="GG233" s="5">
        <f>IF(FX233="direct",GE233-GF233,IF(FX233="cash",GQ233,GE233))</f>
        <v>0</v>
      </c>
      <c r="GH233" s="6"/>
      <c r="GI233" s="4">
        <v>0</v>
      </c>
      <c r="GJ233" s="4">
        <v>0</v>
      </c>
      <c r="GK233" s="5">
        <f>IF(FX233="direct",GE233*(GC233-GB233),GN233)</f>
        <v>0</v>
      </c>
      <c r="GL233" s="5">
        <f>IF(FX233="direct",GJ233*GD233*C233/365,0)</f>
        <v>0</v>
      </c>
      <c r="GM233" s="5">
        <f>GK233-GL233</f>
        <v>0</v>
      </c>
      <c r="GN233" s="4">
        <v>0</v>
      </c>
      <c r="GO233" s="5">
        <f>GN233-GM233</f>
        <v>0</v>
      </c>
      <c r="GP233" s="4">
        <v>0</v>
      </c>
      <c r="GQ233" s="4">
        <v>0</v>
      </c>
      <c r="GR233" s="4">
        <v>1.767</v>
      </c>
      <c r="GS233" s="4">
        <v>1.748</v>
      </c>
      <c r="GT233" s="6"/>
      <c r="GU233" s="6"/>
      <c r="GV233" s="6"/>
      <c r="GW233" s="9"/>
      <c r="GX233" s="7">
        <f>IFERROR(GM233/F233,0)</f>
        <v>0</v>
      </c>
      <c r="GY233"/>
      <c r="GZ233"/>
      <c r="HA233"/>
      <c r="HB233"/>
      <c r="HC233"/>
      <c r="HD233" s="4"/>
      <c r="HE233" s="4"/>
      <c r="HF233" s="6"/>
      <c r="HG233" s="4"/>
      <c r="HH233" s="5">
        <v>0</v>
      </c>
      <c r="HI233" s="5"/>
      <c r="HJ233" s="6"/>
      <c r="HK233" s="4"/>
      <c r="HL233" s="4"/>
      <c r="HM233" s="5">
        <v>0</v>
      </c>
      <c r="HN233" s="5">
        <v>0</v>
      </c>
      <c r="HO233" s="5"/>
      <c r="HP233" s="4"/>
      <c r="HQ233" s="5">
        <v>0</v>
      </c>
      <c r="HR233" s="4"/>
      <c r="HS233" s="4"/>
      <c r="HT233" s="4"/>
      <c r="HU233" s="4"/>
      <c r="HV233" s="6"/>
      <c r="HW233" s="6"/>
      <c r="HX233" s="6"/>
      <c r="HY233" s="9"/>
      <c r="HZ233"/>
      <c r="IA233"/>
      <c r="IB233"/>
      <c r="IC233"/>
      <c r="ID233"/>
      <c r="IE233"/>
      <c r="IF233" s="4"/>
      <c r="IG233" s="4"/>
      <c r="IH233" s="6"/>
      <c r="II233" s="4"/>
      <c r="IJ233" s="5">
        <v>0</v>
      </c>
      <c r="IK233" s="5"/>
      <c r="IL233" s="6"/>
      <c r="IM233" s="4"/>
      <c r="IN233" s="4"/>
      <c r="IO233" s="5">
        <v>0</v>
      </c>
      <c r="IP233" s="5">
        <v>0</v>
      </c>
      <c r="IQ233" s="5"/>
      <c r="IR233" s="4"/>
      <c r="IS233" s="5">
        <v>0</v>
      </c>
      <c r="IT233" s="4"/>
      <c r="IU233" s="4"/>
      <c r="IV233" s="4"/>
      <c r="IW233" s="4"/>
      <c r="IX233" s="6"/>
      <c r="IY233" s="6"/>
      <c r="IZ233" s="6"/>
      <c r="JA233" s="9"/>
      <c r="JB233"/>
      <c r="JC233"/>
      <c r="JD233"/>
      <c r="JE233"/>
      <c r="JF233"/>
      <c r="JG233"/>
      <c r="JH233" s="4"/>
      <c r="JI233" s="4"/>
      <c r="JJ233" s="6"/>
      <c r="JK233" s="4"/>
      <c r="JL233" s="5">
        <v>0</v>
      </c>
      <c r="JM233" s="5"/>
      <c r="JN233" s="6"/>
      <c r="JO233" s="4"/>
      <c r="JP233" s="4"/>
      <c r="JQ233" s="5">
        <v>0</v>
      </c>
      <c r="JR233" s="5">
        <v>0</v>
      </c>
      <c r="JS233" s="5"/>
      <c r="JT233" s="4"/>
      <c r="JU233" s="5">
        <v>0</v>
      </c>
      <c r="JV233" s="4"/>
      <c r="JW233" s="4"/>
      <c r="JX233" s="4"/>
      <c r="JY233" s="4"/>
      <c r="JZ233" s="6"/>
      <c r="KA233" s="6"/>
      <c r="KB233" s="6"/>
      <c r="KC233" s="9"/>
      <c r="KD233"/>
      <c r="KE233"/>
      <c r="KF233"/>
      <c r="KG233"/>
      <c r="KH233"/>
      <c r="KI233"/>
      <c r="KJ233" s="4"/>
      <c r="KK233" s="4"/>
      <c r="KL233" s="6"/>
      <c r="KM233" s="4"/>
      <c r="KN233" s="5">
        <v>0</v>
      </c>
      <c r="KO233" s="5"/>
      <c r="KP233" s="6"/>
      <c r="KQ233" s="4"/>
      <c r="KR233" s="4"/>
      <c r="KS233" s="5">
        <v>0</v>
      </c>
      <c r="KT233" s="5">
        <v>0</v>
      </c>
      <c r="KU233" s="5"/>
      <c r="KV233" s="4"/>
      <c r="KW233" s="5">
        <v>0</v>
      </c>
      <c r="KX233" s="4"/>
      <c r="KY233" s="4"/>
      <c r="KZ233" s="4"/>
      <c r="LA233" s="4"/>
      <c r="LB233" s="6"/>
      <c r="LC233" s="6"/>
      <c r="LD233" s="6"/>
      <c r="LE233" s="9"/>
      <c r="LF233"/>
      <c r="LG233"/>
      <c r="LH233"/>
      <c r="LI233"/>
      <c r="LJ233"/>
      <c r="LK233"/>
      <c r="LL233" s="4"/>
      <c r="LM233" s="4"/>
      <c r="LN233" s="6"/>
      <c r="LO233" s="4"/>
      <c r="LP233" s="5">
        <v>0</v>
      </c>
      <c r="LQ233" s="5"/>
      <c r="LR233" s="6"/>
      <c r="LS233" s="4"/>
      <c r="LT233" s="4"/>
      <c r="LU233" s="5">
        <v>0</v>
      </c>
      <c r="LV233" s="5">
        <v>0</v>
      </c>
      <c r="LW233" s="5"/>
      <c r="LX233" s="4"/>
      <c r="LY233" s="5">
        <v>0</v>
      </c>
      <c r="LZ233" s="4"/>
      <c r="MA233" s="4"/>
      <c r="MB233" s="4"/>
      <c r="MC233" s="4"/>
      <c r="MD233" s="6"/>
      <c r="ME233" s="6"/>
      <c r="MF233" s="6"/>
      <c r="MG233" s="9"/>
      <c r="MH233"/>
    </row>
    <row r="234">
      <c r="A234" s="8">
        <v>25549</v>
      </c>
      <c r="B234" s="8">
        <v>25552</v>
      </c>
      <c r="C234" s="9">
        <f>B234-A234</f>
        <v>3</v>
      </c>
      <c r="D234" s="8">
        <v>25549</v>
      </c>
      <c r="E234" t="inlineStr">
        <is>
          <t xml:space="preserve">neutral</t>
        </is>
      </c>
      <c r="F234" s="4">
        <v>1.9213973991865068</v>
      </c>
      <c r="G234" s="6">
        <v>0.00570027585342156</v>
      </c>
      <c r="H234" s="7">
        <f>SUM(CP234,DR234,ET234,FV234,GX234,HZ234,JB234,KD234,LF234,MH234)</f>
        <v>0.00570027585342156</v>
      </c>
      <c r="I234" s="7">
        <f>G234-H234</f>
        <v>0</v>
      </c>
      <c r="J234" s="5">
        <f>F234*(1+H234)</f>
        <v>1.9323498943859165</v>
      </c>
      <c r="K234" s="4">
        <v>1.9323498943859165</v>
      </c>
      <c r="L234" s="5">
        <f>K234-J234</f>
        <v>0</v>
      </c>
      <c r="M234" s="4">
        <v>1.748</v>
      </c>
      <c r="N234" s="4">
        <v>1.758</v>
      </c>
      <c r="O234" s="5">
        <f>M234/$M$3</f>
        <v>0.8927477017364658</v>
      </c>
      <c r="P234" s="5">
        <f>N234/$M$3</f>
        <v>0.8978549540347294</v>
      </c>
      <c r="Q234" s="7">
        <f>IFERROR(N234/M234-1,0)</f>
        <v>0.005720823798627039</v>
      </c>
      <c r="R234" s="5">
        <f>SUM(IF(BQ234="lease",CB234,0),IF(CS234="lease",DD234,0),IF(DU234="lease",EF234,0),IF(EW234="lease",FH234,0),IF(FY234="lease",GJ234,0),IF(HA234="lease",HL234,0),IF(IC234="lease",IN234,0),IF(JE234="lease",JP234,0),IF(KG234="lease",KR234,0),IF(LI234="lease",LT234,0))</f>
        <v>1.921397399186506</v>
      </c>
      <c r="S234" s="5">
        <f>SUM(IF(BQ234="lease",CI234,0),IF(CS234="lease",DK234,0),IF(DU234="lease",EM234,0),IF(EW234="lease",FO234,0),IF(FY234="lease",GQ234,0),IF(HA234="lease",HS234,0),IF(IC234="lease",IU234,0),IF(JE234="lease",JW234,0),IF(KG234="lease",KY234,0),IF(LI234="lease",MA234,0))</f>
        <v>1.9323498943859159</v>
      </c>
      <c r="T234" s="5">
        <f>SUM(IF(BQ234="keep",CB234,0),IF(CS234="keep",DD234,0),IF(DU234="keep",EF234,0),IF(EW234="keep",FH234,0),IF(FY234="keep",GJ234,0),IF(HA234="keep",HL234,0),IF(IC234="keep",IN234,0),IF(JE234="keep",JP234,0),IF(KG234="keep",KR234,0),IF(LI234="keep",LT234,0))</f>
        <v>0</v>
      </c>
      <c r="U234" s="5">
        <f>SUM(IF(BQ234="keep",CI234,0),IF(CS234="keep",DK234,0),IF(DU234="keep",EM234,0),IF(EW234="keep",FO234,0),IF(FY234="keep",GQ234,0),IF(HA234="keep",HS234,0),IF(IC234="keep",IU234,0),IF(JE234="keep",JW234,0),IF(KG234="keep",KY234,0),IF(LI234="keep",MA234,0))</f>
        <v>0</v>
      </c>
      <c r="V234" s="5">
        <f>R234/O234</f>
        <v>2.152228894512116</v>
      </c>
      <c r="W234" s="5">
        <f>S234/P234</f>
        <v>2.1521849221886367</v>
      </c>
      <c r="X234" s="5">
        <f>T234/O234</f>
        <v>0</v>
      </c>
      <c r="Y234" s="5">
        <f>U234/P234</f>
        <v>0</v>
      </c>
      <c r="Z234" s="5">
        <f>V234+X234</f>
        <v>2.152228894512116</v>
      </c>
      <c r="AA234" s="7">
        <f>IFERROR(W234/V234-1,0)</f>
        <v>-0.00002043106269566941</v>
      </c>
      <c r="AB234" s="7">
        <f>IFERROR((W234-V234)/Z234,0)</f>
        <v>-0.000020431062695713006</v>
      </c>
      <c r="AC234" s="7">
        <f>IFERROR(Y234/X234-1,0)</f>
        <v>0</v>
      </c>
      <c r="AD234" s="7">
        <f>IFERROR((Y234-X234)/Z234,0)</f>
        <v>0</v>
      </c>
      <c r="AE234" s="7">
        <f>AB234+AD234</f>
        <v>-0.000020431062695713006</v>
      </c>
      <c r="AF234" s="7">
        <f>(1+Q234)*(1+AE234)-1</f>
        <v>0.005700275853421699</v>
      </c>
      <c r="AG234" s="7">
        <f>G234-AF234</f>
        <v>-1.3877787807814457e-16</v>
      </c>
      <c r="AH234" s="5">
        <f>SUM(IF(BQ234="lease",CE234,0),IF(CS234="lease",DG234,0),IF(DU234="lease",EI234,0),IF(EW234="lease",FK234,0),IF(FY234="lease",GM234,0),IF(HA234="lease",HO234,0),IF(IC234="lease",IQ234,0),IF(JE234="lease",JS234,0),IF(KG234="lease",KU234,0),IF(LI234="lease",LW234,0))</f>
        <v>0.010952495199409832</v>
      </c>
      <c r="AI234" s="5">
        <f>SUM(IF(BQ234="keep",CE234,0),IF(CS234="keep",DG234,0),IF(DU234="keep",EI234,0),IF(EW234="keep",FK234,0),IF(FY234="keep",GM234,0),IF(HA234="keep",HO234,0),IF(IC234="keep",IQ234,0),IF(JE234="keep",JS234,0),IF(KG234="keep",KU234,0),IF(LI234="keep",LW234,0))</f>
        <v>0</v>
      </c>
      <c r="AJ234" s="5">
        <f>SUM(IF(BQ234="lease",CH234,0),IF(CS234="lease",DJ234,0),IF(DU234="lease",EL234,0),IF(EW234="lease",FN234,0),IF(FY234="lease",GP234,0),IF(HA234="lease",HR234,0),IF(IC234="lease",IT234,0),IF(JE234="lease",JV234,0),IF(KG234="lease",KX234,0),IF(LI234="lease",LZ234,0))</f>
        <v>0</v>
      </c>
      <c r="AK234" s="5">
        <f>SUM(IF(BQ234="keep",CH234,0),IF(CS234="keep",DJ234,0),IF(DU234="keep",EL234,0),IF(EW234="keep",FN234,0),IF(FY234="keep",GP234,0),IF(HA234="keep",HR234,0),IF(IC234="keep",IT234,0),IF(JE234="keep",JV234,0),IF(KG234="keep",KX234,0),IF(LI234="keep",LZ234,0))</f>
        <v>0</v>
      </c>
      <c r="AL234" s="5">
        <f>R234-S233</f>
        <v>0</v>
      </c>
      <c r="AM234" s="5">
        <f>T234-U233</f>
        <v>0</v>
      </c>
      <c r="AN234" s="5">
        <f>AN233</f>
        <v>1</v>
      </c>
      <c r="AO234" s="5">
        <f>AO233+AH234</f>
        <v>0.9323498943859166</v>
      </c>
      <c r="AP234" s="5">
        <f>AP233+AL234</f>
        <v>1.5543122344752192e-15</v>
      </c>
      <c r="AQ234" s="5">
        <f>AN234+AO234+AP234</f>
        <v>1.9323498943859183</v>
      </c>
      <c r="AR234" s="5">
        <f>S234-AQ234</f>
        <v>-2.4424906541753444e-15</v>
      </c>
      <c r="AS234" s="5">
        <f>AS233</f>
        <v>0</v>
      </c>
      <c r="AT234" s="5">
        <f>AT233+AI234</f>
        <v>0</v>
      </c>
      <c r="AU234" s="5">
        <f>AU233+AM234</f>
        <v>0</v>
      </c>
      <c r="AV234" s="5">
        <f>AS234+AT234+AU234</f>
        <v>0</v>
      </c>
      <c r="AW234" s="5">
        <f>U234-AV234</f>
        <v>0</v>
      </c>
      <c r="AX234" s="4">
        <v>1.921397399186506</v>
      </c>
      <c r="AY234" s="4">
        <v>1.9323498943859159</v>
      </c>
      <c r="AZ234" s="5">
        <f>S234-AY234</f>
        <v>0</v>
      </c>
      <c r="BA234" s="4">
        <v>0</v>
      </c>
      <c r="BB234" s="4">
        <v>0</v>
      </c>
      <c r="BC234" s="5">
        <f>U234-BB234</f>
        <v>0</v>
      </c>
      <c r="BD234" s="7">
        <f>SUM(IF(BP234="direct",CC234/F234,0),IF(CR234="direct",DE234/F234,0),IF(DT234="direct",EG234/F234,0),IF(EV234="direct",FI234/F234,0),IF(FX234="direct",GK234/F234,0),IF(GZ234="direct",HM234/F234,0),IF(IB234="direct",IO234/F234,0),IF(JD234="direct",JQ234/F234,0),IF(KF234="direct",KS234/F234,0),IF(LH234="direct",LU234/F234,0))</f>
        <v>0.005720823798627007</v>
      </c>
      <c r="BE234" s="7">
        <f>-SUM(IF(BP234="direct",CD234/F234,0),IF(CR234="direct",DF234/F234,0),IF(DT234="direct",EH234/F234,0),IF(EV234="direct",FJ234/F234,0),IF(FX234="direct",GL234/F234,0),IF(GZ234="direct",HN234/F234,0),IF(IB234="direct",IP234/F234,0),IF(JD234="direct",JR234/F234,0),IF(KF234="direct",KT234/F234,0),IF(LH234="direct",LV234/F234,0))</f>
        <v>-0.000020547945205479453</v>
      </c>
      <c r="BF234" s="7">
        <f>BD234+BE234</f>
        <v>0.005700275853421528</v>
      </c>
      <c r="BG234" s="7">
        <f>BF234-SUM(IF(BP234="direct",CP234,0),IF(CR234="direct",DR234,0),IF(DT234="direct",ET234,0),IF(EV234="direct",FV234,0),IF(FX234="direct",GX234,0),IF(GZ234="direct",HZ234,0),IF(IB234="direct",JB234,0),IF(JD234="direct",KD234,0),IF(KF234="direct",LF234,0),IF(LH234="direct",MH234,0))</f>
        <v>-3.209238430557093e-17</v>
      </c>
      <c r="BH234" s="7">
        <f>SUM(IF(BP234="treasury",CP234,0),IF(CR234="treasury",DR234,0),IF(DT234="treasury",ET234,0),IF(EV234="treasury",FV234,0),IF(FX234="treasury",GX234,0),IF(GZ234="treasury",HZ234,0),IF(IB234="treasury",JB234,0),IF(JD234="treasury",KD234,0),IF(KF234="treasury",LF234,0),IF(LH234="treasury",MH234,0))</f>
        <v>0</v>
      </c>
      <c r="BI234" s="7">
        <f>SUM(IF(BP234="future",CP234,0),IF(CR234="future",DR234,0),IF(DT234="future",ET234,0),IF(EV234="future",FV234,0),IF(FX234="future",GX234,0),IF(GZ234="future",HZ234,0),IF(IB234="future",JB234,0),IF(JD234="future",KD234,0),IF(KF234="future",LF234,0),IF(LH234="future",MH234,0))</f>
        <v>0</v>
      </c>
      <c r="BJ234" s="7">
        <f>SUM(IF(BP234="cash",CP234,0),IF(CR234="cash",DR234,0),IF(DT234="cash",ET234,0),IF(EV234="cash",FV234,0),IF(FX234="cash",GX234,0),IF(GZ234="cash",HZ234,0),IF(IB234="cash",JB234,0),IF(JD234="cash",KD234,0),IF(KF234="cash",LF234,0),IF(LH234="cash",MH234,0))</f>
        <v>0</v>
      </c>
      <c r="BK234" s="7">
        <f>SUM(BF234,BH234,BI234,BJ234)</f>
        <v>0.00570027585342156</v>
      </c>
      <c r="BL234" s="7">
        <f>G234-BK234</f>
        <v>0</v>
      </c>
      <c r="BM234" s="5">
        <f>MAX(ABS(CG234),ABS(DI234),ABS(EK234),ABS(FM234),ABS(GO234),ABS(HQ234),ABS(IS234),ABS(JU234),ABS(KW234),ABS(LY234))</f>
        <v>6.253136029810147e-17</v>
      </c>
      <c r="BN234" s="9">
        <f>COUNTA(BO234,CQ234,DS234,EU234,FW234,GY234,IA234,JC234,KE234,LG234)</f>
        <v>3</v>
      </c>
      <c r="BO234" t="inlineStr">
        <is>
          <t xml:space="preserve">Direct commodity holding</t>
        </is>
      </c>
      <c r="BP234" t="inlineStr">
        <is>
          <t xml:space="preserve">direct</t>
        </is>
      </c>
      <c r="BQ234" t="inlineStr">
        <is>
          <t xml:space="preserve">lease</t>
        </is>
      </c>
      <c r="BR234" t="inlineStr">
        <is>
          <t xml:space="preserve">long</t>
        </is>
      </c>
      <c r="BS234"/>
      <c r="BT234" s="4">
        <v>1.748</v>
      </c>
      <c r="BU234" s="4">
        <v>1.758</v>
      </c>
      <c r="BV234" s="6">
        <v>0.0025</v>
      </c>
      <c r="BW234" s="4">
        <v>1.0991975967886194</v>
      </c>
      <c r="BX234" s="5">
        <f>IF(BP234="direct",IFERROR(CD234/BU234,0),0)</f>
        <v>0.000022457775015037012</v>
      </c>
      <c r="BY234" s="5">
        <f>IF(BP234="direct",BW234-BX234,IF(BP234="cash",CI234,BW234))</f>
        <v>1.0991751390136044</v>
      </c>
      <c r="BZ234" s="6">
        <v>1</v>
      </c>
      <c r="CA234" s="4">
        <v>1.9213973991865068</v>
      </c>
      <c r="CB234" s="4">
        <v>1.9213973991865068</v>
      </c>
      <c r="CC234" s="5">
        <f>IF(BP234="direct",BW234*(BU234-BT234),CF234)</f>
        <v>0.010991975967886205</v>
      </c>
      <c r="CD234" s="5">
        <f>IF(BP234="direct",CB234*BV234*C234/365,0)</f>
        <v>0.00003948076847643507</v>
      </c>
      <c r="CE234" s="5">
        <f>CC234-CD234</f>
        <v>0.010952495199409832</v>
      </c>
      <c r="CF234" s="4">
        <v>0.010952495199409832</v>
      </c>
      <c r="CG234" s="5">
        <f>CF234-CE234</f>
        <v>6.253136029810147e-17</v>
      </c>
      <c r="CH234" s="4">
        <v>0</v>
      </c>
      <c r="CI234" s="4">
        <v>1.9323498943859165</v>
      </c>
      <c r="CJ234" s="4">
        <v>1.748</v>
      </c>
      <c r="CK234" s="4">
        <v>1.758</v>
      </c>
      <c r="CL234" s="6"/>
      <c r="CM234" s="6"/>
      <c r="CN234" s="6"/>
      <c r="CO234" s="9"/>
      <c r="CP234" s="7">
        <f>IFERROR(CE234/F234,0)</f>
        <v>0.00570027585342156</v>
      </c>
      <c r="CQ234" t="inlineStr">
        <is>
          <t xml:space="preserve">Lease cash / margin / financing</t>
        </is>
      </c>
      <c r="CR234" t="inlineStr">
        <is>
          <t xml:space="preserve">cash</t>
        </is>
      </c>
      <c r="CS234" t="inlineStr">
        <is>
          <t xml:space="preserve">lease</t>
        </is>
      </c>
      <c r="CT234" t="inlineStr">
        <is>
          <t xml:space="preserve">cash</t>
        </is>
      </c>
      <c r="CU234"/>
      <c r="CV234" s="4">
        <v>1</v>
      </c>
      <c r="CW234" s="4">
        <v>1</v>
      </c>
      <c r="CX234" s="6"/>
      <c r="CY234" s="4">
        <v>-6.661338147750939e-16</v>
      </c>
      <c r="CZ234" s="5">
        <f>IF(CR234="direct",IFERROR(DF234/CW234,0),0)</f>
        <v>0</v>
      </c>
      <c r="DA234" s="5">
        <f>IF(CR234="direct",CY234-CZ234,IF(CR234="cash",DK234,CY234))</f>
        <v>-6.661338147750939e-16</v>
      </c>
      <c r="DB234" s="6"/>
      <c r="DC234" s="4">
        <v>-6.661338147750939e-16</v>
      </c>
      <c r="DD234" s="4">
        <v>-6.661338147750939e-16</v>
      </c>
      <c r="DE234" s="5">
        <f>IF(CR234="direct",CY234*(CW234-CV234),DH234)</f>
        <v>0</v>
      </c>
      <c r="DF234" s="5">
        <f>IF(CR234="direct",DD234*CX234*C234/365,0)</f>
        <v>0</v>
      </c>
      <c r="DG234" s="5">
        <f>DE234-DF234</f>
        <v>0</v>
      </c>
      <c r="DH234" s="4">
        <v>0</v>
      </c>
      <c r="DI234" s="5">
        <f>DH234-DG234</f>
        <v>0</v>
      </c>
      <c r="DJ234" s="4">
        <v>0</v>
      </c>
      <c r="DK234" s="4">
        <v>-6.661338147750939e-16</v>
      </c>
      <c r="DL234" s="4">
        <v>1.748</v>
      </c>
      <c r="DM234" s="4">
        <v>1.758</v>
      </c>
      <c r="DN234" s="6"/>
      <c r="DO234" s="6"/>
      <c r="DP234" s="6"/>
      <c r="DQ234" s="9"/>
      <c r="DR234" s="7">
        <f>IFERROR(DG234/F234,0)</f>
        <v>0</v>
      </c>
      <c r="DS234" t="inlineStr">
        <is>
          <t xml:space="preserve">Keep cash / margin / financing</t>
        </is>
      </c>
      <c r="DT234" t="inlineStr">
        <is>
          <t xml:space="preserve">cash</t>
        </is>
      </c>
      <c r="DU234" t="inlineStr">
        <is>
          <t xml:space="preserve">keep</t>
        </is>
      </c>
      <c r="DV234" t="inlineStr">
        <is>
          <t xml:space="preserve">cash</t>
        </is>
      </c>
      <c r="DW234"/>
      <c r="DX234" s="4">
        <v>1</v>
      </c>
      <c r="DY234" s="4">
        <v>1</v>
      </c>
      <c r="DZ234" s="6"/>
      <c r="EA234" s="4">
        <v>0</v>
      </c>
      <c r="EB234" s="5">
        <f>IF(DT234="direct",IFERROR(EH234/DY234,0),0)</f>
        <v>0</v>
      </c>
      <c r="EC234" s="5">
        <f>IF(DT234="direct",EA234-EB234,IF(DT234="cash",EM234,EA234))</f>
        <v>0</v>
      </c>
      <c r="ED234" s="6"/>
      <c r="EE234" s="4">
        <v>0</v>
      </c>
      <c r="EF234" s="4">
        <v>0</v>
      </c>
      <c r="EG234" s="5">
        <f>IF(DT234="direct",EA234*(DY234-DX234),EJ234)</f>
        <v>0</v>
      </c>
      <c r="EH234" s="5">
        <f>IF(DT234="direct",EF234*DZ234*C234/365,0)</f>
        <v>0</v>
      </c>
      <c r="EI234" s="5">
        <f>EG234-EH234</f>
        <v>0</v>
      </c>
      <c r="EJ234" s="4">
        <v>0</v>
      </c>
      <c r="EK234" s="5">
        <f>EJ234-EI234</f>
        <v>0</v>
      </c>
      <c r="EL234" s="4">
        <v>0</v>
      </c>
      <c r="EM234" s="4">
        <v>0</v>
      </c>
      <c r="EN234" s="4">
        <v>1.748</v>
      </c>
      <c r="EO234" s="4">
        <v>1.758</v>
      </c>
      <c r="EP234" s="6"/>
      <c r="EQ234" s="6"/>
      <c r="ER234" s="6"/>
      <c r="ES234" s="9"/>
      <c r="ET234" s="7">
        <f>IFERROR(EI234/F234,0)</f>
        <v>0</v>
      </c>
      <c r="EU234"/>
      <c r="EV234"/>
      <c r="EW234"/>
      <c r="EX234"/>
      <c r="EY234"/>
      <c r="EZ234" s="4"/>
      <c r="FA234" s="4"/>
      <c r="FB234" s="6"/>
      <c r="FC234" s="4"/>
      <c r="FD234" s="5">
        <v>0</v>
      </c>
      <c r="FE234" s="5"/>
      <c r="FF234" s="6"/>
      <c r="FG234" s="4"/>
      <c r="FH234" s="4"/>
      <c r="FI234" s="5">
        <v>0</v>
      </c>
      <c r="FJ234" s="5">
        <v>0</v>
      </c>
      <c r="FK234" s="5"/>
      <c r="FL234" s="4"/>
      <c r="FM234" s="5">
        <v>0</v>
      </c>
      <c r="FN234" s="4"/>
      <c r="FO234" s="4"/>
      <c r="FP234" s="4"/>
      <c r="FQ234" s="4"/>
      <c r="FR234" s="6"/>
      <c r="FS234" s="6"/>
      <c r="FT234" s="6"/>
      <c r="FU234" s="9"/>
      <c r="FV234"/>
      <c r="FW234"/>
      <c r="FX234"/>
      <c r="FY234"/>
      <c r="FZ234"/>
      <c r="GA234"/>
      <c r="GB234" s="4"/>
      <c r="GC234" s="4"/>
      <c r="GD234" s="6"/>
      <c r="GE234" s="4"/>
      <c r="GF234" s="5">
        <v>0</v>
      </c>
      <c r="GG234" s="5"/>
      <c r="GH234" s="6"/>
      <c r="GI234" s="4"/>
      <c r="GJ234" s="4"/>
      <c r="GK234" s="5">
        <v>0</v>
      </c>
      <c r="GL234" s="5">
        <v>0</v>
      </c>
      <c r="GM234" s="5"/>
      <c r="GN234" s="4"/>
      <c r="GO234" s="5">
        <v>0</v>
      </c>
      <c r="GP234" s="4"/>
      <c r="GQ234" s="4"/>
      <c r="GR234" s="4"/>
      <c r="GS234" s="4"/>
      <c r="GT234" s="6"/>
      <c r="GU234" s="6"/>
      <c r="GV234" s="6"/>
      <c r="GW234" s="9"/>
      <c r="GX234"/>
      <c r="GY234"/>
      <c r="GZ234"/>
      <c r="HA234"/>
      <c r="HB234"/>
      <c r="HC234"/>
      <c r="HD234" s="4"/>
      <c r="HE234" s="4"/>
      <c r="HF234" s="6"/>
      <c r="HG234" s="4"/>
      <c r="HH234" s="5">
        <v>0</v>
      </c>
      <c r="HI234" s="5"/>
      <c r="HJ234" s="6"/>
      <c r="HK234" s="4"/>
      <c r="HL234" s="4"/>
      <c r="HM234" s="5">
        <v>0</v>
      </c>
      <c r="HN234" s="5">
        <v>0</v>
      </c>
      <c r="HO234" s="5"/>
      <c r="HP234" s="4"/>
      <c r="HQ234" s="5">
        <v>0</v>
      </c>
      <c r="HR234" s="4"/>
      <c r="HS234" s="4"/>
      <c r="HT234" s="4"/>
      <c r="HU234" s="4"/>
      <c r="HV234" s="6"/>
      <c r="HW234" s="6"/>
      <c r="HX234" s="6"/>
      <c r="HY234" s="9"/>
      <c r="HZ234"/>
      <c r="IA234"/>
      <c r="IB234"/>
      <c r="IC234"/>
      <c r="ID234"/>
      <c r="IE234"/>
      <c r="IF234" s="4"/>
      <c r="IG234" s="4"/>
      <c r="IH234" s="6"/>
      <c r="II234" s="4"/>
      <c r="IJ234" s="5">
        <v>0</v>
      </c>
      <c r="IK234" s="5"/>
      <c r="IL234" s="6"/>
      <c r="IM234" s="4"/>
      <c r="IN234" s="4"/>
      <c r="IO234" s="5">
        <v>0</v>
      </c>
      <c r="IP234" s="5">
        <v>0</v>
      </c>
      <c r="IQ234" s="5"/>
      <c r="IR234" s="4"/>
      <c r="IS234" s="5">
        <v>0</v>
      </c>
      <c r="IT234" s="4"/>
      <c r="IU234" s="4"/>
      <c r="IV234" s="4"/>
      <c r="IW234" s="4"/>
      <c r="IX234" s="6"/>
      <c r="IY234" s="6"/>
      <c r="IZ234" s="6"/>
      <c r="JA234" s="9"/>
      <c r="JB234"/>
      <c r="JC234"/>
      <c r="JD234"/>
      <c r="JE234"/>
      <c r="JF234"/>
      <c r="JG234"/>
      <c r="JH234" s="4"/>
      <c r="JI234" s="4"/>
      <c r="JJ234" s="6"/>
      <c r="JK234" s="4"/>
      <c r="JL234" s="5">
        <v>0</v>
      </c>
      <c r="JM234" s="5"/>
      <c r="JN234" s="6"/>
      <c r="JO234" s="4"/>
      <c r="JP234" s="4"/>
      <c r="JQ234" s="5">
        <v>0</v>
      </c>
      <c r="JR234" s="5">
        <v>0</v>
      </c>
      <c r="JS234" s="5"/>
      <c r="JT234" s="4"/>
      <c r="JU234" s="5">
        <v>0</v>
      </c>
      <c r="JV234" s="4"/>
      <c r="JW234" s="4"/>
      <c r="JX234" s="4"/>
      <c r="JY234" s="4"/>
      <c r="JZ234" s="6"/>
      <c r="KA234" s="6"/>
      <c r="KB234" s="6"/>
      <c r="KC234" s="9"/>
      <c r="KD234"/>
      <c r="KE234"/>
      <c r="KF234"/>
      <c r="KG234"/>
      <c r="KH234"/>
      <c r="KI234"/>
      <c r="KJ234" s="4"/>
      <c r="KK234" s="4"/>
      <c r="KL234" s="6"/>
      <c r="KM234" s="4"/>
      <c r="KN234" s="5">
        <v>0</v>
      </c>
      <c r="KO234" s="5"/>
      <c r="KP234" s="6"/>
      <c r="KQ234" s="4"/>
      <c r="KR234" s="4"/>
      <c r="KS234" s="5">
        <v>0</v>
      </c>
      <c r="KT234" s="5">
        <v>0</v>
      </c>
      <c r="KU234" s="5"/>
      <c r="KV234" s="4"/>
      <c r="KW234" s="5">
        <v>0</v>
      </c>
      <c r="KX234" s="4"/>
      <c r="KY234" s="4"/>
      <c r="KZ234" s="4"/>
      <c r="LA234" s="4"/>
      <c r="LB234" s="6"/>
      <c r="LC234" s="6"/>
      <c r="LD234" s="6"/>
      <c r="LE234" s="9"/>
      <c r="LF234"/>
      <c r="LG234"/>
      <c r="LH234"/>
      <c r="LI234"/>
      <c r="LJ234"/>
      <c r="LK234"/>
      <c r="LL234" s="4"/>
      <c r="LM234" s="4"/>
      <c r="LN234" s="6"/>
      <c r="LO234" s="4"/>
      <c r="LP234" s="5">
        <v>0</v>
      </c>
      <c r="LQ234" s="5"/>
      <c r="LR234" s="6"/>
      <c r="LS234" s="4"/>
      <c r="LT234" s="4"/>
      <c r="LU234" s="5">
        <v>0</v>
      </c>
      <c r="LV234" s="5">
        <v>0</v>
      </c>
      <c r="LW234" s="5"/>
      <c r="LX234" s="4"/>
      <c r="LY234" s="5">
        <v>0</v>
      </c>
      <c r="LZ234" s="4"/>
      <c r="MA234" s="4"/>
      <c r="MB234" s="4"/>
      <c r="MC234" s="4"/>
      <c r="MD234" s="6"/>
      <c r="ME234" s="6"/>
      <c r="MF234" s="6"/>
      <c r="MG234" s="9"/>
      <c r="MH234"/>
    </row>
    <row r="235">
      <c r="A235" s="8">
        <v>25552</v>
      </c>
      <c r="B235" s="8">
        <v>25553</v>
      </c>
      <c r="C235" s="9">
        <f>B235-A235</f>
        <v>1</v>
      </c>
      <c r="D235" s="8">
        <v>25552</v>
      </c>
      <c r="E235" t="inlineStr">
        <is>
          <t xml:space="preserve">positive</t>
        </is>
      </c>
      <c r="F235" s="4">
        <v>1.9323498943859165</v>
      </c>
      <c r="G235" s="6">
        <v>-0.01748718516905793</v>
      </c>
      <c r="H235" s="7">
        <f>SUM(CP235,DR235,ET235,FV235,GX235,HZ235,JB235,KD235,LF235,MH235)</f>
        <v>-0.017487185169057926</v>
      </c>
      <c r="I235" s="7">
        <f>G235-H235</f>
        <v>-3.469446951953614e-18</v>
      </c>
      <c r="J235" s="5">
        <f>F235*(1+H235)</f>
        <v>1.8985585339713806</v>
      </c>
      <c r="K235" s="4">
        <v>1.8985585339713806</v>
      </c>
      <c r="L235" s="5">
        <f>K235-J235</f>
        <v>0</v>
      </c>
      <c r="M235" s="4">
        <v>1.758</v>
      </c>
      <c r="N235" s="4">
        <v>1.758</v>
      </c>
      <c r="O235" s="5">
        <f>M235/$M$3</f>
        <v>0.8978549540347294</v>
      </c>
      <c r="P235" s="5">
        <f>N235/$M$3</f>
        <v>0.8978549540347294</v>
      </c>
      <c r="Q235" s="7">
        <f>IFERROR(N235/M235-1,0)</f>
        <v>0</v>
      </c>
      <c r="R235" s="5">
        <f>SUM(IF(BQ235="lease",CB235,0),IF(CS235="lease",DD235,0),IF(DU235="lease",EF235,0),IF(EW235="lease",FH235,0),IF(FY235="lease",GJ235,0),IF(HA235="lease",HL235,0),IF(IC235="lease",IN235,0),IF(JE235="lease",JP235,0),IF(KG235="lease",KR235,0),IF(LI235="lease",LT235,0))</f>
        <v>1.9323498943859159</v>
      </c>
      <c r="S235" s="5">
        <f>SUM(IF(BQ235="lease",CI235,0),IF(CS235="lease",DK235,0),IF(DU235="lease",EM235,0),IF(EW235="lease",FO235,0),IF(FY235="lease",GQ235,0),IF(HA235="lease",HS235,0),IF(IC235="lease",IU235,0),IF(JE235="lease",JW235,0),IF(KG235="lease",KY235,0),IF(LI235="lease",MA235,0))</f>
        <v>1.8985585339713797</v>
      </c>
      <c r="T235" s="5">
        <f>SUM(IF(BQ235="keep",CB235,0),IF(CS235="keep",DD235,0),IF(DU235="keep",EF235,0),IF(EW235="keep",FH235,0),IF(FY235="keep",GJ235,0),IF(HA235="keep",HL235,0),IF(IC235="keep",IN235,0),IF(JE235="keep",JP235,0),IF(KG235="keep",KR235,0),IF(LI235="keep",LT235,0))</f>
        <v>0</v>
      </c>
      <c r="U235" s="5">
        <f>SUM(IF(BQ235="keep",CI235,0),IF(CS235="keep",DK235,0),IF(DU235="keep",EM235,0),IF(EW235="keep",FO235,0),IF(FY235="keep",GQ235,0),IF(HA235="keep",HS235,0),IF(IC235="keep",IU235,0),IF(JE235="keep",JW235,0),IF(KG235="keep",KY235,0),IF(LI235="keep",MA235,0))</f>
        <v>0</v>
      </c>
      <c r="V235" s="5">
        <f>R235/O235</f>
        <v>2.1521849221886367</v>
      </c>
      <c r="W235" s="5">
        <f>S235/P235</f>
        <v>2.1145492659362692</v>
      </c>
      <c r="X235" s="5">
        <f>T235/O235</f>
        <v>0</v>
      </c>
      <c r="Y235" s="5">
        <f>U235/P235</f>
        <v>0</v>
      </c>
      <c r="Z235" s="5">
        <f>V235+X235</f>
        <v>2.1521849221886367</v>
      </c>
      <c r="AA235" s="7">
        <f>IFERROR(W235/V235-1,0)</f>
        <v>-0.017487185169058006</v>
      </c>
      <c r="AB235" s="7">
        <f>IFERROR((W235-V235)/Z235,0)</f>
        <v>-0.017487185169058023</v>
      </c>
      <c r="AC235" s="7">
        <f>IFERROR(Y235/X235-1,0)</f>
        <v>0</v>
      </c>
      <c r="AD235" s="7">
        <f>IFERROR((Y235-X235)/Z235,0)</f>
        <v>0</v>
      </c>
      <c r="AE235" s="7">
        <f>AB235+AD235</f>
        <v>-0.017487185169058023</v>
      </c>
      <c r="AF235" s="7">
        <f>(1+Q235)*(1+AE235)-1</f>
        <v>-0.017487185169058006</v>
      </c>
      <c r="AG235" s="7">
        <f>G235-AF235</f>
        <v>7.632783294297951e-17</v>
      </c>
      <c r="AH235" s="5">
        <f>SUM(IF(BQ235="lease",CE235,0),IF(CS235="lease",DG235,0),IF(DU235="lease",EI235,0),IF(EW235="lease",FK235,0),IF(FY235="lease",GM235,0),IF(HA235="lease",HO235,0),IF(IC235="lease",IQ235,0),IF(JE235="lease",JS235,0),IF(KG235="lease",KU235,0),IF(LI235="lease",LW235,0))</f>
        <v>-0.03379136041453605</v>
      </c>
      <c r="AI235" s="5">
        <f>SUM(IF(BQ235="keep",CE235,0),IF(CS235="keep",DG235,0),IF(DU235="keep",EI235,0),IF(EW235="keep",FK235,0),IF(FY235="keep",GM235,0),IF(HA235="keep",HO235,0),IF(IC235="keep",IQ235,0),IF(JE235="keep",JS235,0),IF(KG235="keep",KU235,0),IF(LI235="keep",LW235,0))</f>
        <v>0</v>
      </c>
      <c r="AJ235" s="5">
        <f>SUM(IF(BQ235="lease",CH235,0),IF(CS235="lease",DJ235,0),IF(DU235="lease",EL235,0),IF(EW235="lease",FN235,0),IF(FY235="lease",GP235,0),IF(HA235="lease",HR235,0),IF(IC235="lease",IT235,0),IF(JE235="lease",JV235,0),IF(KG235="lease",KX235,0),IF(LI235="lease",LZ235,0))</f>
        <v>0</v>
      </c>
      <c r="AK235" s="5">
        <f>SUM(IF(BQ235="keep",CH235,0),IF(CS235="keep",DJ235,0),IF(DU235="keep",EL235,0),IF(EW235="keep",FN235,0),IF(FY235="keep",GP235,0),IF(HA235="keep",HR235,0),IF(IC235="keep",IT235,0),IF(JE235="keep",JV235,0),IF(KG235="keep",KX235,0),IF(LI235="keep",LZ235,0))</f>
        <v>0</v>
      </c>
      <c r="AL235" s="5">
        <f>R235-S234</f>
        <v>0</v>
      </c>
      <c r="AM235" s="5">
        <f>T235-U234</f>
        <v>0</v>
      </c>
      <c r="AN235" s="5">
        <f>AN234</f>
        <v>1</v>
      </c>
      <c r="AO235" s="5">
        <f>AO234+AH235</f>
        <v>0.8985585339713806</v>
      </c>
      <c r="AP235" s="5">
        <f>AP234+AL235</f>
        <v>1.5543122344752192e-15</v>
      </c>
      <c r="AQ235" s="5">
        <f>AN235+AO235+AP235</f>
        <v>1.8985585339713822</v>
      </c>
      <c r="AR235" s="5">
        <f>S235-AQ235</f>
        <v>-2.4424906541753444e-15</v>
      </c>
      <c r="AS235" s="5">
        <f>AS234</f>
        <v>0</v>
      </c>
      <c r="AT235" s="5">
        <f>AT234+AI235</f>
        <v>0</v>
      </c>
      <c r="AU235" s="5">
        <f>AU234+AM235</f>
        <v>0</v>
      </c>
      <c r="AV235" s="5">
        <f>AS235+AT235+AU235</f>
        <v>0</v>
      </c>
      <c r="AW235" s="5">
        <f>U235-AV235</f>
        <v>0</v>
      </c>
      <c r="AX235" s="4">
        <v>1.9323498943859159</v>
      </c>
      <c r="AY235" s="4">
        <v>1.8985585339713797</v>
      </c>
      <c r="AZ235" s="5">
        <f>S235-AY235</f>
        <v>0</v>
      </c>
      <c r="BA235" s="4">
        <v>0</v>
      </c>
      <c r="BB235" s="4">
        <v>0</v>
      </c>
      <c r="BC235" s="5">
        <f>U235-BB235</f>
        <v>0</v>
      </c>
      <c r="BD235" s="7">
        <f>SUM(IF(BP235="direct",CC235/F235,0),IF(CR235="direct",DE235/F235,0),IF(DT235="direct",EG235/F235,0),IF(EV235="direct",FI235/F235,0),IF(FX235="direct",GK235/F235,0),IF(GZ235="direct",HM235/F235,0),IF(IB235="direct",IO235/F235,0),IF(JD235="direct",JQ235/F235,0),IF(KF235="direct",KS235/F235,0),IF(LH235="direct",LU235/F235,0))</f>
        <v>0</v>
      </c>
      <c r="BE235" s="7">
        <f>-SUM(IF(BP235="direct",CD235/F235,0),IF(CR235="direct",DF235/F235,0),IF(DT235="direct",EH235/F235,0),IF(EV235="direct",FJ235/F235,0),IF(FX235="direct",GL235/F235,0),IF(GZ235="direct",HN235/F235,0),IF(IB235="direct",IP235/F235,0),IF(JD235="direct",JR235/F235,0),IF(KF235="direct",KT235/F235,0),IF(LH235="direct",LV235/F235,0))</f>
        <v>0</v>
      </c>
      <c r="BF235" s="7">
        <f>BD235+BE235</f>
        <v>0</v>
      </c>
      <c r="BG235" s="7">
        <f>BF235-SUM(IF(BP235="direct",CP235,0),IF(CR235="direct",DR235,0),IF(DT235="direct",ET235,0),IF(EV235="direct",FV235,0),IF(FX235="direct",GX235,0),IF(GZ235="direct",HZ235,0),IF(IB235="direct",JB235,0),IF(JD235="direct",KD235,0),IF(KF235="direct",LF235,0),IF(LH235="direct",MH235,0))</f>
        <v>0</v>
      </c>
      <c r="BH235" s="7">
        <f>SUM(IF(BP235="treasury",CP235,0),IF(CR235="treasury",DR235,0),IF(DT235="treasury",ET235,0),IF(EV235="treasury",FV235,0),IF(FX235="treasury",GX235,0),IF(GZ235="treasury",HZ235,0),IF(IB235="treasury",JB235,0),IF(JD235="treasury",KD235,0),IF(KF235="treasury",LF235,0),IF(LH235="treasury",MH235,0))</f>
        <v>0.000216986301369863</v>
      </c>
      <c r="BI235" s="7">
        <f>SUM(IF(BP235="future",CP235,0),IF(CR235="future",DR235,0),IF(DT235="future",ET235,0),IF(EV235="future",FV235,0),IF(FX235="future",GX235,0),IF(GZ235="future",HZ235,0),IF(IB235="future",JB235,0),IF(JD235="future",KD235,0),IF(KF235="future",LF235,0),IF(LH235="future",MH235,0))</f>
        <v>-0.01770417147042779</v>
      </c>
      <c r="BJ235" s="7">
        <f>SUM(IF(BP235="cash",CP235,0),IF(CR235="cash",DR235,0),IF(DT235="cash",ET235,0),IF(EV235="cash",FV235,0),IF(FX235="cash",GX235,0),IF(GZ235="cash",HZ235,0),IF(IB235="cash",JB235,0),IF(JD235="cash",KD235,0),IF(KF235="cash",LF235,0),IF(LH235="cash",MH235,0))</f>
        <v>0</v>
      </c>
      <c r="BK235" s="7">
        <f>SUM(BF235,BH235,BI235,BJ235)</f>
        <v>-0.01748718516905793</v>
      </c>
      <c r="BL235" s="7">
        <f>G235-BK235</f>
        <v>0</v>
      </c>
      <c r="BM235" s="5">
        <f>MAX(ABS(CG235),ABS(DI235),ABS(EK235),ABS(FM235),ABS(GO235),ABS(HQ235),ABS(IS235),ABS(JU235),ABS(KW235),ABS(LY235))</f>
        <v>1.791644090032296e-16</v>
      </c>
      <c r="BN235" s="9">
        <f>COUNTA(BO235,CQ235,DS235,EU235,FW235,GY235,IA235,JC235,KE235,LG235)</f>
        <v>5</v>
      </c>
      <c r="BO235" t="inlineStr">
        <is>
          <t xml:space="preserve">Treasury collateral</t>
        </is>
      </c>
      <c r="BP235" t="inlineStr">
        <is>
          <t xml:space="preserve">treasury</t>
        </is>
      </c>
      <c r="BQ235" t="inlineStr">
        <is>
          <t xml:space="preserve">lease</t>
        </is>
      </c>
      <c r="BR235" t="inlineStr">
        <is>
          <t xml:space="preserve">long</t>
        </is>
      </c>
      <c r="BS235"/>
      <c r="BT235" s="4">
        <v>106.4817578518817</v>
      </c>
      <c r="BU235" s="4">
        <v>106.50486293468133</v>
      </c>
      <c r="BV235" s="6"/>
      <c r="BW235" s="4">
        <v>0.018147238863898685</v>
      </c>
      <c r="BX235" s="5">
        <f>IF(BP235="direct",IFERROR(CD235/BU235,0),0)</f>
        <v>0</v>
      </c>
      <c r="BY235" s="5">
        <f>IF(BP235="direct",BW235-BX235,IF(BP235="cash",CI235,BW235))</f>
        <v>0.018147238863898685</v>
      </c>
      <c r="BZ235" s="6">
        <v>1</v>
      </c>
      <c r="CA235" s="4">
        <v>1.9323498943859165</v>
      </c>
      <c r="CB235" s="4">
        <v>1.9323498943859165</v>
      </c>
      <c r="CC235" s="5">
        <f>IF(BP235="direct",BW235*(BU235-BT235),CF235)</f>
        <v>0.00041929345653506626</v>
      </c>
      <c r="CD235" s="5">
        <f>IF(BP235="direct",CB235*BV235*C235/365,0)</f>
        <v>0</v>
      </c>
      <c r="CE235" s="5">
        <f>CC235-CD235</f>
        <v>0.0004192934565352454</v>
      </c>
      <c r="CF235" s="4">
        <v>0.0004192934565352454</v>
      </c>
      <c r="CG235" s="5">
        <f>CF235-CE235</f>
        <v>1.791644090032296e-16</v>
      </c>
      <c r="CH235" s="4">
        <v>-2.2616457318047622e-16</v>
      </c>
      <c r="CI235" s="4">
        <v>1.9327691878424516</v>
      </c>
      <c r="CJ235" s="4">
        <v>1.758</v>
      </c>
      <c r="CK235" s="4">
        <v>1.758</v>
      </c>
      <c r="CL235" s="6"/>
      <c r="CM235" s="6"/>
      <c r="CN235" s="6"/>
      <c r="CO235" s="9">
        <v>14</v>
      </c>
      <c r="CP235" s="7">
        <f>IFERROR(CE235/F235,0)</f>
        <v>0.000216986301369863</v>
      </c>
      <c r="CQ235" t="inlineStr">
        <is>
          <t xml:space="preserve">SI69Z</t>
        </is>
      </c>
      <c r="CR235" t="inlineStr">
        <is>
          <t xml:space="preserve">future</t>
        </is>
      </c>
      <c r="CS235" t="inlineStr">
        <is>
          <t xml:space="preserve">lease</t>
        </is>
      </c>
      <c r="CT235" t="inlineStr">
        <is>
          <t xml:space="preserve">long</t>
        </is>
      </c>
      <c r="CU235" t="inlineStr">
        <is>
          <t xml:space="preserve">regular</t>
        </is>
      </c>
      <c r="CV235" s="4">
        <v>1.751</v>
      </c>
      <c r="CW235" s="4">
        <v>1.72</v>
      </c>
      <c r="CX235" s="6"/>
      <c r="CY235" s="4">
        <v>1.103568070177503</v>
      </c>
      <c r="CZ235" s="5">
        <f>IF(CR235="direct",IFERROR(DF235/CW235,0),0)</f>
        <v>0</v>
      </c>
      <c r="DA235" s="5">
        <f>IF(CR235="direct",CY235-CZ235,IF(CR235="cash",DK235,CY235))</f>
        <v>1.103568070177503</v>
      </c>
      <c r="DB235" s="6">
        <v>0.9999988596759235</v>
      </c>
      <c r="DC235" s="4">
        <v>1.9323476908808077</v>
      </c>
      <c r="DD235" s="4">
        <v>0</v>
      </c>
      <c r="DE235" s="5">
        <f>IF(CR235="direct",CY235*(CW235-CV235),DH235)</f>
        <v>-0.034210610175502566</v>
      </c>
      <c r="DF235" s="5">
        <f>IF(CR235="direct",DD235*CX235*C235/365,0)</f>
        <v>0</v>
      </c>
      <c r="DG235" s="5">
        <f>DE235-DF235</f>
        <v>-0.034210610175502566</v>
      </c>
      <c r="DH235" s="4">
        <v>-0.034210610175502566</v>
      </c>
      <c r="DI235" s="5">
        <f>DH235-DG235</f>
        <v>0</v>
      </c>
      <c r="DJ235" s="4">
        <v>0.034210610175502566</v>
      </c>
      <c r="DK235" s="4">
        <v>0</v>
      </c>
      <c r="DL235" s="4">
        <v>1.758</v>
      </c>
      <c r="DM235" s="4">
        <v>1.758</v>
      </c>
      <c r="DN235" s="6">
        <v>-0.003981797497155881</v>
      </c>
      <c r="DO235" s="6">
        <v>0.07919999999999999</v>
      </c>
      <c r="DP235" s="6">
        <v>0.18301114903299256</v>
      </c>
      <c r="DQ235" s="9">
        <v>14</v>
      </c>
      <c r="DR235" s="7">
        <f>IFERROR(DG235/F235,0)</f>
        <v>-0.01770414885776905</v>
      </c>
      <c r="DS235" t="inlineStr">
        <is>
          <t xml:space="preserve">SI70F</t>
        </is>
      </c>
      <c r="DT235" t="inlineStr">
        <is>
          <t xml:space="preserve">future</t>
        </is>
      </c>
      <c r="DU235" t="inlineStr">
        <is>
          <t xml:space="preserve">lease</t>
        </is>
      </c>
      <c r="DV235" t="inlineStr">
        <is>
          <t xml:space="preserve">long</t>
        </is>
      </c>
      <c r="DW235" t="inlineStr">
        <is>
          <t xml:space="preserve">regular</t>
        </is>
      </c>
      <c r="DX235" s="4">
        <v>1.765</v>
      </c>
      <c r="DY235" s="4">
        <v>1.73</v>
      </c>
      <c r="DZ235" s="6"/>
      <c r="EA235" s="4">
        <v>0.0000012484448208637065</v>
      </c>
      <c r="EB235" s="5">
        <f>IF(DT235="direct",IFERROR(EH235/DY235,0),0)</f>
        <v>0</v>
      </c>
      <c r="EC235" s="5">
        <f>IF(DT235="direct",EA235-EB235,IF(DT235="cash",EM235,EA235))</f>
        <v>0.0000012484448208637065</v>
      </c>
      <c r="ED235" s="6">
        <v>0.0000011403240765175687</v>
      </c>
      <c r="EE235" s="4">
        <v>0.000002203505108824442</v>
      </c>
      <c r="EF235" s="4">
        <v>0</v>
      </c>
      <c r="EG235" s="5">
        <f>IF(DT235="direct",EA235*(DY235-DX235),EJ235)</f>
        <v>-4.369556873022952e-8</v>
      </c>
      <c r="EH235" s="5">
        <f>IF(DT235="direct",EF235*DZ235*C235/365,0)</f>
        <v>0</v>
      </c>
      <c r="EI235" s="5">
        <f>EG235-EH235</f>
        <v>-4.369556873022952e-8</v>
      </c>
      <c r="EJ235" s="4">
        <v>-4.369556873022952e-8</v>
      </c>
      <c r="EK235" s="5">
        <f>EJ235-EI235</f>
        <v>0</v>
      </c>
      <c r="EL235" s="4">
        <v>4.369556873022952e-8</v>
      </c>
      <c r="EM235" s="4">
        <v>0</v>
      </c>
      <c r="EN235" s="4">
        <v>1.758</v>
      </c>
      <c r="EO235" s="4">
        <v>1.758</v>
      </c>
      <c r="EP235" s="6">
        <v>0.003981797497155881</v>
      </c>
      <c r="EQ235" s="6">
        <v>0.07919999999999999</v>
      </c>
      <c r="ER235" s="6">
        <v>0.0461691798531387</v>
      </c>
      <c r="ES235" s="9">
        <v>44</v>
      </c>
      <c r="ET235" s="7">
        <f>IFERROR(EI235/F235,0)</f>
        <v>-2.2612658741141483e-8</v>
      </c>
      <c r="EU235" t="inlineStr">
        <is>
          <t xml:space="preserve">Lease cash / margin / financing</t>
        </is>
      </c>
      <c r="EV235" t="inlineStr">
        <is>
          <t xml:space="preserve">cash</t>
        </is>
      </c>
      <c r="EW235" t="inlineStr">
        <is>
          <t xml:space="preserve">lease</t>
        </is>
      </c>
      <c r="EX235" t="inlineStr">
        <is>
          <t xml:space="preserve">cash</t>
        </is>
      </c>
      <c r="EY235"/>
      <c r="EZ235" s="4">
        <v>1</v>
      </c>
      <c r="FA235" s="4">
        <v>1</v>
      </c>
      <c r="FB235" s="6"/>
      <c r="FC235" s="4">
        <v>-6.661338147750939e-16</v>
      </c>
      <c r="FD235" s="5">
        <f>IF(EV235="direct",IFERROR(FJ235/FA235,0),0)</f>
        <v>0</v>
      </c>
      <c r="FE235" s="5">
        <f>IF(EV235="direct",FC235-FD235,IF(EV235="cash",FO235,FC235))</f>
        <v>-0.034210653871071736</v>
      </c>
      <c r="FF235" s="6"/>
      <c r="FG235" s="4">
        <v>-6.661338147750939e-16</v>
      </c>
      <c r="FH235" s="4">
        <v>-6.661338147750939e-16</v>
      </c>
      <c r="FI235" s="5">
        <f>IF(EV235="direct",FC235*(FA235-EZ235),FL235)</f>
        <v>0</v>
      </c>
      <c r="FJ235" s="5">
        <f>IF(EV235="direct",FH235*FB235*C235/365,0)</f>
        <v>0</v>
      </c>
      <c r="FK235" s="5">
        <f>FI235-FJ235</f>
        <v>0</v>
      </c>
      <c r="FL235" s="4">
        <v>0</v>
      </c>
      <c r="FM235" s="5">
        <f>FL235-FK235</f>
        <v>0</v>
      </c>
      <c r="FN235" s="4">
        <v>-0.03421065387107107</v>
      </c>
      <c r="FO235" s="4">
        <v>-0.034210653871071736</v>
      </c>
      <c r="FP235" s="4">
        <v>1.758</v>
      </c>
      <c r="FQ235" s="4">
        <v>1.758</v>
      </c>
      <c r="FR235" s="6"/>
      <c r="FS235" s="6"/>
      <c r="FT235" s="6"/>
      <c r="FU235" s="9"/>
      <c r="FV235" s="7">
        <f>IFERROR(FK235/F235,0)</f>
        <v>0</v>
      </c>
      <c r="FW235" t="inlineStr">
        <is>
          <t xml:space="preserve">Keep cash / margin / financing</t>
        </is>
      </c>
      <c r="FX235" t="inlineStr">
        <is>
          <t xml:space="preserve">cash</t>
        </is>
      </c>
      <c r="FY235" t="inlineStr">
        <is>
          <t xml:space="preserve">keep</t>
        </is>
      </c>
      <c r="FZ235" t="inlineStr">
        <is>
          <t xml:space="preserve">cash</t>
        </is>
      </c>
      <c r="GA235"/>
      <c r="GB235" s="4">
        <v>1</v>
      </c>
      <c r="GC235" s="4">
        <v>1</v>
      </c>
      <c r="GD235" s="6"/>
      <c r="GE235" s="4">
        <v>0</v>
      </c>
      <c r="GF235" s="5">
        <f>IF(FX235="direct",IFERROR(GL235/GC235,0),0)</f>
        <v>0</v>
      </c>
      <c r="GG235" s="5">
        <f>IF(FX235="direct",GE235-GF235,IF(FX235="cash",GQ235,GE235))</f>
        <v>0</v>
      </c>
      <c r="GH235" s="6"/>
      <c r="GI235" s="4">
        <v>0</v>
      </c>
      <c r="GJ235" s="4">
        <v>0</v>
      </c>
      <c r="GK235" s="5">
        <f>IF(FX235="direct",GE235*(GC235-GB235),GN235)</f>
        <v>0</v>
      </c>
      <c r="GL235" s="5">
        <f>IF(FX235="direct",GJ235*GD235*C235/365,0)</f>
        <v>0</v>
      </c>
      <c r="GM235" s="5">
        <f>GK235-GL235</f>
        <v>0</v>
      </c>
      <c r="GN235" s="4">
        <v>0</v>
      </c>
      <c r="GO235" s="5">
        <f>GN235-GM235</f>
        <v>0</v>
      </c>
      <c r="GP235" s="4">
        <v>0</v>
      </c>
      <c r="GQ235" s="4">
        <v>0</v>
      </c>
      <c r="GR235" s="4">
        <v>1.758</v>
      </c>
      <c r="GS235" s="4">
        <v>1.758</v>
      </c>
      <c r="GT235" s="6"/>
      <c r="GU235" s="6"/>
      <c r="GV235" s="6"/>
      <c r="GW235" s="9"/>
      <c r="GX235" s="7">
        <f>IFERROR(GM235/F235,0)</f>
        <v>0</v>
      </c>
      <c r="GY235"/>
      <c r="GZ235"/>
      <c r="HA235"/>
      <c r="HB235"/>
      <c r="HC235"/>
      <c r="HD235" s="4"/>
      <c r="HE235" s="4"/>
      <c r="HF235" s="6"/>
      <c r="HG235" s="4"/>
      <c r="HH235" s="5">
        <v>0</v>
      </c>
      <c r="HI235" s="5"/>
      <c r="HJ235" s="6"/>
      <c r="HK235" s="4"/>
      <c r="HL235" s="4"/>
      <c r="HM235" s="5">
        <v>0</v>
      </c>
      <c r="HN235" s="5">
        <v>0</v>
      </c>
      <c r="HO235" s="5"/>
      <c r="HP235" s="4"/>
      <c r="HQ235" s="5">
        <v>0</v>
      </c>
      <c r="HR235" s="4"/>
      <c r="HS235" s="4"/>
      <c r="HT235" s="4"/>
      <c r="HU235" s="4"/>
      <c r="HV235" s="6"/>
      <c r="HW235" s="6"/>
      <c r="HX235" s="6"/>
      <c r="HY235" s="9"/>
      <c r="HZ235"/>
      <c r="IA235"/>
      <c r="IB235"/>
      <c r="IC235"/>
      <c r="ID235"/>
      <c r="IE235"/>
      <c r="IF235" s="4"/>
      <c r="IG235" s="4"/>
      <c r="IH235" s="6"/>
      <c r="II235" s="4"/>
      <c r="IJ235" s="5">
        <v>0</v>
      </c>
      <c r="IK235" s="5"/>
      <c r="IL235" s="6"/>
      <c r="IM235" s="4"/>
      <c r="IN235" s="4"/>
      <c r="IO235" s="5">
        <v>0</v>
      </c>
      <c r="IP235" s="5">
        <v>0</v>
      </c>
      <c r="IQ235" s="5"/>
      <c r="IR235" s="4"/>
      <c r="IS235" s="5">
        <v>0</v>
      </c>
      <c r="IT235" s="4"/>
      <c r="IU235" s="4"/>
      <c r="IV235" s="4"/>
      <c r="IW235" s="4"/>
      <c r="IX235" s="6"/>
      <c r="IY235" s="6"/>
      <c r="IZ235" s="6"/>
      <c r="JA235" s="9"/>
      <c r="JB235"/>
      <c r="JC235"/>
      <c r="JD235"/>
      <c r="JE235"/>
      <c r="JF235"/>
      <c r="JG235"/>
      <c r="JH235" s="4"/>
      <c r="JI235" s="4"/>
      <c r="JJ235" s="6"/>
      <c r="JK235" s="4"/>
      <c r="JL235" s="5">
        <v>0</v>
      </c>
      <c r="JM235" s="5"/>
      <c r="JN235" s="6"/>
      <c r="JO235" s="4"/>
      <c r="JP235" s="4"/>
      <c r="JQ235" s="5">
        <v>0</v>
      </c>
      <c r="JR235" s="5">
        <v>0</v>
      </c>
      <c r="JS235" s="5"/>
      <c r="JT235" s="4"/>
      <c r="JU235" s="5">
        <v>0</v>
      </c>
      <c r="JV235" s="4"/>
      <c r="JW235" s="4"/>
      <c r="JX235" s="4"/>
      <c r="JY235" s="4"/>
      <c r="JZ235" s="6"/>
      <c r="KA235" s="6"/>
      <c r="KB235" s="6"/>
      <c r="KC235" s="9"/>
      <c r="KD235"/>
      <c r="KE235"/>
      <c r="KF235"/>
      <c r="KG235"/>
      <c r="KH235"/>
      <c r="KI235"/>
      <c r="KJ235" s="4"/>
      <c r="KK235" s="4"/>
      <c r="KL235" s="6"/>
      <c r="KM235" s="4"/>
      <c r="KN235" s="5">
        <v>0</v>
      </c>
      <c r="KO235" s="5"/>
      <c r="KP235" s="6"/>
      <c r="KQ235" s="4"/>
      <c r="KR235" s="4"/>
      <c r="KS235" s="5">
        <v>0</v>
      </c>
      <c r="KT235" s="5">
        <v>0</v>
      </c>
      <c r="KU235" s="5"/>
      <c r="KV235" s="4"/>
      <c r="KW235" s="5">
        <v>0</v>
      </c>
      <c r="KX235" s="4"/>
      <c r="KY235" s="4"/>
      <c r="KZ235" s="4"/>
      <c r="LA235" s="4"/>
      <c r="LB235" s="6"/>
      <c r="LC235" s="6"/>
      <c r="LD235" s="6"/>
      <c r="LE235" s="9"/>
      <c r="LF235"/>
      <c r="LG235"/>
      <c r="LH235"/>
      <c r="LI235"/>
      <c r="LJ235"/>
      <c r="LK235"/>
      <c r="LL235" s="4"/>
      <c r="LM235" s="4"/>
      <c r="LN235" s="6"/>
      <c r="LO235" s="4"/>
      <c r="LP235" s="5">
        <v>0</v>
      </c>
      <c r="LQ235" s="5"/>
      <c r="LR235" s="6"/>
      <c r="LS235" s="4"/>
      <c r="LT235" s="4"/>
      <c r="LU235" s="5">
        <v>0</v>
      </c>
      <c r="LV235" s="5">
        <v>0</v>
      </c>
      <c r="LW235" s="5"/>
      <c r="LX235" s="4"/>
      <c r="LY235" s="5">
        <v>0</v>
      </c>
      <c r="LZ235" s="4"/>
      <c r="MA235" s="4"/>
      <c r="MB235" s="4"/>
      <c r="MC235" s="4"/>
      <c r="MD235" s="6"/>
      <c r="ME235" s="6"/>
      <c r="MF235" s="6"/>
      <c r="MG235" s="9"/>
      <c r="MH235"/>
    </row>
    <row r="236">
      <c r="A236" s="8">
        <v>25553</v>
      </c>
      <c r="B236" s="8">
        <v>25554</v>
      </c>
      <c r="C236" s="9">
        <f>B236-A236</f>
        <v>1</v>
      </c>
      <c r="D236" s="8">
        <v>25553</v>
      </c>
      <c r="E236" t="inlineStr">
        <is>
          <t xml:space="preserve">positive</t>
        </is>
      </c>
      <c r="F236" s="4">
        <v>1.8985585339713806</v>
      </c>
      <c r="G236" s="6">
        <v>0.006030665817139225</v>
      </c>
      <c r="H236" s="7">
        <f>SUM(CP236,DR236,ET236,FV236,GX236,HZ236,JB236,KD236,LF236,MH236)</f>
        <v>0.006030665817139227</v>
      </c>
      <c r="I236" s="7">
        <f>G236-H236</f>
        <v>-1.734723475976807e-18</v>
      </c>
      <c r="J236" s="5">
        <f>F236*(1+H236)</f>
        <v>1.9100081060240397</v>
      </c>
      <c r="K236" s="4">
        <v>1.9100081060240397</v>
      </c>
      <c r="L236" s="5">
        <f>K236-J236</f>
        <v>0</v>
      </c>
      <c r="M236" s="4">
        <v>1.758</v>
      </c>
      <c r="N236" s="4">
        <v>1.733</v>
      </c>
      <c r="O236" s="5">
        <f>M236/$M$3</f>
        <v>0.8978549540347294</v>
      </c>
      <c r="P236" s="5">
        <f>N236/$M$3</f>
        <v>0.8850868232890705</v>
      </c>
      <c r="Q236" s="7">
        <f>IFERROR(N236/M236-1,0)</f>
        <v>-0.014220705346985163</v>
      </c>
      <c r="R236" s="5">
        <f>SUM(IF(BQ236="lease",CB236,0),IF(CS236="lease",DD236,0),IF(DU236="lease",EF236,0),IF(EW236="lease",FH236,0),IF(FY236="lease",GJ236,0),IF(HA236="lease",HL236,0),IF(IC236="lease",IN236,0),IF(JE236="lease",JP236,0),IF(KG236="lease",KR236,0),IF(LI236="lease",LT236,0))</f>
        <v>1.8985585339713797</v>
      </c>
      <c r="S236" s="5">
        <f>SUM(IF(BQ236="lease",CI236,0),IF(CS236="lease",DK236,0),IF(DU236="lease",EM236,0),IF(EW236="lease",FO236,0),IF(FY236="lease",GQ236,0),IF(HA236="lease",HS236,0),IF(IC236="lease",IU236,0),IF(JE236="lease",JW236,0),IF(KG236="lease",KY236,0),IF(LI236="lease",MA236,0))</f>
        <v>1.9100081060240388</v>
      </c>
      <c r="T236" s="5">
        <f>SUM(IF(BQ236="keep",CB236,0),IF(CS236="keep",DD236,0),IF(DU236="keep",EF236,0),IF(EW236="keep",FH236,0),IF(FY236="keep",GJ236,0),IF(HA236="keep",HL236,0),IF(IC236="keep",IN236,0),IF(JE236="keep",JP236,0),IF(KG236="keep",KR236,0),IF(LI236="keep",LT236,0))</f>
        <v>0</v>
      </c>
      <c r="U236" s="5">
        <f>SUM(IF(BQ236="keep",CI236,0),IF(CS236="keep",DK236,0),IF(DU236="keep",EM236,0),IF(EW236="keep",FO236,0),IF(FY236="keep",GQ236,0),IF(HA236="keep",HS236,0),IF(IC236="keep",IU236,0),IF(JE236="keep",JW236,0),IF(KG236="keep",KY236,0),IF(LI236="keep",MA236,0))</f>
        <v>0</v>
      </c>
      <c r="V236" s="5">
        <f>R236/O236</f>
        <v>2.1145492659362692</v>
      </c>
      <c r="W236" s="5">
        <f>S236/P236</f>
        <v>2.1579895392931725</v>
      </c>
      <c r="X236" s="5">
        <f>T236/O236</f>
        <v>0</v>
      </c>
      <c r="Y236" s="5">
        <f>U236/P236</f>
        <v>0</v>
      </c>
      <c r="Z236" s="5">
        <f>V236+X236</f>
        <v>2.1145492659362692</v>
      </c>
      <c r="AA236" s="7">
        <f>IFERROR(W236/V236-1,0)</f>
        <v>0.020543514429619547</v>
      </c>
      <c r="AB236" s="7">
        <f>IFERROR((W236-V236)/Z236,0)</f>
        <v>0.02054351442961959</v>
      </c>
      <c r="AC236" s="7">
        <f>IFERROR(Y236/X236-1,0)</f>
        <v>0</v>
      </c>
      <c r="AD236" s="7">
        <f>IFERROR((Y236-X236)/Z236,0)</f>
        <v>0</v>
      </c>
      <c r="AE236" s="7">
        <f>AB236+AD236</f>
        <v>0.02054351442961959</v>
      </c>
      <c r="AF236" s="7">
        <f>(1+Q236)*(1+AE236)-1</f>
        <v>0.00603066581713918</v>
      </c>
      <c r="AG236" s="7">
        <f>G236-AF236</f>
        <v>4.5102810375396984e-17</v>
      </c>
      <c r="AH236" s="5">
        <f>SUM(IF(BQ236="lease",CE236,0),IF(CS236="lease",DG236,0),IF(DU236="lease",EI236,0),IF(EW236="lease",FK236,0),IF(FY236="lease",GM236,0),IF(HA236="lease",HO236,0),IF(IC236="lease",IQ236,0),IF(JE236="lease",JS236,0),IF(KG236="lease",KU236,0),IF(LI236="lease",LW236,0))</f>
        <v>0.011449572052659169</v>
      </c>
      <c r="AI236" s="5">
        <f>SUM(IF(BQ236="keep",CE236,0),IF(CS236="keep",DG236,0),IF(DU236="keep",EI236,0),IF(EW236="keep",FK236,0),IF(FY236="keep",GM236,0),IF(HA236="keep",HO236,0),IF(IC236="keep",IQ236,0),IF(JE236="keep",JS236,0),IF(KG236="keep",KU236,0),IF(LI236="keep",LW236,0))</f>
        <v>0</v>
      </c>
      <c r="AJ236" s="5">
        <f>SUM(IF(BQ236="lease",CH236,0),IF(CS236="lease",DJ236,0),IF(DU236="lease",EL236,0),IF(EW236="lease",FN236,0),IF(FY236="lease",GP236,0),IF(HA236="lease",HR236,0),IF(IC236="lease",IT236,0),IF(JE236="lease",JV236,0),IF(KG236="lease",KX236,0),IF(LI236="lease",LZ236,0))</f>
        <v>0</v>
      </c>
      <c r="AK236" s="5">
        <f>SUM(IF(BQ236="keep",CH236,0),IF(CS236="keep",DJ236,0),IF(DU236="keep",EL236,0),IF(EW236="keep",FN236,0),IF(FY236="keep",GP236,0),IF(HA236="keep",HR236,0),IF(IC236="keep",IT236,0),IF(JE236="keep",JV236,0),IF(KG236="keep",KX236,0),IF(LI236="keep",LZ236,0))</f>
        <v>0</v>
      </c>
      <c r="AL236" s="5">
        <f>R236-S235</f>
        <v>0</v>
      </c>
      <c r="AM236" s="5">
        <f>T236-U235</f>
        <v>0</v>
      </c>
      <c r="AN236" s="5">
        <f>AN235</f>
        <v>1</v>
      </c>
      <c r="AO236" s="5">
        <f>AO235+AH236</f>
        <v>0.9100081060240398</v>
      </c>
      <c r="AP236" s="5">
        <f>AP235+AL236</f>
        <v>1.5543122344752192e-15</v>
      </c>
      <c r="AQ236" s="5">
        <f>AN236+AO236+AP236</f>
        <v>1.9100081060240413</v>
      </c>
      <c r="AR236" s="5">
        <f>S236-AQ236</f>
        <v>-2.4424906541753444e-15</v>
      </c>
      <c r="AS236" s="5">
        <f>AS235</f>
        <v>0</v>
      </c>
      <c r="AT236" s="5">
        <f>AT235+AI236</f>
        <v>0</v>
      </c>
      <c r="AU236" s="5">
        <f>AU235+AM236</f>
        <v>0</v>
      </c>
      <c r="AV236" s="5">
        <f>AS236+AT236+AU236</f>
        <v>0</v>
      </c>
      <c r="AW236" s="5">
        <f>U236-AV236</f>
        <v>0</v>
      </c>
      <c r="AX236" s="4">
        <v>1.8985585339713797</v>
      </c>
      <c r="AY236" s="4">
        <v>1.9100081060240388</v>
      </c>
      <c r="AZ236" s="5">
        <f>S236-AY236</f>
        <v>0</v>
      </c>
      <c r="BA236" s="4">
        <v>0</v>
      </c>
      <c r="BB236" s="4">
        <v>0</v>
      </c>
      <c r="BC236" s="5">
        <f>U236-BB236</f>
        <v>0</v>
      </c>
      <c r="BD236" s="7">
        <f>SUM(IF(BP236="direct",CC236/F236,0),IF(CR236="direct",DE236/F236,0),IF(DT236="direct",EG236/F236,0),IF(EV236="direct",FI236/F236,0),IF(FX236="direct",GK236/F236,0),IF(GZ236="direct",HM236/F236,0),IF(IB236="direct",IO236/F236,0),IF(JD236="direct",JQ236/F236,0),IF(KF236="direct",KS236/F236,0),IF(LH236="direct",LU236/F236,0))</f>
        <v>0</v>
      </c>
      <c r="BE236" s="7">
        <f>-SUM(IF(BP236="direct",CD236/F236,0),IF(CR236="direct",DF236/F236,0),IF(DT236="direct",EH236/F236,0),IF(EV236="direct",FJ236/F236,0),IF(FX236="direct",GL236/F236,0),IF(GZ236="direct",HN236/F236,0),IF(IB236="direct",IP236/F236,0),IF(JD236="direct",JR236/F236,0),IF(KF236="direct",KT236/F236,0),IF(LH236="direct",LV236/F236,0))</f>
        <v>0</v>
      </c>
      <c r="BF236" s="7">
        <f>BD236+BE236</f>
        <v>0</v>
      </c>
      <c r="BG236" s="7">
        <f>BF236-SUM(IF(BP236="direct",CP236,0),IF(CR236="direct",DR236,0),IF(DT236="direct",ET236,0),IF(EV236="direct",FV236,0),IF(FX236="direct",GX236,0),IF(GZ236="direct",HZ236,0),IF(IB236="direct",JB236,0),IF(JD236="direct",KD236,0),IF(KF236="direct",LF236,0),IF(LH236="direct",MH236,0))</f>
        <v>0</v>
      </c>
      <c r="BH236" s="7">
        <f>SUM(IF(BP236="treasury",CP236,0),IF(CR236="treasury",DR236,0),IF(DT236="treasury",ET236,0),IF(EV236="treasury",FV236,0),IF(FX236="treasury",GX236,0),IF(GZ236="treasury",HZ236,0),IF(IB236="treasury",JB236,0),IF(JD236="treasury",KD236,0),IF(KF236="treasury",LF236,0),IF(LH236="treasury",MH236,0))</f>
        <v>0.0002167123287671233</v>
      </c>
      <c r="BI236" s="7">
        <f>SUM(IF(BP236="future",CP236,0),IF(CR236="future",DR236,0),IF(DT236="future",ET236,0),IF(EV236="future",FV236,0),IF(FX236="future",GX236,0),IF(GZ236="future",HZ236,0),IF(IB236="future",JB236,0),IF(JD236="future",KD236,0),IF(KF236="future",LF236,0),IF(LH236="future",MH236,0))</f>
        <v>0.005813953488372103</v>
      </c>
      <c r="BJ236" s="7">
        <f>SUM(IF(BP236="cash",CP236,0),IF(CR236="cash",DR236,0),IF(DT236="cash",ET236,0),IF(EV236="cash",FV236,0),IF(FX236="cash",GX236,0),IF(GZ236="cash",HZ236,0),IF(IB236="cash",JB236,0),IF(JD236="cash",KD236,0),IF(KF236="cash",LF236,0),IF(LH236="cash",MH236,0))</f>
        <v>0</v>
      </c>
      <c r="BK236" s="7">
        <f>SUM(BF236,BH236,BI236,BJ236)</f>
        <v>0.006030665817139226</v>
      </c>
      <c r="BL236" s="7">
        <f>G236-BK236</f>
        <v>-8.673617379884035e-19</v>
      </c>
      <c r="BM236" s="5">
        <f>MAX(ABS(CG236),ABS(DI236),ABS(EK236),ABS(FM236),ABS(GO236),ABS(HQ236),ABS(IS236),ABS(JU236),ABS(KW236),ABS(LY236))</f>
        <v>1.4869832795638693e-16</v>
      </c>
      <c r="BN236" s="9">
        <f>COUNTA(BO236,CQ236,DS236,EU236,FW236,GY236,IA236,JC236,KE236,LG236)</f>
        <v>4</v>
      </c>
      <c r="BO236" t="inlineStr">
        <is>
          <t xml:space="preserve">Treasury collateral</t>
        </is>
      </c>
      <c r="BP236" t="inlineStr">
        <is>
          <t xml:space="preserve">treasury</t>
        </is>
      </c>
      <c r="BQ236" t="inlineStr">
        <is>
          <t xml:space="preserve">lease</t>
        </is>
      </c>
      <c r="BR236" t="inlineStr">
        <is>
          <t xml:space="preserve">long</t>
        </is>
      </c>
      <c r="BS236"/>
      <c r="BT236" s="4">
        <v>106.50486293468133</v>
      </c>
      <c r="BU236" s="4">
        <v>106.52794385155293</v>
      </c>
      <c r="BV236" s="6"/>
      <c r="BW236" s="4">
        <v>0.017826026733969443</v>
      </c>
      <c r="BX236" s="5">
        <f>IF(BP236="direct",IFERROR(CD236/BU236,0),0)</f>
        <v>0</v>
      </c>
      <c r="BY236" s="5">
        <f>IF(BP236="direct",BW236-BX236,IF(BP236="cash",CI236,BW236))</f>
        <v>0.017826026733969443</v>
      </c>
      <c r="BZ236" s="6">
        <v>1</v>
      </c>
      <c r="CA236" s="4">
        <v>1.8985585339713806</v>
      </c>
      <c r="CB236" s="4">
        <v>1.8985585339713806</v>
      </c>
      <c r="CC236" s="5">
        <f>IF(BP236="direct",BW236*(BU236-BT236),CF236)</f>
        <v>0.00041144104119778213</v>
      </c>
      <c r="CD236" s="5">
        <f>IF(BP236="direct",CB236*BV236*C236/365,0)</f>
        <v>0</v>
      </c>
      <c r="CE236" s="5">
        <f>CC236-CD236</f>
        <v>0.00041144104119763343</v>
      </c>
      <c r="CF236" s="4">
        <v>0.00041144104119763343</v>
      </c>
      <c r="CG236" s="5">
        <f>CF236-CE236</f>
        <v>-1.4869832795638693e-16</v>
      </c>
      <c r="CH236" s="4">
        <v>9.085614205428527e-17</v>
      </c>
      <c r="CI236" s="4">
        <v>1.8989699750125784</v>
      </c>
      <c r="CJ236" s="4">
        <v>1.758</v>
      </c>
      <c r="CK236" s="4">
        <v>1.733</v>
      </c>
      <c r="CL236" s="6"/>
      <c r="CM236" s="6"/>
      <c r="CN236" s="6"/>
      <c r="CO236" s="9">
        <v>13</v>
      </c>
      <c r="CP236" s="7">
        <f>IFERROR(CE236/F236,0)</f>
        <v>0.0002167123287671233</v>
      </c>
      <c r="CQ236" t="inlineStr">
        <is>
          <t xml:space="preserve">SI69Z</t>
        </is>
      </c>
      <c r="CR236" t="inlineStr">
        <is>
          <t xml:space="preserve">future</t>
        </is>
      </c>
      <c r="CS236" t="inlineStr">
        <is>
          <t xml:space="preserve">lease</t>
        </is>
      </c>
      <c r="CT236" t="inlineStr">
        <is>
          <t xml:space="preserve">long</t>
        </is>
      </c>
      <c r="CU236" t="inlineStr">
        <is>
          <t xml:space="preserve">regular</t>
        </is>
      </c>
      <c r="CV236" s="4">
        <v>1.72</v>
      </c>
      <c r="CW236" s="4">
        <v>1.73</v>
      </c>
      <c r="CX236" s="6"/>
      <c r="CY236" s="4">
        <v>1.1038131011461516</v>
      </c>
      <c r="CZ236" s="5">
        <f>IF(CR236="direct",IFERROR(DF236/CW236,0),0)</f>
        <v>0</v>
      </c>
      <c r="DA236" s="5">
        <f>IF(CR236="direct",CY236-CZ236,IF(CR236="cash",DK236,CY236))</f>
        <v>1.1038131011461516</v>
      </c>
      <c r="DB236" s="6">
        <v>1</v>
      </c>
      <c r="DC236" s="4">
        <v>1.8985585339713806</v>
      </c>
      <c r="DD236" s="4">
        <v>0</v>
      </c>
      <c r="DE236" s="5">
        <f>IF(CR236="direct",CY236*(CW236-CV236),DH236)</f>
        <v>0.011038131011461534</v>
      </c>
      <c r="DF236" s="5">
        <f>IF(CR236="direct",DD236*CX236*C236/365,0)</f>
        <v>0</v>
      </c>
      <c r="DG236" s="5">
        <f>DE236-DF236</f>
        <v>0.011038131011461534</v>
      </c>
      <c r="DH236" s="4">
        <v>0.011038131011461534</v>
      </c>
      <c r="DI236" s="5">
        <f>DH236-DG236</f>
        <v>0</v>
      </c>
      <c r="DJ236" s="4">
        <v>-0.011038131011461534</v>
      </c>
      <c r="DK236" s="4">
        <v>0</v>
      </c>
      <c r="DL236" s="4">
        <v>1.758</v>
      </c>
      <c r="DM236" s="4">
        <v>1.733</v>
      </c>
      <c r="DN236" s="6">
        <v>-0.021615472127417545</v>
      </c>
      <c r="DO236" s="6">
        <v>0.0791</v>
      </c>
      <c r="DP236" s="6">
        <v>0.6859959481928771</v>
      </c>
      <c r="DQ236" s="9">
        <v>13</v>
      </c>
      <c r="DR236" s="7">
        <f>IFERROR(DG236/F236,0)</f>
        <v>0.005813953488372103</v>
      </c>
      <c r="DS236" t="inlineStr">
        <is>
          <t xml:space="preserve">Lease cash / margin / financing</t>
        </is>
      </c>
      <c r="DT236" t="inlineStr">
        <is>
          <t xml:space="preserve">cash</t>
        </is>
      </c>
      <c r="DU236" t="inlineStr">
        <is>
          <t xml:space="preserve">lease</t>
        </is>
      </c>
      <c r="DV236" t="inlineStr">
        <is>
          <t xml:space="preserve">cash</t>
        </is>
      </c>
      <c r="DW236"/>
      <c r="DX236" s="4">
        <v>1</v>
      </c>
      <c r="DY236" s="4">
        <v>1</v>
      </c>
      <c r="DZ236" s="6"/>
      <c r="EA236" s="4">
        <v>-8.881784197001252e-16</v>
      </c>
      <c r="EB236" s="5">
        <f>IF(DT236="direct",IFERROR(EH236/DY236,0),0)</f>
        <v>0</v>
      </c>
      <c r="EC236" s="5">
        <f>IF(DT236="direct",EA236-EB236,IF(DT236="cash",EM236,EA236))</f>
        <v>0.011038131011460556</v>
      </c>
      <c r="ED236" s="6"/>
      <c r="EE236" s="4">
        <v>-8.881784197001252e-16</v>
      </c>
      <c r="EF236" s="4">
        <v>-8.881784197001252e-16</v>
      </c>
      <c r="EG236" s="5">
        <f>IF(DT236="direct",EA236*(DY236-DX236),EJ236)</f>
        <v>0</v>
      </c>
      <c r="EH236" s="5">
        <f>IF(DT236="direct",EF236*DZ236*C236/365,0)</f>
        <v>0</v>
      </c>
      <c r="EI236" s="5">
        <f>EG236-EH236</f>
        <v>0</v>
      </c>
      <c r="EJ236" s="4">
        <v>0</v>
      </c>
      <c r="EK236" s="5">
        <f>EJ236-EI236</f>
        <v>0</v>
      </c>
      <c r="EL236" s="4">
        <v>0.011038131011461444</v>
      </c>
      <c r="EM236" s="4">
        <v>0.011038131011460556</v>
      </c>
      <c r="EN236" s="4">
        <v>1.758</v>
      </c>
      <c r="EO236" s="4">
        <v>1.733</v>
      </c>
      <c r="EP236" s="6"/>
      <c r="EQ236" s="6"/>
      <c r="ER236" s="6"/>
      <c r="ES236" s="9"/>
      <c r="ET236" s="7">
        <f>IFERROR(EI236/F236,0)</f>
        <v>0</v>
      </c>
      <c r="EU236" t="inlineStr">
        <is>
          <t xml:space="preserve">Keep cash / margin / financing</t>
        </is>
      </c>
      <c r="EV236" t="inlineStr">
        <is>
          <t xml:space="preserve">cash</t>
        </is>
      </c>
      <c r="EW236" t="inlineStr">
        <is>
          <t xml:space="preserve">keep</t>
        </is>
      </c>
      <c r="EX236" t="inlineStr">
        <is>
          <t xml:space="preserve">cash</t>
        </is>
      </c>
      <c r="EY236"/>
      <c r="EZ236" s="4">
        <v>1</v>
      </c>
      <c r="FA236" s="4">
        <v>1</v>
      </c>
      <c r="FB236" s="6"/>
      <c r="FC236" s="4">
        <v>0</v>
      </c>
      <c r="FD236" s="5">
        <f>IF(EV236="direct",IFERROR(FJ236/FA236,0),0)</f>
        <v>0</v>
      </c>
      <c r="FE236" s="5">
        <f>IF(EV236="direct",FC236-FD236,IF(EV236="cash",FO236,FC236))</f>
        <v>0</v>
      </c>
      <c r="FF236" s="6"/>
      <c r="FG236" s="4">
        <v>0</v>
      </c>
      <c r="FH236" s="4">
        <v>0</v>
      </c>
      <c r="FI236" s="5">
        <f>IF(EV236="direct",FC236*(FA236-EZ236),FL236)</f>
        <v>0</v>
      </c>
      <c r="FJ236" s="5">
        <f>IF(EV236="direct",FH236*FB236*C236/365,0)</f>
        <v>0</v>
      </c>
      <c r="FK236" s="5">
        <f>FI236-FJ236</f>
        <v>0</v>
      </c>
      <c r="FL236" s="4">
        <v>0</v>
      </c>
      <c r="FM236" s="5">
        <f>FL236-FK236</f>
        <v>0</v>
      </c>
      <c r="FN236" s="4">
        <v>0</v>
      </c>
      <c r="FO236" s="4">
        <v>0</v>
      </c>
      <c r="FP236" s="4">
        <v>1.758</v>
      </c>
      <c r="FQ236" s="4">
        <v>1.733</v>
      </c>
      <c r="FR236" s="6"/>
      <c r="FS236" s="6"/>
      <c r="FT236" s="6"/>
      <c r="FU236" s="9"/>
      <c r="FV236" s="7">
        <f>IFERROR(FK236/F236,0)</f>
        <v>0</v>
      </c>
      <c r="FW236"/>
      <c r="FX236"/>
      <c r="FY236"/>
      <c r="FZ236"/>
      <c r="GA236"/>
      <c r="GB236" s="4"/>
      <c r="GC236" s="4"/>
      <c r="GD236" s="6"/>
      <c r="GE236" s="4"/>
      <c r="GF236" s="5">
        <v>0</v>
      </c>
      <c r="GG236" s="5"/>
      <c r="GH236" s="6"/>
      <c r="GI236" s="4"/>
      <c r="GJ236" s="4"/>
      <c r="GK236" s="5">
        <v>0</v>
      </c>
      <c r="GL236" s="5">
        <v>0</v>
      </c>
      <c r="GM236" s="5"/>
      <c r="GN236" s="4"/>
      <c r="GO236" s="5">
        <v>0</v>
      </c>
      <c r="GP236" s="4"/>
      <c r="GQ236" s="4"/>
      <c r="GR236" s="4"/>
      <c r="GS236" s="4"/>
      <c r="GT236" s="6"/>
      <c r="GU236" s="6"/>
      <c r="GV236" s="6"/>
      <c r="GW236" s="9"/>
      <c r="GX236"/>
      <c r="GY236"/>
      <c r="GZ236"/>
      <c r="HA236"/>
      <c r="HB236"/>
      <c r="HC236"/>
      <c r="HD236" s="4"/>
      <c r="HE236" s="4"/>
      <c r="HF236" s="6"/>
      <c r="HG236" s="4"/>
      <c r="HH236" s="5">
        <v>0</v>
      </c>
      <c r="HI236" s="5"/>
      <c r="HJ236" s="6"/>
      <c r="HK236" s="4"/>
      <c r="HL236" s="4"/>
      <c r="HM236" s="5">
        <v>0</v>
      </c>
      <c r="HN236" s="5">
        <v>0</v>
      </c>
      <c r="HO236" s="5"/>
      <c r="HP236" s="4"/>
      <c r="HQ236" s="5">
        <v>0</v>
      </c>
      <c r="HR236" s="4"/>
      <c r="HS236" s="4"/>
      <c r="HT236" s="4"/>
      <c r="HU236" s="4"/>
      <c r="HV236" s="6"/>
      <c r="HW236" s="6"/>
      <c r="HX236" s="6"/>
      <c r="HY236" s="9"/>
      <c r="HZ236"/>
      <c r="IA236"/>
      <c r="IB236"/>
      <c r="IC236"/>
      <c r="ID236"/>
      <c r="IE236"/>
      <c r="IF236" s="4"/>
      <c r="IG236" s="4"/>
      <c r="IH236" s="6"/>
      <c r="II236" s="4"/>
      <c r="IJ236" s="5">
        <v>0</v>
      </c>
      <c r="IK236" s="5"/>
      <c r="IL236" s="6"/>
      <c r="IM236" s="4"/>
      <c r="IN236" s="4"/>
      <c r="IO236" s="5">
        <v>0</v>
      </c>
      <c r="IP236" s="5">
        <v>0</v>
      </c>
      <c r="IQ236" s="5"/>
      <c r="IR236" s="4"/>
      <c r="IS236" s="5">
        <v>0</v>
      </c>
      <c r="IT236" s="4"/>
      <c r="IU236" s="4"/>
      <c r="IV236" s="4"/>
      <c r="IW236" s="4"/>
      <c r="IX236" s="6"/>
      <c r="IY236" s="6"/>
      <c r="IZ236" s="6"/>
      <c r="JA236" s="9"/>
      <c r="JB236"/>
      <c r="JC236"/>
      <c r="JD236"/>
      <c r="JE236"/>
      <c r="JF236"/>
      <c r="JG236"/>
      <c r="JH236" s="4"/>
      <c r="JI236" s="4"/>
      <c r="JJ236" s="6"/>
      <c r="JK236" s="4"/>
      <c r="JL236" s="5">
        <v>0</v>
      </c>
      <c r="JM236" s="5"/>
      <c r="JN236" s="6"/>
      <c r="JO236" s="4"/>
      <c r="JP236" s="4"/>
      <c r="JQ236" s="5">
        <v>0</v>
      </c>
      <c r="JR236" s="5">
        <v>0</v>
      </c>
      <c r="JS236" s="5"/>
      <c r="JT236" s="4"/>
      <c r="JU236" s="5">
        <v>0</v>
      </c>
      <c r="JV236" s="4"/>
      <c r="JW236" s="4"/>
      <c r="JX236" s="4"/>
      <c r="JY236" s="4"/>
      <c r="JZ236" s="6"/>
      <c r="KA236" s="6"/>
      <c r="KB236" s="6"/>
      <c r="KC236" s="9"/>
      <c r="KD236"/>
      <c r="KE236"/>
      <c r="KF236"/>
      <c r="KG236"/>
      <c r="KH236"/>
      <c r="KI236"/>
      <c r="KJ236" s="4"/>
      <c r="KK236" s="4"/>
      <c r="KL236" s="6"/>
      <c r="KM236" s="4"/>
      <c r="KN236" s="5">
        <v>0</v>
      </c>
      <c r="KO236" s="5"/>
      <c r="KP236" s="6"/>
      <c r="KQ236" s="4"/>
      <c r="KR236" s="4"/>
      <c r="KS236" s="5">
        <v>0</v>
      </c>
      <c r="KT236" s="5">
        <v>0</v>
      </c>
      <c r="KU236" s="5"/>
      <c r="KV236" s="4"/>
      <c r="KW236" s="5">
        <v>0</v>
      </c>
      <c r="KX236" s="4"/>
      <c r="KY236" s="4"/>
      <c r="KZ236" s="4"/>
      <c r="LA236" s="4"/>
      <c r="LB236" s="6"/>
      <c r="LC236" s="6"/>
      <c r="LD236" s="6"/>
      <c r="LE236" s="9"/>
      <c r="LF236"/>
      <c r="LG236"/>
      <c r="LH236"/>
      <c r="LI236"/>
      <c r="LJ236"/>
      <c r="LK236"/>
      <c r="LL236" s="4"/>
      <c r="LM236" s="4"/>
      <c r="LN236" s="6"/>
      <c r="LO236" s="4"/>
      <c r="LP236" s="5">
        <v>0</v>
      </c>
      <c r="LQ236" s="5"/>
      <c r="LR236" s="6"/>
      <c r="LS236" s="4"/>
      <c r="LT236" s="4"/>
      <c r="LU236" s="5">
        <v>0</v>
      </c>
      <c r="LV236" s="5">
        <v>0</v>
      </c>
      <c r="LW236" s="5"/>
      <c r="LX236" s="4"/>
      <c r="LY236" s="5">
        <v>0</v>
      </c>
      <c r="LZ236" s="4"/>
      <c r="MA236" s="4"/>
      <c r="MB236" s="4"/>
      <c r="MC236" s="4"/>
      <c r="MD236" s="6"/>
      <c r="ME236" s="6"/>
      <c r="MF236" s="6"/>
      <c r="MG236" s="9"/>
      <c r="MH236"/>
    </row>
    <row r="237">
      <c r="A237" s="8">
        <v>25554</v>
      </c>
      <c r="B237" s="8">
        <v>25555</v>
      </c>
      <c r="C237" s="9">
        <f>B237-A237</f>
        <v>1</v>
      </c>
      <c r="D237" s="8">
        <v>25554</v>
      </c>
      <c r="E237" t="inlineStr">
        <is>
          <t xml:space="preserve">positive</t>
        </is>
      </c>
      <c r="F237" s="4">
        <v>1.9100081060240397</v>
      </c>
      <c r="G237" s="6">
        <v>0.006535590568627261</v>
      </c>
      <c r="H237" s="7">
        <f>SUM(CP237,DR237,ET237,FV237,GX237,HZ237,JB237,KD237,LF237,MH237)</f>
        <v>0.006535590568627261</v>
      </c>
      <c r="I237" s="7">
        <f>G237-H237</f>
        <v>0</v>
      </c>
      <c r="J237" s="5">
        <f>F237*(1+H237)</f>
        <v>1.9224911369877722</v>
      </c>
      <c r="K237" s="4">
        <v>1.9224911369877722</v>
      </c>
      <c r="L237" s="5">
        <f>K237-J237</f>
        <v>0</v>
      </c>
      <c r="M237" s="4">
        <v>1.733</v>
      </c>
      <c r="N237" s="4">
        <v>1.722</v>
      </c>
      <c r="O237" s="5">
        <f>M237/$M$3</f>
        <v>0.8850868232890705</v>
      </c>
      <c r="P237" s="5">
        <f>N237/$M$3</f>
        <v>0.8794688457609806</v>
      </c>
      <c r="Q237" s="7">
        <f>IFERROR(N237/M237-1,0)</f>
        <v>-0.006347374495095259</v>
      </c>
      <c r="R237" s="5">
        <f>SUM(IF(BQ237="lease",CB237,0),IF(CS237="lease",DD237,0),IF(DU237="lease",EF237,0),IF(EW237="lease",FH237,0),IF(FY237="lease",GJ237,0),IF(HA237="lease",HL237,0),IF(IC237="lease",IN237,0),IF(JE237="lease",JP237,0),IF(KG237="lease",KR237,0),IF(LI237="lease",LT237,0))</f>
        <v>1.9100081060240388</v>
      </c>
      <c r="S237" s="5">
        <f>SUM(IF(BQ237="lease",CI237,0),IF(CS237="lease",DK237,0),IF(DU237="lease",EM237,0),IF(EW237="lease",FO237,0),IF(FY237="lease",GQ237,0),IF(HA237="lease",HS237,0),IF(IC237="lease",IU237,0),IF(JE237="lease",JW237,0),IF(KG237="lease",KY237,0),IF(LI237="lease",MA237,0))</f>
        <v>1.922491136987771</v>
      </c>
      <c r="T237" s="5">
        <f>SUM(IF(BQ237="keep",CB237,0),IF(CS237="keep",DD237,0),IF(DU237="keep",EF237,0),IF(EW237="keep",FH237,0),IF(FY237="keep",GJ237,0),IF(HA237="keep",HL237,0),IF(IC237="keep",IN237,0),IF(JE237="keep",JP237,0),IF(KG237="keep",KR237,0),IF(LI237="keep",LT237,0))</f>
        <v>0</v>
      </c>
      <c r="U237" s="5">
        <f>SUM(IF(BQ237="keep",CI237,0),IF(CS237="keep",DK237,0),IF(DU237="keep",EM237,0),IF(EW237="keep",FO237,0),IF(FY237="keep",GQ237,0),IF(HA237="keep",HS237,0),IF(IC237="keep",IU237,0),IF(JE237="keep",JW237,0),IF(KG237="keep",KY237,0),IF(LI237="keep",MA237,0))</f>
        <v>0</v>
      </c>
      <c r="V237" s="5">
        <f>R237/O237</f>
        <v>2.1579895392931725</v>
      </c>
      <c r="W237" s="5">
        <f>S237/P237</f>
        <v>2.185968435669022</v>
      </c>
      <c r="X237" s="5">
        <f>T237/O237</f>
        <v>0</v>
      </c>
      <c r="Y237" s="5">
        <f>U237/P237</f>
        <v>0</v>
      </c>
      <c r="Z237" s="5">
        <f>V237+X237</f>
        <v>2.1579895392931725</v>
      </c>
      <c r="AA237" s="7">
        <f>IFERROR(W237/V237-1,0)</f>
        <v>0.012965260427079572</v>
      </c>
      <c r="AB237" s="7">
        <f>IFERROR((W237-V237)/Z237,0)</f>
        <v>0.012965260427079645</v>
      </c>
      <c r="AC237" s="7">
        <f>IFERROR(Y237/X237-1,0)</f>
        <v>0</v>
      </c>
      <c r="AD237" s="7">
        <f>IFERROR((Y237-X237)/Z237,0)</f>
        <v>0</v>
      </c>
      <c r="AE237" s="7">
        <f>AB237+AD237</f>
        <v>0.012965260427079645</v>
      </c>
      <c r="AF237" s="7">
        <f>(1+Q237)*(1+AE237)-1</f>
        <v>0.006535590568627292</v>
      </c>
      <c r="AG237" s="7">
        <f>G237-AF237</f>
        <v>-3.122502256758253e-17</v>
      </c>
      <c r="AH237" s="5">
        <f>SUM(IF(BQ237="lease",CE237,0),IF(CS237="lease",DG237,0),IF(DU237="lease",EI237,0),IF(EW237="lease",FK237,0),IF(FY237="lease",GM237,0),IF(HA237="lease",HO237,0),IF(IC237="lease",IQ237,0),IF(JE237="lease",JS237,0),IF(KG237="lease",KU237,0),IF(LI237="lease",LW237,0))</f>
        <v>0.012483030963732331</v>
      </c>
      <c r="AI237" s="5">
        <f>SUM(IF(BQ237="keep",CE237,0),IF(CS237="keep",DG237,0),IF(DU237="keep",EI237,0),IF(EW237="keep",FK237,0),IF(FY237="keep",GM237,0),IF(HA237="keep",HO237,0),IF(IC237="keep",IQ237,0),IF(JE237="keep",JS237,0),IF(KG237="keep",KU237,0),IF(LI237="keep",LW237,0))</f>
        <v>0</v>
      </c>
      <c r="AJ237" s="5">
        <f>SUM(IF(BQ237="lease",CH237,0),IF(CS237="lease",DJ237,0),IF(DU237="lease",EL237,0),IF(EW237="lease",FN237,0),IF(FY237="lease",GP237,0),IF(HA237="lease",HR237,0),IF(IC237="lease",IT237,0),IF(JE237="lease",JV237,0),IF(KG237="lease",KX237,0),IF(LI237="lease",LZ237,0))</f>
        <v>0</v>
      </c>
      <c r="AK237" s="5">
        <f>SUM(IF(BQ237="keep",CH237,0),IF(CS237="keep",DJ237,0),IF(DU237="keep",EL237,0),IF(EW237="keep",FN237,0),IF(FY237="keep",GP237,0),IF(HA237="keep",HR237,0),IF(IC237="keep",IT237,0),IF(JE237="keep",JV237,0),IF(KG237="keep",KX237,0),IF(LI237="keep",LZ237,0))</f>
        <v>0</v>
      </c>
      <c r="AL237" s="5">
        <f>R237-S236</f>
        <v>0</v>
      </c>
      <c r="AM237" s="5">
        <f>T237-U236</f>
        <v>0</v>
      </c>
      <c r="AN237" s="5">
        <f>AN236</f>
        <v>1</v>
      </c>
      <c r="AO237" s="5">
        <f>AO236+AH237</f>
        <v>0.9224911369877722</v>
      </c>
      <c r="AP237" s="5">
        <f>AP236+AL237</f>
        <v>1.5543122344752192e-15</v>
      </c>
      <c r="AQ237" s="5">
        <f>AN237+AO237+AP237</f>
        <v>1.9224911369877737</v>
      </c>
      <c r="AR237" s="5">
        <f>S237-AQ237</f>
        <v>-2.6645352591003757e-15</v>
      </c>
      <c r="AS237" s="5">
        <f>AS236</f>
        <v>0</v>
      </c>
      <c r="AT237" s="5">
        <f>AT236+AI237</f>
        <v>0</v>
      </c>
      <c r="AU237" s="5">
        <f>AU236+AM237</f>
        <v>0</v>
      </c>
      <c r="AV237" s="5">
        <f>AS237+AT237+AU237</f>
        <v>0</v>
      </c>
      <c r="AW237" s="5">
        <f>U237-AV237</f>
        <v>0</v>
      </c>
      <c r="AX237" s="4">
        <v>1.9100081060240388</v>
      </c>
      <c r="AY237" s="4">
        <v>1.922491136987771</v>
      </c>
      <c r="AZ237" s="5">
        <f>S237-AY237</f>
        <v>0</v>
      </c>
      <c r="BA237" s="4">
        <v>0</v>
      </c>
      <c r="BB237" s="4">
        <v>0</v>
      </c>
      <c r="BC237" s="5">
        <f>U237-BB237</f>
        <v>0</v>
      </c>
      <c r="BD237" s="7">
        <f>SUM(IF(BP237="direct",CC237/F237,0),IF(CR237="direct",DE237/F237,0),IF(DT237="direct",EG237/F237,0),IF(EV237="direct",FI237/F237,0),IF(FX237="direct",GK237/F237,0),IF(GZ237="direct",HM237/F237,0),IF(IB237="direct",IO237/F237,0),IF(JD237="direct",JQ237/F237,0),IF(KF237="direct",KS237/F237,0),IF(LH237="direct",LU237/F237,0))</f>
        <v>-0.0007678479604637156</v>
      </c>
      <c r="BE237" s="7">
        <f>-SUM(IF(BP237="direct",CD237/F237,0),IF(CR237="direct",DF237/F237,0),IF(DT237="direct",EH237/F237,0),IF(EV237="direct",FJ237/F237,0),IF(FX237="direct",GL237/F237,0),IF(GZ237="direct",HN237/F237,0),IF(IB237="direct",IP237/F237,0),IF(JD237="direct",JR237/F237,0),IF(KF237="direct",KT237/F237,0),IF(LH237="direct",LV237/F237,0))</f>
        <v>-8.285681914592806e-7</v>
      </c>
      <c r="BF237" s="7">
        <f>BD237+BE237</f>
        <v>-0.0007686765286551749</v>
      </c>
      <c r="BG237" s="7">
        <f>BF237-SUM(IF(BP237="direct",CP237,0),IF(CR237="direct",DR237,0),IF(DT237="direct",ET237,0),IF(EV237="direct",FV237,0),IF(FX237="direct",GX237,0),IF(GZ237="direct",HZ237,0),IF(IB237="direct",JB237,0),IF(JD237="direct",KD237,0),IF(KF237="direct",LF237,0),IF(LH237="direct",MH237,0))</f>
        <v>-2.6020852139652106e-18</v>
      </c>
      <c r="BH237" s="7">
        <f>SUM(IF(BP237="treasury",CP237,0),IF(CR237="treasury",DR237,0),IF(DT237="treasury",ET237,0),IF(EV237="treasury",FV237,0),IF(FX237="treasury",GX237,0),IF(GZ237="treasury",HZ237,0),IF(IB237="treasury",JB237,0),IF(JD237="treasury",KD237,0),IF(KF237="treasury",LF237,0),IF(LH237="treasury",MH237,0))</f>
        <v>0.000190737261064433</v>
      </c>
      <c r="BI237" s="7">
        <f>SUM(IF(BP237="future",CP237,0),IF(CR237="future",DR237,0),IF(DT237="future",ET237,0),IF(EV237="future",FV237,0),IF(FX237="future",GX237,0),IF(GZ237="future",HZ237,0),IF(IB237="future",JB237,0),IF(JD237="future",KD237,0),IF(KF237="future",LF237,0),IF(LH237="future",MH237,0))</f>
        <v>0.007113529836218</v>
      </c>
      <c r="BJ237" s="7">
        <f>SUM(IF(BP237="cash",CP237,0),IF(CR237="cash",DR237,0),IF(DT237="cash",ET237,0),IF(EV237="cash",FV237,0),IF(FX237="cash",GX237,0),IF(GZ237="cash",HZ237,0),IF(IB237="cash",JB237,0),IF(JD237="cash",KD237,0),IF(KF237="cash",LF237,0),IF(LH237="cash",MH237,0))</f>
        <v>0</v>
      </c>
      <c r="BK237" s="7">
        <f>SUM(BF237,BH237,BI237,BJ237)</f>
        <v>0.006535590568627261</v>
      </c>
      <c r="BL237" s="7">
        <f>G237-BK237</f>
        <v>0</v>
      </c>
      <c r="BM237" s="5">
        <f>MAX(ABS(CG237),ABS(DI237),ABS(EK237),ABS(FM237),ABS(GO237),ABS(HQ237),ABS(IS237),ABS(JU237),ABS(KW237),ABS(LY237))</f>
        <v>1.441988889405721e-17</v>
      </c>
      <c r="BN237" s="9">
        <f>COUNTA(BO237,CQ237,DS237,EU237,FW237,GY237,IA237,JC237,KE237,LG237)</f>
        <v>5</v>
      </c>
      <c r="BO237" t="inlineStr">
        <is>
          <t xml:space="preserve">Direct commodity holding</t>
        </is>
      </c>
      <c r="BP237" t="inlineStr">
        <is>
          <t xml:space="preserve">direct</t>
        </is>
      </c>
      <c r="BQ237" t="inlineStr">
        <is>
          <t xml:space="preserve">lease</t>
        </is>
      </c>
      <c r="BR237" t="inlineStr">
        <is>
          <t xml:space="preserve">long</t>
        </is>
      </c>
      <c r="BS237"/>
      <c r="BT237" s="4">
        <v>1.733</v>
      </c>
      <c r="BU237" s="4">
        <v>1.722</v>
      </c>
      <c r="BV237" s="6">
        <v>0.0025</v>
      </c>
      <c r="BW237" s="4">
        <v>0.133326893516337</v>
      </c>
      <c r="BX237" s="5">
        <f>IF(BP237="direct",IFERROR(CD237/BU237,0),0)</f>
        <v>9.190313368646367e-7</v>
      </c>
      <c r="BY237" s="5">
        <f>IF(BP237="direct",BW237-BX237,IF(BP237="cash",CI237,BW237))</f>
        <v>0.13332597448500014</v>
      </c>
      <c r="BZ237" s="6">
        <v>0.12097095595305497</v>
      </c>
      <c r="CA237" s="4">
        <v>0.23105550646381204</v>
      </c>
      <c r="CB237" s="4">
        <v>0.23105550646381204</v>
      </c>
      <c r="CC237" s="5">
        <f>IF(BP237="direct",BW237*(BU237-BT237),CF237)</f>
        <v>-0.0014665958286797232</v>
      </c>
      <c r="CD237" s="5">
        <f>IF(BP237="direct",CB237*BV237*C237/365,0)</f>
        <v>0.0000015825719620809044</v>
      </c>
      <c r="CE237" s="5">
        <f>CC237-CD237</f>
        <v>-0.0014681784006417991</v>
      </c>
      <c r="CF237" s="4">
        <v>-0.0014681784006417991</v>
      </c>
      <c r="CG237" s="5">
        <f>CF237-CE237</f>
        <v>4.923379005915621e-18</v>
      </c>
      <c r="CH237" s="4">
        <v>0</v>
      </c>
      <c r="CI237" s="4">
        <v>0.22958732806317023</v>
      </c>
      <c r="CJ237" s="4">
        <v>1.733</v>
      </c>
      <c r="CK237" s="4">
        <v>1.722</v>
      </c>
      <c r="CL237" s="6"/>
      <c r="CM237" s="6"/>
      <c r="CN237" s="6"/>
      <c r="CO237" s="9"/>
      <c r="CP237" s="7">
        <f>IFERROR(CE237/F237,0)</f>
        <v>-0.0007686765286551723</v>
      </c>
      <c r="CQ237" t="inlineStr">
        <is>
          <t xml:space="preserve">Treasury collateral</t>
        </is>
      </c>
      <c r="CR237" t="inlineStr">
        <is>
          <t xml:space="preserve">treasury</t>
        </is>
      </c>
      <c r="CS237" t="inlineStr">
        <is>
          <t xml:space="preserve">lease</t>
        </is>
      </c>
      <c r="CT237" t="inlineStr">
        <is>
          <t xml:space="preserve">long</t>
        </is>
      </c>
      <c r="CU237"/>
      <c r="CV237" s="4">
        <v>106.52794385155293</v>
      </c>
      <c r="CW237" s="4">
        <v>106.55105895608182</v>
      </c>
      <c r="CX237" s="6"/>
      <c r="CY237" s="4">
        <v>0.015760677798304774</v>
      </c>
      <c r="CZ237" s="5">
        <f>IF(CR237="direct",IFERROR(DF237/CW237,0),0)</f>
        <v>0</v>
      </c>
      <c r="DA237" s="5">
        <f>IF(CR237="direct",CY237-CZ237,IF(CR237="cash",DK237,CY237))</f>
        <v>0.015760677798304774</v>
      </c>
      <c r="DB237" s="6">
        <v>0.8790290440469452</v>
      </c>
      <c r="DC237" s="4">
        <v>1.6789525995602277</v>
      </c>
      <c r="DD237" s="4">
        <v>1.6789525995602277</v>
      </c>
      <c r="DE237" s="5">
        <f>IF(CR237="direct",CY237*(CW237-CV237),DH237)</f>
        <v>0.00036430971475387604</v>
      </c>
      <c r="DF237" s="5">
        <f>IF(CR237="direct",DD237*CX237*C237/365,0)</f>
        <v>0</v>
      </c>
      <c r="DG237" s="5">
        <f>DE237-DF237</f>
        <v>0.00036430971475389046</v>
      </c>
      <c r="DH237" s="4">
        <v>0.00036430971475389046</v>
      </c>
      <c r="DI237" s="5">
        <f>DH237-DG237</f>
        <v>1.441988889405721e-17</v>
      </c>
      <c r="DJ237" s="4">
        <v>2.058899925549973e-16</v>
      </c>
      <c r="DK237" s="4">
        <v>1.6793169092749818</v>
      </c>
      <c r="DL237" s="4">
        <v>1.733</v>
      </c>
      <c r="DM237" s="4">
        <v>1.722</v>
      </c>
      <c r="DN237" s="6"/>
      <c r="DO237" s="6"/>
      <c r="DP237" s="6"/>
      <c r="DQ237" s="9">
        <v>12</v>
      </c>
      <c r="DR237" s="7">
        <f>IFERROR(DG237/F237,0)</f>
        <v>0.000190737261064433</v>
      </c>
      <c r="DS237" t="inlineStr">
        <is>
          <t xml:space="preserve">SI69Z</t>
        </is>
      </c>
      <c r="DT237" t="inlineStr">
        <is>
          <t xml:space="preserve">future</t>
        </is>
      </c>
      <c r="DU237" t="inlineStr">
        <is>
          <t xml:space="preserve">lease</t>
        </is>
      </c>
      <c r="DV237" t="inlineStr">
        <is>
          <t xml:space="preserve">long</t>
        </is>
      </c>
      <c r="DW237" t="inlineStr">
        <is>
          <t xml:space="preserve">regular</t>
        </is>
      </c>
      <c r="DX237" s="4">
        <v>1.73</v>
      </c>
      <c r="DY237" s="4">
        <v>1.744</v>
      </c>
      <c r="DZ237" s="6"/>
      <c r="EA237" s="4">
        <v>0.9704928321157386</v>
      </c>
      <c r="EB237" s="5">
        <f>IF(DT237="direct",IFERROR(EH237/DY237,0),0)</f>
        <v>0</v>
      </c>
      <c r="EC237" s="5">
        <f>IF(DT237="direct",EA237-EB237,IF(DT237="cash",EM237,EA237))</f>
        <v>0.9704928321157386</v>
      </c>
      <c r="ED237" s="6">
        <v>0.8790290440469452</v>
      </c>
      <c r="EE237" s="4">
        <v>1.6789525995602277</v>
      </c>
      <c r="EF237" s="4">
        <v>0</v>
      </c>
      <c r="EG237" s="5">
        <f>IF(DT237="direct",EA237*(DY237-DX237),EJ237)</f>
        <v>0.013586899649620239</v>
      </c>
      <c r="EH237" s="5">
        <f>IF(DT237="direct",EF237*DZ237*C237/365,0)</f>
        <v>0</v>
      </c>
      <c r="EI237" s="5">
        <f>EG237-EH237</f>
        <v>0.013586899649620239</v>
      </c>
      <c r="EJ237" s="4">
        <v>0.013586899649620239</v>
      </c>
      <c r="EK237" s="5">
        <f>EJ237-EI237</f>
        <v>0</v>
      </c>
      <c r="EL237" s="4">
        <v>-0.013586899649620239</v>
      </c>
      <c r="EM237" s="4">
        <v>0</v>
      </c>
      <c r="EN237" s="4">
        <v>1.733</v>
      </c>
      <c r="EO237" s="4">
        <v>1.722</v>
      </c>
      <c r="EP237" s="6">
        <v>-0.0017311021350260303</v>
      </c>
      <c r="EQ237" s="6">
        <v>0.07919999999999999</v>
      </c>
      <c r="ER237" s="6">
        <v>0.13185435660704176</v>
      </c>
      <c r="ES237" s="9">
        <v>12</v>
      </c>
      <c r="ET237" s="7">
        <f>IFERROR(EI237/F237,0)</f>
        <v>0.007113529836218</v>
      </c>
      <c r="EU237" t="inlineStr">
        <is>
          <t xml:space="preserve">Lease cash / margin / financing</t>
        </is>
      </c>
      <c r="EV237" t="inlineStr">
        <is>
          <t xml:space="preserve">cash</t>
        </is>
      </c>
      <c r="EW237" t="inlineStr">
        <is>
          <t xml:space="preserve">lease</t>
        </is>
      </c>
      <c r="EX237" t="inlineStr">
        <is>
          <t xml:space="preserve">cash</t>
        </is>
      </c>
      <c r="EY237"/>
      <c r="EZ237" s="4">
        <v>1</v>
      </c>
      <c r="FA237" s="4">
        <v>1</v>
      </c>
      <c r="FB237" s="6"/>
      <c r="FC237" s="4">
        <v>-8.881784197001252e-16</v>
      </c>
      <c r="FD237" s="5">
        <f>IF(EV237="direct",IFERROR(FJ237/FA237,0),0)</f>
        <v>0</v>
      </c>
      <c r="FE237" s="5">
        <f>IF(EV237="direct",FC237-FD237,IF(EV237="cash",FO237,FC237))</f>
        <v>0.013586899649619144</v>
      </c>
      <c r="FF237" s="6"/>
      <c r="FG237" s="4">
        <v>-8.881784197001252e-16</v>
      </c>
      <c r="FH237" s="4">
        <v>-8.881784197001252e-16</v>
      </c>
      <c r="FI237" s="5">
        <f>IF(EV237="direct",FC237*(FA237-EZ237),FL237)</f>
        <v>0</v>
      </c>
      <c r="FJ237" s="5">
        <f>IF(EV237="direct",FH237*FB237*C237/365,0)</f>
        <v>0</v>
      </c>
      <c r="FK237" s="5">
        <f>FI237-FJ237</f>
        <v>0</v>
      </c>
      <c r="FL237" s="4">
        <v>0</v>
      </c>
      <c r="FM237" s="5">
        <f>FL237-FK237</f>
        <v>0</v>
      </c>
      <c r="FN237" s="4">
        <v>0.013586899649620033</v>
      </c>
      <c r="FO237" s="4">
        <v>0.013586899649619144</v>
      </c>
      <c r="FP237" s="4">
        <v>1.733</v>
      </c>
      <c r="FQ237" s="4">
        <v>1.722</v>
      </c>
      <c r="FR237" s="6"/>
      <c r="FS237" s="6"/>
      <c r="FT237" s="6"/>
      <c r="FU237" s="9"/>
      <c r="FV237" s="7">
        <f>IFERROR(FK237/F237,0)</f>
        <v>0</v>
      </c>
      <c r="FW237" t="inlineStr">
        <is>
          <t xml:space="preserve">Keep cash / margin / financing</t>
        </is>
      </c>
      <c r="FX237" t="inlineStr">
        <is>
          <t xml:space="preserve">cash</t>
        </is>
      </c>
      <c r="FY237" t="inlineStr">
        <is>
          <t xml:space="preserve">keep</t>
        </is>
      </c>
      <c r="FZ237" t="inlineStr">
        <is>
          <t xml:space="preserve">cash</t>
        </is>
      </c>
      <c r="GA237"/>
      <c r="GB237" s="4">
        <v>1</v>
      </c>
      <c r="GC237" s="4">
        <v>1</v>
      </c>
      <c r="GD237" s="6"/>
      <c r="GE237" s="4">
        <v>0</v>
      </c>
      <c r="GF237" s="5">
        <f>IF(FX237="direct",IFERROR(GL237/GC237,0),0)</f>
        <v>0</v>
      </c>
      <c r="GG237" s="5">
        <f>IF(FX237="direct",GE237-GF237,IF(FX237="cash",GQ237,GE237))</f>
        <v>0</v>
      </c>
      <c r="GH237" s="6"/>
      <c r="GI237" s="4">
        <v>0</v>
      </c>
      <c r="GJ237" s="4">
        <v>0</v>
      </c>
      <c r="GK237" s="5">
        <f>IF(FX237="direct",GE237*(GC237-GB237),GN237)</f>
        <v>0</v>
      </c>
      <c r="GL237" s="5">
        <f>IF(FX237="direct",GJ237*GD237*C237/365,0)</f>
        <v>0</v>
      </c>
      <c r="GM237" s="5">
        <f>GK237-GL237</f>
        <v>0</v>
      </c>
      <c r="GN237" s="4">
        <v>0</v>
      </c>
      <c r="GO237" s="5">
        <f>GN237-GM237</f>
        <v>0</v>
      </c>
      <c r="GP237" s="4">
        <v>0</v>
      </c>
      <c r="GQ237" s="4">
        <v>0</v>
      </c>
      <c r="GR237" s="4">
        <v>1.733</v>
      </c>
      <c r="GS237" s="4">
        <v>1.722</v>
      </c>
      <c r="GT237" s="6"/>
      <c r="GU237" s="6"/>
      <c r="GV237" s="6"/>
      <c r="GW237" s="9"/>
      <c r="GX237" s="7">
        <f>IFERROR(GM237/F237,0)</f>
        <v>0</v>
      </c>
      <c r="GY237"/>
      <c r="GZ237"/>
      <c r="HA237"/>
      <c r="HB237"/>
      <c r="HC237"/>
      <c r="HD237" s="4"/>
      <c r="HE237" s="4"/>
      <c r="HF237" s="6"/>
      <c r="HG237" s="4"/>
      <c r="HH237" s="5">
        <v>0</v>
      </c>
      <c r="HI237" s="5"/>
      <c r="HJ237" s="6"/>
      <c r="HK237" s="4"/>
      <c r="HL237" s="4"/>
      <c r="HM237" s="5">
        <v>0</v>
      </c>
      <c r="HN237" s="5">
        <v>0</v>
      </c>
      <c r="HO237" s="5"/>
      <c r="HP237" s="4"/>
      <c r="HQ237" s="5">
        <v>0</v>
      </c>
      <c r="HR237" s="4"/>
      <c r="HS237" s="4"/>
      <c r="HT237" s="4"/>
      <c r="HU237" s="4"/>
      <c r="HV237" s="6"/>
      <c r="HW237" s="6"/>
      <c r="HX237" s="6"/>
      <c r="HY237" s="9"/>
      <c r="HZ237"/>
      <c r="IA237"/>
      <c r="IB237"/>
      <c r="IC237"/>
      <c r="ID237"/>
      <c r="IE237"/>
      <c r="IF237" s="4"/>
      <c r="IG237" s="4"/>
      <c r="IH237" s="6"/>
      <c r="II237" s="4"/>
      <c r="IJ237" s="5">
        <v>0</v>
      </c>
      <c r="IK237" s="5"/>
      <c r="IL237" s="6"/>
      <c r="IM237" s="4"/>
      <c r="IN237" s="4"/>
      <c r="IO237" s="5">
        <v>0</v>
      </c>
      <c r="IP237" s="5">
        <v>0</v>
      </c>
      <c r="IQ237" s="5"/>
      <c r="IR237" s="4"/>
      <c r="IS237" s="5">
        <v>0</v>
      </c>
      <c r="IT237" s="4"/>
      <c r="IU237" s="4"/>
      <c r="IV237" s="4"/>
      <c r="IW237" s="4"/>
      <c r="IX237" s="6"/>
      <c r="IY237" s="6"/>
      <c r="IZ237" s="6"/>
      <c r="JA237" s="9"/>
      <c r="JB237"/>
      <c r="JC237"/>
      <c r="JD237"/>
      <c r="JE237"/>
      <c r="JF237"/>
      <c r="JG237"/>
      <c r="JH237" s="4"/>
      <c r="JI237" s="4"/>
      <c r="JJ237" s="6"/>
      <c r="JK237" s="4"/>
      <c r="JL237" s="5">
        <v>0</v>
      </c>
      <c r="JM237" s="5"/>
      <c r="JN237" s="6"/>
      <c r="JO237" s="4"/>
      <c r="JP237" s="4"/>
      <c r="JQ237" s="5">
        <v>0</v>
      </c>
      <c r="JR237" s="5">
        <v>0</v>
      </c>
      <c r="JS237" s="5"/>
      <c r="JT237" s="4"/>
      <c r="JU237" s="5">
        <v>0</v>
      </c>
      <c r="JV237" s="4"/>
      <c r="JW237" s="4"/>
      <c r="JX237" s="4"/>
      <c r="JY237" s="4"/>
      <c r="JZ237" s="6"/>
      <c r="KA237" s="6"/>
      <c r="KB237" s="6"/>
      <c r="KC237" s="9"/>
      <c r="KD237"/>
      <c r="KE237"/>
      <c r="KF237"/>
      <c r="KG237"/>
      <c r="KH237"/>
      <c r="KI237"/>
      <c r="KJ237" s="4"/>
      <c r="KK237" s="4"/>
      <c r="KL237" s="6"/>
      <c r="KM237" s="4"/>
      <c r="KN237" s="5">
        <v>0</v>
      </c>
      <c r="KO237" s="5"/>
      <c r="KP237" s="6"/>
      <c r="KQ237" s="4"/>
      <c r="KR237" s="4"/>
      <c r="KS237" s="5">
        <v>0</v>
      </c>
      <c r="KT237" s="5">
        <v>0</v>
      </c>
      <c r="KU237" s="5"/>
      <c r="KV237" s="4"/>
      <c r="KW237" s="5">
        <v>0</v>
      </c>
      <c r="KX237" s="4"/>
      <c r="KY237" s="4"/>
      <c r="KZ237" s="4"/>
      <c r="LA237" s="4"/>
      <c r="LB237" s="6"/>
      <c r="LC237" s="6"/>
      <c r="LD237" s="6"/>
      <c r="LE237" s="9"/>
      <c r="LF237"/>
      <c r="LG237"/>
      <c r="LH237"/>
      <c r="LI237"/>
      <c r="LJ237"/>
      <c r="LK237"/>
      <c r="LL237" s="4"/>
      <c r="LM237" s="4"/>
      <c r="LN237" s="6"/>
      <c r="LO237" s="4"/>
      <c r="LP237" s="5">
        <v>0</v>
      </c>
      <c r="LQ237" s="5"/>
      <c r="LR237" s="6"/>
      <c r="LS237" s="4"/>
      <c r="LT237" s="4"/>
      <c r="LU237" s="5">
        <v>0</v>
      </c>
      <c r="LV237" s="5">
        <v>0</v>
      </c>
      <c r="LW237" s="5"/>
      <c r="LX237" s="4"/>
      <c r="LY237" s="5">
        <v>0</v>
      </c>
      <c r="LZ237" s="4"/>
      <c r="MA237" s="4"/>
      <c r="MB237" s="4"/>
      <c r="MC237" s="4"/>
      <c r="MD237" s="6"/>
      <c r="ME237" s="6"/>
      <c r="MF237" s="6"/>
      <c r="MG237" s="9"/>
      <c r="MH237"/>
    </row>
    <row r="238">
      <c r="A238" s="8">
        <v>25555</v>
      </c>
      <c r="B238" s="8">
        <v>25556</v>
      </c>
      <c r="C238" s="9">
        <f>B238-A238</f>
        <v>1</v>
      </c>
      <c r="D238" s="8">
        <v>25555</v>
      </c>
      <c r="E238" t="inlineStr">
        <is>
          <t xml:space="preserve">neutral</t>
        </is>
      </c>
      <c r="F238" s="4">
        <v>1.9224911369877722</v>
      </c>
      <c r="G238" s="6">
        <v>0.009284672171574868</v>
      </c>
      <c r="H238" s="7">
        <f>SUM(CP238,DR238,ET238,FV238,GX238,HZ238,JB238,KD238,LF238,MH238)</f>
        <v>0.009284672171574868</v>
      </c>
      <c r="I238" s="7">
        <f>G238-H238</f>
        <v>0</v>
      </c>
      <c r="J238" s="5">
        <f>F238*(1+H238)</f>
        <v>1.940340836947462</v>
      </c>
      <c r="K238" s="4">
        <v>1.940340836947462</v>
      </c>
      <c r="L238" s="5">
        <f>K238-J238</f>
        <v>0</v>
      </c>
      <c r="M238" s="4">
        <v>1.722</v>
      </c>
      <c r="N238" s="4">
        <v>1.738</v>
      </c>
      <c r="O238" s="5">
        <f>M238/$M$3</f>
        <v>0.8794688457609806</v>
      </c>
      <c r="P238" s="5">
        <f>N238/$M$3</f>
        <v>0.8876404494382023</v>
      </c>
      <c r="Q238" s="7">
        <f>IFERROR(N238/M238-1,0)</f>
        <v>0.009291521486643362</v>
      </c>
      <c r="R238" s="5">
        <f>SUM(IF(BQ238="lease",CB238,0),IF(CS238="lease",DD238,0),IF(DU238="lease",EF238,0),IF(EW238="lease",FH238,0),IF(FY238="lease",GJ238,0),IF(HA238="lease",HL238,0),IF(IC238="lease",IN238,0),IF(JE238="lease",JP238,0),IF(KG238="lease",KR238,0),IF(LI238="lease",LT238,0))</f>
        <v>1.922491136987771</v>
      </c>
      <c r="S238" s="5">
        <f>SUM(IF(BQ238="lease",CI238,0),IF(CS238="lease",DK238,0),IF(DU238="lease",EM238,0),IF(EW238="lease",FO238,0),IF(FY238="lease",GQ238,0),IF(HA238="lease",HS238,0),IF(IC238="lease",IU238,0),IF(JE238="lease",JW238,0),IF(KG238="lease",KY238,0),IF(LI238="lease",MA238,0))</f>
        <v>1.9403408369474613</v>
      </c>
      <c r="T238" s="5">
        <f>SUM(IF(BQ238="keep",CB238,0),IF(CS238="keep",DD238,0),IF(DU238="keep",EF238,0),IF(EW238="keep",FH238,0),IF(FY238="keep",GJ238,0),IF(HA238="keep",HL238,0),IF(IC238="keep",IN238,0),IF(JE238="keep",JP238,0),IF(KG238="keep",KR238,0),IF(LI238="keep",LT238,0))</f>
        <v>0</v>
      </c>
      <c r="U238" s="5">
        <f>SUM(IF(BQ238="keep",CI238,0),IF(CS238="keep",DK238,0),IF(DU238="keep",EM238,0),IF(EW238="keep",FO238,0),IF(FY238="keep",GQ238,0),IF(HA238="keep",HS238,0),IF(IC238="keep",IU238,0),IF(JE238="keep",JW238,0),IF(KG238="keep",KY238,0),IF(LI238="keep",MA238,0))</f>
        <v>0</v>
      </c>
      <c r="V238" s="5">
        <f>R238/O238</f>
        <v>2.185968435669022</v>
      </c>
      <c r="W238" s="5">
        <f>S238/P238</f>
        <v>2.185953601118026</v>
      </c>
      <c r="X238" s="5">
        <f>T238/O238</f>
        <v>0</v>
      </c>
      <c r="Y238" s="5">
        <f>U238/P238</f>
        <v>0</v>
      </c>
      <c r="Z238" s="5">
        <f>V238+X238</f>
        <v>2.185968435669022</v>
      </c>
      <c r="AA238" s="7">
        <f>IFERROR(W238/V238-1,0)</f>
        <v>-0.000006786260384195053</v>
      </c>
      <c r="AB238" s="7">
        <f>IFERROR((W238-V238)/Z238,0)</f>
        <v>-0.000006786260384178665</v>
      </c>
      <c r="AC238" s="7">
        <f>IFERROR(Y238/X238-1,0)</f>
        <v>0</v>
      </c>
      <c r="AD238" s="7">
        <f>IFERROR((Y238-X238)/Z238,0)</f>
        <v>0</v>
      </c>
      <c r="AE238" s="7">
        <f>AB238+AD238</f>
        <v>-0.000006786260384178665</v>
      </c>
      <c r="AF238" s="7">
        <f>(1+Q238)*(1+AE238)-1</f>
        <v>0.009284672171574915</v>
      </c>
      <c r="AG238" s="7">
        <f>G238-AF238</f>
        <v>-4.683753385137379e-17</v>
      </c>
      <c r="AH238" s="5">
        <f>SUM(IF(BQ238="lease",CE238,0),IF(CS238="lease",DG238,0),IF(DU238="lease",EI238,0),IF(EW238="lease",FK238,0),IF(FY238="lease",GM238,0),IF(HA238="lease",HO238,0),IF(IC238="lease",IQ238,0),IF(JE238="lease",JS238,0),IF(KG238="lease",KU238,0),IF(LI238="lease",LW238,0))</f>
        <v>0.017849699959689696</v>
      </c>
      <c r="AI238" s="5">
        <f>SUM(IF(BQ238="keep",CE238,0),IF(CS238="keep",DG238,0),IF(DU238="keep",EI238,0),IF(EW238="keep",FK238,0),IF(FY238="keep",GM238,0),IF(HA238="keep",HO238,0),IF(IC238="keep",IQ238,0),IF(JE238="keep",JS238,0),IF(KG238="keep",KU238,0),IF(LI238="keep",LW238,0))</f>
        <v>0</v>
      </c>
      <c r="AJ238" s="5">
        <f>SUM(IF(BQ238="lease",CH238,0),IF(CS238="lease",DJ238,0),IF(DU238="lease",EL238,0),IF(EW238="lease",FN238,0),IF(FY238="lease",GP238,0),IF(HA238="lease",HR238,0),IF(IC238="lease",IT238,0),IF(JE238="lease",JV238,0),IF(KG238="lease",KX238,0),IF(LI238="lease",LZ238,0))</f>
        <v>0</v>
      </c>
      <c r="AK238" s="5">
        <f>SUM(IF(BQ238="keep",CH238,0),IF(CS238="keep",DJ238,0),IF(DU238="keep",EL238,0),IF(EW238="keep",FN238,0),IF(FY238="keep",GP238,0),IF(HA238="keep",HR238,0),IF(IC238="keep",IT238,0),IF(JE238="keep",JV238,0),IF(KG238="keep",KX238,0),IF(LI238="keep",LZ238,0))</f>
        <v>0</v>
      </c>
      <c r="AL238" s="5">
        <f>R238-S237</f>
        <v>0</v>
      </c>
      <c r="AM238" s="5">
        <f>T238-U237</f>
        <v>0</v>
      </c>
      <c r="AN238" s="5">
        <f>AN237</f>
        <v>1</v>
      </c>
      <c r="AO238" s="5">
        <f>AO237+AH238</f>
        <v>0.9403408369474618</v>
      </c>
      <c r="AP238" s="5">
        <f>AP237+AL238</f>
        <v>1.5543122344752192e-15</v>
      </c>
      <c r="AQ238" s="5">
        <f>AN238+AO238+AP238</f>
        <v>1.9403408369474635</v>
      </c>
      <c r="AR238" s="5">
        <f>S238-AQ238</f>
        <v>-2.220446049250313e-15</v>
      </c>
      <c r="AS238" s="5">
        <f>AS237</f>
        <v>0</v>
      </c>
      <c r="AT238" s="5">
        <f>AT237+AI238</f>
        <v>0</v>
      </c>
      <c r="AU238" s="5">
        <f>AU237+AM238</f>
        <v>0</v>
      </c>
      <c r="AV238" s="5">
        <f>AS238+AT238+AU238</f>
        <v>0</v>
      </c>
      <c r="AW238" s="5">
        <f>U238-AV238</f>
        <v>0</v>
      </c>
      <c r="AX238" s="4">
        <v>1.922491136987771</v>
      </c>
      <c r="AY238" s="4">
        <v>1.9403408369474608</v>
      </c>
      <c r="AZ238" s="5">
        <f>S238-AY238</f>
        <v>4.440892098500626e-16</v>
      </c>
      <c r="BA238" s="4">
        <v>0</v>
      </c>
      <c r="BB238" s="4">
        <v>0</v>
      </c>
      <c r="BC238" s="5">
        <f>U238-BB238</f>
        <v>0</v>
      </c>
      <c r="BD238" s="7">
        <f>SUM(IF(BP238="direct",CC238/F238,0),IF(CR238="direct",DE238/F238,0),IF(DT238="direct",EG238/F238,0),IF(EV238="direct",FI238/F238,0),IF(FX238="direct",GK238/F238,0),IF(GZ238="direct",HM238/F238,0),IF(IB238="direct",IO238/F238,0),IF(JD238="direct",JQ238/F238,0),IF(KF238="direct",KS238/F238,0),IF(LH238="direct",LU238/F238,0))</f>
        <v>0.009291521486643448</v>
      </c>
      <c r="BE238" s="7">
        <f>-SUM(IF(BP238="direct",CD238/F238,0),IF(CR238="direct",DF238/F238,0),IF(DT238="direct",EH238/F238,0),IF(EV238="direct",FJ238/F238,0),IF(FX238="direct",GL238/F238,0),IF(GZ238="direct",HN238/F238,0),IF(IB238="direct",IP238/F238,0),IF(JD238="direct",JR238/F238,0),IF(KF238="direct",KT238/F238,0),IF(LH238="direct",LV238/F238,0))</f>
        <v>-0.000006849315068493151</v>
      </c>
      <c r="BF238" s="7">
        <f>BD238+BE238</f>
        <v>0.009284672171574955</v>
      </c>
      <c r="BG238" s="7">
        <f>BF238-SUM(IF(BP238="direct",CP238,0),IF(CR238="direct",DR238,0),IF(DT238="direct",ET238,0),IF(EV238="direct",FV238,0),IF(FX238="direct",GX238,0),IF(GZ238="direct",HZ238,0),IF(IB238="direct",JB238,0),IF(JD238="direct",KD238,0),IF(KF238="direct",LF238,0),IF(LH238="direct",MH238,0))</f>
        <v>8.673617379884035e-17</v>
      </c>
      <c r="BH238" s="7">
        <f>SUM(IF(BP238="treasury",CP238,0),IF(CR238="treasury",DR238,0),IF(DT238="treasury",ET238,0),IF(EV238="treasury",FV238,0),IF(FX238="treasury",GX238,0),IF(GZ238="treasury",HZ238,0),IF(IB238="treasury",JB238,0),IF(JD238="treasury",KD238,0),IF(KF238="treasury",LF238,0),IF(LH238="treasury",MH238,0))</f>
        <v>0</v>
      </c>
      <c r="BI238" s="7">
        <f>SUM(IF(BP238="future",CP238,0),IF(CR238="future",DR238,0),IF(DT238="future",ET238,0),IF(EV238="future",FV238,0),IF(FX238="future",GX238,0),IF(GZ238="future",HZ238,0),IF(IB238="future",JB238,0),IF(JD238="future",KD238,0),IF(KF238="future",LF238,0),IF(LH238="future",MH238,0))</f>
        <v>0</v>
      </c>
      <c r="BJ238" s="7">
        <f>SUM(IF(BP238="cash",CP238,0),IF(CR238="cash",DR238,0),IF(DT238="cash",ET238,0),IF(EV238="cash",FV238,0),IF(FX238="cash",GX238,0),IF(GZ238="cash",HZ238,0),IF(IB238="cash",JB238,0),IF(JD238="cash",KD238,0),IF(KF238="cash",LF238,0),IF(LH238="cash",MH238,0))</f>
        <v>0</v>
      </c>
      <c r="BK238" s="7">
        <f>SUM(BF238,BH238,BI238,BJ238)</f>
        <v>0.009284672171574868</v>
      </c>
      <c r="BL238" s="7">
        <f>G238-BK238</f>
        <v>0</v>
      </c>
      <c r="BM238" s="5">
        <f>MAX(ABS(CG238),ABS(DI238),ABS(EK238),ABS(FM238),ABS(GO238),ABS(HQ238),ABS(IS238),ABS(JU238),ABS(KW238),ABS(LY238))</f>
        <v>1.6659105193418677e-16</v>
      </c>
      <c r="BN238" s="9">
        <f>COUNTA(BO238,CQ238,DS238,EU238,FW238,GY238,IA238,JC238,KE238,LG238)</f>
        <v>3</v>
      </c>
      <c r="BO238" t="inlineStr">
        <is>
          <t xml:space="preserve">Direct commodity holding</t>
        </is>
      </c>
      <c r="BP238" t="inlineStr">
        <is>
          <t xml:space="preserve">direct</t>
        </is>
      </c>
      <c r="BQ238" t="inlineStr">
        <is>
          <t xml:space="preserve">lease</t>
        </is>
      </c>
      <c r="BR238" t="inlineStr">
        <is>
          <t xml:space="preserve">long</t>
        </is>
      </c>
      <c r="BS238"/>
      <c r="BT238" s="4">
        <v>1.722</v>
      </c>
      <c r="BU238" s="4">
        <v>1.738</v>
      </c>
      <c r="BV238" s="6">
        <v>0.0025</v>
      </c>
      <c r="BW238" s="4">
        <v>1.1164292317002162</v>
      </c>
      <c r="BX238" s="5">
        <f>IF(BP238="direct",IFERROR(CD238/BU238,0),0)</f>
        <v>0.000007576379466982093</v>
      </c>
      <c r="BY238" s="5">
        <f>IF(BP238="direct",BW238-BX238,IF(BP238="cash",CI238,BW238))</f>
        <v>1.1164216553207493</v>
      </c>
      <c r="BZ238" s="6">
        <v>1</v>
      </c>
      <c r="CA238" s="4">
        <v>1.9224911369877722</v>
      </c>
      <c r="CB238" s="4">
        <v>1.9224911369877722</v>
      </c>
      <c r="CC238" s="5">
        <f>IF(BP238="direct",BW238*(BU238-BT238),CF238)</f>
        <v>0.017862867707203477</v>
      </c>
      <c r="CD238" s="5">
        <f>IF(BP238="direct",CB238*BV238*C238/365,0)</f>
        <v>0.000013167747513614878</v>
      </c>
      <c r="CE238" s="5">
        <f>CC238-CD238</f>
        <v>0.017849699959689696</v>
      </c>
      <c r="CF238" s="4">
        <v>0.017849699959689696</v>
      </c>
      <c r="CG238" s="5">
        <f>CF238-CE238</f>
        <v>-1.6659105193418677e-16</v>
      </c>
      <c r="CH238" s="4">
        <v>0</v>
      </c>
      <c r="CI238" s="4">
        <v>1.9403408369474624</v>
      </c>
      <c r="CJ238" s="4">
        <v>1.722</v>
      </c>
      <c r="CK238" s="4">
        <v>1.738</v>
      </c>
      <c r="CL238" s="6"/>
      <c r="CM238" s="6"/>
      <c r="CN238" s="6"/>
      <c r="CO238" s="9"/>
      <c r="CP238" s="7">
        <f>IFERROR(CE238/F238,0)</f>
        <v>0.009284672171574868</v>
      </c>
      <c r="CQ238" t="inlineStr">
        <is>
          <t xml:space="preserve">Lease cash / margin / financing</t>
        </is>
      </c>
      <c r="CR238" t="inlineStr">
        <is>
          <t xml:space="preserve">cash</t>
        </is>
      </c>
      <c r="CS238" t="inlineStr">
        <is>
          <t xml:space="preserve">lease</t>
        </is>
      </c>
      <c r="CT238" t="inlineStr">
        <is>
          <t xml:space="preserve">cash</t>
        </is>
      </c>
      <c r="CU238"/>
      <c r="CV238" s="4">
        <v>1</v>
      </c>
      <c r="CW238" s="4">
        <v>1</v>
      </c>
      <c r="CX238" s="6"/>
      <c r="CY238" s="4">
        <v>-1.1102230246251565e-15</v>
      </c>
      <c r="CZ238" s="5">
        <f>IF(CR238="direct",IFERROR(DF238/CW238,0),0)</f>
        <v>0</v>
      </c>
      <c r="DA238" s="5">
        <f>IF(CR238="direct",CY238-CZ238,IF(CR238="cash",DK238,CY238))</f>
        <v>-1.1102230246251565e-15</v>
      </c>
      <c r="DB238" s="6"/>
      <c r="DC238" s="4">
        <v>-1.1102230246251565e-15</v>
      </c>
      <c r="DD238" s="4">
        <v>-1.1102230246251565e-15</v>
      </c>
      <c r="DE238" s="5">
        <f>IF(CR238="direct",CY238*(CW238-CV238),DH238)</f>
        <v>0</v>
      </c>
      <c r="DF238" s="5">
        <f>IF(CR238="direct",DD238*CX238*C238/365,0)</f>
        <v>0</v>
      </c>
      <c r="DG238" s="5">
        <f>DE238-DF238</f>
        <v>0</v>
      </c>
      <c r="DH238" s="4">
        <v>0</v>
      </c>
      <c r="DI238" s="5">
        <f>DH238-DG238</f>
        <v>0</v>
      </c>
      <c r="DJ238" s="4">
        <v>0</v>
      </c>
      <c r="DK238" s="4">
        <v>-1.1102230246251565e-15</v>
      </c>
      <c r="DL238" s="4">
        <v>1.722</v>
      </c>
      <c r="DM238" s="4">
        <v>1.738</v>
      </c>
      <c r="DN238" s="6"/>
      <c r="DO238" s="6"/>
      <c r="DP238" s="6"/>
      <c r="DQ238" s="9"/>
      <c r="DR238" s="7">
        <f>IFERROR(DG238/F238,0)</f>
        <v>0</v>
      </c>
      <c r="DS238" t="inlineStr">
        <is>
          <t xml:space="preserve">Keep cash / margin / financing</t>
        </is>
      </c>
      <c r="DT238" t="inlineStr">
        <is>
          <t xml:space="preserve">cash</t>
        </is>
      </c>
      <c r="DU238" t="inlineStr">
        <is>
          <t xml:space="preserve">keep</t>
        </is>
      </c>
      <c r="DV238" t="inlineStr">
        <is>
          <t xml:space="preserve">cash</t>
        </is>
      </c>
      <c r="DW238"/>
      <c r="DX238" s="4">
        <v>1</v>
      </c>
      <c r="DY238" s="4">
        <v>1</v>
      </c>
      <c r="DZ238" s="6"/>
      <c r="EA238" s="4">
        <v>0</v>
      </c>
      <c r="EB238" s="5">
        <f>IF(DT238="direct",IFERROR(EH238/DY238,0),0)</f>
        <v>0</v>
      </c>
      <c r="EC238" s="5">
        <f>IF(DT238="direct",EA238-EB238,IF(DT238="cash",EM238,EA238))</f>
        <v>0</v>
      </c>
      <c r="ED238" s="6"/>
      <c r="EE238" s="4">
        <v>0</v>
      </c>
      <c r="EF238" s="4">
        <v>0</v>
      </c>
      <c r="EG238" s="5">
        <f>IF(DT238="direct",EA238*(DY238-DX238),EJ238)</f>
        <v>0</v>
      </c>
      <c r="EH238" s="5">
        <f>IF(DT238="direct",EF238*DZ238*C238/365,0)</f>
        <v>0</v>
      </c>
      <c r="EI238" s="5">
        <f>EG238-EH238</f>
        <v>0</v>
      </c>
      <c r="EJ238" s="4">
        <v>0</v>
      </c>
      <c r="EK238" s="5">
        <f>EJ238-EI238</f>
        <v>0</v>
      </c>
      <c r="EL238" s="4">
        <v>0</v>
      </c>
      <c r="EM238" s="4">
        <v>0</v>
      </c>
      <c r="EN238" s="4">
        <v>1.722</v>
      </c>
      <c r="EO238" s="4">
        <v>1.738</v>
      </c>
      <c r="EP238" s="6"/>
      <c r="EQ238" s="6"/>
      <c r="ER238" s="6"/>
      <c r="ES238" s="9"/>
      <c r="ET238" s="7">
        <f>IFERROR(EI238/F238,0)</f>
        <v>0</v>
      </c>
      <c r="EU238"/>
      <c r="EV238"/>
      <c r="EW238"/>
      <c r="EX238"/>
      <c r="EY238"/>
      <c r="EZ238" s="4"/>
      <c r="FA238" s="4"/>
      <c r="FB238" s="6"/>
      <c r="FC238" s="4"/>
      <c r="FD238" s="5">
        <v>0</v>
      </c>
      <c r="FE238" s="5"/>
      <c r="FF238" s="6"/>
      <c r="FG238" s="4"/>
      <c r="FH238" s="4"/>
      <c r="FI238" s="5">
        <v>0</v>
      </c>
      <c r="FJ238" s="5">
        <v>0</v>
      </c>
      <c r="FK238" s="5"/>
      <c r="FL238" s="4"/>
      <c r="FM238" s="5">
        <v>0</v>
      </c>
      <c r="FN238" s="4"/>
      <c r="FO238" s="4"/>
      <c r="FP238" s="4"/>
      <c r="FQ238" s="4"/>
      <c r="FR238" s="6"/>
      <c r="FS238" s="6"/>
      <c r="FT238" s="6"/>
      <c r="FU238" s="9"/>
      <c r="FV238"/>
      <c r="FW238"/>
      <c r="FX238"/>
      <c r="FY238"/>
      <c r="FZ238"/>
      <c r="GA238"/>
      <c r="GB238" s="4"/>
      <c r="GC238" s="4"/>
      <c r="GD238" s="6"/>
      <c r="GE238" s="4"/>
      <c r="GF238" s="5">
        <v>0</v>
      </c>
      <c r="GG238" s="5"/>
      <c r="GH238" s="6"/>
      <c r="GI238" s="4"/>
      <c r="GJ238" s="4"/>
      <c r="GK238" s="5">
        <v>0</v>
      </c>
      <c r="GL238" s="5">
        <v>0</v>
      </c>
      <c r="GM238" s="5"/>
      <c r="GN238" s="4"/>
      <c r="GO238" s="5">
        <v>0</v>
      </c>
      <c r="GP238" s="4"/>
      <c r="GQ238" s="4"/>
      <c r="GR238" s="4"/>
      <c r="GS238" s="4"/>
      <c r="GT238" s="6"/>
      <c r="GU238" s="6"/>
      <c r="GV238" s="6"/>
      <c r="GW238" s="9"/>
      <c r="GX238"/>
      <c r="GY238"/>
      <c r="GZ238"/>
      <c r="HA238"/>
      <c r="HB238"/>
      <c r="HC238"/>
      <c r="HD238" s="4"/>
      <c r="HE238" s="4"/>
      <c r="HF238" s="6"/>
      <c r="HG238" s="4"/>
      <c r="HH238" s="5">
        <v>0</v>
      </c>
      <c r="HI238" s="5"/>
      <c r="HJ238" s="6"/>
      <c r="HK238" s="4"/>
      <c r="HL238" s="4"/>
      <c r="HM238" s="5">
        <v>0</v>
      </c>
      <c r="HN238" s="5">
        <v>0</v>
      </c>
      <c r="HO238" s="5"/>
      <c r="HP238" s="4"/>
      <c r="HQ238" s="5">
        <v>0</v>
      </c>
      <c r="HR238" s="4"/>
      <c r="HS238" s="4"/>
      <c r="HT238" s="4"/>
      <c r="HU238" s="4"/>
      <c r="HV238" s="6"/>
      <c r="HW238" s="6"/>
      <c r="HX238" s="6"/>
      <c r="HY238" s="9"/>
      <c r="HZ238"/>
      <c r="IA238"/>
      <c r="IB238"/>
      <c r="IC238"/>
      <c r="ID238"/>
      <c r="IE238"/>
      <c r="IF238" s="4"/>
      <c r="IG238" s="4"/>
      <c r="IH238" s="6"/>
      <c r="II238" s="4"/>
      <c r="IJ238" s="5">
        <v>0</v>
      </c>
      <c r="IK238" s="5"/>
      <c r="IL238" s="6"/>
      <c r="IM238" s="4"/>
      <c r="IN238" s="4"/>
      <c r="IO238" s="5">
        <v>0</v>
      </c>
      <c r="IP238" s="5">
        <v>0</v>
      </c>
      <c r="IQ238" s="5"/>
      <c r="IR238" s="4"/>
      <c r="IS238" s="5">
        <v>0</v>
      </c>
      <c r="IT238" s="4"/>
      <c r="IU238" s="4"/>
      <c r="IV238" s="4"/>
      <c r="IW238" s="4"/>
      <c r="IX238" s="6"/>
      <c r="IY238" s="6"/>
      <c r="IZ238" s="6"/>
      <c r="JA238" s="9"/>
      <c r="JB238"/>
      <c r="JC238"/>
      <c r="JD238"/>
      <c r="JE238"/>
      <c r="JF238"/>
      <c r="JG238"/>
      <c r="JH238" s="4"/>
      <c r="JI238" s="4"/>
      <c r="JJ238" s="6"/>
      <c r="JK238" s="4"/>
      <c r="JL238" s="5">
        <v>0</v>
      </c>
      <c r="JM238" s="5"/>
      <c r="JN238" s="6"/>
      <c r="JO238" s="4"/>
      <c r="JP238" s="4"/>
      <c r="JQ238" s="5">
        <v>0</v>
      </c>
      <c r="JR238" s="5">
        <v>0</v>
      </c>
      <c r="JS238" s="5"/>
      <c r="JT238" s="4"/>
      <c r="JU238" s="5">
        <v>0</v>
      </c>
      <c r="JV238" s="4"/>
      <c r="JW238" s="4"/>
      <c r="JX238" s="4"/>
      <c r="JY238" s="4"/>
      <c r="JZ238" s="6"/>
      <c r="KA238" s="6"/>
      <c r="KB238" s="6"/>
      <c r="KC238" s="9"/>
      <c r="KD238"/>
      <c r="KE238"/>
      <c r="KF238"/>
      <c r="KG238"/>
      <c r="KH238"/>
      <c r="KI238"/>
      <c r="KJ238" s="4"/>
      <c r="KK238" s="4"/>
      <c r="KL238" s="6"/>
      <c r="KM238" s="4"/>
      <c r="KN238" s="5">
        <v>0</v>
      </c>
      <c r="KO238" s="5"/>
      <c r="KP238" s="6"/>
      <c r="KQ238" s="4"/>
      <c r="KR238" s="4"/>
      <c r="KS238" s="5">
        <v>0</v>
      </c>
      <c r="KT238" s="5">
        <v>0</v>
      </c>
      <c r="KU238" s="5"/>
      <c r="KV238" s="4"/>
      <c r="KW238" s="5">
        <v>0</v>
      </c>
      <c r="KX238" s="4"/>
      <c r="KY238" s="4"/>
      <c r="KZ238" s="4"/>
      <c r="LA238" s="4"/>
      <c r="LB238" s="6"/>
      <c r="LC238" s="6"/>
      <c r="LD238" s="6"/>
      <c r="LE238" s="9"/>
      <c r="LF238"/>
      <c r="LG238"/>
      <c r="LH238"/>
      <c r="LI238"/>
      <c r="LJ238"/>
      <c r="LK238"/>
      <c r="LL238" s="4"/>
      <c r="LM238" s="4"/>
      <c r="LN238" s="6"/>
      <c r="LO238" s="4"/>
      <c r="LP238" s="5">
        <v>0</v>
      </c>
      <c r="LQ238" s="5"/>
      <c r="LR238" s="6"/>
      <c r="LS238" s="4"/>
      <c r="LT238" s="4"/>
      <c r="LU238" s="5">
        <v>0</v>
      </c>
      <c r="LV238" s="5">
        <v>0</v>
      </c>
      <c r="LW238" s="5"/>
      <c r="LX238" s="4"/>
      <c r="LY238" s="5">
        <v>0</v>
      </c>
      <c r="LZ238" s="4"/>
      <c r="MA238" s="4"/>
      <c r="MB238" s="4"/>
      <c r="MC238" s="4"/>
      <c r="MD238" s="6"/>
      <c r="ME238" s="6"/>
      <c r="MF238" s="6"/>
      <c r="MG238" s="9"/>
      <c r="MH238"/>
    </row>
    <row r="239">
      <c r="A239" s="8">
        <v>25556</v>
      </c>
      <c r="B239" s="8">
        <v>25559</v>
      </c>
      <c r="C239" s="9">
        <f>B239-A239</f>
        <v>3</v>
      </c>
      <c r="D239" s="8">
        <v>25556</v>
      </c>
      <c r="E239" t="inlineStr">
        <is>
          <t xml:space="preserve">positive</t>
        </is>
      </c>
      <c r="F239" s="4">
        <v>1.940340836947462</v>
      </c>
      <c r="G239" s="6">
        <v>0.01028126007937327</v>
      </c>
      <c r="H239" s="7">
        <f>SUM(CP239,DR239,ET239,FV239,GX239,HZ239,JB239,KD239,LF239,MH239)</f>
        <v>0.010281260079373272</v>
      </c>
      <c r="I239" s="7">
        <f>G239-H239</f>
        <v>-1.734723475976807e-18</v>
      </c>
      <c r="J239" s="5">
        <f>F239*(1+H239)</f>
        <v>1.9602899857347478</v>
      </c>
      <c r="K239" s="4">
        <v>1.9602899857347478</v>
      </c>
      <c r="L239" s="5">
        <f>K239-J239</f>
        <v>0</v>
      </c>
      <c r="M239" s="4">
        <v>1.738</v>
      </c>
      <c r="N239" s="4">
        <v>1.756</v>
      </c>
      <c r="O239" s="5">
        <f>M239/$M$3</f>
        <v>0.8876404494382023</v>
      </c>
      <c r="P239" s="5">
        <f>N239/$M$3</f>
        <v>0.8968335035750766</v>
      </c>
      <c r="Q239" s="7">
        <f>IFERROR(N239/M239-1,0)</f>
        <v>0.010356731875719172</v>
      </c>
      <c r="R239" s="5">
        <f>SUM(IF(BQ239="lease",CB239,0),IF(CS239="lease",DD239,0),IF(DU239="lease",EF239,0),IF(EW239="lease",FH239,0),IF(FY239="lease",GJ239,0),IF(HA239="lease",HL239,0),IF(IC239="lease",IN239,0),IF(JE239="lease",JP239,0),IF(KG239="lease",KR239,0),IF(LI239="lease",LT239,0))</f>
        <v>1.9403408369474608</v>
      </c>
      <c r="S239" s="5">
        <f>SUM(IF(BQ239="lease",CI239,0),IF(CS239="lease",DK239,0),IF(DU239="lease",EM239,0),IF(EW239="lease",FO239,0),IF(FY239="lease",GQ239,0),IF(HA239="lease",HS239,0),IF(IC239="lease",IU239,0),IF(JE239="lease",JW239,0),IF(KG239="lease",KY239,0),IF(LI239="lease",MA239,0))</f>
        <v>1.9602899857347467</v>
      </c>
      <c r="T239" s="5">
        <f>SUM(IF(BQ239="keep",CB239,0),IF(CS239="keep",DD239,0),IF(DU239="keep",EF239,0),IF(EW239="keep",FH239,0),IF(FY239="keep",GJ239,0),IF(HA239="keep",HL239,0),IF(IC239="keep",IN239,0),IF(JE239="keep",JP239,0),IF(KG239="keep",KR239,0),IF(LI239="keep",LT239,0))</f>
        <v>0</v>
      </c>
      <c r="U239" s="5">
        <f>SUM(IF(BQ239="keep",CI239,0),IF(CS239="keep",DK239,0),IF(DU239="keep",EM239,0),IF(EW239="keep",FO239,0),IF(FY239="keep",GQ239,0),IF(HA239="keep",HS239,0),IF(IC239="keep",IU239,0),IF(JE239="keep",JW239,0),IF(KG239="keep",KY239,0),IF(LI239="keep",MA239,0))</f>
        <v>0</v>
      </c>
      <c r="V239" s="5">
        <f>R239/O239</f>
        <v>2.185953601118025</v>
      </c>
      <c r="W239" s="5">
        <f>S239/P239</f>
        <v>2.1857903143898825</v>
      </c>
      <c r="X239" s="5">
        <f>T239/O239</f>
        <v>0</v>
      </c>
      <c r="Y239" s="5">
        <f>U239/P239</f>
        <v>0</v>
      </c>
      <c r="Z239" s="5">
        <f>V239+X239</f>
        <v>2.185953601118025</v>
      </c>
      <c r="AA239" s="7">
        <f>IFERROR(W239/V239-1,0)</f>
        <v>-0.00007469816745386826</v>
      </c>
      <c r="AB239" s="7">
        <f>IFERROR((W239-V239)/Z239,0)</f>
        <v>-0.00007469816745386685</v>
      </c>
      <c r="AC239" s="7">
        <f>IFERROR(Y239/X239-1,0)</f>
        <v>0</v>
      </c>
      <c r="AD239" s="7">
        <f>IFERROR((Y239-X239)/Z239,0)</f>
        <v>0</v>
      </c>
      <c r="AE239" s="7">
        <f>AB239+AD239</f>
        <v>-0.00007469816745386685</v>
      </c>
      <c r="AF239" s="7">
        <f>(1+Q239)*(1+AE239)-1</f>
        <v>0.010281260079373356</v>
      </c>
      <c r="AG239" s="7">
        <f>G239-AF239</f>
        <v>-8.500145032286355e-17</v>
      </c>
      <c r="AH239" s="5">
        <f>SUM(IF(BQ239="lease",CE239,0),IF(CS239="lease",DG239,0),IF(DU239="lease",EI239,0),IF(EW239="lease",FK239,0),IF(FY239="lease",GM239,0),IF(HA239="lease",HO239,0),IF(IC239="lease",IQ239,0),IF(JE239="lease",JS239,0),IF(KG239="lease",KU239,0),IF(LI239="lease",LW239,0))</f>
        <v>0.019949148787285664</v>
      </c>
      <c r="AI239" s="5">
        <f>SUM(IF(BQ239="keep",CE239,0),IF(CS239="keep",DG239,0),IF(DU239="keep",EI239,0),IF(EW239="keep",FK239,0),IF(FY239="keep",GM239,0),IF(HA239="keep",HO239,0),IF(IC239="keep",IQ239,0),IF(JE239="keep",JS239,0),IF(KG239="keep",KU239,0),IF(LI239="keep",LW239,0))</f>
        <v>0</v>
      </c>
      <c r="AJ239" s="5">
        <f>SUM(IF(BQ239="lease",CH239,0),IF(CS239="lease",DJ239,0),IF(DU239="lease",EL239,0),IF(EW239="lease",FN239,0),IF(FY239="lease",GP239,0),IF(HA239="lease",HR239,0),IF(IC239="lease",IT239,0),IF(JE239="lease",JV239,0),IF(KG239="lease",KX239,0),IF(LI239="lease",LZ239,0))</f>
        <v>0</v>
      </c>
      <c r="AK239" s="5">
        <f>SUM(IF(BQ239="keep",CH239,0),IF(CS239="keep",DJ239,0),IF(DU239="keep",EL239,0),IF(EW239="keep",FN239,0),IF(FY239="keep",GP239,0),IF(HA239="keep",HR239,0),IF(IC239="keep",IT239,0),IF(JE239="keep",JV239,0),IF(KG239="keep",KX239,0),IF(LI239="keep",LZ239,0))</f>
        <v>0</v>
      </c>
      <c r="AL239" s="5">
        <f>R239-S238</f>
        <v>-4.440892098500626e-16</v>
      </c>
      <c r="AM239" s="5">
        <f>T239-U238</f>
        <v>0</v>
      </c>
      <c r="AN239" s="5">
        <f>AN238</f>
        <v>1</v>
      </c>
      <c r="AO239" s="5">
        <f>AO238+AH239</f>
        <v>0.9602899857347476</v>
      </c>
      <c r="AP239" s="5">
        <f>AP238+AL239</f>
        <v>1.1102230246251565e-15</v>
      </c>
      <c r="AQ239" s="5">
        <f>AN239+AO239+AP239</f>
        <v>1.9602899857347487</v>
      </c>
      <c r="AR239" s="5">
        <f>S239-AQ239</f>
        <v>-1.9984014443252818e-15</v>
      </c>
      <c r="AS239" s="5">
        <f>AS238</f>
        <v>0</v>
      </c>
      <c r="AT239" s="5">
        <f>AT238+AI239</f>
        <v>0</v>
      </c>
      <c r="AU239" s="5">
        <f>AU238+AM239</f>
        <v>0</v>
      </c>
      <c r="AV239" s="5">
        <f>AS239+AT239+AU239</f>
        <v>0</v>
      </c>
      <c r="AW239" s="5">
        <f>U239-AV239</f>
        <v>0</v>
      </c>
      <c r="AX239" s="4">
        <v>1.9403408369474608</v>
      </c>
      <c r="AY239" s="4">
        <v>1.9602899857347464</v>
      </c>
      <c r="AZ239" s="5">
        <f>S239-AY239</f>
        <v>2.220446049250313e-16</v>
      </c>
      <c r="BA239" s="4">
        <v>0</v>
      </c>
      <c r="BB239" s="4">
        <v>0</v>
      </c>
      <c r="BC239" s="5">
        <f>U239-BB239</f>
        <v>0</v>
      </c>
      <c r="BD239" s="7">
        <f>SUM(IF(BP239="direct",CC239/F239,0),IF(CR239="direct",DE239/F239,0),IF(DT239="direct",EG239/F239,0),IF(EV239="direct",FI239/F239,0),IF(FX239="direct",GK239/F239,0),IF(GZ239="direct",HM239/F239,0),IF(IB239="direct",IO239/F239,0),IF(JD239="direct",JQ239/F239,0),IF(KF239="direct",KS239/F239,0),IF(LH239="direct",LU239/F239,0))</f>
        <v>0.009328201535831375</v>
      </c>
      <c r="BE239" s="7">
        <f>-SUM(IF(BP239="direct",CD239/F239,0),IF(CR239="direct",DF239/F239,0),IF(DT239="direct",EH239/F239,0),IF(EV239="direct",FJ239/F239,0),IF(FX239="direct",GL239/F239,0),IF(GZ239="direct",HN239/F239,0),IF(IB239="direct",IP239/F239,0),IF(JD239="direct",JR239/F239,0),IF(KF239="direct",KT239/F239,0),IF(LH239="direct",LV239/F239,0))</f>
        <v>-0.000018507322225199672</v>
      </c>
      <c r="BF239" s="7">
        <f>BD239+BE239</f>
        <v>0.009309694213606176</v>
      </c>
      <c r="BG239" s="7">
        <f>BF239-SUM(IF(BP239="direct",CP239,0),IF(CR239="direct",DR239,0),IF(DT239="direct",ET239,0),IF(EV239="direct",FV239,0),IF(FX239="direct",GX239,0),IF(GZ239="direct",HZ239,0),IF(IB239="direct",JB239,0),IF(JD239="direct",KD239,0),IF(KF239="direct",LF239,0),IF(LH239="direct",MH239,0))</f>
        <v>5.0306980803327406e-17</v>
      </c>
      <c r="BH239" s="7">
        <f>SUM(IF(BP239="treasury",CP239,0),IF(CR239="treasury",DR239,0),IF(DT239="treasury",ET239,0),IF(EV239="treasury",FV239,0),IF(FX239="treasury",GX239,0),IF(GZ239="treasury",HZ239,0),IF(IB239="treasury",JB239,0),IF(JD239="treasury",KD239,0),IF(KF239="treasury",LF239,0),IF(LH239="treasury",MH239,0))</f>
        <v>0.00006358581206551787</v>
      </c>
      <c r="BI239" s="7">
        <f>SUM(IF(BP239="future",CP239,0),IF(CR239="future",DR239,0),IF(DT239="future",ET239,0),IF(EV239="future",FV239,0),IF(FX239="future",GX239,0),IF(GZ239="future",HZ239,0),IF(IB239="future",JB239,0),IF(JD239="future",KD239,0),IF(KF239="future",LF239,0),IF(LH239="future",MH239,0))</f>
        <v>0.0009079800537016283</v>
      </c>
      <c r="BJ239" s="7">
        <f>SUM(IF(BP239="cash",CP239,0),IF(CR239="cash",DR239,0),IF(DT239="cash",ET239,0),IF(EV239="cash",FV239,0),IF(FX239="cash",GX239,0),IF(GZ239="cash",HZ239,0),IF(IB239="cash",JB239,0),IF(JD239="cash",KD239,0),IF(KF239="cash",LF239,0),IF(LH239="cash",MH239,0))</f>
        <v>0</v>
      </c>
      <c r="BK239" s="7">
        <f>SUM(BF239,BH239,BI239,BJ239)</f>
        <v>0.010281260079373272</v>
      </c>
      <c r="BL239" s="7">
        <f>G239-BK239</f>
        <v>-1.734723475976807e-18</v>
      </c>
      <c r="BM239" s="5">
        <f>MAX(ABS(CG239),ABS(DI239),ABS(EK239),ABS(FM239),ABS(GO239),ABS(HQ239),ABS(IS239),ABS(JU239),ABS(KW239),ABS(LY239))</f>
        <v>9.728681618983992e-17</v>
      </c>
      <c r="BN239" s="9">
        <f>COUNTA(BO239,CQ239,DS239,EU239,FW239,GY239,IA239,JC239,KE239,LG239)</f>
        <v>5</v>
      </c>
      <c r="BO239" t="inlineStr">
        <is>
          <t xml:space="preserve">Direct commodity holding</t>
        </is>
      </c>
      <c r="BP239" t="inlineStr">
        <is>
          <t xml:space="preserve">direct</t>
        </is>
      </c>
      <c r="BQ239" t="inlineStr">
        <is>
          <t xml:space="preserve">lease</t>
        </is>
      </c>
      <c r="BR239" t="inlineStr">
        <is>
          <t xml:space="preserve">long</t>
        </is>
      </c>
      <c r="BS239"/>
      <c r="BT239" s="4">
        <v>1.738</v>
      </c>
      <c r="BU239" s="4">
        <v>1.756</v>
      </c>
      <c r="BV239" s="6">
        <v>0.0025</v>
      </c>
      <c r="BW239" s="4">
        <v>1.0055494652916463</v>
      </c>
      <c r="BX239" s="5">
        <f>IF(BP239="direct",IFERROR(CD239/BU239,0),0)</f>
        <v>0.000020450178300740487</v>
      </c>
      <c r="BY239" s="5">
        <f>IF(BP239="direct",BW239-BX239,IF(BP239="cash",CI239,BW239))</f>
        <v>1.0055290151133456</v>
      </c>
      <c r="BZ239" s="6">
        <v>0.9006896816263841</v>
      </c>
      <c r="CA239" s="4">
        <v>1.7476449706768813</v>
      </c>
      <c r="CB239" s="4">
        <v>1.7476449706768813</v>
      </c>
      <c r="CC239" s="5">
        <f>IF(BP239="direct",BW239*(BU239-BT239),CF239)</f>
        <v>0.01809989037524965</v>
      </c>
      <c r="CD239" s="5">
        <f>IF(BP239="direct",CB239*BV239*C239/365,0)</f>
        <v>0.000035910513096100296</v>
      </c>
      <c r="CE239" s="5">
        <f>CC239-CD239</f>
        <v>0.018063979862153454</v>
      </c>
      <c r="CF239" s="4">
        <v>0.018063979862153454</v>
      </c>
      <c r="CG239" s="5">
        <f>CF239-CE239</f>
        <v>-9.728681618983992e-17</v>
      </c>
      <c r="CH239" s="4">
        <v>0</v>
      </c>
      <c r="CI239" s="4">
        <v>1.7657089505390349</v>
      </c>
      <c r="CJ239" s="4">
        <v>1.738</v>
      </c>
      <c r="CK239" s="4">
        <v>1.756</v>
      </c>
      <c r="CL239" s="6"/>
      <c r="CM239" s="6"/>
      <c r="CN239" s="6"/>
      <c r="CO239" s="9"/>
      <c r="CP239" s="7">
        <f>IFERROR(CE239/F239,0)</f>
        <v>0.009309694213606126</v>
      </c>
      <c r="CQ239" t="inlineStr">
        <is>
          <t xml:space="preserve">Treasury collateral</t>
        </is>
      </c>
      <c r="CR239" t="inlineStr">
        <is>
          <t xml:space="preserve">treasury</t>
        </is>
      </c>
      <c r="CS239" t="inlineStr">
        <is>
          <t xml:space="preserve">lease</t>
        </is>
      </c>
      <c r="CT239" t="inlineStr">
        <is>
          <t xml:space="preserve">long</t>
        </is>
      </c>
      <c r="CU239"/>
      <c r="CV239" s="4">
        <v>106.57406230798794</v>
      </c>
      <c r="CW239" s="4">
        <v>106.64229890623828</v>
      </c>
      <c r="CX239" s="6"/>
      <c r="CY239" s="4">
        <v>0.001808093471314903</v>
      </c>
      <c r="CZ239" s="5">
        <f>IF(CR239="direct",IFERROR(DF239/CW239,0),0)</f>
        <v>0</v>
      </c>
      <c r="DA239" s="5">
        <f>IF(CR239="direct",CY239-CZ239,IF(CR239="cash",DK239,CY239))</f>
        <v>0.001808093471314903</v>
      </c>
      <c r="DB239" s="6">
        <v>0.09931031837361586</v>
      </c>
      <c r="DC239" s="4">
        <v>0.1926958662705807</v>
      </c>
      <c r="DD239" s="4">
        <v>0.1926958662705807</v>
      </c>
      <c r="DE239" s="5">
        <f>IF(CR239="direct",CY239*(CW239-CV239),DH239)</f>
        <v>0.00012337814780117229</v>
      </c>
      <c r="DF239" s="5">
        <f>IF(CR239="direct",DD239*CX239*C239/365,0)</f>
        <v>0</v>
      </c>
      <c r="DG239" s="5">
        <f>DE239-DF239</f>
        <v>0.00012337814780119096</v>
      </c>
      <c r="DH239" s="4">
        <v>0.00012337814780119096</v>
      </c>
      <c r="DI239" s="5">
        <f>DH239-DG239</f>
        <v>1.8675382421062814e-17</v>
      </c>
      <c r="DJ239" s="4">
        <v>-2.3445871979999033e-17</v>
      </c>
      <c r="DK239" s="4">
        <v>0.19281924441838186</v>
      </c>
      <c r="DL239" s="4">
        <v>1.738</v>
      </c>
      <c r="DM239" s="4">
        <v>1.756</v>
      </c>
      <c r="DN239" s="6"/>
      <c r="DO239" s="6"/>
      <c r="DP239" s="6"/>
      <c r="DQ239" s="9">
        <v>40</v>
      </c>
      <c r="DR239" s="7">
        <f>IFERROR(DG239/F239,0)</f>
        <v>0.00006358581206551787</v>
      </c>
      <c r="DS239" t="inlineStr">
        <is>
          <t xml:space="preserve">SI70F</t>
        </is>
      </c>
      <c r="DT239" t="inlineStr">
        <is>
          <t xml:space="preserve">future</t>
        </is>
      </c>
      <c r="DU239" t="inlineStr">
        <is>
          <t xml:space="preserve">lease</t>
        </is>
      </c>
      <c r="DV239" t="inlineStr">
        <is>
          <t xml:space="preserve">long</t>
        </is>
      </c>
      <c r="DW239" t="inlineStr">
        <is>
          <t xml:space="preserve">regular</t>
        </is>
      </c>
      <c r="DX239" s="4">
        <v>1.75</v>
      </c>
      <c r="DY239" s="4">
        <v>1.766</v>
      </c>
      <c r="DZ239" s="6"/>
      <c r="EA239" s="4">
        <v>0.11011192358318897</v>
      </c>
      <c r="EB239" s="5">
        <f>IF(DT239="direct",IFERROR(EH239/DY239,0),0)</f>
        <v>0</v>
      </c>
      <c r="EC239" s="5">
        <f>IF(DT239="direct",EA239-EB239,IF(DT239="cash",EM239,EA239))</f>
        <v>0.11011192358318897</v>
      </c>
      <c r="ED239" s="6">
        <v>0.09931031837361586</v>
      </c>
      <c r="EE239" s="4">
        <v>0.1926958662705807</v>
      </c>
      <c r="EF239" s="4">
        <v>0</v>
      </c>
      <c r="EG239" s="5">
        <f>IF(DT239="direct",EA239*(DY239-DX239),EJ239)</f>
        <v>0.0017617907773310188</v>
      </c>
      <c r="EH239" s="5">
        <f>IF(DT239="direct",EF239*DZ239*C239/365,0)</f>
        <v>0</v>
      </c>
      <c r="EI239" s="5">
        <f>EG239-EH239</f>
        <v>0.0017617907773310188</v>
      </c>
      <c r="EJ239" s="4">
        <v>0.0017617907773310188</v>
      </c>
      <c r="EK239" s="5">
        <f>EJ239-EI239</f>
        <v>0</v>
      </c>
      <c r="EL239" s="4">
        <v>-0.0017617907773310188</v>
      </c>
      <c r="EM239" s="4">
        <v>0</v>
      </c>
      <c r="EN239" s="4">
        <v>1.738</v>
      </c>
      <c r="EO239" s="4">
        <v>1.756</v>
      </c>
      <c r="EP239" s="6">
        <v>0.0069044879171460405</v>
      </c>
      <c r="EQ239" s="6">
        <v>0.0779</v>
      </c>
      <c r="ER239" s="6">
        <v>0.014896547756042378</v>
      </c>
      <c r="ES239" s="9">
        <v>40</v>
      </c>
      <c r="ET239" s="7">
        <f>IFERROR(EI239/F239,0)</f>
        <v>0.0009079800537016283</v>
      </c>
      <c r="EU239" t="inlineStr">
        <is>
          <t xml:space="preserve">Lease cash / margin / financing</t>
        </is>
      </c>
      <c r="EV239" t="inlineStr">
        <is>
          <t xml:space="preserve">cash</t>
        </is>
      </c>
      <c r="EW239" t="inlineStr">
        <is>
          <t xml:space="preserve">lease</t>
        </is>
      </c>
      <c r="EX239" t="inlineStr">
        <is>
          <t xml:space="preserve">cash</t>
        </is>
      </c>
      <c r="EY239"/>
      <c r="EZ239" s="4">
        <v>1</v>
      </c>
      <c r="FA239" s="4">
        <v>1</v>
      </c>
      <c r="FB239" s="6"/>
      <c r="FC239" s="4">
        <v>-1.1102230246251565e-15</v>
      </c>
      <c r="FD239" s="5">
        <f>IF(EV239="direct",IFERROR(FJ239/FA239,0),0)</f>
        <v>0</v>
      </c>
      <c r="FE239" s="5">
        <f>IF(EV239="direct",FC239-FD239,IF(EV239="cash",FO239,FC239))</f>
        <v>0.001761790777329932</v>
      </c>
      <c r="FF239" s="6"/>
      <c r="FG239" s="4">
        <v>-1.1102230246251565e-15</v>
      </c>
      <c r="FH239" s="4">
        <v>-1.1102230246251565e-15</v>
      </c>
      <c r="FI239" s="5">
        <f>IF(EV239="direct",FC239*(FA239-EZ239),FL239)</f>
        <v>0</v>
      </c>
      <c r="FJ239" s="5">
        <f>IF(EV239="direct",FH239*FB239*C239/365,0)</f>
        <v>0</v>
      </c>
      <c r="FK239" s="5">
        <f>FI239-FJ239</f>
        <v>0</v>
      </c>
      <c r="FL239" s="4">
        <v>0</v>
      </c>
      <c r="FM239" s="5">
        <f>FL239-FK239</f>
        <v>0</v>
      </c>
      <c r="FN239" s="4">
        <v>0.0017617907773310423</v>
      </c>
      <c r="FO239" s="4">
        <v>0.001761790777329932</v>
      </c>
      <c r="FP239" s="4">
        <v>1.738</v>
      </c>
      <c r="FQ239" s="4">
        <v>1.756</v>
      </c>
      <c r="FR239" s="6"/>
      <c r="FS239" s="6"/>
      <c r="FT239" s="6"/>
      <c r="FU239" s="9"/>
      <c r="FV239" s="7">
        <f>IFERROR(FK239/F239,0)</f>
        <v>0</v>
      </c>
      <c r="FW239" t="inlineStr">
        <is>
          <t xml:space="preserve">Keep cash / margin / financing</t>
        </is>
      </c>
      <c r="FX239" t="inlineStr">
        <is>
          <t xml:space="preserve">cash</t>
        </is>
      </c>
      <c r="FY239" t="inlineStr">
        <is>
          <t xml:space="preserve">keep</t>
        </is>
      </c>
      <c r="FZ239" t="inlineStr">
        <is>
          <t xml:space="preserve">cash</t>
        </is>
      </c>
      <c r="GA239"/>
      <c r="GB239" s="4">
        <v>1</v>
      </c>
      <c r="GC239" s="4">
        <v>1</v>
      </c>
      <c r="GD239" s="6"/>
      <c r="GE239" s="4">
        <v>0</v>
      </c>
      <c r="GF239" s="5">
        <f>IF(FX239="direct",IFERROR(GL239/GC239,0),0)</f>
        <v>0</v>
      </c>
      <c r="GG239" s="5">
        <f>IF(FX239="direct",GE239-GF239,IF(FX239="cash",GQ239,GE239))</f>
        <v>0</v>
      </c>
      <c r="GH239" s="6"/>
      <c r="GI239" s="4">
        <v>0</v>
      </c>
      <c r="GJ239" s="4">
        <v>0</v>
      </c>
      <c r="GK239" s="5">
        <f>IF(FX239="direct",GE239*(GC239-GB239),GN239)</f>
        <v>0</v>
      </c>
      <c r="GL239" s="5">
        <f>IF(FX239="direct",GJ239*GD239*C239/365,0)</f>
        <v>0</v>
      </c>
      <c r="GM239" s="5">
        <f>GK239-GL239</f>
        <v>0</v>
      </c>
      <c r="GN239" s="4">
        <v>0</v>
      </c>
      <c r="GO239" s="5">
        <f>GN239-GM239</f>
        <v>0</v>
      </c>
      <c r="GP239" s="4">
        <v>0</v>
      </c>
      <c r="GQ239" s="4">
        <v>0</v>
      </c>
      <c r="GR239" s="4">
        <v>1.738</v>
      </c>
      <c r="GS239" s="4">
        <v>1.756</v>
      </c>
      <c r="GT239" s="6"/>
      <c r="GU239" s="6"/>
      <c r="GV239" s="6"/>
      <c r="GW239" s="9"/>
      <c r="GX239" s="7">
        <f>IFERROR(GM239/F239,0)</f>
        <v>0</v>
      </c>
      <c r="GY239"/>
      <c r="GZ239"/>
      <c r="HA239"/>
      <c r="HB239"/>
      <c r="HC239"/>
      <c r="HD239" s="4"/>
      <c r="HE239" s="4"/>
      <c r="HF239" s="6"/>
      <c r="HG239" s="4"/>
      <c r="HH239" s="5">
        <v>0</v>
      </c>
      <c r="HI239" s="5"/>
      <c r="HJ239" s="6"/>
      <c r="HK239" s="4"/>
      <c r="HL239" s="4"/>
      <c r="HM239" s="5">
        <v>0</v>
      </c>
      <c r="HN239" s="5">
        <v>0</v>
      </c>
      <c r="HO239" s="5"/>
      <c r="HP239" s="4"/>
      <c r="HQ239" s="5">
        <v>0</v>
      </c>
      <c r="HR239" s="4"/>
      <c r="HS239" s="4"/>
      <c r="HT239" s="4"/>
      <c r="HU239" s="4"/>
      <c r="HV239" s="6"/>
      <c r="HW239" s="6"/>
      <c r="HX239" s="6"/>
      <c r="HY239" s="9"/>
      <c r="HZ239"/>
      <c r="IA239"/>
      <c r="IB239"/>
      <c r="IC239"/>
      <c r="ID239"/>
      <c r="IE239"/>
      <c r="IF239" s="4"/>
      <c r="IG239" s="4"/>
      <c r="IH239" s="6"/>
      <c r="II239" s="4"/>
      <c r="IJ239" s="5">
        <v>0</v>
      </c>
      <c r="IK239" s="5"/>
      <c r="IL239" s="6"/>
      <c r="IM239" s="4"/>
      <c r="IN239" s="4"/>
      <c r="IO239" s="5">
        <v>0</v>
      </c>
      <c r="IP239" s="5">
        <v>0</v>
      </c>
      <c r="IQ239" s="5"/>
      <c r="IR239" s="4"/>
      <c r="IS239" s="5">
        <v>0</v>
      </c>
      <c r="IT239" s="4"/>
      <c r="IU239" s="4"/>
      <c r="IV239" s="4"/>
      <c r="IW239" s="4"/>
      <c r="IX239" s="6"/>
      <c r="IY239" s="6"/>
      <c r="IZ239" s="6"/>
      <c r="JA239" s="9"/>
      <c r="JB239"/>
      <c r="JC239"/>
      <c r="JD239"/>
      <c r="JE239"/>
      <c r="JF239"/>
      <c r="JG239"/>
      <c r="JH239" s="4"/>
      <c r="JI239" s="4"/>
      <c r="JJ239" s="6"/>
      <c r="JK239" s="4"/>
      <c r="JL239" s="5">
        <v>0</v>
      </c>
      <c r="JM239" s="5"/>
      <c r="JN239" s="6"/>
      <c r="JO239" s="4"/>
      <c r="JP239" s="4"/>
      <c r="JQ239" s="5">
        <v>0</v>
      </c>
      <c r="JR239" s="5">
        <v>0</v>
      </c>
      <c r="JS239" s="5"/>
      <c r="JT239" s="4"/>
      <c r="JU239" s="5">
        <v>0</v>
      </c>
      <c r="JV239" s="4"/>
      <c r="JW239" s="4"/>
      <c r="JX239" s="4"/>
      <c r="JY239" s="4"/>
      <c r="JZ239" s="6"/>
      <c r="KA239" s="6"/>
      <c r="KB239" s="6"/>
      <c r="KC239" s="9"/>
      <c r="KD239"/>
      <c r="KE239"/>
      <c r="KF239"/>
      <c r="KG239"/>
      <c r="KH239"/>
      <c r="KI239"/>
      <c r="KJ239" s="4"/>
      <c r="KK239" s="4"/>
      <c r="KL239" s="6"/>
      <c r="KM239" s="4"/>
      <c r="KN239" s="5">
        <v>0</v>
      </c>
      <c r="KO239" s="5"/>
      <c r="KP239" s="6"/>
      <c r="KQ239" s="4"/>
      <c r="KR239" s="4"/>
      <c r="KS239" s="5">
        <v>0</v>
      </c>
      <c r="KT239" s="5">
        <v>0</v>
      </c>
      <c r="KU239" s="5"/>
      <c r="KV239" s="4"/>
      <c r="KW239" s="5">
        <v>0</v>
      </c>
      <c r="KX239" s="4"/>
      <c r="KY239" s="4"/>
      <c r="KZ239" s="4"/>
      <c r="LA239" s="4"/>
      <c r="LB239" s="6"/>
      <c r="LC239" s="6"/>
      <c r="LD239" s="6"/>
      <c r="LE239" s="9"/>
      <c r="LF239"/>
      <c r="LG239"/>
      <c r="LH239"/>
      <c r="LI239"/>
      <c r="LJ239"/>
      <c r="LK239"/>
      <c r="LL239" s="4"/>
      <c r="LM239" s="4"/>
      <c r="LN239" s="6"/>
      <c r="LO239" s="4"/>
      <c r="LP239" s="5">
        <v>0</v>
      </c>
      <c r="LQ239" s="5"/>
      <c r="LR239" s="6"/>
      <c r="LS239" s="4"/>
      <c r="LT239" s="4"/>
      <c r="LU239" s="5">
        <v>0</v>
      </c>
      <c r="LV239" s="5">
        <v>0</v>
      </c>
      <c r="LW239" s="5"/>
      <c r="LX239" s="4"/>
      <c r="LY239" s="5">
        <v>0</v>
      </c>
      <c r="LZ239" s="4"/>
      <c r="MA239" s="4"/>
      <c r="MB239" s="4"/>
      <c r="MC239" s="4"/>
      <c r="MD239" s="6"/>
      <c r="ME239" s="6"/>
      <c r="MF239" s="6"/>
      <c r="MG239" s="9"/>
      <c r="MH239"/>
    </row>
    <row r="240">
      <c r="A240" s="8">
        <v>25559</v>
      </c>
      <c r="B240" s="8">
        <v>25560</v>
      </c>
      <c r="C240" s="9">
        <f>B240-A240</f>
        <v>1</v>
      </c>
      <c r="D240" s="8">
        <v>25559</v>
      </c>
      <c r="E240" t="inlineStr">
        <is>
          <t xml:space="preserve">positive</t>
        </is>
      </c>
      <c r="F240" s="4">
        <v>1.9602899857347478</v>
      </c>
      <c r="G240" s="6">
        <v>0.010517057556764802</v>
      </c>
      <c r="H240" s="7">
        <f>SUM(CP240,DR240,ET240,FV240,GX240,HZ240,JB240,KD240,LF240,MH240)</f>
        <v>0.010517057556764802</v>
      </c>
      <c r="I240" s="7">
        <f>G240-H240</f>
        <v>0</v>
      </c>
      <c r="J240" s="5">
        <f>F240*(1+H240)</f>
        <v>1.9809064683426698</v>
      </c>
      <c r="K240" s="4">
        <v>1.9809064683426698</v>
      </c>
      <c r="L240" s="5">
        <f>K240-J240</f>
        <v>0</v>
      </c>
      <c r="M240" s="4">
        <v>1.756</v>
      </c>
      <c r="N240" s="4">
        <v>1.774</v>
      </c>
      <c r="O240" s="5">
        <f>M240/$M$3</f>
        <v>0.8968335035750766</v>
      </c>
      <c r="P240" s="5">
        <f>N240/$M$3</f>
        <v>0.906026557711951</v>
      </c>
      <c r="Q240" s="7">
        <f>IFERROR(N240/M240-1,0)</f>
        <v>0.010250569476081939</v>
      </c>
      <c r="R240" s="5">
        <f>SUM(IF(BQ240="lease",CB240,0),IF(CS240="lease",DD240,0),IF(DU240="lease",EF240,0),IF(EW240="lease",FH240,0),IF(FY240="lease",GJ240,0),IF(HA240="lease",HL240,0),IF(IC240="lease",IN240,0),IF(JE240="lease",JP240,0),IF(KG240="lease",KR240,0),IF(LI240="lease",LT240,0))</f>
        <v>1.9602899857347464</v>
      </c>
      <c r="S240" s="5">
        <f>SUM(IF(BQ240="lease",CI240,0),IF(CS240="lease",DK240,0),IF(DU240="lease",EM240,0),IF(EW240="lease",FO240,0),IF(FY240="lease",GQ240,0),IF(HA240="lease",HS240,0),IF(IC240="lease",IU240,0),IF(JE240="lease",JW240,0),IF(KG240="lease",KY240,0),IF(LI240="lease",MA240,0))</f>
        <v>1.9809064683426683</v>
      </c>
      <c r="T240" s="5">
        <f>SUM(IF(BQ240="keep",CB240,0),IF(CS240="keep",DD240,0),IF(DU240="keep",EF240,0),IF(EW240="keep",FH240,0),IF(FY240="keep",GJ240,0),IF(HA240="keep",HL240,0),IF(IC240="keep",IN240,0),IF(JE240="keep",JP240,0),IF(KG240="keep",KR240,0),IF(LI240="keep",LT240,0))</f>
        <v>0</v>
      </c>
      <c r="U240" s="5">
        <f>SUM(IF(BQ240="keep",CI240,0),IF(CS240="keep",DK240,0),IF(DU240="keep",EM240,0),IF(EW240="keep",FO240,0),IF(FY240="keep",GQ240,0),IF(HA240="keep",HS240,0),IF(IC240="keep",IU240,0),IF(JE240="keep",JW240,0),IF(KG240="keep",KY240,0),IF(LI240="keep",MA240,0))</f>
        <v>0</v>
      </c>
      <c r="V240" s="5">
        <f>R240/O240</f>
        <v>2.1857903143898825</v>
      </c>
      <c r="W240" s="5">
        <f>S240/P240</f>
        <v>2.1863668912147376</v>
      </c>
      <c r="X240" s="5">
        <f>T240/O240</f>
        <v>0</v>
      </c>
      <c r="Y240" s="5">
        <f>U240/P240</f>
        <v>0</v>
      </c>
      <c r="Z240" s="5">
        <f>V240+X240</f>
        <v>2.1857903143898825</v>
      </c>
      <c r="AA240" s="7">
        <f>IFERROR(W240/V240-1,0)</f>
        <v>0.0002637841429982135</v>
      </c>
      <c r="AB240" s="7">
        <f>IFERROR((W240-V240)/Z240,0)</f>
        <v>0.00026378414299821037</v>
      </c>
      <c r="AC240" s="7">
        <f>IFERROR(Y240/X240-1,0)</f>
        <v>0</v>
      </c>
      <c r="AD240" s="7">
        <f>IFERROR((Y240-X240)/Z240,0)</f>
        <v>0</v>
      </c>
      <c r="AE240" s="7">
        <f>AB240+AD240</f>
        <v>0.00026378414299821037</v>
      </c>
      <c r="AF240" s="7">
        <f>(1+Q240)*(1+AE240)-1</f>
        <v>0.010517057556764575</v>
      </c>
      <c r="AG240" s="7">
        <f>G240-AF240</f>
        <v>2.2724877535296173e-16</v>
      </c>
      <c r="AH240" s="5">
        <f>SUM(IF(BQ240="lease",CE240,0),IF(CS240="lease",DG240,0),IF(DU240="lease",EI240,0),IF(EW240="lease",FK240,0),IF(FY240="lease",GM240,0),IF(HA240="lease",HO240,0),IF(IC240="lease",IQ240,0),IF(JE240="lease",JS240,0),IF(KG240="lease",KU240,0),IF(LI240="lease",LW240,0))</f>
        <v>0.020616482607921996</v>
      </c>
      <c r="AI240" s="5">
        <f>SUM(IF(BQ240="keep",CE240,0),IF(CS240="keep",DG240,0),IF(DU240="keep",EI240,0),IF(EW240="keep",FK240,0),IF(FY240="keep",GM240,0),IF(HA240="keep",HO240,0),IF(IC240="keep",IQ240,0),IF(JE240="keep",JS240,0),IF(KG240="keep",KU240,0),IF(LI240="keep",LW240,0))</f>
        <v>0</v>
      </c>
      <c r="AJ240" s="5">
        <f>SUM(IF(BQ240="lease",CH240,0),IF(CS240="lease",DJ240,0),IF(DU240="lease",EL240,0),IF(EW240="lease",FN240,0),IF(FY240="lease",GP240,0),IF(HA240="lease",HR240,0),IF(IC240="lease",IT240,0),IF(JE240="lease",JV240,0),IF(KG240="lease",KX240,0),IF(LI240="lease",LZ240,0))</f>
        <v>0</v>
      </c>
      <c r="AK240" s="5">
        <f>SUM(IF(BQ240="keep",CH240,0),IF(CS240="keep",DJ240,0),IF(DU240="keep",EL240,0),IF(EW240="keep",FN240,0),IF(FY240="keep",GP240,0),IF(HA240="keep",HR240,0),IF(IC240="keep",IT240,0),IF(JE240="keep",JV240,0),IF(KG240="keep",KX240,0),IF(LI240="keep",LZ240,0))</f>
        <v>0</v>
      </c>
      <c r="AL240" s="5">
        <f>R240-S239</f>
        <v>-2.220446049250313e-16</v>
      </c>
      <c r="AM240" s="5">
        <f>T240-U239</f>
        <v>0</v>
      </c>
      <c r="AN240" s="5">
        <f>AN239</f>
        <v>1</v>
      </c>
      <c r="AO240" s="5">
        <f>AO239+AH240</f>
        <v>0.9809064683426696</v>
      </c>
      <c r="AP240" s="5">
        <f>AP239+AL240</f>
        <v>8.881784197001252e-16</v>
      </c>
      <c r="AQ240" s="5">
        <f>AN240+AO240+AP240</f>
        <v>1.9809064683426705</v>
      </c>
      <c r="AR240" s="5">
        <f>S240-AQ240</f>
        <v>-2.220446049250313e-15</v>
      </c>
      <c r="AS240" s="5">
        <f>AS239</f>
        <v>0</v>
      </c>
      <c r="AT240" s="5">
        <f>AT239+AI240</f>
        <v>0</v>
      </c>
      <c r="AU240" s="5">
        <f>AU239+AM240</f>
        <v>0</v>
      </c>
      <c r="AV240" s="5">
        <f>AS240+AT240+AU240</f>
        <v>0</v>
      </c>
      <c r="AW240" s="5">
        <f>U240-AV240</f>
        <v>0</v>
      </c>
      <c r="AX240" s="4">
        <v>1.9602899857347464</v>
      </c>
      <c r="AY240" s="4">
        <v>1.9809064683426685</v>
      </c>
      <c r="AZ240" s="5">
        <f>S240-AY240</f>
        <v>-2.220446049250313e-16</v>
      </c>
      <c r="BA240" s="4">
        <v>0</v>
      </c>
      <c r="BB240" s="4">
        <v>0</v>
      </c>
      <c r="BC240" s="5">
        <f>U240-BB240</f>
        <v>0</v>
      </c>
      <c r="BD240" s="7">
        <f>SUM(IF(BP240="direct",CC240/F240,0),IF(CR240="direct",DE240/F240,0),IF(DT240="direct",EG240/F240,0),IF(EV240="direct",FI240/F240,0),IF(FX240="direct",GK240/F240,0),IF(GZ240="direct",HM240/F240,0),IF(IB240="direct",IO240/F240,0),IF(JD240="direct",JQ240/F240,0),IF(KF240="direct",KS240/F240,0),IF(LH240="direct",LU240/F240,0))</f>
        <v>0.008745652341285371</v>
      </c>
      <c r="BE240" s="7">
        <f>-SUM(IF(BP240="direct",CD240/F240,0),IF(CR240="direct",DF240/F240,0),IF(DT240="direct",EH240/F240,0),IF(EV240="direct",FJ240/F240,0),IF(FX240="direct",GL240/F240,0),IF(GZ240="direct",HN240/F240,0),IF(IB240="direct",IP240/F240,0),IF(JD240="direct",JR240/F240,0),IF(KF240="direct",KT240/F240,0),IF(LH240="direct",LV240/F240,0))</f>
        <v>-0.000005843746389382458</v>
      </c>
      <c r="BF240" s="7">
        <f>BD240+BE240</f>
        <v>0.008739808594895988</v>
      </c>
      <c r="BG240" s="7">
        <f>BF240-SUM(IF(BP240="direct",CP240,0),IF(CR240="direct",DR240,0),IF(DT240="direct",ET240,0),IF(EV240="direct",FV240,0),IF(FX240="direct",GX240,0),IF(GZ240="direct",HZ240,0),IF(IB240="direct",JB240,0),IF(JD240="direct",KD240,0),IF(KF240="direct",LF240,0),IF(LH240="direct",MH240,0))</f>
        <v>6.245004513516506e-17</v>
      </c>
      <c r="BH240" s="7">
        <f>SUM(IF(BP240="treasury",CP240,0),IF(CR240="treasury",DR240,0),IF(DT240="treasury",ET240,0),IF(EV240="treasury",FV240,0),IF(FX240="treasury",GX240,0),IF(GZ240="treasury",HZ240,0),IF(IB240="treasury",JB240,0),IF(JD240="treasury",KD240,0),IF(KF240="treasury",LF240,0),IF(LH240="treasury",MH240,0))</f>
        <v>0.000031454188282582465</v>
      </c>
      <c r="BI240" s="7">
        <f>SUM(IF(BP240="future",CP240,0),IF(CR240="future",DR240,0),IF(DT240="future",ET240,0),IF(EV240="future",FV240,0),IF(FX240="future",GX240,0),IF(GZ240="future",HZ240,0),IF(IB240="future",JB240,0),IF(JD240="future",KD240,0),IF(KF240="future",LF240,0),IF(LH240="future",MH240,0))</f>
        <v>0.0017457947735862937</v>
      </c>
      <c r="BJ240" s="7">
        <f>SUM(IF(BP240="cash",CP240,0),IF(CR240="cash",DR240,0),IF(DT240="cash",ET240,0),IF(EV240="cash",FV240,0),IF(FX240="cash",GX240,0),IF(GZ240="cash",HZ240,0),IF(IB240="cash",JB240,0),IF(JD240="cash",KD240,0),IF(KF240="cash",LF240,0),IF(LH240="cash",MH240,0))</f>
        <v>0</v>
      </c>
      <c r="BK240" s="7">
        <f>SUM(BF240,BH240,BI240,BJ240)</f>
        <v>0.010517057556764802</v>
      </c>
      <c r="BL240" s="7">
        <f>G240-BK240</f>
        <v>0</v>
      </c>
      <c r="BM240" s="5">
        <f>MAX(ABS(CG240),ABS(DI240),ABS(EK240),ABS(FM240),ABS(GO240),ABS(HQ240),ABS(IS240),ABS(JU240),ABS(KW240),ABS(LY240))</f>
        <v>1.244647153354414e-16</v>
      </c>
      <c r="BN240" s="9">
        <f>COUNTA(BO240,CQ240,DS240,EU240,FW240,GY240,IA240,JC240,KE240,LG240)</f>
        <v>5</v>
      </c>
      <c r="BO240" t="inlineStr">
        <is>
          <t xml:space="preserve">Direct commodity holding</t>
        </is>
      </c>
      <c r="BP240" t="inlineStr">
        <is>
          <t xml:space="preserve">direct</t>
        </is>
      </c>
      <c r="BQ240" t="inlineStr">
        <is>
          <t xml:space="preserve">lease</t>
        </is>
      </c>
      <c r="BR240" t="inlineStr">
        <is>
          <t xml:space="preserve">long</t>
        </is>
      </c>
      <c r="BS240"/>
      <c r="BT240" s="4">
        <v>1.756</v>
      </c>
      <c r="BU240" s="4">
        <v>1.774</v>
      </c>
      <c r="BV240" s="6">
        <v>0.0025</v>
      </c>
      <c r="BW240" s="4">
        <v>0.9524452612966305</v>
      </c>
      <c r="BX240" s="5">
        <f>IF(BP240="direct",IFERROR(CD240/BU240,0),0)</f>
        <v>0.000006457405595422787</v>
      </c>
      <c r="BY240" s="5">
        <f>IF(BP240="direct",BW240-BX240,IF(BP240="cash",CI240,BW240))</f>
        <v>0.9524388038910351</v>
      </c>
      <c r="BZ240" s="6">
        <v>0.853186972849839</v>
      </c>
      <c r="CA240" s="4">
        <v>1.6724938788368833</v>
      </c>
      <c r="CB240" s="4">
        <v>1.6724938788368833</v>
      </c>
      <c r="CC240" s="5">
        <f>IF(BP240="direct",BW240*(BU240-BT240),CF240)</f>
        <v>0.017144014703339365</v>
      </c>
      <c r="CD240" s="5">
        <f>IF(BP240="direct",CB240*BV240*C240/365,0)</f>
        <v>0.000011455437526280024</v>
      </c>
      <c r="CE240" s="5">
        <f>CC240-CD240</f>
        <v>0.01713255926581296</v>
      </c>
      <c r="CF240" s="4">
        <v>0.01713255926581296</v>
      </c>
      <c r="CG240" s="5">
        <f>CF240-CE240</f>
        <v>-1.244647153354414e-16</v>
      </c>
      <c r="CH240" s="4">
        <v>0</v>
      </c>
      <c r="CI240" s="4">
        <v>1.6896264381026962</v>
      </c>
      <c r="CJ240" s="4">
        <v>1.756</v>
      </c>
      <c r="CK240" s="4">
        <v>1.774</v>
      </c>
      <c r="CL240" s="6"/>
      <c r="CM240" s="6"/>
      <c r="CN240" s="6"/>
      <c r="CO240" s="9"/>
      <c r="CP240" s="7">
        <f>IFERROR(CE240/F240,0)</f>
        <v>0.008739808594895926</v>
      </c>
      <c r="CQ240" t="inlineStr">
        <is>
          <t xml:space="preserve">Treasury collateral</t>
        </is>
      </c>
      <c r="CR240" t="inlineStr">
        <is>
          <t xml:space="preserve">treasury</t>
        </is>
      </c>
      <c r="CS240" t="inlineStr">
        <is>
          <t xml:space="preserve">lease</t>
        </is>
      </c>
      <c r="CT240" t="inlineStr">
        <is>
          <t xml:space="preserve">long</t>
        </is>
      </c>
      <c r="CU240"/>
      <c r="CV240" s="4">
        <v>106.64229890623828</v>
      </c>
      <c r="CW240" s="4">
        <v>106.66514665356561</v>
      </c>
      <c r="CX240" s="6"/>
      <c r="CY240" s="4">
        <v>0.002698705015266969</v>
      </c>
      <c r="CZ240" s="5">
        <f>IF(CR240="direct",IFERROR(DF240/CW240,0),0)</f>
        <v>0</v>
      </c>
      <c r="DA240" s="5">
        <f>IF(CR240="direct",CY240-CZ240,IF(CR240="cash",DK240,CY240))</f>
        <v>0.002698705015266969</v>
      </c>
      <c r="DB240" s="6">
        <v>0.1468130271501611</v>
      </c>
      <c r="DC240" s="4">
        <v>0.28779610689786445</v>
      </c>
      <c r="DD240" s="4">
        <v>0.28779610689786445</v>
      </c>
      <c r="DE240" s="5">
        <f>IF(CR240="direct",CY240*(CW240-CV240),DH240)</f>
        <v>0.00006165933029982597</v>
      </c>
      <c r="DF240" s="5">
        <f>IF(CR240="direct",DD240*CX240*C240/365,0)</f>
        <v>0</v>
      </c>
      <c r="DG240" s="5">
        <f>DE240-DF240</f>
        <v>0.00006165933029976165</v>
      </c>
      <c r="DH240" s="4">
        <v>0.00006165933029976165</v>
      </c>
      <c r="DI240" s="5">
        <f>DH240-DG240</f>
        <v>-6.432029388270255e-17</v>
      </c>
      <c r="DJ240" s="4">
        <v>7.3075226425523e-17</v>
      </c>
      <c r="DK240" s="4">
        <v>0.2878577662281643</v>
      </c>
      <c r="DL240" s="4">
        <v>1.756</v>
      </c>
      <c r="DM240" s="4">
        <v>1.774</v>
      </c>
      <c r="DN240" s="6"/>
      <c r="DO240" s="6"/>
      <c r="DP240" s="6"/>
      <c r="DQ240" s="9">
        <v>37</v>
      </c>
      <c r="DR240" s="7">
        <f>IFERROR(DG240/F240,0)</f>
        <v>0.000031454188282582465</v>
      </c>
      <c r="DS240" t="inlineStr">
        <is>
          <t xml:space="preserve">SI70F</t>
        </is>
      </c>
      <c r="DT240" t="inlineStr">
        <is>
          <t xml:space="preserve">future</t>
        </is>
      </c>
      <c r="DU240" t="inlineStr">
        <is>
          <t xml:space="preserve">lease</t>
        </is>
      </c>
      <c r="DV240" t="inlineStr">
        <is>
          <t xml:space="preserve">long</t>
        </is>
      </c>
      <c r="DW240" t="inlineStr">
        <is>
          <t xml:space="preserve">regular</t>
        </is>
      </c>
      <c r="DX240" s="4">
        <v>1.766</v>
      </c>
      <c r="DY240" s="4">
        <v>1.787</v>
      </c>
      <c r="DZ240" s="6"/>
      <c r="EA240" s="4">
        <v>0.1629649529432981</v>
      </c>
      <c r="EB240" s="5">
        <f>IF(DT240="direct",IFERROR(EH240/DY240,0),0)</f>
        <v>0</v>
      </c>
      <c r="EC240" s="5">
        <f>IF(DT240="direct",EA240-EB240,IF(DT240="cash",EM240,EA240))</f>
        <v>0.1629649529432981</v>
      </c>
      <c r="ED240" s="6">
        <v>0.1468130271501611</v>
      </c>
      <c r="EE240" s="4">
        <v>0.28779610689786445</v>
      </c>
      <c r="EF240" s="4">
        <v>0</v>
      </c>
      <c r="EG240" s="5">
        <f>IF(DT240="direct",EA240*(DY240-DX240),EJ240)</f>
        <v>0.003422264011809273</v>
      </c>
      <c r="EH240" s="5">
        <f>IF(DT240="direct",EF240*DZ240*C240/365,0)</f>
        <v>0</v>
      </c>
      <c r="EI240" s="5">
        <f>EG240-EH240</f>
        <v>0.003422264011809273</v>
      </c>
      <c r="EJ240" s="4">
        <v>0.003422264011809273</v>
      </c>
      <c r="EK240" s="5">
        <f>EJ240-EI240</f>
        <v>0</v>
      </c>
      <c r="EL240" s="4">
        <v>-0.003422264011809273</v>
      </c>
      <c r="EM240" s="4">
        <v>0</v>
      </c>
      <c r="EN240" s="4">
        <v>1.756</v>
      </c>
      <c r="EO240" s="4">
        <v>1.774</v>
      </c>
      <c r="EP240" s="6">
        <v>0.005694760820045497</v>
      </c>
      <c r="EQ240" s="6">
        <v>0.0782</v>
      </c>
      <c r="ER240" s="6">
        <v>0.022021954072524164</v>
      </c>
      <c r="ES240" s="9">
        <v>37</v>
      </c>
      <c r="ET240" s="7">
        <f>IFERROR(EI240/F240,0)</f>
        <v>0.0017457947735862937</v>
      </c>
      <c r="EU240" t="inlineStr">
        <is>
          <t xml:space="preserve">Lease cash / margin / financing</t>
        </is>
      </c>
      <c r="EV240" t="inlineStr">
        <is>
          <t xml:space="preserve">cash</t>
        </is>
      </c>
      <c r="EW240" t="inlineStr">
        <is>
          <t xml:space="preserve">lease</t>
        </is>
      </c>
      <c r="EX240" t="inlineStr">
        <is>
          <t xml:space="preserve">cash</t>
        </is>
      </c>
      <c r="EY240"/>
      <c r="EZ240" s="4">
        <v>1</v>
      </c>
      <c r="FA240" s="4">
        <v>1</v>
      </c>
      <c r="FB240" s="6"/>
      <c r="FC240" s="4">
        <v>-1.3322676295501878e-15</v>
      </c>
      <c r="FD240" s="5">
        <f>IF(EV240="direct",IFERROR(FJ240/FA240,0),0)</f>
        <v>0</v>
      </c>
      <c r="FE240" s="5">
        <f>IF(EV240="direct",FC240-FD240,IF(EV240="cash",FO240,FC240))</f>
        <v>0.0034222640118078676</v>
      </c>
      <c r="FF240" s="6"/>
      <c r="FG240" s="4">
        <v>-1.3322676295501878e-15</v>
      </c>
      <c r="FH240" s="4">
        <v>-1.3322676295501878e-15</v>
      </c>
      <c r="FI240" s="5">
        <f>IF(EV240="direct",FC240*(FA240-EZ240),FL240)</f>
        <v>0</v>
      </c>
      <c r="FJ240" s="5">
        <f>IF(EV240="direct",FH240*FB240*C240/365,0)</f>
        <v>0</v>
      </c>
      <c r="FK240" s="5">
        <f>FI240-FJ240</f>
        <v>0</v>
      </c>
      <c r="FL240" s="4">
        <v>0</v>
      </c>
      <c r="FM240" s="5">
        <f>FL240-FK240</f>
        <v>0</v>
      </c>
      <c r="FN240" s="4">
        <v>0.0034222640118092</v>
      </c>
      <c r="FO240" s="4">
        <v>0.0034222640118078676</v>
      </c>
      <c r="FP240" s="4">
        <v>1.756</v>
      </c>
      <c r="FQ240" s="4">
        <v>1.774</v>
      </c>
      <c r="FR240" s="6"/>
      <c r="FS240" s="6"/>
      <c r="FT240" s="6"/>
      <c r="FU240" s="9"/>
      <c r="FV240" s="7">
        <f>IFERROR(FK240/F240,0)</f>
        <v>0</v>
      </c>
      <c r="FW240" t="inlineStr">
        <is>
          <t xml:space="preserve">Keep cash / margin / financing</t>
        </is>
      </c>
      <c r="FX240" t="inlineStr">
        <is>
          <t xml:space="preserve">cash</t>
        </is>
      </c>
      <c r="FY240" t="inlineStr">
        <is>
          <t xml:space="preserve">keep</t>
        </is>
      </c>
      <c r="FZ240" t="inlineStr">
        <is>
          <t xml:space="preserve">cash</t>
        </is>
      </c>
      <c r="GA240"/>
      <c r="GB240" s="4">
        <v>1</v>
      </c>
      <c r="GC240" s="4">
        <v>1</v>
      </c>
      <c r="GD240" s="6"/>
      <c r="GE240" s="4">
        <v>0</v>
      </c>
      <c r="GF240" s="5">
        <f>IF(FX240="direct",IFERROR(GL240/GC240,0),0)</f>
        <v>0</v>
      </c>
      <c r="GG240" s="5">
        <f>IF(FX240="direct",GE240-GF240,IF(FX240="cash",GQ240,GE240))</f>
        <v>0</v>
      </c>
      <c r="GH240" s="6"/>
      <c r="GI240" s="4">
        <v>0</v>
      </c>
      <c r="GJ240" s="4">
        <v>0</v>
      </c>
      <c r="GK240" s="5">
        <f>IF(FX240="direct",GE240*(GC240-GB240),GN240)</f>
        <v>0</v>
      </c>
      <c r="GL240" s="5">
        <f>IF(FX240="direct",GJ240*GD240*C240/365,0)</f>
        <v>0</v>
      </c>
      <c r="GM240" s="5">
        <f>GK240-GL240</f>
        <v>0</v>
      </c>
      <c r="GN240" s="4">
        <v>0</v>
      </c>
      <c r="GO240" s="5">
        <f>GN240-GM240</f>
        <v>0</v>
      </c>
      <c r="GP240" s="4">
        <v>0</v>
      </c>
      <c r="GQ240" s="4">
        <v>0</v>
      </c>
      <c r="GR240" s="4">
        <v>1.756</v>
      </c>
      <c r="GS240" s="4">
        <v>1.774</v>
      </c>
      <c r="GT240" s="6"/>
      <c r="GU240" s="6"/>
      <c r="GV240" s="6"/>
      <c r="GW240" s="9"/>
      <c r="GX240" s="7">
        <f>IFERROR(GM240/F240,0)</f>
        <v>0</v>
      </c>
      <c r="GY240"/>
      <c r="GZ240"/>
      <c r="HA240"/>
      <c r="HB240"/>
      <c r="HC240"/>
      <c r="HD240" s="4"/>
      <c r="HE240" s="4"/>
      <c r="HF240" s="6"/>
      <c r="HG240" s="4"/>
      <c r="HH240" s="5">
        <v>0</v>
      </c>
      <c r="HI240" s="5"/>
      <c r="HJ240" s="6"/>
      <c r="HK240" s="4"/>
      <c r="HL240" s="4"/>
      <c r="HM240" s="5">
        <v>0</v>
      </c>
      <c r="HN240" s="5">
        <v>0</v>
      </c>
      <c r="HO240" s="5"/>
      <c r="HP240" s="4"/>
      <c r="HQ240" s="5">
        <v>0</v>
      </c>
      <c r="HR240" s="4"/>
      <c r="HS240" s="4"/>
      <c r="HT240" s="4"/>
      <c r="HU240" s="4"/>
      <c r="HV240" s="6"/>
      <c r="HW240" s="6"/>
      <c r="HX240" s="6"/>
      <c r="HY240" s="9"/>
      <c r="HZ240"/>
      <c r="IA240"/>
      <c r="IB240"/>
      <c r="IC240"/>
      <c r="ID240"/>
      <c r="IE240"/>
      <c r="IF240" s="4"/>
      <c r="IG240" s="4"/>
      <c r="IH240" s="6"/>
      <c r="II240" s="4"/>
      <c r="IJ240" s="5">
        <v>0</v>
      </c>
      <c r="IK240" s="5"/>
      <c r="IL240" s="6"/>
      <c r="IM240" s="4"/>
      <c r="IN240" s="4"/>
      <c r="IO240" s="5">
        <v>0</v>
      </c>
      <c r="IP240" s="5">
        <v>0</v>
      </c>
      <c r="IQ240" s="5"/>
      <c r="IR240" s="4"/>
      <c r="IS240" s="5">
        <v>0</v>
      </c>
      <c r="IT240" s="4"/>
      <c r="IU240" s="4"/>
      <c r="IV240" s="4"/>
      <c r="IW240" s="4"/>
      <c r="IX240" s="6"/>
      <c r="IY240" s="6"/>
      <c r="IZ240" s="6"/>
      <c r="JA240" s="9"/>
      <c r="JB240"/>
      <c r="JC240"/>
      <c r="JD240"/>
      <c r="JE240"/>
      <c r="JF240"/>
      <c r="JG240"/>
      <c r="JH240" s="4"/>
      <c r="JI240" s="4"/>
      <c r="JJ240" s="6"/>
      <c r="JK240" s="4"/>
      <c r="JL240" s="5">
        <v>0</v>
      </c>
      <c r="JM240" s="5"/>
      <c r="JN240" s="6"/>
      <c r="JO240" s="4"/>
      <c r="JP240" s="4"/>
      <c r="JQ240" s="5">
        <v>0</v>
      </c>
      <c r="JR240" s="5">
        <v>0</v>
      </c>
      <c r="JS240" s="5"/>
      <c r="JT240" s="4"/>
      <c r="JU240" s="5">
        <v>0</v>
      </c>
      <c r="JV240" s="4"/>
      <c r="JW240" s="4"/>
      <c r="JX240" s="4"/>
      <c r="JY240" s="4"/>
      <c r="JZ240" s="6"/>
      <c r="KA240" s="6"/>
      <c r="KB240" s="6"/>
      <c r="KC240" s="9"/>
      <c r="KD240"/>
      <c r="KE240"/>
      <c r="KF240"/>
      <c r="KG240"/>
      <c r="KH240"/>
      <c r="KI240"/>
      <c r="KJ240" s="4"/>
      <c r="KK240" s="4"/>
      <c r="KL240" s="6"/>
      <c r="KM240" s="4"/>
      <c r="KN240" s="5">
        <v>0</v>
      </c>
      <c r="KO240" s="5"/>
      <c r="KP240" s="6"/>
      <c r="KQ240" s="4"/>
      <c r="KR240" s="4"/>
      <c r="KS240" s="5">
        <v>0</v>
      </c>
      <c r="KT240" s="5">
        <v>0</v>
      </c>
      <c r="KU240" s="5"/>
      <c r="KV240" s="4"/>
      <c r="KW240" s="5">
        <v>0</v>
      </c>
      <c r="KX240" s="4"/>
      <c r="KY240" s="4"/>
      <c r="KZ240" s="4"/>
      <c r="LA240" s="4"/>
      <c r="LB240" s="6"/>
      <c r="LC240" s="6"/>
      <c r="LD240" s="6"/>
      <c r="LE240" s="9"/>
      <c r="LF240"/>
      <c r="LG240"/>
      <c r="LH240"/>
      <c r="LI240"/>
      <c r="LJ240"/>
      <c r="LK240"/>
      <c r="LL240" s="4"/>
      <c r="LM240" s="4"/>
      <c r="LN240" s="6"/>
      <c r="LO240" s="4"/>
      <c r="LP240" s="5">
        <v>0</v>
      </c>
      <c r="LQ240" s="5"/>
      <c r="LR240" s="6"/>
      <c r="LS240" s="4"/>
      <c r="LT240" s="4"/>
      <c r="LU240" s="5">
        <v>0</v>
      </c>
      <c r="LV240" s="5">
        <v>0</v>
      </c>
      <c r="LW240" s="5"/>
      <c r="LX240" s="4"/>
      <c r="LY240" s="5">
        <v>0</v>
      </c>
      <c r="LZ240" s="4"/>
      <c r="MA240" s="4"/>
      <c r="MB240" s="4"/>
      <c r="MC240" s="4"/>
      <c r="MD240" s="6"/>
      <c r="ME240" s="6"/>
      <c r="MF240" s="6"/>
      <c r="MG240" s="9"/>
      <c r="MH240"/>
    </row>
    <row r="241">
      <c r="A241" s="8">
        <v>25560</v>
      </c>
      <c r="B241" s="8">
        <v>25561</v>
      </c>
      <c r="C241" s="9">
        <f>B241-A241</f>
        <v>1</v>
      </c>
      <c r="D241" s="8">
        <v>25560</v>
      </c>
      <c r="E241" t="inlineStr">
        <is>
          <t xml:space="preserve">positive</t>
        </is>
      </c>
      <c r="F241" s="4">
        <v>1.9809064683426698</v>
      </c>
      <c r="G241" s="6">
        <v>0.014146901648061877</v>
      </c>
      <c r="H241" s="7">
        <f>SUM(CP241,DR241,ET241,FV241,GX241,HZ241,JB241,KD241,LF241,MH241)</f>
        <v>0.014146901648061878</v>
      </c>
      <c r="I241" s="7">
        <f>G241-H241</f>
        <v>-1.734723475976807e-18</v>
      </c>
      <c r="J241" s="5">
        <f>F241*(1+H241)</f>
        <v>2.0089301573243232</v>
      </c>
      <c r="K241" s="4">
        <v>2.0089301573243232</v>
      </c>
      <c r="L241" s="5">
        <f>K241-J241</f>
        <v>0</v>
      </c>
      <c r="M241" s="4">
        <v>1.774</v>
      </c>
      <c r="N241" s="4">
        <v>1.799</v>
      </c>
      <c r="O241" s="5">
        <f>M241/$M$3</f>
        <v>0.906026557711951</v>
      </c>
      <c r="P241" s="5">
        <f>N241/$M$3</f>
        <v>0.9187946884576098</v>
      </c>
      <c r="Q241" s="7">
        <f>IFERROR(N241/M241-1,0)</f>
        <v>0.014092446448703555</v>
      </c>
      <c r="R241" s="5">
        <f>SUM(IF(BQ241="lease",CB241,0),IF(CS241="lease",DD241,0),IF(DU241="lease",EF241,0),IF(EW241="lease",FH241,0),IF(FY241="lease",GJ241,0),IF(HA241="lease",HL241,0),IF(IC241="lease",IN241,0),IF(JE241="lease",JP241,0),IF(KG241="lease",KR241,0),IF(LI241="lease",LT241,0))</f>
        <v>1.9809064683426685</v>
      </c>
      <c r="S241" s="5">
        <f>SUM(IF(BQ241="lease",CI241,0),IF(CS241="lease",DK241,0),IF(DU241="lease",EM241,0),IF(EW241="lease",FO241,0),IF(FY241="lease",GQ241,0),IF(HA241="lease",HS241,0),IF(IC241="lease",IU241,0),IF(JE241="lease",JW241,0),IF(KG241="lease",KY241,0),IF(LI241="lease",MA241,0))</f>
        <v>2.008930157324322</v>
      </c>
      <c r="T241" s="5">
        <f>SUM(IF(BQ241="keep",CB241,0),IF(CS241="keep",DD241,0),IF(DU241="keep",EF241,0),IF(EW241="keep",FH241,0),IF(FY241="keep",GJ241,0),IF(HA241="keep",HL241,0),IF(IC241="keep",IN241,0),IF(JE241="keep",JP241,0),IF(KG241="keep",KR241,0),IF(LI241="keep",LT241,0))</f>
        <v>0</v>
      </c>
      <c r="U241" s="5">
        <f>SUM(IF(BQ241="keep",CI241,0),IF(CS241="keep",DK241,0),IF(DU241="keep",EM241,0),IF(EW241="keep",FO241,0),IF(FY241="keep",GQ241,0),IF(HA241="keep",HS241,0),IF(IC241="keep",IU241,0),IF(JE241="keep",JW241,0),IF(KG241="keep",KY241,0),IF(LI241="keep",MA241,0))</f>
        <v>0</v>
      </c>
      <c r="V241" s="5">
        <f>R241/O241</f>
        <v>2.186366891214738</v>
      </c>
      <c r="W241" s="5">
        <f>S241/P241</f>
        <v>2.1864842957426474</v>
      </c>
      <c r="X241" s="5">
        <f>T241/O241</f>
        <v>0</v>
      </c>
      <c r="Y241" s="5">
        <f>U241/P241</f>
        <v>0</v>
      </c>
      <c r="Z241" s="5">
        <f>V241+X241</f>
        <v>2.186366891214738</v>
      </c>
      <c r="AA241" s="7">
        <f>IFERROR(W241/V241-1,0)</f>
        <v>0.000053698456732531596</v>
      </c>
      <c r="AB241" s="7">
        <f>IFERROR((W241-V241)/Z241,0)</f>
        <v>0.0000536984567325228</v>
      </c>
      <c r="AC241" s="7">
        <f>IFERROR(Y241/X241-1,0)</f>
        <v>0</v>
      </c>
      <c r="AD241" s="7">
        <f>IFERROR((Y241-X241)/Z241,0)</f>
        <v>0</v>
      </c>
      <c r="AE241" s="7">
        <f>AB241+AD241</f>
        <v>0.0000536984567325228</v>
      </c>
      <c r="AF241" s="7">
        <f>(1+Q241)*(1+AE241)-1</f>
        <v>0.014146901648061982</v>
      </c>
      <c r="AG241" s="7">
        <f>G241-AF241</f>
        <v>-1.0581813203458523e-16</v>
      </c>
      <c r="AH241" s="5">
        <f>SUM(IF(BQ241="lease",CE241,0),IF(CS241="lease",DG241,0),IF(DU241="lease",EI241,0),IF(EW241="lease",FK241,0),IF(FY241="lease",GM241,0),IF(HA241="lease",HO241,0),IF(IC241="lease",IQ241,0),IF(JE241="lease",JS241,0),IF(KG241="lease",KU241,0),IF(LI241="lease",LW241,0))</f>
        <v>0.02802368898165335</v>
      </c>
      <c r="AI241" s="5">
        <f>SUM(IF(BQ241="keep",CE241,0),IF(CS241="keep",DG241,0),IF(DU241="keep",EI241,0),IF(EW241="keep",FK241,0),IF(FY241="keep",GM241,0),IF(HA241="keep",HO241,0),IF(IC241="keep",IQ241,0),IF(JE241="keep",JS241,0),IF(KG241="keep",KU241,0),IF(LI241="keep",LW241,0))</f>
        <v>0</v>
      </c>
      <c r="AJ241" s="5">
        <f>SUM(IF(BQ241="lease",CH241,0),IF(CS241="lease",DJ241,0),IF(DU241="lease",EL241,0),IF(EW241="lease",FN241,0),IF(FY241="lease",GP241,0),IF(HA241="lease",HR241,0),IF(IC241="lease",IT241,0),IF(JE241="lease",JV241,0),IF(KG241="lease",KX241,0),IF(LI241="lease",LZ241,0))</f>
        <v>0</v>
      </c>
      <c r="AK241" s="5">
        <f>SUM(IF(BQ241="keep",CH241,0),IF(CS241="keep",DJ241,0),IF(DU241="keep",EL241,0),IF(EW241="keep",FN241,0),IF(FY241="keep",GP241,0),IF(HA241="keep",HR241,0),IF(IC241="keep",IT241,0),IF(JE241="keep",JV241,0),IF(KG241="keep",KX241,0),IF(LI241="keep",LZ241,0))</f>
        <v>0</v>
      </c>
      <c r="AL241" s="5">
        <f>R241-S240</f>
        <v>2.220446049250313e-16</v>
      </c>
      <c r="AM241" s="5">
        <f>T241-U240</f>
        <v>0</v>
      </c>
      <c r="AN241" s="5">
        <f>AN240</f>
        <v>1</v>
      </c>
      <c r="AO241" s="5">
        <f>AO240+AH241</f>
        <v>1.008930157324323</v>
      </c>
      <c r="AP241" s="5">
        <f>AP240+AL241</f>
        <v>1.1102230246251565e-15</v>
      </c>
      <c r="AQ241" s="5">
        <f>AN241+AO241+AP241</f>
        <v>2.0089301573243237</v>
      </c>
      <c r="AR241" s="5">
        <f>S241-AQ241</f>
        <v>-1.7763568394002505e-15</v>
      </c>
      <c r="AS241" s="5">
        <f>AS240</f>
        <v>0</v>
      </c>
      <c r="AT241" s="5">
        <f>AT240+AI241</f>
        <v>0</v>
      </c>
      <c r="AU241" s="5">
        <f>AU240+AM241</f>
        <v>0</v>
      </c>
      <c r="AV241" s="5">
        <f>AS241+AT241+AU241</f>
        <v>0</v>
      </c>
      <c r="AW241" s="5">
        <f>U241-AV241</f>
        <v>0</v>
      </c>
      <c r="AX241" s="4">
        <v>1.9809064683426685</v>
      </c>
      <c r="AY241" s="4">
        <v>2.008930157324322</v>
      </c>
      <c r="AZ241" s="5">
        <f>S241-AY241</f>
        <v>0</v>
      </c>
      <c r="BA241" s="4">
        <v>0</v>
      </c>
      <c r="BB241" s="4">
        <v>0</v>
      </c>
      <c r="BC241" s="5">
        <f>U241-BB241</f>
        <v>0</v>
      </c>
      <c r="BD241" s="7">
        <f>SUM(IF(BP241="direct",CC241/F241,0),IF(CR241="direct",DE241/F241,0),IF(DT241="direct",EG241/F241,0),IF(EV241="direct",FI241/F241,0),IF(FX241="direct",GK241/F241,0),IF(GZ241="direct",HM241/F241,0),IF(IB241="direct",IO241/F241,0),IF(JD241="direct",JQ241/F241,0),IF(KF241="direct",KS241/F241,0),IF(LH241="direct",LU241/F241,0))</f>
        <v>0.013725902793341798</v>
      </c>
      <c r="BE241" s="7">
        <f>-SUM(IF(BP241="direct",CD241/F241,0),IF(CR241="direct",DF241/F241,0),IF(DT241="direct",EH241/F241,0),IF(EV241="direct",FJ241/F241,0),IF(FX241="direct",GL241/F241,0),IF(GZ241="direct",HN241/F241,0),IF(IB241="direct",IP241/F241,0),IF(JD241="direct",JR241/F241,0),IF(KF241="direct",KT241/F241,0),IF(LH241="direct",LV241/F241,0))</f>
        <v>-0.000006671164809695462</v>
      </c>
      <c r="BF241" s="7">
        <f>BD241+BE241</f>
        <v>0.013719231628532103</v>
      </c>
      <c r="BG241" s="7">
        <f>BF241-SUM(IF(BP241="direct",CP241,0),IF(CR241="direct",DR241,0),IF(DT241="direct",ET241,0),IF(EV241="direct",FV241,0),IF(FX241="direct",GX241,0),IF(GZ241="direct",HZ241,0),IF(IB241="direct",JB241,0),IF(JD241="direct",KD241,0),IF(KF241="direct",LF241,0),IF(LH241="direct",MH241,0))</f>
        <v>-1.0581813203458523e-16</v>
      </c>
      <c r="BH241" s="7">
        <f>SUM(IF(BP241="treasury",CP241,0),IF(CR241="treasury",DR241,0),IF(DT241="treasury",ET241,0),IF(EV241="treasury",FV241,0),IF(FX241="treasury",GX241,0),IF(GZ241="treasury",HZ241,0),IF(IB241="treasury",JB241,0),IF(JD241="treasury",KD241,0),IF(KF241="treasury",LF241,0),IF(LH241="treasury",MH241,0))</f>
        <v>0.000005572540095191708</v>
      </c>
      <c r="BI241" s="7">
        <f>SUM(IF(BP241="future",CP241,0),IF(CR241="future",DR241,0),IF(DT241="future",ET241,0),IF(EV241="future",FV241,0),IF(FX241="future",GX241,0),IF(GZ241="future",HZ241,0),IF(IB241="future",JB241,0),IF(JD241="future",KD241,0),IF(KF241="future",LF241,0),IF(LH241="future",MH241,0))</f>
        <v>0.00042209747943447706</v>
      </c>
      <c r="BJ241" s="7">
        <f>SUM(IF(BP241="cash",CP241,0),IF(CR241="cash",DR241,0),IF(DT241="cash",ET241,0),IF(EV241="cash",FV241,0),IF(FX241="cash",GX241,0),IF(GZ241="cash",HZ241,0),IF(IB241="cash",JB241,0),IF(JD241="cash",KD241,0),IF(KF241="cash",LF241,0),IF(LH241="cash",MH241,0))</f>
        <v>0</v>
      </c>
      <c r="BK241" s="7">
        <f>SUM(BF241,BH241,BI241,BJ241)</f>
        <v>0.014146901648061877</v>
      </c>
      <c r="BL241" s="7">
        <f>G241-BK241</f>
        <v>0</v>
      </c>
      <c r="BM241" s="5">
        <f>MAX(ABS(CG241),ABS(DI241),ABS(EK241),ABS(FM241),ABS(GO241),ABS(HQ241),ABS(IS241),ABS(JU241),ABS(KW241),ABS(LY241))</f>
        <v>2.0993203377929481e-16</v>
      </c>
      <c r="BN241" s="9">
        <f>COUNTA(BO241,CQ241,DS241,EU241,FW241,GY241,IA241,JC241,KE241,LG241)</f>
        <v>5</v>
      </c>
      <c r="BO241" t="inlineStr">
        <is>
          <t xml:space="preserve">Direct commodity holding</t>
        </is>
      </c>
      <c r="BP241" t="inlineStr">
        <is>
          <t xml:space="preserve">direct</t>
        </is>
      </c>
      <c r="BQ241" t="inlineStr">
        <is>
          <t xml:space="preserve">lease</t>
        </is>
      </c>
      <c r="BR241" t="inlineStr">
        <is>
          <t xml:space="preserve">long</t>
        </is>
      </c>
      <c r="BS241"/>
      <c r="BT241" s="4">
        <v>1.774</v>
      </c>
      <c r="BU241" s="4">
        <v>1.799</v>
      </c>
      <c r="BV241" s="6">
        <v>0.0025</v>
      </c>
      <c r="BW241" s="4">
        <v>1.0875891850869435</v>
      </c>
      <c r="BX241" s="5">
        <f>IF(BP241="direct",IFERROR(CD241/BU241,0),0)</f>
        <v>0.000007345721802615751</v>
      </c>
      <c r="BY241" s="5">
        <f>IF(BP241="direct",BW241-BX241,IF(BP241="cash",CI241,BW241))</f>
        <v>1.0875818393651409</v>
      </c>
      <c r="BZ241" s="6">
        <v>0.9739900622155375</v>
      </c>
      <c r="CA241" s="4">
        <v>1.9293832143442375</v>
      </c>
      <c r="CB241" s="4">
        <v>1.9293832143442375</v>
      </c>
      <c r="CC241" s="5">
        <f>IF(BP241="direct",BW241*(BU241-BT241),CF241)</f>
        <v>0.02718972962717349</v>
      </c>
      <c r="CD241" s="5">
        <f>IF(BP241="direct",CB241*BV241*C241/365,0)</f>
        <v>0.000013214953522905737</v>
      </c>
      <c r="CE241" s="5">
        <f>CC241-CD241</f>
        <v>0.027176514673650794</v>
      </c>
      <c r="CF241" s="4">
        <v>0.027176514673650794</v>
      </c>
      <c r="CG241" s="5">
        <f>CF241-CE241</f>
        <v>2.0993203377929481e-16</v>
      </c>
      <c r="CH241" s="4">
        <v>0</v>
      </c>
      <c r="CI241" s="4">
        <v>1.9565597290178884</v>
      </c>
      <c r="CJ241" s="4">
        <v>1.774</v>
      </c>
      <c r="CK241" s="4">
        <v>1.799</v>
      </c>
      <c r="CL241" s="6"/>
      <c r="CM241" s="6"/>
      <c r="CN241" s="6"/>
      <c r="CO241" s="9"/>
      <c r="CP241" s="7">
        <f>IFERROR(CE241/F241,0)</f>
        <v>0.013719231628532209</v>
      </c>
      <c r="CQ241" t="inlineStr">
        <is>
          <t xml:space="preserve">Treasury collateral</t>
        </is>
      </c>
      <c r="CR241" t="inlineStr">
        <is>
          <t xml:space="preserve">treasury</t>
        </is>
      </c>
      <c r="CS241" t="inlineStr">
        <is>
          <t xml:space="preserve">lease</t>
        </is>
      </c>
      <c r="CT241" t="inlineStr">
        <is>
          <t xml:space="preserve">long</t>
        </is>
      </c>
      <c r="CU241"/>
      <c r="CV241" s="4">
        <v>106.66514665356561</v>
      </c>
      <c r="CW241" s="4">
        <v>106.68799929594455</v>
      </c>
      <c r="CX241" s="6"/>
      <c r="CY241" s="4">
        <v>0.0004830373895774323</v>
      </c>
      <c r="CZ241" s="5">
        <f>IF(CR241="direct",IFERROR(DF241/CW241,0),0)</f>
        <v>0</v>
      </c>
      <c r="DA241" s="5">
        <f>IF(CR241="direct",CY241-CZ241,IF(CR241="cash",DK241,CY241))</f>
        <v>0.0004830373895774323</v>
      </c>
      <c r="DB241" s="6">
        <v>0.02600993778446257</v>
      </c>
      <c r="DC241" s="4">
        <v>0.05152325399843232</v>
      </c>
      <c r="DD241" s="4">
        <v>0.05152325399843232</v>
      </c>
      <c r="DE241" s="5">
        <f>IF(CR241="direct",CY241*(CW241-CV241),DH241)</f>
        <v>0.000011038680719667915</v>
      </c>
      <c r="DF241" s="5">
        <f>IF(CR241="direct",DD241*CX241*C241/365,0)</f>
        <v>0</v>
      </c>
      <c r="DG241" s="5">
        <f>DE241-DF241</f>
        <v>0.00001103868071966413</v>
      </c>
      <c r="DH241" s="4">
        <v>0.00001103868071966413</v>
      </c>
      <c r="DI241" s="5">
        <f>DH241-DG241</f>
        <v>-3.784543208332214e-18</v>
      </c>
      <c r="DJ241" s="4">
        <v>1.9413995151068564e-18</v>
      </c>
      <c r="DK241" s="4">
        <v>0.05153429267915199</v>
      </c>
      <c r="DL241" s="4">
        <v>1.774</v>
      </c>
      <c r="DM241" s="4">
        <v>1.799</v>
      </c>
      <c r="DN241" s="6"/>
      <c r="DO241" s="6"/>
      <c r="DP241" s="6"/>
      <c r="DQ241" s="9">
        <v>36</v>
      </c>
      <c r="DR241" s="7">
        <f>IFERROR(DG241/F241,0)</f>
        <v>0.000005572540095191708</v>
      </c>
      <c r="DS241" t="inlineStr">
        <is>
          <t xml:space="preserve">SI70F</t>
        </is>
      </c>
      <c r="DT241" t="inlineStr">
        <is>
          <t xml:space="preserve">future</t>
        </is>
      </c>
      <c r="DU241" t="inlineStr">
        <is>
          <t xml:space="preserve">lease</t>
        </is>
      </c>
      <c r="DV241" t="inlineStr">
        <is>
          <t xml:space="preserve">long</t>
        </is>
      </c>
      <c r="DW241" t="inlineStr">
        <is>
          <t xml:space="preserve">regular</t>
        </is>
      </c>
      <c r="DX241" s="4">
        <v>1.787</v>
      </c>
      <c r="DY241" s="4">
        <v>1.8159999999999998</v>
      </c>
      <c r="DZ241" s="6"/>
      <c r="EA241" s="4">
        <v>0.02883226300975508</v>
      </c>
      <c r="EB241" s="5">
        <f>IF(DT241="direct",IFERROR(EH241/DY241,0),0)</f>
        <v>0</v>
      </c>
      <c r="EC241" s="5">
        <f>IF(DT241="direct",EA241-EB241,IF(DT241="cash",EM241,EA241))</f>
        <v>0.02883226300975508</v>
      </c>
      <c r="ED241" s="6">
        <v>0.02600993778446257</v>
      </c>
      <c r="EE241" s="4">
        <v>0.05152325399843232</v>
      </c>
      <c r="EF241" s="4">
        <v>0</v>
      </c>
      <c r="EG241" s="5">
        <f>IF(DT241="direct",EA241*(DY241-DX241),EJ241)</f>
        <v>0.0008361356272828926</v>
      </c>
      <c r="EH241" s="5">
        <f>IF(DT241="direct",EF241*DZ241*C241/365,0)</f>
        <v>0</v>
      </c>
      <c r="EI241" s="5">
        <f>EG241-EH241</f>
        <v>0.0008361356272828926</v>
      </c>
      <c r="EJ241" s="4">
        <v>0.0008361356272828926</v>
      </c>
      <c r="EK241" s="5">
        <f>EJ241-EI241</f>
        <v>0</v>
      </c>
      <c r="EL241" s="4">
        <v>-0.0008361356272828926</v>
      </c>
      <c r="EM241" s="4">
        <v>0</v>
      </c>
      <c r="EN241" s="4">
        <v>1.774</v>
      </c>
      <c r="EO241" s="4">
        <v>1.799</v>
      </c>
      <c r="EP241" s="6">
        <v>0.00732807215332576</v>
      </c>
      <c r="EQ241" s="6">
        <v>0.0782</v>
      </c>
      <c r="ER241" s="6">
        <v>0.0039014906676693856</v>
      </c>
      <c r="ES241" s="9">
        <v>36</v>
      </c>
      <c r="ET241" s="7">
        <f>IFERROR(EI241/F241,0)</f>
        <v>0.00042209747943447706</v>
      </c>
      <c r="EU241" t="inlineStr">
        <is>
          <t xml:space="preserve">Lease cash / margin / financing</t>
        </is>
      </c>
      <c r="EV241" t="inlineStr">
        <is>
          <t xml:space="preserve">cash</t>
        </is>
      </c>
      <c r="EW241" t="inlineStr">
        <is>
          <t xml:space="preserve">lease</t>
        </is>
      </c>
      <c r="EX241" t="inlineStr">
        <is>
          <t xml:space="preserve">cash</t>
        </is>
      </c>
      <c r="EY241"/>
      <c r="EZ241" s="4">
        <v>1</v>
      </c>
      <c r="FA241" s="4">
        <v>1</v>
      </c>
      <c r="FB241" s="6"/>
      <c r="FC241" s="4">
        <v>-1.3322676295501878e-15</v>
      </c>
      <c r="FD241" s="5">
        <f>IF(EV241="direct",IFERROR(FJ241/FA241,0),0)</f>
        <v>0</v>
      </c>
      <c r="FE241" s="5">
        <f>IF(EV241="direct",FC241-FD241,IF(EV241="cash",FO241,FC241))</f>
        <v>0.0008361356272815584</v>
      </c>
      <c r="FF241" s="6"/>
      <c r="FG241" s="4">
        <v>-1.3322676295501878e-15</v>
      </c>
      <c r="FH241" s="4">
        <v>-1.3322676295501878e-15</v>
      </c>
      <c r="FI241" s="5">
        <f>IF(EV241="direct",FC241*(FA241-EZ241),FL241)</f>
        <v>0</v>
      </c>
      <c r="FJ241" s="5">
        <f>IF(EV241="direct",FH241*FB241*C241/365,0)</f>
        <v>0</v>
      </c>
      <c r="FK241" s="5">
        <f>FI241-FJ241</f>
        <v>0</v>
      </c>
      <c r="FL241" s="4">
        <v>0</v>
      </c>
      <c r="FM241" s="5">
        <f>FL241-FK241</f>
        <v>0</v>
      </c>
      <c r="FN241" s="4">
        <v>0.0008361356272828907</v>
      </c>
      <c r="FO241" s="4">
        <v>0.0008361356272815584</v>
      </c>
      <c r="FP241" s="4">
        <v>1.774</v>
      </c>
      <c r="FQ241" s="4">
        <v>1.799</v>
      </c>
      <c r="FR241" s="6"/>
      <c r="FS241" s="6"/>
      <c r="FT241" s="6"/>
      <c r="FU241" s="9"/>
      <c r="FV241" s="7">
        <f>IFERROR(FK241/F241,0)</f>
        <v>0</v>
      </c>
      <c r="FW241" t="inlineStr">
        <is>
          <t xml:space="preserve">Keep cash / margin / financing</t>
        </is>
      </c>
      <c r="FX241" t="inlineStr">
        <is>
          <t xml:space="preserve">cash</t>
        </is>
      </c>
      <c r="FY241" t="inlineStr">
        <is>
          <t xml:space="preserve">keep</t>
        </is>
      </c>
      <c r="FZ241" t="inlineStr">
        <is>
          <t xml:space="preserve">cash</t>
        </is>
      </c>
      <c r="GA241"/>
      <c r="GB241" s="4">
        <v>1</v>
      </c>
      <c r="GC241" s="4">
        <v>1</v>
      </c>
      <c r="GD241" s="6"/>
      <c r="GE241" s="4">
        <v>0</v>
      </c>
      <c r="GF241" s="5">
        <f>IF(FX241="direct",IFERROR(GL241/GC241,0),0)</f>
        <v>0</v>
      </c>
      <c r="GG241" s="5">
        <f>IF(FX241="direct",GE241-GF241,IF(FX241="cash",GQ241,GE241))</f>
        <v>0</v>
      </c>
      <c r="GH241" s="6"/>
      <c r="GI241" s="4">
        <v>0</v>
      </c>
      <c r="GJ241" s="4">
        <v>0</v>
      </c>
      <c r="GK241" s="5">
        <f>IF(FX241="direct",GE241*(GC241-GB241),GN241)</f>
        <v>0</v>
      </c>
      <c r="GL241" s="5">
        <f>IF(FX241="direct",GJ241*GD241*C241/365,0)</f>
        <v>0</v>
      </c>
      <c r="GM241" s="5">
        <f>GK241-GL241</f>
        <v>0</v>
      </c>
      <c r="GN241" s="4">
        <v>0</v>
      </c>
      <c r="GO241" s="5">
        <f>GN241-GM241</f>
        <v>0</v>
      </c>
      <c r="GP241" s="4">
        <v>0</v>
      </c>
      <c r="GQ241" s="4">
        <v>0</v>
      </c>
      <c r="GR241" s="4">
        <v>1.774</v>
      </c>
      <c r="GS241" s="4">
        <v>1.799</v>
      </c>
      <c r="GT241" s="6"/>
      <c r="GU241" s="6"/>
      <c r="GV241" s="6"/>
      <c r="GW241" s="9"/>
      <c r="GX241" s="7">
        <f>IFERROR(GM241/F241,0)</f>
        <v>0</v>
      </c>
      <c r="GY241"/>
      <c r="GZ241"/>
      <c r="HA241"/>
      <c r="HB241"/>
      <c r="HC241"/>
      <c r="HD241" s="4"/>
      <c r="HE241" s="4"/>
      <c r="HF241" s="6"/>
      <c r="HG241" s="4"/>
      <c r="HH241" s="5">
        <v>0</v>
      </c>
      <c r="HI241" s="5"/>
      <c r="HJ241" s="6"/>
      <c r="HK241" s="4"/>
      <c r="HL241" s="4"/>
      <c r="HM241" s="5">
        <v>0</v>
      </c>
      <c r="HN241" s="5">
        <v>0</v>
      </c>
      <c r="HO241" s="5"/>
      <c r="HP241" s="4"/>
      <c r="HQ241" s="5">
        <v>0</v>
      </c>
      <c r="HR241" s="4"/>
      <c r="HS241" s="4"/>
      <c r="HT241" s="4"/>
      <c r="HU241" s="4"/>
      <c r="HV241" s="6"/>
      <c r="HW241" s="6"/>
      <c r="HX241" s="6"/>
      <c r="HY241" s="9"/>
      <c r="HZ241"/>
      <c r="IA241"/>
      <c r="IB241"/>
      <c r="IC241"/>
      <c r="ID241"/>
      <c r="IE241"/>
      <c r="IF241" s="4"/>
      <c r="IG241" s="4"/>
      <c r="IH241" s="6"/>
      <c r="II241" s="4"/>
      <c r="IJ241" s="5">
        <v>0</v>
      </c>
      <c r="IK241" s="5"/>
      <c r="IL241" s="6"/>
      <c r="IM241" s="4"/>
      <c r="IN241" s="4"/>
      <c r="IO241" s="5">
        <v>0</v>
      </c>
      <c r="IP241" s="5">
        <v>0</v>
      </c>
      <c r="IQ241" s="5"/>
      <c r="IR241" s="4"/>
      <c r="IS241" s="5">
        <v>0</v>
      </c>
      <c r="IT241" s="4"/>
      <c r="IU241" s="4"/>
      <c r="IV241" s="4"/>
      <c r="IW241" s="4"/>
      <c r="IX241" s="6"/>
      <c r="IY241" s="6"/>
      <c r="IZ241" s="6"/>
      <c r="JA241" s="9"/>
      <c r="JB241"/>
      <c r="JC241"/>
      <c r="JD241"/>
      <c r="JE241"/>
      <c r="JF241"/>
      <c r="JG241"/>
      <c r="JH241" s="4"/>
      <c r="JI241" s="4"/>
      <c r="JJ241" s="6"/>
      <c r="JK241" s="4"/>
      <c r="JL241" s="5">
        <v>0</v>
      </c>
      <c r="JM241" s="5"/>
      <c r="JN241" s="6"/>
      <c r="JO241" s="4"/>
      <c r="JP241" s="4"/>
      <c r="JQ241" s="5">
        <v>0</v>
      </c>
      <c r="JR241" s="5">
        <v>0</v>
      </c>
      <c r="JS241" s="5"/>
      <c r="JT241" s="4"/>
      <c r="JU241" s="5">
        <v>0</v>
      </c>
      <c r="JV241" s="4"/>
      <c r="JW241" s="4"/>
      <c r="JX241" s="4"/>
      <c r="JY241" s="4"/>
      <c r="JZ241" s="6"/>
      <c r="KA241" s="6"/>
      <c r="KB241" s="6"/>
      <c r="KC241" s="9"/>
      <c r="KD241"/>
      <c r="KE241"/>
      <c r="KF241"/>
      <c r="KG241"/>
      <c r="KH241"/>
      <c r="KI241"/>
      <c r="KJ241" s="4"/>
      <c r="KK241" s="4"/>
      <c r="KL241" s="6"/>
      <c r="KM241" s="4"/>
      <c r="KN241" s="5">
        <v>0</v>
      </c>
      <c r="KO241" s="5"/>
      <c r="KP241" s="6"/>
      <c r="KQ241" s="4"/>
      <c r="KR241" s="4"/>
      <c r="KS241" s="5">
        <v>0</v>
      </c>
      <c r="KT241" s="5">
        <v>0</v>
      </c>
      <c r="KU241" s="5"/>
      <c r="KV241" s="4"/>
      <c r="KW241" s="5">
        <v>0</v>
      </c>
      <c r="KX241" s="4"/>
      <c r="KY241" s="4"/>
      <c r="KZ241" s="4"/>
      <c r="LA241" s="4"/>
      <c r="LB241" s="6"/>
      <c r="LC241" s="6"/>
      <c r="LD241" s="6"/>
      <c r="LE241" s="9"/>
      <c r="LF241"/>
      <c r="LG241"/>
      <c r="LH241"/>
      <c r="LI241"/>
      <c r="LJ241"/>
      <c r="LK241"/>
      <c r="LL241" s="4"/>
      <c r="LM241" s="4"/>
      <c r="LN241" s="6"/>
      <c r="LO241" s="4"/>
      <c r="LP241" s="5">
        <v>0</v>
      </c>
      <c r="LQ241" s="5"/>
      <c r="LR241" s="6"/>
      <c r="LS241" s="4"/>
      <c r="LT241" s="4"/>
      <c r="LU241" s="5">
        <v>0</v>
      </c>
      <c r="LV241" s="5">
        <v>0</v>
      </c>
      <c r="LW241" s="5"/>
      <c r="LX241" s="4"/>
      <c r="LY241" s="5">
        <v>0</v>
      </c>
      <c r="LZ241" s="4"/>
      <c r="MA241" s="4"/>
      <c r="MB241" s="4"/>
      <c r="MC241" s="4"/>
      <c r="MD241" s="6"/>
      <c r="ME241" s="6"/>
      <c r="MF241" s="6"/>
      <c r="MG241" s="9"/>
      <c r="MH241"/>
    </row>
    <row r="242">
      <c r="A242" s="8">
        <v>25561</v>
      </c>
      <c r="B242" s="8">
        <v>25566</v>
      </c>
      <c r="C242" s="9">
        <f>B242-A242</f>
        <v>5</v>
      </c>
      <c r="D242" s="8">
        <v>25561</v>
      </c>
      <c r="E242" t="inlineStr">
        <is>
          <t xml:space="preserve">neutral</t>
        </is>
      </c>
      <c r="F242" s="4">
        <v>2.0089301573243232</v>
      </c>
      <c r="G242" s="6">
        <v>0.013862362652006233</v>
      </c>
      <c r="H242" s="7">
        <f>SUM(CP242,DR242,ET242,FV242,GX242,HZ242,JB242,KD242,LF242,MH242)</f>
        <v>0.013862362652006233</v>
      </c>
      <c r="I242" s="7">
        <f>G242-H242</f>
        <v>0</v>
      </c>
      <c r="J242" s="5">
        <f>F242*(1+H242)</f>
        <v>2.036778675707705</v>
      </c>
      <c r="K242" s="4">
        <v>2.036778675707705</v>
      </c>
      <c r="L242" s="5">
        <f>K242-J242</f>
        <v>0</v>
      </c>
      <c r="M242" s="4">
        <v>1.799</v>
      </c>
      <c r="N242" s="4">
        <v>1.824</v>
      </c>
      <c r="O242" s="5">
        <f>M242/$M$3</f>
        <v>0.9187946884576098</v>
      </c>
      <c r="P242" s="5">
        <f>N242/$M$3</f>
        <v>0.9315628192032687</v>
      </c>
      <c r="Q242" s="7">
        <f>IFERROR(N242/M242-1,0)</f>
        <v>0.0138966092273487</v>
      </c>
      <c r="R242" s="5">
        <f>SUM(IF(BQ242="lease",CB242,0),IF(CS242="lease",DD242,0),IF(DU242="lease",EF242,0),IF(EW242="lease",FH242,0),IF(FY242="lease",GJ242,0),IF(HA242="lease",HL242,0),IF(IC242="lease",IN242,0),IF(JE242="lease",JP242,0),IF(KG242="lease",KR242,0),IF(LI242="lease",LT242,0))</f>
        <v>2.008930157324322</v>
      </c>
      <c r="S242" s="5">
        <f>SUM(IF(BQ242="lease",CI242,0),IF(CS242="lease",DK242,0),IF(DU242="lease",EM242,0),IF(EW242="lease",FO242,0),IF(FY242="lease",GQ242,0),IF(HA242="lease",HS242,0),IF(IC242="lease",IU242,0),IF(JE242="lease",JW242,0),IF(KG242="lease",KY242,0),IF(LI242="lease",MA242,0))</f>
        <v>2.036778675707703</v>
      </c>
      <c r="T242" s="5">
        <f>SUM(IF(BQ242="keep",CB242,0),IF(CS242="keep",DD242,0),IF(DU242="keep",EF242,0),IF(EW242="keep",FH242,0),IF(FY242="keep",GJ242,0),IF(HA242="keep",HL242,0),IF(IC242="keep",IN242,0),IF(JE242="keep",JP242,0),IF(KG242="keep",KR242,0),IF(LI242="keep",LT242,0))</f>
        <v>0</v>
      </c>
      <c r="U242" s="5">
        <f>SUM(IF(BQ242="keep",CI242,0),IF(CS242="keep",DK242,0),IF(DU242="keep",EM242,0),IF(EW242="keep",FO242,0),IF(FY242="keep",GQ242,0),IF(HA242="keep",HS242,0),IF(IC242="keep",IU242,0),IF(JE242="keep",JW242,0),IF(KG242="keep",KY242,0),IF(LI242="keep",MA242,0))</f>
        <v>0</v>
      </c>
      <c r="V242" s="5">
        <f>R242/O242</f>
        <v>2.1864842957426474</v>
      </c>
      <c r="W242" s="5">
        <f>S242/P242</f>
        <v>2.186410442453773</v>
      </c>
      <c r="X242" s="5">
        <f>T242/O242</f>
        <v>0</v>
      </c>
      <c r="Y242" s="5">
        <f>U242/P242</f>
        <v>0</v>
      </c>
      <c r="Z242" s="5">
        <f>V242+X242</f>
        <v>2.1864842957426474</v>
      </c>
      <c r="AA242" s="7">
        <f>IFERROR(W242/V242-1,0)</f>
        <v>-0.00003377718697450405</v>
      </c>
      <c r="AB242" s="7">
        <f>IFERROR((W242-V242)/Z242,0)</f>
        <v>-0.000033777186974549205</v>
      </c>
      <c r="AC242" s="7">
        <f>IFERROR(Y242/X242-1,0)</f>
        <v>0</v>
      </c>
      <c r="AD242" s="7">
        <f>IFERROR((Y242-X242)/Z242,0)</f>
        <v>0</v>
      </c>
      <c r="AE242" s="7">
        <f>AB242+AD242</f>
        <v>-0.000033777186974549205</v>
      </c>
      <c r="AF242" s="7">
        <f>(1+Q242)*(1+AE242)-1</f>
        <v>0.013862362652006022</v>
      </c>
      <c r="AG242" s="7">
        <f>G242-AF242</f>
        <v>2.1163626406917047e-16</v>
      </c>
      <c r="AH242" s="5">
        <f>SUM(IF(BQ242="lease",CE242,0),IF(CS242="lease",DG242,0),IF(DU242="lease",EI242,0),IF(EW242="lease",FK242,0),IF(FY242="lease",GM242,0),IF(HA242="lease",HO242,0),IF(IC242="lease",IQ242,0),IF(JE242="lease",JS242,0),IF(KG242="lease",KU242,0),IF(LI242="lease",LW242,0))</f>
        <v>0.027848518383381704</v>
      </c>
      <c r="AI242" s="5">
        <f>SUM(IF(BQ242="keep",CE242,0),IF(CS242="keep",DG242,0),IF(DU242="keep",EI242,0),IF(EW242="keep",FK242,0),IF(FY242="keep",GM242,0),IF(HA242="keep",HO242,0),IF(IC242="keep",IQ242,0),IF(JE242="keep",JS242,0),IF(KG242="keep",KU242,0),IF(LI242="keep",LW242,0))</f>
        <v>0</v>
      </c>
      <c r="AJ242" s="5">
        <f>SUM(IF(BQ242="lease",CH242,0),IF(CS242="lease",DJ242,0),IF(DU242="lease",EL242,0),IF(EW242="lease",FN242,0),IF(FY242="lease",GP242,0),IF(HA242="lease",HR242,0),IF(IC242="lease",IT242,0),IF(JE242="lease",JV242,0),IF(KG242="lease",KX242,0),IF(LI242="lease",LZ242,0))</f>
        <v>0</v>
      </c>
      <c r="AK242" s="5">
        <f>SUM(IF(BQ242="keep",CH242,0),IF(CS242="keep",DJ242,0),IF(DU242="keep",EL242,0),IF(EW242="keep",FN242,0),IF(FY242="keep",GP242,0),IF(HA242="keep",HR242,0),IF(IC242="keep",IT242,0),IF(JE242="keep",JV242,0),IF(KG242="keep",KX242,0),IF(LI242="keep",LZ242,0))</f>
        <v>0</v>
      </c>
      <c r="AL242" s="5">
        <f>R242-S241</f>
        <v>0</v>
      </c>
      <c r="AM242" s="5">
        <f>T242-U241</f>
        <v>0</v>
      </c>
      <c r="AN242" s="5">
        <f>AN241</f>
        <v>1</v>
      </c>
      <c r="AO242" s="5">
        <f>AO241+AH242</f>
        <v>1.0367786757077047</v>
      </c>
      <c r="AP242" s="5">
        <f>AP241+AL242</f>
        <v>1.1102230246251565e-15</v>
      </c>
      <c r="AQ242" s="5">
        <f>AN242+AO242+AP242</f>
        <v>2.0367786757077058</v>
      </c>
      <c r="AR242" s="5">
        <f>S242-AQ242</f>
        <v>-2.6645352591003757e-15</v>
      </c>
      <c r="AS242" s="5">
        <f>AS241</f>
        <v>0</v>
      </c>
      <c r="AT242" s="5">
        <f>AT241+AI242</f>
        <v>0</v>
      </c>
      <c r="AU242" s="5">
        <f>AU241+AM242</f>
        <v>0</v>
      </c>
      <c r="AV242" s="5">
        <f>AS242+AT242+AU242</f>
        <v>0</v>
      </c>
      <c r="AW242" s="5">
        <f>U242-AV242</f>
        <v>0</v>
      </c>
      <c r="AX242" s="4">
        <v>2.008930157324322</v>
      </c>
      <c r="AY242" s="4">
        <v>2.0367786757077035</v>
      </c>
      <c r="AZ242" s="5">
        <f>S242-AY242</f>
        <v>-4.440892098500626e-16</v>
      </c>
      <c r="BA242" s="4">
        <v>0</v>
      </c>
      <c r="BB242" s="4">
        <v>0</v>
      </c>
      <c r="BC242" s="5">
        <f>U242-BB242</f>
        <v>0</v>
      </c>
      <c r="BD242" s="7">
        <f>SUM(IF(BP242="direct",CC242/F242,0),IF(CR242="direct",DE242/F242,0),IF(DT242="direct",EG242/F242,0),IF(EV242="direct",FI242/F242,0),IF(FX242="direct",GK242/F242,0),IF(GZ242="direct",HM242/F242,0),IF(IB242="direct",IO242/F242,0),IF(JD242="direct",JQ242/F242,0),IF(KF242="direct",KS242/F242,0),IF(LH242="direct",LU242/F242,0))</f>
        <v>0.013896609227348602</v>
      </c>
      <c r="BE242" s="7">
        <f>-SUM(IF(BP242="direct",CD242/F242,0),IF(CR242="direct",DF242/F242,0),IF(DT242="direct",EH242/F242,0),IF(EV242="direct",FJ242/F242,0),IF(FX242="direct",GL242/F242,0),IF(GZ242="direct",HN242/F242,0),IF(IB242="direct",IP242/F242,0),IF(JD242="direct",JR242/F242,0),IF(KF242="direct",KT242/F242,0),IF(LH242="direct",LV242/F242,0))</f>
        <v>-0.00003424657534246575</v>
      </c>
      <c r="BF242" s="7">
        <f>BD242+BE242</f>
        <v>0.013862362652006136</v>
      </c>
      <c r="BG242" s="7">
        <f>BF242-SUM(IF(BP242="direct",CP242,0),IF(CR242="direct",DR242,0),IF(DT242="direct",ET242,0),IF(EV242="direct",FV242,0),IF(FX242="direct",GX242,0),IF(GZ242="direct",HZ242,0),IF(IB242="direct",JB242,0),IF(JD242="direct",KD242,0),IF(KF242="direct",LF242,0),IF(LH242="direct",MH242,0))</f>
        <v>-9.71445146547012e-17</v>
      </c>
      <c r="BH242" s="7">
        <f>SUM(IF(BP242="treasury",CP242,0),IF(CR242="treasury",DR242,0),IF(DT242="treasury",ET242,0),IF(EV242="treasury",FV242,0),IF(FX242="treasury",GX242,0),IF(GZ242="treasury",HZ242,0),IF(IB242="treasury",JB242,0),IF(JD242="treasury",KD242,0),IF(KF242="treasury",LF242,0),IF(LH242="treasury",MH242,0))</f>
        <v>0</v>
      </c>
      <c r="BI242" s="7">
        <f>SUM(IF(BP242="future",CP242,0),IF(CR242="future",DR242,0),IF(DT242="future",ET242,0),IF(EV242="future",FV242,0),IF(FX242="future",GX242,0),IF(GZ242="future",HZ242,0),IF(IB242="future",JB242,0),IF(JD242="future",KD242,0),IF(KF242="future",LF242,0),IF(LH242="future",MH242,0))</f>
        <v>0</v>
      </c>
      <c r="BJ242" s="7">
        <f>SUM(IF(BP242="cash",CP242,0),IF(CR242="cash",DR242,0),IF(DT242="cash",ET242,0),IF(EV242="cash",FV242,0),IF(FX242="cash",GX242,0),IF(GZ242="cash",HZ242,0),IF(IB242="cash",JB242,0),IF(JD242="cash",KD242,0),IF(KF242="cash",LF242,0),IF(LH242="cash",MH242,0))</f>
        <v>0</v>
      </c>
      <c r="BK242" s="7">
        <f>SUM(BF242,BH242,BI242,BJ242)</f>
        <v>0.013862362652006233</v>
      </c>
      <c r="BL242" s="7">
        <f>G242-BK242</f>
        <v>0</v>
      </c>
      <c r="BM242" s="5">
        <f>MAX(ABS(CG242),ABS(DI242),ABS(EK242),ABS(FM242),ABS(GO242),ABS(HQ242),ABS(IS242),ABS(JU242),ABS(KW242),ABS(LY242))</f>
        <v>1.9484468292280122e-16</v>
      </c>
      <c r="BN242" s="9">
        <f>COUNTA(BO242,CQ242,DS242,EU242,FW242,GY242,IA242,JC242,KE242,LG242)</f>
        <v>3</v>
      </c>
      <c r="BO242" t="inlineStr">
        <is>
          <t xml:space="preserve">Direct commodity holding</t>
        </is>
      </c>
      <c r="BP242" t="inlineStr">
        <is>
          <t xml:space="preserve">direct</t>
        </is>
      </c>
      <c r="BQ242" t="inlineStr">
        <is>
          <t xml:space="preserve">lease</t>
        </is>
      </c>
      <c r="BR242" t="inlineStr">
        <is>
          <t xml:space="preserve">long</t>
        </is>
      </c>
      <c r="BS242"/>
      <c r="BT242" s="4">
        <v>1.799</v>
      </c>
      <c r="BU242" s="4">
        <v>1.824</v>
      </c>
      <c r="BV242" s="6">
        <v>0.0025</v>
      </c>
      <c r="BW242" s="4">
        <v>1.1166926944548767</v>
      </c>
      <c r="BX242" s="5">
        <f>IF(BP242="direct",IFERROR(CD242/BU242,0),0)</f>
        <v>0.000037718737933420506</v>
      </c>
      <c r="BY242" s="5">
        <f>IF(BP242="direct",BW242-BX242,IF(BP242="cash",CI242,BW242))</f>
        <v>1.1166549757169433</v>
      </c>
      <c r="BZ242" s="6">
        <v>1</v>
      </c>
      <c r="CA242" s="4">
        <v>2.0089301573243232</v>
      </c>
      <c r="CB242" s="4">
        <v>2.0089301573243232</v>
      </c>
      <c r="CC242" s="5">
        <f>IF(BP242="direct",BW242*(BU242-BT242),CF242)</f>
        <v>0.027917317361372068</v>
      </c>
      <c r="CD242" s="5">
        <f>IF(BP242="direct",CB242*BV242*C242/365,0)</f>
        <v>0.00006879897799055901</v>
      </c>
      <c r="CE242" s="5">
        <f>CC242-CD242</f>
        <v>0.027848518383381704</v>
      </c>
      <c r="CF242" s="4">
        <v>0.027848518383381704</v>
      </c>
      <c r="CG242" s="5">
        <f>CF242-CE242</f>
        <v>1.9484468292280122e-16</v>
      </c>
      <c r="CH242" s="4">
        <v>0</v>
      </c>
      <c r="CI242" s="4">
        <v>2.0367786757077044</v>
      </c>
      <c r="CJ242" s="4">
        <v>1.799</v>
      </c>
      <c r="CK242" s="4">
        <v>1.824</v>
      </c>
      <c r="CL242" s="6"/>
      <c r="CM242" s="6"/>
      <c r="CN242" s="6"/>
      <c r="CO242" s="9"/>
      <c r="CP242" s="7">
        <f>IFERROR(CE242/F242,0)</f>
        <v>0.013862362652006233</v>
      </c>
      <c r="CQ242" t="inlineStr">
        <is>
          <t xml:space="preserve">Lease cash / margin / financing</t>
        </is>
      </c>
      <c r="CR242" t="inlineStr">
        <is>
          <t xml:space="preserve">cash</t>
        </is>
      </c>
      <c r="CS242" t="inlineStr">
        <is>
          <t xml:space="preserve">lease</t>
        </is>
      </c>
      <c r="CT242" t="inlineStr">
        <is>
          <t xml:space="preserve">cash</t>
        </is>
      </c>
      <c r="CU242"/>
      <c r="CV242" s="4">
        <v>1</v>
      </c>
      <c r="CW242" s="4">
        <v>1</v>
      </c>
      <c r="CX242" s="6"/>
      <c r="CY242" s="4">
        <v>-1.3322676295501878e-15</v>
      </c>
      <c r="CZ242" s="5">
        <f>IF(CR242="direct",IFERROR(DF242/CW242,0),0)</f>
        <v>0</v>
      </c>
      <c r="DA242" s="5">
        <f>IF(CR242="direct",CY242-CZ242,IF(CR242="cash",DK242,CY242))</f>
        <v>-1.3322676295501878e-15</v>
      </c>
      <c r="DB242" s="6"/>
      <c r="DC242" s="4">
        <v>-1.3322676295501878e-15</v>
      </c>
      <c r="DD242" s="4">
        <v>-1.3322676295501878e-15</v>
      </c>
      <c r="DE242" s="5">
        <f>IF(CR242="direct",CY242*(CW242-CV242),DH242)</f>
        <v>0</v>
      </c>
      <c r="DF242" s="5">
        <f>IF(CR242="direct",DD242*CX242*C242/365,0)</f>
        <v>0</v>
      </c>
      <c r="DG242" s="5">
        <f>DE242-DF242</f>
        <v>0</v>
      </c>
      <c r="DH242" s="4">
        <v>0</v>
      </c>
      <c r="DI242" s="5">
        <f>DH242-DG242</f>
        <v>0</v>
      </c>
      <c r="DJ242" s="4">
        <v>0</v>
      </c>
      <c r="DK242" s="4">
        <v>-1.3322676295501878e-15</v>
      </c>
      <c r="DL242" s="4">
        <v>1.799</v>
      </c>
      <c r="DM242" s="4">
        <v>1.824</v>
      </c>
      <c r="DN242" s="6"/>
      <c r="DO242" s="6"/>
      <c r="DP242" s="6"/>
      <c r="DQ242" s="9"/>
      <c r="DR242" s="7">
        <f>IFERROR(DG242/F242,0)</f>
        <v>0</v>
      </c>
      <c r="DS242" t="inlineStr">
        <is>
          <t xml:space="preserve">Keep cash / margin / financing</t>
        </is>
      </c>
      <c r="DT242" t="inlineStr">
        <is>
          <t xml:space="preserve">cash</t>
        </is>
      </c>
      <c r="DU242" t="inlineStr">
        <is>
          <t xml:space="preserve">keep</t>
        </is>
      </c>
      <c r="DV242" t="inlineStr">
        <is>
          <t xml:space="preserve">cash</t>
        </is>
      </c>
      <c r="DW242"/>
      <c r="DX242" s="4">
        <v>1</v>
      </c>
      <c r="DY242" s="4">
        <v>1</v>
      </c>
      <c r="DZ242" s="6"/>
      <c r="EA242" s="4">
        <v>0</v>
      </c>
      <c r="EB242" s="5">
        <f>IF(DT242="direct",IFERROR(EH242/DY242,0),0)</f>
        <v>0</v>
      </c>
      <c r="EC242" s="5">
        <f>IF(DT242="direct",EA242-EB242,IF(DT242="cash",EM242,EA242))</f>
        <v>0</v>
      </c>
      <c r="ED242" s="6"/>
      <c r="EE242" s="4">
        <v>0</v>
      </c>
      <c r="EF242" s="4">
        <v>0</v>
      </c>
      <c r="EG242" s="5">
        <f>IF(DT242="direct",EA242*(DY242-DX242),EJ242)</f>
        <v>0</v>
      </c>
      <c r="EH242" s="5">
        <f>IF(DT242="direct",EF242*DZ242*C242/365,0)</f>
        <v>0</v>
      </c>
      <c r="EI242" s="5">
        <f>EG242-EH242</f>
        <v>0</v>
      </c>
      <c r="EJ242" s="4">
        <v>0</v>
      </c>
      <c r="EK242" s="5">
        <f>EJ242-EI242</f>
        <v>0</v>
      </c>
      <c r="EL242" s="4">
        <v>0</v>
      </c>
      <c r="EM242" s="4">
        <v>0</v>
      </c>
      <c r="EN242" s="4">
        <v>1.799</v>
      </c>
      <c r="EO242" s="4">
        <v>1.824</v>
      </c>
      <c r="EP242" s="6"/>
      <c r="EQ242" s="6"/>
      <c r="ER242" s="6"/>
      <c r="ES242" s="9"/>
      <c r="ET242" s="7">
        <f>IFERROR(EI242/F242,0)</f>
        <v>0</v>
      </c>
      <c r="EU242"/>
      <c r="EV242"/>
      <c r="EW242"/>
      <c r="EX242"/>
      <c r="EY242"/>
      <c r="EZ242" s="4"/>
      <c r="FA242" s="4"/>
      <c r="FB242" s="6"/>
      <c r="FC242" s="4"/>
      <c r="FD242" s="5">
        <v>0</v>
      </c>
      <c r="FE242" s="5"/>
      <c r="FF242" s="6"/>
      <c r="FG242" s="4"/>
      <c r="FH242" s="4"/>
      <c r="FI242" s="5">
        <v>0</v>
      </c>
      <c r="FJ242" s="5">
        <v>0</v>
      </c>
      <c r="FK242" s="5"/>
      <c r="FL242" s="4"/>
      <c r="FM242" s="5">
        <v>0</v>
      </c>
      <c r="FN242" s="4"/>
      <c r="FO242" s="4"/>
      <c r="FP242" s="4"/>
      <c r="FQ242" s="4"/>
      <c r="FR242" s="6"/>
      <c r="FS242" s="6"/>
      <c r="FT242" s="6"/>
      <c r="FU242" s="9"/>
      <c r="FV242"/>
      <c r="FW242"/>
      <c r="FX242"/>
      <c r="FY242"/>
      <c r="FZ242"/>
      <c r="GA242"/>
      <c r="GB242" s="4"/>
      <c r="GC242" s="4"/>
      <c r="GD242" s="6"/>
      <c r="GE242" s="4"/>
      <c r="GF242" s="5">
        <v>0</v>
      </c>
      <c r="GG242" s="5"/>
      <c r="GH242" s="6"/>
      <c r="GI242" s="4"/>
      <c r="GJ242" s="4"/>
      <c r="GK242" s="5">
        <v>0</v>
      </c>
      <c r="GL242" s="5">
        <v>0</v>
      </c>
      <c r="GM242" s="5"/>
      <c r="GN242" s="4"/>
      <c r="GO242" s="5">
        <v>0</v>
      </c>
      <c r="GP242" s="4"/>
      <c r="GQ242" s="4"/>
      <c r="GR242" s="4"/>
      <c r="GS242" s="4"/>
      <c r="GT242" s="6"/>
      <c r="GU242" s="6"/>
      <c r="GV242" s="6"/>
      <c r="GW242" s="9"/>
      <c r="GX242"/>
      <c r="GY242"/>
      <c r="GZ242"/>
      <c r="HA242"/>
      <c r="HB242"/>
      <c r="HC242"/>
      <c r="HD242" s="4"/>
      <c r="HE242" s="4"/>
      <c r="HF242" s="6"/>
      <c r="HG242" s="4"/>
      <c r="HH242" s="5">
        <v>0</v>
      </c>
      <c r="HI242" s="5"/>
      <c r="HJ242" s="6"/>
      <c r="HK242" s="4"/>
      <c r="HL242" s="4"/>
      <c r="HM242" s="5">
        <v>0</v>
      </c>
      <c r="HN242" s="5">
        <v>0</v>
      </c>
      <c r="HO242" s="5"/>
      <c r="HP242" s="4"/>
      <c r="HQ242" s="5">
        <v>0</v>
      </c>
      <c r="HR242" s="4"/>
      <c r="HS242" s="4"/>
      <c r="HT242" s="4"/>
      <c r="HU242" s="4"/>
      <c r="HV242" s="6"/>
      <c r="HW242" s="6"/>
      <c r="HX242" s="6"/>
      <c r="HY242" s="9"/>
      <c r="HZ242"/>
      <c r="IA242"/>
      <c r="IB242"/>
      <c r="IC242"/>
      <c r="ID242"/>
      <c r="IE242"/>
      <c r="IF242" s="4"/>
      <c r="IG242" s="4"/>
      <c r="IH242" s="6"/>
      <c r="II242" s="4"/>
      <c r="IJ242" s="5">
        <v>0</v>
      </c>
      <c r="IK242" s="5"/>
      <c r="IL242" s="6"/>
      <c r="IM242" s="4"/>
      <c r="IN242" s="4"/>
      <c r="IO242" s="5">
        <v>0</v>
      </c>
      <c r="IP242" s="5">
        <v>0</v>
      </c>
      <c r="IQ242" s="5"/>
      <c r="IR242" s="4"/>
      <c r="IS242" s="5">
        <v>0</v>
      </c>
      <c r="IT242" s="4"/>
      <c r="IU242" s="4"/>
      <c r="IV242" s="4"/>
      <c r="IW242" s="4"/>
      <c r="IX242" s="6"/>
      <c r="IY242" s="6"/>
      <c r="IZ242" s="6"/>
      <c r="JA242" s="9"/>
      <c r="JB242"/>
      <c r="JC242"/>
      <c r="JD242"/>
      <c r="JE242"/>
      <c r="JF242"/>
      <c r="JG242"/>
      <c r="JH242" s="4"/>
      <c r="JI242" s="4"/>
      <c r="JJ242" s="6"/>
      <c r="JK242" s="4"/>
      <c r="JL242" s="5">
        <v>0</v>
      </c>
      <c r="JM242" s="5"/>
      <c r="JN242" s="6"/>
      <c r="JO242" s="4"/>
      <c r="JP242" s="4"/>
      <c r="JQ242" s="5">
        <v>0</v>
      </c>
      <c r="JR242" s="5">
        <v>0</v>
      </c>
      <c r="JS242" s="5"/>
      <c r="JT242" s="4"/>
      <c r="JU242" s="5">
        <v>0</v>
      </c>
      <c r="JV242" s="4"/>
      <c r="JW242" s="4"/>
      <c r="JX242" s="4"/>
      <c r="JY242" s="4"/>
      <c r="JZ242" s="6"/>
      <c r="KA242" s="6"/>
      <c r="KB242" s="6"/>
      <c r="KC242" s="9"/>
      <c r="KD242"/>
      <c r="KE242"/>
      <c r="KF242"/>
      <c r="KG242"/>
      <c r="KH242"/>
      <c r="KI242"/>
      <c r="KJ242" s="4"/>
      <c r="KK242" s="4"/>
      <c r="KL242" s="6"/>
      <c r="KM242" s="4"/>
      <c r="KN242" s="5">
        <v>0</v>
      </c>
      <c r="KO242" s="5"/>
      <c r="KP242" s="6"/>
      <c r="KQ242" s="4"/>
      <c r="KR242" s="4"/>
      <c r="KS242" s="5">
        <v>0</v>
      </c>
      <c r="KT242" s="5">
        <v>0</v>
      </c>
      <c r="KU242" s="5"/>
      <c r="KV242" s="4"/>
      <c r="KW242" s="5">
        <v>0</v>
      </c>
      <c r="KX242" s="4"/>
      <c r="KY242" s="4"/>
      <c r="KZ242" s="4"/>
      <c r="LA242" s="4"/>
      <c r="LB242" s="6"/>
      <c r="LC242" s="6"/>
      <c r="LD242" s="6"/>
      <c r="LE242" s="9"/>
      <c r="LF242"/>
      <c r="LG242"/>
      <c r="LH242"/>
      <c r="LI242"/>
      <c r="LJ242"/>
      <c r="LK242"/>
      <c r="LL242" s="4"/>
      <c r="LM242" s="4"/>
      <c r="LN242" s="6"/>
      <c r="LO242" s="4"/>
      <c r="LP242" s="5">
        <v>0</v>
      </c>
      <c r="LQ242" s="5"/>
      <c r="LR242" s="6"/>
      <c r="LS242" s="4"/>
      <c r="LT242" s="4"/>
      <c r="LU242" s="5">
        <v>0</v>
      </c>
      <c r="LV242" s="5">
        <v>0</v>
      </c>
      <c r="LW242" s="5"/>
      <c r="LX242" s="4"/>
      <c r="LY242" s="5">
        <v>0</v>
      </c>
      <c r="LZ242" s="4"/>
      <c r="MA242" s="4"/>
      <c r="MB242" s="4"/>
      <c r="MC242" s="4"/>
      <c r="MD242" s="6"/>
      <c r="ME242" s="6"/>
      <c r="MF242" s="6"/>
      <c r="MG242" s="9"/>
      <c r="MH242"/>
    </row>
    <row r="243">
      <c r="A243" s="8">
        <v>25566</v>
      </c>
      <c r="B243" s="8">
        <v>25567</v>
      </c>
      <c r="C243" s="9">
        <f>B243-A243</f>
        <v>1</v>
      </c>
      <c r="D243" s="8">
        <v>25566</v>
      </c>
      <c r="E243" t="inlineStr">
        <is>
          <t xml:space="preserve">positive</t>
        </is>
      </c>
      <c r="F243" s="4">
        <v>2.036778675707705</v>
      </c>
      <c r="G243" s="6">
        <v>-0.005365222315756247</v>
      </c>
      <c r="H243" s="7">
        <f>SUM(CP243,DR243,ET243,FV243,GX243,HZ243,JB243,KD243,LF243,MH243)</f>
        <v>-0.005365222315756248</v>
      </c>
      <c r="I243" s="7">
        <f>G243-H243</f>
        <v>8.673617379884035e-19</v>
      </c>
      <c r="J243" s="5">
        <f>F243*(1+H243)</f>
        <v>2.0258509053045417</v>
      </c>
      <c r="K243" s="4">
        <v>2.0258509053045417</v>
      </c>
      <c r="L243" s="5">
        <f>K243-J243</f>
        <v>0</v>
      </c>
      <c r="M243" s="4">
        <v>1.824</v>
      </c>
      <c r="N243" s="4">
        <v>1.8</v>
      </c>
      <c r="O243" s="5">
        <f>M243/$M$3</f>
        <v>0.9315628192032687</v>
      </c>
      <c r="P243" s="5">
        <f>N243/$M$3</f>
        <v>0.9193054136874362</v>
      </c>
      <c r="Q243" s="7">
        <f>IFERROR(N243/M243-1,0)</f>
        <v>-0.013157894736842146</v>
      </c>
      <c r="R243" s="5">
        <f>SUM(IF(BQ243="lease",CB243,0),IF(CS243="lease",DD243,0),IF(DU243="lease",EF243,0),IF(EW243="lease",FH243,0),IF(FY243="lease",GJ243,0),IF(HA243="lease",HL243,0),IF(IC243="lease",IN243,0),IF(JE243="lease",JP243,0),IF(KG243="lease",KR243,0),IF(LI243="lease",LT243,0))</f>
        <v>2.0367786757077035</v>
      </c>
      <c r="S243" s="5">
        <f>SUM(IF(BQ243="lease",CI243,0),IF(CS243="lease",DK243,0),IF(DU243="lease",EM243,0),IF(EW243="lease",FO243,0),IF(FY243="lease",GQ243,0),IF(HA243="lease",HS243,0),IF(IC243="lease",IU243,0),IF(JE243="lease",JW243,0),IF(KG243="lease",KY243,0),IF(LI243="lease",MA243,0))</f>
        <v>2.02585090530454</v>
      </c>
      <c r="T243" s="5">
        <f>SUM(IF(BQ243="keep",CB243,0),IF(CS243="keep",DD243,0),IF(DU243="keep",EF243,0),IF(EW243="keep",FH243,0),IF(FY243="keep",GJ243,0),IF(HA243="keep",HL243,0),IF(IC243="keep",IN243,0),IF(JE243="keep",JP243,0),IF(KG243="keep",KR243,0),IF(LI243="keep",LT243,0))</f>
        <v>0</v>
      </c>
      <c r="U243" s="5">
        <f>SUM(IF(BQ243="keep",CI243,0),IF(CS243="keep",DK243,0),IF(DU243="keep",EM243,0),IF(EW243="keep",FO243,0),IF(FY243="keep",GQ243,0),IF(HA243="keep",HS243,0),IF(IC243="keep",IU243,0),IF(JE243="keep",JW243,0),IF(KG243="keep",KY243,0),IF(LI243="keep",MA243,0))</f>
        <v>0</v>
      </c>
      <c r="V243" s="5">
        <f>R243/O243</f>
        <v>2.186410442453774</v>
      </c>
      <c r="W243" s="5">
        <f>S243/P243</f>
        <v>2.2036755958812715</v>
      </c>
      <c r="X243" s="5">
        <f>T243/O243</f>
        <v>0</v>
      </c>
      <c r="Y243" s="5">
        <f>U243/P243</f>
        <v>0</v>
      </c>
      <c r="Z243" s="5">
        <f>V243+X243</f>
        <v>2.186410442453774</v>
      </c>
      <c r="AA243" s="7">
        <f>IFERROR(W243/V243-1,0)</f>
        <v>0.007896574720033467</v>
      </c>
      <c r="AB243" s="7">
        <f>IFERROR((W243-V243)/Z243,0)</f>
        <v>0.007896574720033375</v>
      </c>
      <c r="AC243" s="7">
        <f>IFERROR(Y243/X243-1,0)</f>
        <v>0</v>
      </c>
      <c r="AD243" s="7">
        <f>IFERROR((Y243-X243)/Z243,0)</f>
        <v>0</v>
      </c>
      <c r="AE243" s="7">
        <f>AB243+AD243</f>
        <v>0.007896574720033375</v>
      </c>
      <c r="AF243" s="7">
        <f>(1+Q243)*(1+AE243)-1</f>
        <v>-0.005365222315756535</v>
      </c>
      <c r="AG243" s="7">
        <f>G243-AF243</f>
        <v>2.8796409701215e-16</v>
      </c>
      <c r="AH243" s="5">
        <f>SUM(IF(BQ243="lease",CE243,0),IF(CS243="lease",DG243,0),IF(DU243="lease",EI243,0),IF(EW243="lease",FK243,0),IF(FY243="lease",GM243,0),IF(HA243="lease",HO243,0),IF(IC243="lease",IQ243,0),IF(JE243="lease",JS243,0),IF(KG243="lease",KU243,0),IF(LI243="lease",LW243,0))</f>
        <v>-0.010927770403163437</v>
      </c>
      <c r="AI243" s="5">
        <f>SUM(IF(BQ243="keep",CE243,0),IF(CS243="keep",DG243,0),IF(DU243="keep",EI243,0),IF(EW243="keep",FK243,0),IF(FY243="keep",GM243,0),IF(HA243="keep",HO243,0),IF(IC243="keep",IQ243,0),IF(JE243="keep",JS243,0),IF(KG243="keep",KU243,0),IF(LI243="keep",LW243,0))</f>
        <v>0</v>
      </c>
      <c r="AJ243" s="5">
        <f>SUM(IF(BQ243="lease",CH243,0),IF(CS243="lease",DJ243,0),IF(DU243="lease",EL243,0),IF(EW243="lease",FN243,0),IF(FY243="lease",GP243,0),IF(HA243="lease",HR243,0),IF(IC243="lease",IT243,0),IF(JE243="lease",JV243,0),IF(KG243="lease",KX243,0),IF(LI243="lease",LZ243,0))</f>
        <v>0</v>
      </c>
      <c r="AK243" s="5">
        <f>SUM(IF(BQ243="keep",CH243,0),IF(CS243="keep",DJ243,0),IF(DU243="keep",EL243,0),IF(EW243="keep",FN243,0),IF(FY243="keep",GP243,0),IF(HA243="keep",HR243,0),IF(IC243="keep",IT243,0),IF(JE243="keep",JV243,0),IF(KG243="keep",KX243,0),IF(LI243="keep",LZ243,0))</f>
        <v>0</v>
      </c>
      <c r="AL243" s="5">
        <f>R243-S242</f>
        <v>4.440892098500626e-16</v>
      </c>
      <c r="AM243" s="5">
        <f>T243-U242</f>
        <v>0</v>
      </c>
      <c r="AN243" s="5">
        <f>AN242</f>
        <v>1</v>
      </c>
      <c r="AO243" s="5">
        <f>AO242+AH243</f>
        <v>1.0258509053045413</v>
      </c>
      <c r="AP243" s="5">
        <f>AP242+AL243</f>
        <v>1.5543122344752192e-15</v>
      </c>
      <c r="AQ243" s="5">
        <f>AN243+AO243+AP243</f>
        <v>2.0258509053045426</v>
      </c>
      <c r="AR243" s="5">
        <f>S243-AQ243</f>
        <v>-2.6645352591003757e-15</v>
      </c>
      <c r="AS243" s="5">
        <f>AS242</f>
        <v>0</v>
      </c>
      <c r="AT243" s="5">
        <f>AT242+AI243</f>
        <v>0</v>
      </c>
      <c r="AU243" s="5">
        <f>AU242+AM243</f>
        <v>0</v>
      </c>
      <c r="AV243" s="5">
        <f>AS243+AT243+AU243</f>
        <v>0</v>
      </c>
      <c r="AW243" s="5">
        <f>U243-AV243</f>
        <v>0</v>
      </c>
      <c r="AX243" s="4">
        <v>2.0367786757077035</v>
      </c>
      <c r="AY243" s="4">
        <v>2.02585090530454</v>
      </c>
      <c r="AZ243" s="5">
        <f>S243-AY243</f>
        <v>0</v>
      </c>
      <c r="BA243" s="4">
        <v>0</v>
      </c>
      <c r="BB243" s="4">
        <v>0</v>
      </c>
      <c r="BC243" s="5">
        <f>U243-BB243</f>
        <v>0</v>
      </c>
      <c r="BD243" s="7">
        <f>SUM(IF(BP243="direct",CC243/F243,0),IF(CR243="direct",DE243/F243,0),IF(DT243="direct",EG243/F243,0),IF(EV243="direct",FI243/F243,0),IF(FX243="direct",GK243/F243,0),IF(GZ243="direct",HM243/F243,0),IF(IB243="direct",IO243/F243,0),IF(JD243="direct",JQ243/F243,0),IF(KF243="direct",KS243/F243,0),IF(LH243="direct",LU243/F243,0))</f>
        <v>0</v>
      </c>
      <c r="BE243" s="7">
        <f>-SUM(IF(BP243="direct",CD243/F243,0),IF(CR243="direct",DF243/F243,0),IF(DT243="direct",EH243/F243,0),IF(EV243="direct",FJ243/F243,0),IF(FX243="direct",GL243/F243,0),IF(GZ243="direct",HN243/F243,0),IF(IB243="direct",IP243/F243,0),IF(JD243="direct",JR243/F243,0),IF(KF243="direct",KT243/F243,0),IF(LH243="direct",LV243/F243,0))</f>
        <v>0</v>
      </c>
      <c r="BF243" s="7">
        <f>BD243+BE243</f>
        <v>0</v>
      </c>
      <c r="BG243" s="7">
        <f>BF243-SUM(IF(BP243="direct",CP243,0),IF(CR243="direct",DR243,0),IF(DT243="direct",ET243,0),IF(EV243="direct",FV243,0),IF(FX243="direct",GX243,0),IF(GZ243="direct",HZ243,0),IF(IB243="direct",JB243,0),IF(JD243="direct",KD243,0),IF(KF243="direct",LF243,0),IF(LH243="direct",MH243,0))</f>
        <v>0</v>
      </c>
      <c r="BH243" s="7">
        <f>SUM(IF(BP243="treasury",CP243,0),IF(CR243="treasury",DR243,0),IF(DT243="treasury",ET243,0),IF(EV243="treasury",FV243,0),IF(FX243="treasury",GX243,0),IF(GZ243="treasury",HZ243,0),IF(IB243="treasury",JB243,0),IF(JD243="treasury",KD243,0),IF(KF243="treasury",LF243,0),IF(LH243="treasury",MH243,0))</f>
        <v>0.00022136986301369863</v>
      </c>
      <c r="BI243" s="7">
        <f>SUM(IF(BP243="future",CP243,0),IF(CR243="future",DR243,0),IF(DT243="future",ET243,0),IF(EV243="future",FV243,0),IF(FX243="future",GX243,0),IF(GZ243="future",HZ243,0),IF(IB243="future",JB243,0),IF(JD243="future",KD243,0),IF(KF243="future",LF243,0),IF(LH243="future",MH243,0))</f>
        <v>-0.005586592178769946</v>
      </c>
      <c r="BJ243" s="7">
        <f>SUM(IF(BP243="cash",CP243,0),IF(CR243="cash",DR243,0),IF(DT243="cash",ET243,0),IF(EV243="cash",FV243,0),IF(FX243="cash",GX243,0),IF(GZ243="cash",HZ243,0),IF(IB243="cash",JB243,0),IF(JD243="cash",KD243,0),IF(KF243="cash",LF243,0),IF(LH243="cash",MH243,0))</f>
        <v>0</v>
      </c>
      <c r="BK243" s="7">
        <f>SUM(BF243,BH243,BI243,BJ243)</f>
        <v>-0.005365222315756248</v>
      </c>
      <c r="BL243" s="7">
        <f>G243-BK243</f>
        <v>8.673617379884035e-19</v>
      </c>
      <c r="BM243" s="5">
        <f>MAX(ABS(CG243),ABS(DI243),ABS(EK243),ABS(FM243),ABS(GO243),ABS(HQ243),ABS(IS243),ABS(JU243),ABS(KW243),ABS(LY243))</f>
        <v>4.603522424373452e-16</v>
      </c>
      <c r="BN243" s="9">
        <f>COUNTA(BO243,CQ243,DS243,EU243,FW243,GY243,IA243,JC243,KE243,LG243)</f>
        <v>6</v>
      </c>
      <c r="BO243" t="inlineStr">
        <is>
          <t xml:space="preserve">Treasury collateral</t>
        </is>
      </c>
      <c r="BP243" t="inlineStr">
        <is>
          <t xml:space="preserve">treasury</t>
        </is>
      </c>
      <c r="BQ243" t="inlineStr">
        <is>
          <t xml:space="preserve">lease</t>
        </is>
      </c>
      <c r="BR243" t="inlineStr">
        <is>
          <t xml:space="preserve">long</t>
        </is>
      </c>
      <c r="BS243"/>
      <c r="BT243" s="4">
        <v>106.80272543217374</v>
      </c>
      <c r="BU243" s="4">
        <v>106.82636833687218</v>
      </c>
      <c r="BV243" s="6"/>
      <c r="BW243" s="4">
        <v>0.019070474723055487</v>
      </c>
      <c r="BX243" s="5">
        <f>IF(BP243="direct",IFERROR(CD243/BU243,0),0)</f>
        <v>0</v>
      </c>
      <c r="BY243" s="5">
        <f>IF(BP243="direct",BW243-BX243,IF(BP243="cash",CI243,BW243))</f>
        <v>0.019070474723055487</v>
      </c>
      <c r="BZ243" s="6">
        <v>1</v>
      </c>
      <c r="CA243" s="4">
        <v>2.036778675707705</v>
      </c>
      <c r="CB243" s="4">
        <v>2.036778675707705</v>
      </c>
      <c r="CC243" s="5">
        <f>IF(BP243="direct",BW243*(BU243-BT243),CF243)</f>
        <v>0.0004508814164310975</v>
      </c>
      <c r="CD243" s="5">
        <f>IF(BP243="direct",CB243*BV243*C243/365,0)</f>
        <v>0</v>
      </c>
      <c r="CE243" s="5">
        <f>CC243-CD243</f>
        <v>0.00045088141643063713</v>
      </c>
      <c r="CF243" s="4">
        <v>0.00045088141643063713</v>
      </c>
      <c r="CG243" s="5">
        <f>CF243-CE243</f>
        <v>-4.603522424373452e-16</v>
      </c>
      <c r="CH243" s="4">
        <v>5.997806418189811e-16</v>
      </c>
      <c r="CI243" s="4">
        <v>2.037229557124136</v>
      </c>
      <c r="CJ243" s="4">
        <v>1.824</v>
      </c>
      <c r="CK243" s="4">
        <v>1.8</v>
      </c>
      <c r="CL243" s="6"/>
      <c r="CM243" s="6"/>
      <c r="CN243" s="6"/>
      <c r="CO243" s="9">
        <v>30</v>
      </c>
      <c r="CP243" s="7">
        <f>IFERROR(CE243/F243,0)</f>
        <v>0.00022136986301369863</v>
      </c>
      <c r="CQ243" t="inlineStr">
        <is>
          <t xml:space="preserve">SI70F</t>
        </is>
      </c>
      <c r="CR243" t="inlineStr">
        <is>
          <t xml:space="preserve">future</t>
        </is>
      </c>
      <c r="CS243" t="inlineStr">
        <is>
          <t xml:space="preserve">lease</t>
        </is>
      </c>
      <c r="CT243" t="inlineStr">
        <is>
          <t xml:space="preserve">long</t>
        </is>
      </c>
      <c r="CU243" t="inlineStr">
        <is>
          <t xml:space="preserve">regular</t>
        </is>
      </c>
      <c r="CV243" s="4">
        <v>1.79</v>
      </c>
      <c r="CW243" s="4">
        <v>1.78</v>
      </c>
      <c r="CX243" s="6"/>
      <c r="CY243" s="4">
        <v>1.1378651819512366</v>
      </c>
      <c r="CZ243" s="5">
        <f>IF(CR243="direct",IFERROR(DF243/CW243,0),0)</f>
        <v>0</v>
      </c>
      <c r="DA243" s="5">
        <f>IF(CR243="direct",CY243-CZ243,IF(CR243="cash",DK243,CY243))</f>
        <v>1.1378651819512366</v>
      </c>
      <c r="DB243" s="6">
        <v>0.9999999999926399</v>
      </c>
      <c r="DC243" s="4">
        <v>2.0367786756927138</v>
      </c>
      <c r="DD243" s="4">
        <v>0</v>
      </c>
      <c r="DE243" s="5">
        <f>IF(CR243="direct",CY243*(CW243-CV243),DH243)</f>
        <v>-0.011378651819512468</v>
      </c>
      <c r="DF243" s="5">
        <f>IF(CR243="direct",DD243*CX243*C243/365,0)</f>
        <v>0</v>
      </c>
      <c r="DG243" s="5">
        <f>DE243-DF243</f>
        <v>-0.011378651819512468</v>
      </c>
      <c r="DH243" s="4">
        <v>-0.011378651819512468</v>
      </c>
      <c r="DI243" s="5">
        <f>DH243-DG243</f>
        <v>0</v>
      </c>
      <c r="DJ243" s="4">
        <v>0.011378651819512468</v>
      </c>
      <c r="DK243" s="4">
        <v>0</v>
      </c>
      <c r="DL243" s="4">
        <v>1.824</v>
      </c>
      <c r="DM243" s="4">
        <v>1.8</v>
      </c>
      <c r="DN243" s="6">
        <v>-0.018640350877192957</v>
      </c>
      <c r="DO243" s="6">
        <v>0.0808</v>
      </c>
      <c r="DP243" s="6">
        <v>0.30759093567251433</v>
      </c>
      <c r="DQ243" s="9">
        <v>30</v>
      </c>
      <c r="DR243" s="7">
        <f>IFERROR(DG243/F243,0)</f>
        <v>-0.005586592178729881</v>
      </c>
      <c r="DS243" t="inlineStr">
        <is>
          <t xml:space="preserve">SI70H</t>
        </is>
      </c>
      <c r="DT243" t="inlineStr">
        <is>
          <t xml:space="preserve">future</t>
        </is>
      </c>
      <c r="DU243" t="inlineStr">
        <is>
          <t xml:space="preserve">lease</t>
        </is>
      </c>
      <c r="DV243" t="inlineStr">
        <is>
          <t xml:space="preserve">long</t>
        </is>
      </c>
      <c r="DW243" t="inlineStr">
        <is>
          <t xml:space="preserve">regular</t>
        </is>
      </c>
      <c r="DX243" s="4">
        <v>1.837</v>
      </c>
      <c r="DY243" s="4">
        <v>1.827</v>
      </c>
      <c r="DZ243" s="6"/>
      <c r="EA243" s="4">
        <v>8.157991105076522e-12</v>
      </c>
      <c r="EB243" s="5">
        <f>IF(DT243="direct",IFERROR(EH243/DY243,0),0)</f>
        <v>0</v>
      </c>
      <c r="EC243" s="5">
        <f>IF(DT243="direct",EA243-EB243,IF(DT243="cash",EM243,EA243))</f>
        <v>8.157991105076522e-12</v>
      </c>
      <c r="ED243" s="6">
        <v>7.357809583713562e-12</v>
      </c>
      <c r="EE243" s="4">
        <v>1.498622966002557e-11</v>
      </c>
      <c r="EF243" s="4">
        <v>0</v>
      </c>
      <c r="EG243" s="5">
        <f>IF(DT243="direct",EA243*(DY243-DX243),EJ243)</f>
        <v>-8.1579911050766e-14</v>
      </c>
      <c r="EH243" s="5">
        <f>IF(DT243="direct",EF243*DZ243*C243/365,0)</f>
        <v>0</v>
      </c>
      <c r="EI243" s="5">
        <f>EG243-EH243</f>
        <v>-8.1579911050766e-14</v>
      </c>
      <c r="EJ243" s="4">
        <v>-8.1579911050766e-14</v>
      </c>
      <c r="EK243" s="5">
        <f>EJ243-EI243</f>
        <v>0</v>
      </c>
      <c r="EL243" s="4">
        <v>8.1579911050766e-14</v>
      </c>
      <c r="EM243" s="4">
        <v>0</v>
      </c>
      <c r="EN243" s="4">
        <v>1.824</v>
      </c>
      <c r="EO243" s="4">
        <v>1.8</v>
      </c>
      <c r="EP243" s="6">
        <v>0.007127192982456121</v>
      </c>
      <c r="EQ243" s="6">
        <v>0.0808</v>
      </c>
      <c r="ER243" s="6">
        <v>0.05123834728867631</v>
      </c>
      <c r="ES243" s="9">
        <v>88</v>
      </c>
      <c r="ET243" s="7">
        <f>IFERROR(EI243/F243,0)</f>
        <v>-4.005340002021575e-14</v>
      </c>
      <c r="EU243" t="inlineStr">
        <is>
          <t xml:space="preserve">SI70K</t>
        </is>
      </c>
      <c r="EV243" t="inlineStr">
        <is>
          <t xml:space="preserve">future</t>
        </is>
      </c>
      <c r="EW243" t="inlineStr">
        <is>
          <t xml:space="preserve">lease</t>
        </is>
      </c>
      <c r="EX243" t="inlineStr">
        <is>
          <t xml:space="preserve">long</t>
        </is>
      </c>
      <c r="EY243" t="inlineStr">
        <is>
          <t xml:space="preserve">regular</t>
        </is>
      </c>
      <c r="EZ243" s="4">
        <v>1.879</v>
      </c>
      <c r="FA243" s="4">
        <v>1.869</v>
      </c>
      <c r="FB243" s="6"/>
      <c r="FC243" s="4">
        <v>2.471043141068051e-15</v>
      </c>
      <c r="FD243" s="5">
        <f>IF(EV243="direct",IFERROR(FJ243/FA243,0),0)</f>
        <v>0</v>
      </c>
      <c r="FE243" s="5">
        <f>IF(EV243="direct",FC243-FD243,IF(EV243="cash",FO243,FC243))</f>
        <v>2.471043141068051e-15</v>
      </c>
      <c r="FF243" s="6">
        <v>2.279624250510953e-15</v>
      </c>
      <c r="FG243" s="4">
        <v>4.643090062066868e-15</v>
      </c>
      <c r="FH243" s="4">
        <v>0</v>
      </c>
      <c r="FI243" s="5">
        <f>IF(EV243="direct",FC243*(FA243-EZ243),FL243)</f>
        <v>-2.4710431410680558e-17</v>
      </c>
      <c r="FJ243" s="5">
        <f>IF(EV243="direct",FH243*FB243*C243/365,0)</f>
        <v>0</v>
      </c>
      <c r="FK243" s="5">
        <f>FI243-FJ243</f>
        <v>-2.4710431410680558e-17</v>
      </c>
      <c r="FL243" s="4">
        <v>-2.4710431410680558e-17</v>
      </c>
      <c r="FM243" s="5">
        <f>FL243-FK243</f>
        <v>0</v>
      </c>
      <c r="FN243" s="4">
        <v>2.4710431410680558e-17</v>
      </c>
      <c r="FO243" s="4">
        <v>0</v>
      </c>
      <c r="FP243" s="4">
        <v>1.824</v>
      </c>
      <c r="FQ243" s="4">
        <v>1.8</v>
      </c>
      <c r="FR243" s="6">
        <v>0.030153508771929793</v>
      </c>
      <c r="FS243" s="6">
        <v>0.08086373626373627</v>
      </c>
      <c r="FT243" s="6">
        <v>0.006997758399612947</v>
      </c>
      <c r="FU243" s="9">
        <v>149</v>
      </c>
      <c r="FV243" s="7">
        <f>IFERROR(FK243/F243,0)</f>
        <v>-1.213211415918551e-17</v>
      </c>
      <c r="FW243" t="inlineStr">
        <is>
          <t xml:space="preserve">Lease cash / margin / financing</t>
        </is>
      </c>
      <c r="FX243" t="inlineStr">
        <is>
          <t xml:space="preserve">cash</t>
        </is>
      </c>
      <c r="FY243" t="inlineStr">
        <is>
          <t xml:space="preserve">lease</t>
        </is>
      </c>
      <c r="FZ243" t="inlineStr">
        <is>
          <t xml:space="preserve">cash</t>
        </is>
      </c>
      <c r="GA243"/>
      <c r="GB243" s="4">
        <v>1</v>
      </c>
      <c r="GC243" s="4">
        <v>1</v>
      </c>
      <c r="GD243" s="6"/>
      <c r="GE243" s="4">
        <v>-1.3322676295501878e-15</v>
      </c>
      <c r="GF243" s="5">
        <f>IF(FX243="direct",IFERROR(GL243/GC243,0),0)</f>
        <v>0</v>
      </c>
      <c r="GG243" s="5">
        <f>IF(FX243="direct",GE243-GF243,IF(FX243="cash",GQ243,GE243))</f>
        <v>-0.011378651819596006</v>
      </c>
      <c r="GH243" s="6"/>
      <c r="GI243" s="4">
        <v>-1.3322676295501878e-15</v>
      </c>
      <c r="GJ243" s="4">
        <v>-1.3322676295501878e-15</v>
      </c>
      <c r="GK243" s="5">
        <f>IF(FX243="direct",GE243*(GC243-GB243),GN243)</f>
        <v>0</v>
      </c>
      <c r="GL243" s="5">
        <f>IF(FX243="direct",GJ243*GD243*C243/365,0)</f>
        <v>0</v>
      </c>
      <c r="GM243" s="5">
        <f>GK243-GL243</f>
        <v>0</v>
      </c>
      <c r="GN243" s="4">
        <v>0</v>
      </c>
      <c r="GO243" s="5">
        <f>GN243-GM243</f>
        <v>0</v>
      </c>
      <c r="GP243" s="4">
        <v>-0.011378651819594673</v>
      </c>
      <c r="GQ243" s="4">
        <v>-0.011378651819596006</v>
      </c>
      <c r="GR243" s="4">
        <v>1.824</v>
      </c>
      <c r="GS243" s="4">
        <v>1.8</v>
      </c>
      <c r="GT243" s="6"/>
      <c r="GU243" s="6"/>
      <c r="GV243" s="6"/>
      <c r="GW243" s="9"/>
      <c r="GX243" s="7">
        <f>IFERROR(GM243/F243,0)</f>
        <v>0</v>
      </c>
      <c r="GY243" t="inlineStr">
        <is>
          <t xml:space="preserve">Keep cash / margin / financing</t>
        </is>
      </c>
      <c r="GZ243" t="inlineStr">
        <is>
          <t xml:space="preserve">cash</t>
        </is>
      </c>
      <c r="HA243" t="inlineStr">
        <is>
          <t xml:space="preserve">keep</t>
        </is>
      </c>
      <c r="HB243" t="inlineStr">
        <is>
          <t xml:space="preserve">cash</t>
        </is>
      </c>
      <c r="HC243"/>
      <c r="HD243" s="4">
        <v>1</v>
      </c>
      <c r="HE243" s="4">
        <v>1</v>
      </c>
      <c r="HF243" s="6"/>
      <c r="HG243" s="4">
        <v>0</v>
      </c>
      <c r="HH243" s="5">
        <f>IF(GZ243="direct",IFERROR(HN243/HE243,0),0)</f>
        <v>0</v>
      </c>
      <c r="HI243" s="5">
        <f>IF(GZ243="direct",HG243-HH243,IF(GZ243="cash",HS243,HG243))</f>
        <v>0</v>
      </c>
      <c r="HJ243" s="6"/>
      <c r="HK243" s="4">
        <v>0</v>
      </c>
      <c r="HL243" s="4">
        <v>0</v>
      </c>
      <c r="HM243" s="5">
        <f>IF(GZ243="direct",HG243*(HE243-HD243),HP243)</f>
        <v>0</v>
      </c>
      <c r="HN243" s="5">
        <f>IF(GZ243="direct",HL243*HF243*C243/365,0)</f>
        <v>0</v>
      </c>
      <c r="HO243" s="5">
        <f>HM243-HN243</f>
        <v>0</v>
      </c>
      <c r="HP243" s="4">
        <v>0</v>
      </c>
      <c r="HQ243" s="5">
        <f>HP243-HO243</f>
        <v>0</v>
      </c>
      <c r="HR243" s="4">
        <v>0</v>
      </c>
      <c r="HS243" s="4">
        <v>0</v>
      </c>
      <c r="HT243" s="4">
        <v>1.824</v>
      </c>
      <c r="HU243" s="4">
        <v>1.8</v>
      </c>
      <c r="HV243" s="6"/>
      <c r="HW243" s="6"/>
      <c r="HX243" s="6"/>
      <c r="HY243" s="9"/>
      <c r="HZ243" s="7">
        <f>IFERROR(HO243/F243,0)</f>
        <v>0</v>
      </c>
      <c r="IA243"/>
      <c r="IB243"/>
      <c r="IC243"/>
      <c r="ID243"/>
      <c r="IE243"/>
      <c r="IF243" s="4"/>
      <c r="IG243" s="4"/>
      <c r="IH243" s="6"/>
      <c r="II243" s="4"/>
      <c r="IJ243" s="5">
        <v>0</v>
      </c>
      <c r="IK243" s="5"/>
      <c r="IL243" s="6"/>
      <c r="IM243" s="4"/>
      <c r="IN243" s="4"/>
      <c r="IO243" s="5">
        <v>0</v>
      </c>
      <c r="IP243" s="5">
        <v>0</v>
      </c>
      <c r="IQ243" s="5"/>
      <c r="IR243" s="4"/>
      <c r="IS243" s="5">
        <v>0</v>
      </c>
      <c r="IT243" s="4"/>
      <c r="IU243" s="4"/>
      <c r="IV243" s="4"/>
      <c r="IW243" s="4"/>
      <c r="IX243" s="6"/>
      <c r="IY243" s="6"/>
      <c r="IZ243" s="6"/>
      <c r="JA243" s="9"/>
      <c r="JB243"/>
      <c r="JC243"/>
      <c r="JD243"/>
      <c r="JE243"/>
      <c r="JF243"/>
      <c r="JG243"/>
      <c r="JH243" s="4"/>
      <c r="JI243" s="4"/>
      <c r="JJ243" s="6"/>
      <c r="JK243" s="4"/>
      <c r="JL243" s="5">
        <v>0</v>
      </c>
      <c r="JM243" s="5"/>
      <c r="JN243" s="6"/>
      <c r="JO243" s="4"/>
      <c r="JP243" s="4"/>
      <c r="JQ243" s="5">
        <v>0</v>
      </c>
      <c r="JR243" s="5">
        <v>0</v>
      </c>
      <c r="JS243" s="5"/>
      <c r="JT243" s="4"/>
      <c r="JU243" s="5">
        <v>0</v>
      </c>
      <c r="JV243" s="4"/>
      <c r="JW243" s="4"/>
      <c r="JX243" s="4"/>
      <c r="JY243" s="4"/>
      <c r="JZ243" s="6"/>
      <c r="KA243" s="6"/>
      <c r="KB243" s="6"/>
      <c r="KC243" s="9"/>
      <c r="KD243"/>
      <c r="KE243"/>
      <c r="KF243"/>
      <c r="KG243"/>
      <c r="KH243"/>
      <c r="KI243"/>
      <c r="KJ243" s="4"/>
      <c r="KK243" s="4"/>
      <c r="KL243" s="6"/>
      <c r="KM243" s="4"/>
      <c r="KN243" s="5">
        <v>0</v>
      </c>
      <c r="KO243" s="5"/>
      <c r="KP243" s="6"/>
      <c r="KQ243" s="4"/>
      <c r="KR243" s="4"/>
      <c r="KS243" s="5">
        <v>0</v>
      </c>
      <c r="KT243" s="5">
        <v>0</v>
      </c>
      <c r="KU243" s="5"/>
      <c r="KV243" s="4"/>
      <c r="KW243" s="5">
        <v>0</v>
      </c>
      <c r="KX243" s="4"/>
      <c r="KY243" s="4"/>
      <c r="KZ243" s="4"/>
      <c r="LA243" s="4"/>
      <c r="LB243" s="6"/>
      <c r="LC243" s="6"/>
      <c r="LD243" s="6"/>
      <c r="LE243" s="9"/>
      <c r="LF243"/>
      <c r="LG243"/>
      <c r="LH243"/>
      <c r="LI243"/>
      <c r="LJ243"/>
      <c r="LK243"/>
      <c r="LL243" s="4"/>
      <c r="LM243" s="4"/>
      <c r="LN243" s="6"/>
      <c r="LO243" s="4"/>
      <c r="LP243" s="5">
        <v>0</v>
      </c>
      <c r="LQ243" s="5"/>
      <c r="LR243" s="6"/>
      <c r="LS243" s="4"/>
      <c r="LT243" s="4"/>
      <c r="LU243" s="5">
        <v>0</v>
      </c>
      <c r="LV243" s="5">
        <v>0</v>
      </c>
      <c r="LW243" s="5"/>
      <c r="LX243" s="4"/>
      <c r="LY243" s="5">
        <v>0</v>
      </c>
      <c r="LZ243" s="4"/>
      <c r="MA243" s="4"/>
      <c r="MB243" s="4"/>
      <c r="MC243" s="4"/>
      <c r="MD243" s="6"/>
      <c r="ME243" s="6"/>
      <c r="MF243" s="6"/>
      <c r="MG243" s="9"/>
      <c r="MH243"/>
    </row>
    <row r="244">
      <c r="A244" s="8">
        <v>25567</v>
      </c>
      <c r="B244" s="8">
        <v>25568</v>
      </c>
      <c r="C244" s="9">
        <f>B244-A244</f>
        <v>1</v>
      </c>
      <c r="D244" s="8">
        <v>25567</v>
      </c>
      <c r="E244" t="inlineStr">
        <is>
          <t xml:space="preserve">positive</t>
        </is>
      </c>
      <c r="F244" s="4">
        <v>2.0258509053045417</v>
      </c>
      <c r="G244" s="6">
        <v>0.008647514237334654</v>
      </c>
      <c r="H244" s="7">
        <f>SUM(CP244,DR244,ET244,FV244,GX244,HZ244,JB244,KD244,LF244,MH244)</f>
        <v>0.008647514237334652</v>
      </c>
      <c r="I244" s="7">
        <f>G244-H244</f>
        <v>1.734723475976807e-18</v>
      </c>
      <c r="J244" s="5">
        <f>F244*(1+H244)</f>
        <v>2.0433694798508797</v>
      </c>
      <c r="K244" s="4">
        <v>2.0433694798508797</v>
      </c>
      <c r="L244" s="5">
        <f>K244-J244</f>
        <v>0</v>
      </c>
      <c r="M244" s="4">
        <v>1.8</v>
      </c>
      <c r="N244" s="4">
        <v>1.791</v>
      </c>
      <c r="O244" s="5">
        <f>M244/$M$3</f>
        <v>0.9193054136874362</v>
      </c>
      <c r="P244" s="5">
        <f>N244/$M$3</f>
        <v>0.914708886618999</v>
      </c>
      <c r="Q244" s="7">
        <f>IFERROR(N244/M244-1,0)</f>
        <v>-0.0050000000000001155</v>
      </c>
      <c r="R244" s="5">
        <f>SUM(IF(BQ244="lease",CB244,0),IF(CS244="lease",DD244,0),IF(DU244="lease",EF244,0),IF(EW244="lease",FH244,0),IF(FY244="lease",GJ244,0),IF(HA244="lease",HL244,0),IF(IC244="lease",IN244,0),IF(JE244="lease",JP244,0),IF(KG244="lease",KR244,0),IF(LI244="lease",LT244,0))</f>
        <v>2.02585090530454</v>
      </c>
      <c r="S244" s="5">
        <f>SUM(IF(BQ244="lease",CI244,0),IF(CS244="lease",DK244,0),IF(DU244="lease",EM244,0),IF(EW244="lease",FO244,0),IF(FY244="lease",GQ244,0),IF(HA244="lease",HS244,0),IF(IC244="lease",IU244,0),IF(JE244="lease",JW244,0),IF(KG244="lease",KY244,0),IF(LI244="lease",MA244,0))</f>
        <v>2.0433694798508784</v>
      </c>
      <c r="T244" s="5">
        <f>SUM(IF(BQ244="keep",CB244,0),IF(CS244="keep",DD244,0),IF(DU244="keep",EF244,0),IF(EW244="keep",FH244,0),IF(FY244="keep",GJ244,0),IF(HA244="keep",HL244,0),IF(IC244="keep",IN244,0),IF(JE244="keep",JP244,0),IF(KG244="keep",KR244,0),IF(LI244="keep",LT244,0))</f>
        <v>0</v>
      </c>
      <c r="U244" s="5">
        <f>SUM(IF(BQ244="keep",CI244,0),IF(CS244="keep",DK244,0),IF(DU244="keep",EM244,0),IF(EW244="keep",FO244,0),IF(FY244="keep",GQ244,0),IF(HA244="keep",HS244,0),IF(IC244="keep",IU244,0),IF(JE244="keep",JW244,0),IF(KG244="keep",KY244,0),IF(LI244="keep",MA244,0))</f>
        <v>0</v>
      </c>
      <c r="V244" s="5">
        <f>R244/O244</f>
        <v>2.2036755958812715</v>
      </c>
      <c r="W244" s="5">
        <f>S244/P244</f>
        <v>2.2339014190664543</v>
      </c>
      <c r="X244" s="5">
        <f>T244/O244</f>
        <v>0</v>
      </c>
      <c r="Y244" s="5">
        <f>U244/P244</f>
        <v>0</v>
      </c>
      <c r="Z244" s="5">
        <f>V244+X244</f>
        <v>2.2036755958812715</v>
      </c>
      <c r="AA244" s="7">
        <f>IFERROR(W244/V244-1,0)</f>
        <v>0.013716094710889193</v>
      </c>
      <c r="AB244" s="7">
        <f>IFERROR((W244-V244)/Z244,0)</f>
        <v>0.013716094710889264</v>
      </c>
      <c r="AC244" s="7">
        <f>IFERROR(Y244/X244-1,0)</f>
        <v>0</v>
      </c>
      <c r="AD244" s="7">
        <f>IFERROR((Y244-X244)/Z244,0)</f>
        <v>0</v>
      </c>
      <c r="AE244" s="7">
        <f>AB244+AD244</f>
        <v>0.013716094710889264</v>
      </c>
      <c r="AF244" s="7">
        <f>(1+Q244)*(1+AE244)-1</f>
        <v>0.008647514237334564</v>
      </c>
      <c r="AG244" s="7">
        <f>G244-AF244</f>
        <v>9.020562075079397e-17</v>
      </c>
      <c r="AH244" s="5">
        <f>SUM(IF(BQ244="lease",CE244,0),IF(CS244="lease",DG244,0),IF(DU244="lease",EI244,0),IF(EW244="lease",FK244,0),IF(FY244="lease",GM244,0),IF(HA244="lease",HO244,0),IF(IC244="lease",IQ244,0),IF(JE244="lease",JS244,0),IF(KG244="lease",KU244,0),IF(LI244="lease",LW244,0))</f>
        <v>0.01751857454633832</v>
      </c>
      <c r="AI244" s="5">
        <f>SUM(IF(BQ244="keep",CE244,0),IF(CS244="keep",DG244,0),IF(DU244="keep",EI244,0),IF(EW244="keep",FK244,0),IF(FY244="keep",GM244,0),IF(HA244="keep",HO244,0),IF(IC244="keep",IQ244,0),IF(JE244="keep",JS244,0),IF(KG244="keep",KU244,0),IF(LI244="keep",LW244,0))</f>
        <v>0</v>
      </c>
      <c r="AJ244" s="5">
        <f>SUM(IF(BQ244="lease",CH244,0),IF(CS244="lease",DJ244,0),IF(DU244="lease",EL244,0),IF(EW244="lease",FN244,0),IF(FY244="lease",GP244,0),IF(HA244="lease",HR244,0),IF(IC244="lease",IT244,0),IF(JE244="lease",JV244,0),IF(KG244="lease",KX244,0),IF(LI244="lease",LZ244,0))</f>
        <v>0</v>
      </c>
      <c r="AK244" s="5">
        <f>SUM(IF(BQ244="keep",CH244,0),IF(CS244="keep",DJ244,0),IF(DU244="keep",EL244,0),IF(EW244="keep",FN244,0),IF(FY244="keep",GP244,0),IF(HA244="keep",HR244,0),IF(IC244="keep",IT244,0),IF(JE244="keep",JV244,0),IF(KG244="keep",KX244,0),IF(LI244="keep",LZ244,0))</f>
        <v>0</v>
      </c>
      <c r="AL244" s="5">
        <f>R244-S243</f>
        <v>0</v>
      </c>
      <c r="AM244" s="5">
        <f>T244-U243</f>
        <v>0</v>
      </c>
      <c r="AN244" s="5">
        <f>AN243</f>
        <v>1</v>
      </c>
      <c r="AO244" s="5">
        <f>AO243+AH244</f>
        <v>1.0433694798508797</v>
      </c>
      <c r="AP244" s="5">
        <f>AP243+AL244</f>
        <v>1.5543122344752192e-15</v>
      </c>
      <c r="AQ244" s="5">
        <f>AN244+AO244+AP244</f>
        <v>2.043369479850881</v>
      </c>
      <c r="AR244" s="5">
        <f>S244-AQ244</f>
        <v>-2.6645352591003757e-15</v>
      </c>
      <c r="AS244" s="5">
        <f>AS243</f>
        <v>0</v>
      </c>
      <c r="AT244" s="5">
        <f>AT243+AI244</f>
        <v>0</v>
      </c>
      <c r="AU244" s="5">
        <f>AU243+AM244</f>
        <v>0</v>
      </c>
      <c r="AV244" s="5">
        <f>AS244+AT244+AU244</f>
        <v>0</v>
      </c>
      <c r="AW244" s="5">
        <f>U244-AV244</f>
        <v>0</v>
      </c>
      <c r="AX244" s="4">
        <v>2.02585090530454</v>
      </c>
      <c r="AY244" s="4">
        <v>2.0433694798508784</v>
      </c>
      <c r="AZ244" s="5">
        <f>S244-AY244</f>
        <v>0</v>
      </c>
      <c r="BA244" s="4">
        <v>0</v>
      </c>
      <c r="BB244" s="4">
        <v>0</v>
      </c>
      <c r="BC244" s="5">
        <f>U244-BB244</f>
        <v>0</v>
      </c>
      <c r="BD244" s="7">
        <f>SUM(IF(BP244="direct",CC244/F244,0),IF(CR244="direct",DE244/F244,0),IF(DT244="direct",EG244/F244,0),IF(EV244="direct",FI244/F244,0),IF(FX244="direct",GK244/F244,0),IF(GZ244="direct",HM244/F244,0),IF(IB244="direct",IO244/F244,0),IF(JD244="direct",JQ244/F244,0),IF(KF244="direct",KS244/F244,0),IF(LH244="direct",LU244/F244,0))</f>
        <v>0</v>
      </c>
      <c r="BE244" s="7">
        <f>-SUM(IF(BP244="direct",CD244/F244,0),IF(CR244="direct",DF244/F244,0),IF(DT244="direct",EH244/F244,0),IF(EV244="direct",FJ244/F244,0),IF(FX244="direct",GL244/F244,0),IF(GZ244="direct",HN244/F244,0),IF(IB244="direct",IP244/F244,0),IF(JD244="direct",JR244/F244,0),IF(KF244="direct",KT244/F244,0),IF(LH244="direct",LV244/F244,0))</f>
        <v>0</v>
      </c>
      <c r="BF244" s="7">
        <f>BD244+BE244</f>
        <v>0</v>
      </c>
      <c r="BG244" s="7">
        <f>BF244-SUM(IF(BP244="direct",CP244,0),IF(CR244="direct",DR244,0),IF(DT244="direct",ET244,0),IF(EV244="direct",FV244,0),IF(FX244="direct",GX244,0),IF(GZ244="direct",HZ244,0),IF(IB244="direct",JB244,0),IF(JD244="direct",KD244,0),IF(KF244="direct",LF244,0),IF(LH244="direct",MH244,0))</f>
        <v>0</v>
      </c>
      <c r="BH244" s="7">
        <f>SUM(IF(BP244="treasury",CP244,0),IF(CR244="treasury",DR244,0),IF(DT244="treasury",ET244,0),IF(EV244="treasury",FV244,0),IF(FX244="treasury",GX244,0),IF(GZ244="treasury",HZ244,0),IF(IB244="treasury",JB244,0),IF(JD244="treasury",KD244,0),IF(KF244="treasury",LF244,0),IF(LH244="treasury",MH244,0))</f>
        <v>0.00022054794520547945</v>
      </c>
      <c r="BI244" s="7">
        <f>SUM(IF(BP244="future",CP244,0),IF(CR244="future",DR244,0),IF(DT244="future",ET244,0),IF(EV244="future",FV244,0),IF(FX244="future",GX244,0),IF(GZ244="future",HZ244,0),IF(IB244="future",JB244,0),IF(JD244="future",KD244,0),IF(KF244="future",LF244,0),IF(LH244="future",MH244,0))</f>
        <v>0.008426966292129174</v>
      </c>
      <c r="BJ244" s="7">
        <f>SUM(IF(BP244="cash",CP244,0),IF(CR244="cash",DR244,0),IF(DT244="cash",ET244,0),IF(EV244="cash",FV244,0),IF(FX244="cash",GX244,0),IF(GZ244="cash",HZ244,0),IF(IB244="cash",JB244,0),IF(JD244="cash",KD244,0),IF(KF244="cash",LF244,0),IF(LH244="cash",MH244,0))</f>
        <v>0</v>
      </c>
      <c r="BK244" s="7">
        <f>SUM(BF244,BH244,BI244,BJ244)</f>
        <v>0.008647514237334654</v>
      </c>
      <c r="BL244" s="7">
        <f>G244-BK244</f>
        <v>0</v>
      </c>
      <c r="BM244" s="5">
        <f>MAX(ABS(CG244),ABS(DI244),ABS(EK244),ABS(FM244),ABS(GO244),ABS(HQ244),ABS(IS244),ABS(JU244),ABS(KW244),ABS(LY244))</f>
        <v>8.066464163292153e-17</v>
      </c>
      <c r="BN244" s="9">
        <f>COUNTA(BO244,CQ244,DS244,EU244,FW244,GY244,IA244,JC244,KE244,LG244)</f>
        <v>5</v>
      </c>
      <c r="BO244" t="inlineStr">
        <is>
          <t xml:space="preserve">Treasury collateral</t>
        </is>
      </c>
      <c r="BP244" t="inlineStr">
        <is>
          <t xml:space="preserve">treasury</t>
        </is>
      </c>
      <c r="BQ244" t="inlineStr">
        <is>
          <t xml:space="preserve">lease</t>
        </is>
      </c>
      <c r="BR244" t="inlineStr">
        <is>
          <t xml:space="preserve">long</t>
        </is>
      </c>
      <c r="BS244"/>
      <c r="BT244" s="4">
        <v>106.82636833687218</v>
      </c>
      <c r="BU244" s="4">
        <v>106.84992867290264</v>
      </c>
      <c r="BV244" s="6"/>
      <c r="BW244" s="4">
        <v>0.01896395933741856</v>
      </c>
      <c r="BX244" s="5">
        <f>IF(BP244="direct",IFERROR(CD244/BU244,0),0)</f>
        <v>0</v>
      </c>
      <c r="BY244" s="5">
        <f>IF(BP244="direct",BW244-BX244,IF(BP244="cash",CI244,BW244))</f>
        <v>0.01896395933741856</v>
      </c>
      <c r="BZ244" s="6">
        <v>1</v>
      </c>
      <c r="CA244" s="4">
        <v>2.0258509053045417</v>
      </c>
      <c r="CB244" s="4">
        <v>2.0258509053045417</v>
      </c>
      <c r="CC244" s="5">
        <f>IF(BP244="direct",BW244*(BU244-BT244),CF244)</f>
        <v>0.00044679725445749633</v>
      </c>
      <c r="CD244" s="5">
        <f>IF(BP244="direct",CB244*BV244*C244/365,0)</f>
        <v>0</v>
      </c>
      <c r="CE244" s="5">
        <f>CC244-CD244</f>
        <v>0.000446797254457577</v>
      </c>
      <c r="CF244" s="4">
        <v>0.000446797254457577</v>
      </c>
      <c r="CG244" s="5">
        <f>CF244-CE244</f>
        <v>8.066464163292153e-17</v>
      </c>
      <c r="CH244" s="4">
        <v>-2.896446103795025e-16</v>
      </c>
      <c r="CI244" s="4">
        <v>2.026297702558999</v>
      </c>
      <c r="CJ244" s="4">
        <v>1.8</v>
      </c>
      <c r="CK244" s="4">
        <v>1.791</v>
      </c>
      <c r="CL244" s="6"/>
      <c r="CM244" s="6"/>
      <c r="CN244" s="6"/>
      <c r="CO244" s="9">
        <v>29</v>
      </c>
      <c r="CP244" s="7">
        <f>IFERROR(CE244/F244,0)</f>
        <v>0.00022054794520547945</v>
      </c>
      <c r="CQ244" t="inlineStr">
        <is>
          <t xml:space="preserve">SI70F</t>
        </is>
      </c>
      <c r="CR244" t="inlineStr">
        <is>
          <t xml:space="preserve">future</t>
        </is>
      </c>
      <c r="CS244" t="inlineStr">
        <is>
          <t xml:space="preserve">lease</t>
        </is>
      </c>
      <c r="CT244" t="inlineStr">
        <is>
          <t xml:space="preserve">long</t>
        </is>
      </c>
      <c r="CU244" t="inlineStr">
        <is>
          <t xml:space="preserve">regular</t>
        </is>
      </c>
      <c r="CV244" s="4">
        <v>1.78</v>
      </c>
      <c r="CW244" s="4">
        <v>1.795</v>
      </c>
      <c r="CX244" s="6"/>
      <c r="CY244" s="4">
        <v>1.1381184861177729</v>
      </c>
      <c r="CZ244" s="5">
        <f>IF(CR244="direct",IFERROR(DF244/CW244,0),0)</f>
        <v>0</v>
      </c>
      <c r="DA244" s="5">
        <f>IF(CR244="direct",CY244-CZ244,IF(CR244="cash",DK244,CY244))</f>
        <v>1.1381184861177729</v>
      </c>
      <c r="DB244" s="6">
        <v>0.9999999999926422</v>
      </c>
      <c r="DC244" s="4">
        <v>2.025850905289636</v>
      </c>
      <c r="DD244" s="4">
        <v>0</v>
      </c>
      <c r="DE244" s="5">
        <f>IF(CR244="direct",CY244*(CW244-CV244),DH244)</f>
        <v>0.017071777291766524</v>
      </c>
      <c r="DF244" s="5">
        <f>IF(CR244="direct",DD244*CX244*C244/365,0)</f>
        <v>0</v>
      </c>
      <c r="DG244" s="5">
        <f>DE244-DF244</f>
        <v>0.017071777291766524</v>
      </c>
      <c r="DH244" s="4">
        <v>0.017071777291766524</v>
      </c>
      <c r="DI244" s="5">
        <f>DH244-DG244</f>
        <v>0</v>
      </c>
      <c r="DJ244" s="4">
        <v>-0.017071777291766524</v>
      </c>
      <c r="DK244" s="4">
        <v>0</v>
      </c>
      <c r="DL244" s="4">
        <v>1.8</v>
      </c>
      <c r="DM244" s="4">
        <v>1.791</v>
      </c>
      <c r="DN244" s="6">
        <v>-0.011111111111111072</v>
      </c>
      <c r="DO244" s="6">
        <v>0.0805</v>
      </c>
      <c r="DP244" s="6">
        <v>0.2203467432950187</v>
      </c>
      <c r="DQ244" s="9">
        <v>29</v>
      </c>
      <c r="DR244" s="7">
        <f>IFERROR(DG244/F244,0)</f>
        <v>0.008426966292072792</v>
      </c>
      <c r="DS244" t="inlineStr">
        <is>
          <t xml:space="preserve">SI70H</t>
        </is>
      </c>
      <c r="DT244" t="inlineStr">
        <is>
          <t xml:space="preserve">future</t>
        </is>
      </c>
      <c r="DU244" t="inlineStr">
        <is>
          <t xml:space="preserve">lease</t>
        </is>
      </c>
      <c r="DV244" t="inlineStr">
        <is>
          <t xml:space="preserve">long</t>
        </is>
      </c>
      <c r="DW244" t="inlineStr">
        <is>
          <t xml:space="preserve">regular</t>
        </is>
      </c>
      <c r="DX244" s="4">
        <v>1.827</v>
      </c>
      <c r="DY244" s="4">
        <v>1.841</v>
      </c>
      <c r="DZ244" s="6"/>
      <c r="EA244" s="4">
        <v>8.158634486165622e-12</v>
      </c>
      <c r="EB244" s="5">
        <f>IF(DT244="direct",IFERROR(EH244/DY244,0),0)</f>
        <v>0</v>
      </c>
      <c r="EC244" s="5">
        <f>IF(DT244="direct",EA244-EB244,IF(DT244="cash",EM244,EA244))</f>
        <v>8.158634486165622e-12</v>
      </c>
      <c r="ED244" s="6">
        <v>7.35780958371358e-12</v>
      </c>
      <c r="EE244" s="4">
        <v>1.490582520622459e-11</v>
      </c>
      <c r="EF244" s="4">
        <v>0</v>
      </c>
      <c r="EG244" s="5">
        <f>IF(DT244="direct",EA244*(DY244-DX244),EJ244)</f>
        <v>1.1422088280631964e-13</v>
      </c>
      <c r="EH244" s="5">
        <f>IF(DT244="direct",EF244*DZ244*C244/365,0)</f>
        <v>0</v>
      </c>
      <c r="EI244" s="5">
        <f>EG244-EH244</f>
        <v>1.1422088280631964e-13</v>
      </c>
      <c r="EJ244" s="4">
        <v>1.1422088280631964e-13</v>
      </c>
      <c r="EK244" s="5">
        <f>EJ244-EI244</f>
        <v>0</v>
      </c>
      <c r="EL244" s="4">
        <v>-1.1422088280631964e-13</v>
      </c>
      <c r="EM244" s="4">
        <v>0</v>
      </c>
      <c r="EN244" s="4">
        <v>1.8</v>
      </c>
      <c r="EO244" s="4">
        <v>1.791</v>
      </c>
      <c r="EP244" s="6">
        <v>0.014999999999999902</v>
      </c>
      <c r="EQ244" s="6">
        <v>0.0805</v>
      </c>
      <c r="ER244" s="6">
        <v>0.017568965517241797</v>
      </c>
      <c r="ES244" s="9">
        <v>87</v>
      </c>
      <c r="ET244" s="7">
        <f>IFERROR(EI244/F244,0)</f>
        <v>5.6381682633821006e-14</v>
      </c>
      <c r="EU244" t="inlineStr">
        <is>
          <t xml:space="preserve">Lease cash / margin / financing</t>
        </is>
      </c>
      <c r="EV244" t="inlineStr">
        <is>
          <t xml:space="preserve">cash</t>
        </is>
      </c>
      <c r="EW244" t="inlineStr">
        <is>
          <t xml:space="preserve">lease</t>
        </is>
      </c>
      <c r="EX244" t="inlineStr">
        <is>
          <t xml:space="preserve">cash</t>
        </is>
      </c>
      <c r="EY244"/>
      <c r="EZ244" s="4">
        <v>1</v>
      </c>
      <c r="FA244" s="4">
        <v>1</v>
      </c>
      <c r="FB244" s="6"/>
      <c r="FC244" s="4">
        <v>-1.7763568394002505e-15</v>
      </c>
      <c r="FD244" s="5">
        <f>IF(EV244="direct",IFERROR(FJ244/FA244,0),0)</f>
        <v>0</v>
      </c>
      <c r="FE244" s="5">
        <f>IF(EV244="direct",FC244-FD244,IF(EV244="cash",FO244,FC244))</f>
        <v>0.017071777291879257</v>
      </c>
      <c r="FF244" s="6"/>
      <c r="FG244" s="4">
        <v>-1.7763568394002505e-15</v>
      </c>
      <c r="FH244" s="4">
        <v>-1.7763568394002505e-15</v>
      </c>
      <c r="FI244" s="5">
        <f>IF(EV244="direct",FC244*(FA244-EZ244),FL244)</f>
        <v>0</v>
      </c>
      <c r="FJ244" s="5">
        <f>IF(EV244="direct",FH244*FB244*C244/365,0)</f>
        <v>0</v>
      </c>
      <c r="FK244" s="5">
        <f>FI244-FJ244</f>
        <v>0</v>
      </c>
      <c r="FL244" s="4">
        <v>0</v>
      </c>
      <c r="FM244" s="5">
        <f>FL244-FK244</f>
        <v>0</v>
      </c>
      <c r="FN244" s="4">
        <v>0.017071777291881033</v>
      </c>
      <c r="FO244" s="4">
        <v>0.017071777291879257</v>
      </c>
      <c r="FP244" s="4">
        <v>1.8</v>
      </c>
      <c r="FQ244" s="4">
        <v>1.791</v>
      </c>
      <c r="FR244" s="6"/>
      <c r="FS244" s="6"/>
      <c r="FT244" s="6"/>
      <c r="FU244" s="9"/>
      <c r="FV244" s="7">
        <f>IFERROR(FK244/F244,0)</f>
        <v>0</v>
      </c>
      <c r="FW244" t="inlineStr">
        <is>
          <t xml:space="preserve">Keep cash / margin / financing</t>
        </is>
      </c>
      <c r="FX244" t="inlineStr">
        <is>
          <t xml:space="preserve">cash</t>
        </is>
      </c>
      <c r="FY244" t="inlineStr">
        <is>
          <t xml:space="preserve">keep</t>
        </is>
      </c>
      <c r="FZ244" t="inlineStr">
        <is>
          <t xml:space="preserve">cash</t>
        </is>
      </c>
      <c r="GA244"/>
      <c r="GB244" s="4">
        <v>1</v>
      </c>
      <c r="GC244" s="4">
        <v>1</v>
      </c>
      <c r="GD244" s="6"/>
      <c r="GE244" s="4">
        <v>0</v>
      </c>
      <c r="GF244" s="5">
        <f>IF(FX244="direct",IFERROR(GL244/GC244,0),0)</f>
        <v>0</v>
      </c>
      <c r="GG244" s="5">
        <f>IF(FX244="direct",GE244-GF244,IF(FX244="cash",GQ244,GE244))</f>
        <v>0</v>
      </c>
      <c r="GH244" s="6"/>
      <c r="GI244" s="4">
        <v>0</v>
      </c>
      <c r="GJ244" s="4">
        <v>0</v>
      </c>
      <c r="GK244" s="5">
        <f>IF(FX244="direct",GE244*(GC244-GB244),GN244)</f>
        <v>0</v>
      </c>
      <c r="GL244" s="5">
        <f>IF(FX244="direct",GJ244*GD244*C244/365,0)</f>
        <v>0</v>
      </c>
      <c r="GM244" s="5">
        <f>GK244-GL244</f>
        <v>0</v>
      </c>
      <c r="GN244" s="4">
        <v>0</v>
      </c>
      <c r="GO244" s="5">
        <f>GN244-GM244</f>
        <v>0</v>
      </c>
      <c r="GP244" s="4">
        <v>0</v>
      </c>
      <c r="GQ244" s="4">
        <v>0</v>
      </c>
      <c r="GR244" s="4">
        <v>1.8</v>
      </c>
      <c r="GS244" s="4">
        <v>1.791</v>
      </c>
      <c r="GT244" s="6"/>
      <c r="GU244" s="6"/>
      <c r="GV244" s="6"/>
      <c r="GW244" s="9"/>
      <c r="GX244" s="7">
        <f>IFERROR(GM244/F244,0)</f>
        <v>0</v>
      </c>
      <c r="GY244"/>
      <c r="GZ244"/>
      <c r="HA244"/>
      <c r="HB244"/>
      <c r="HC244"/>
      <c r="HD244" s="4"/>
      <c r="HE244" s="4"/>
      <c r="HF244" s="6"/>
      <c r="HG244" s="4"/>
      <c r="HH244" s="5">
        <v>0</v>
      </c>
      <c r="HI244" s="5"/>
      <c r="HJ244" s="6"/>
      <c r="HK244" s="4"/>
      <c r="HL244" s="4"/>
      <c r="HM244" s="5">
        <v>0</v>
      </c>
      <c r="HN244" s="5">
        <v>0</v>
      </c>
      <c r="HO244" s="5"/>
      <c r="HP244" s="4"/>
      <c r="HQ244" s="5">
        <v>0</v>
      </c>
      <c r="HR244" s="4"/>
      <c r="HS244" s="4"/>
      <c r="HT244" s="4"/>
      <c r="HU244" s="4"/>
      <c r="HV244" s="6"/>
      <c r="HW244" s="6"/>
      <c r="HX244" s="6"/>
      <c r="HY244" s="9"/>
      <c r="HZ244"/>
      <c r="IA244"/>
      <c r="IB244"/>
      <c r="IC244"/>
      <c r="ID244"/>
      <c r="IE244"/>
      <c r="IF244" s="4"/>
      <c r="IG244" s="4"/>
      <c r="IH244" s="6"/>
      <c r="II244" s="4"/>
      <c r="IJ244" s="5">
        <v>0</v>
      </c>
      <c r="IK244" s="5"/>
      <c r="IL244" s="6"/>
      <c r="IM244" s="4"/>
      <c r="IN244" s="4"/>
      <c r="IO244" s="5">
        <v>0</v>
      </c>
      <c r="IP244" s="5">
        <v>0</v>
      </c>
      <c r="IQ244" s="5"/>
      <c r="IR244" s="4"/>
      <c r="IS244" s="5">
        <v>0</v>
      </c>
      <c r="IT244" s="4"/>
      <c r="IU244" s="4"/>
      <c r="IV244" s="4"/>
      <c r="IW244" s="4"/>
      <c r="IX244" s="6"/>
      <c r="IY244" s="6"/>
      <c r="IZ244" s="6"/>
      <c r="JA244" s="9"/>
      <c r="JB244"/>
      <c r="JC244"/>
      <c r="JD244"/>
      <c r="JE244"/>
      <c r="JF244"/>
      <c r="JG244"/>
      <c r="JH244" s="4"/>
      <c r="JI244" s="4"/>
      <c r="JJ244" s="6"/>
      <c r="JK244" s="4"/>
      <c r="JL244" s="5">
        <v>0</v>
      </c>
      <c r="JM244" s="5"/>
      <c r="JN244" s="6"/>
      <c r="JO244" s="4"/>
      <c r="JP244" s="4"/>
      <c r="JQ244" s="5">
        <v>0</v>
      </c>
      <c r="JR244" s="5">
        <v>0</v>
      </c>
      <c r="JS244" s="5"/>
      <c r="JT244" s="4"/>
      <c r="JU244" s="5">
        <v>0</v>
      </c>
      <c r="JV244" s="4"/>
      <c r="JW244" s="4"/>
      <c r="JX244" s="4"/>
      <c r="JY244" s="4"/>
      <c r="JZ244" s="6"/>
      <c r="KA244" s="6"/>
      <c r="KB244" s="6"/>
      <c r="KC244" s="9"/>
      <c r="KD244"/>
      <c r="KE244"/>
      <c r="KF244"/>
      <c r="KG244"/>
      <c r="KH244"/>
      <c r="KI244"/>
      <c r="KJ244" s="4"/>
      <c r="KK244" s="4"/>
      <c r="KL244" s="6"/>
      <c r="KM244" s="4"/>
      <c r="KN244" s="5">
        <v>0</v>
      </c>
      <c r="KO244" s="5"/>
      <c r="KP244" s="6"/>
      <c r="KQ244" s="4"/>
      <c r="KR244" s="4"/>
      <c r="KS244" s="5">
        <v>0</v>
      </c>
      <c r="KT244" s="5">
        <v>0</v>
      </c>
      <c r="KU244" s="5"/>
      <c r="KV244" s="4"/>
      <c r="KW244" s="5">
        <v>0</v>
      </c>
      <c r="KX244" s="4"/>
      <c r="KY244" s="4"/>
      <c r="KZ244" s="4"/>
      <c r="LA244" s="4"/>
      <c r="LB244" s="6"/>
      <c r="LC244" s="6"/>
      <c r="LD244" s="6"/>
      <c r="LE244" s="9"/>
      <c r="LF244"/>
      <c r="LG244"/>
      <c r="LH244"/>
      <c r="LI244"/>
      <c r="LJ244"/>
      <c r="LK244"/>
      <c r="LL244" s="4"/>
      <c r="LM244" s="4"/>
      <c r="LN244" s="6"/>
      <c r="LO244" s="4"/>
      <c r="LP244" s="5">
        <v>0</v>
      </c>
      <c r="LQ244" s="5"/>
      <c r="LR244" s="6"/>
      <c r="LS244" s="4"/>
      <c r="LT244" s="4"/>
      <c r="LU244" s="5">
        <v>0</v>
      </c>
      <c r="LV244" s="5">
        <v>0</v>
      </c>
      <c r="LW244" s="5"/>
      <c r="LX244" s="4"/>
      <c r="LY244" s="5">
        <v>0</v>
      </c>
      <c r="LZ244" s="4"/>
      <c r="MA244" s="4"/>
      <c r="MB244" s="4"/>
      <c r="MC244" s="4"/>
      <c r="MD244" s="6"/>
      <c r="ME244" s="6"/>
      <c r="MF244" s="6"/>
      <c r="MG244" s="9"/>
      <c r="MH244"/>
    </row>
  </sheetData>
  <autoFilter ref="A2:MH244"/>
  <mergeCells count="14">
    <mergeCell ref="A1:L1"/>
    <mergeCell ref="M1:AG1"/>
    <mergeCell ref="AH1:BC1"/>
    <mergeCell ref="BD1:BN1"/>
    <mergeCell ref="BO1:CP1"/>
    <mergeCell ref="CQ1:DR1"/>
    <mergeCell ref="DS1:ET1"/>
    <mergeCell ref="EU1:FV1"/>
    <mergeCell ref="FW1:GX1"/>
    <mergeCell ref="GY1:HZ1"/>
    <mergeCell ref="IA1:JB1"/>
    <mergeCell ref="JC1:KD1"/>
    <mergeCell ref="KE1:LF1"/>
    <mergeCell ref="LG1:MH1"/>
  </mergeCells>
  <pageMargins left="0.25" right="0.25" top="0.5" bottom="0.5" header="0.2" footer="0.2"/>
</worksheet>
</file>

<file path=xl/worksheets/sheet4.xml><?xml version="1.0" encoding="utf-8"?>
<worksheet xmlns="http://schemas.openxmlformats.org/spreadsheetml/2006/main">
  <dimension ref="A1:G17"/>
  <sheetViews>
    <sheetView workbookViewId="0">
      <pane xSplit="0" ySplit="3" topLeftCell="A4" activePane="bottomRight" state="frozen"/>
    </sheetView>
  </sheetViews>
  <sheetFormatPr defaultRowHeight="15"/>
  <cols>
    <col min="1" max="1" width="46" customWidth="1"/>
    <col min="2" max="2" width="22" customWidth="1"/>
    <col min="3" max="3" width="18" customWidth="1"/>
    <col min="4" max="4" width="20" customWidth="1"/>
    <col min="5" max="5" width="18" customWidth="1"/>
    <col min="6" max="6" width="15" customWidth="1"/>
    <col min="7" max="7" width="72" customWidth="1"/>
  </cols>
  <sheetData>
    <row r="1" ht="28" customHeight="1">
      <c r="A1" s="1" t="inlineStr">
        <is>
          <t xml:space="preserve">Model checks</t>
        </is>
      </c>
      <c r="B1"/>
      <c r="C1"/>
      <c r="D1"/>
      <c r="E1"/>
      <c r="F1"/>
      <c r="G1"/>
    </row>
    <row r="2"/>
    <row r="3">
      <c r="A3" s="12" t="inlineStr">
        <is>
          <t xml:space="preserve">Check</t>
        </is>
      </c>
      <c r="B3" s="12" t="inlineStr">
        <is>
          <t xml:space="preserve">Actual</t>
        </is>
      </c>
      <c r="C3" s="12" t="inlineStr">
        <is>
          <t xml:space="preserve">Expected</t>
        </is>
      </c>
      <c r="D3" s="12" t="inlineStr">
        <is>
          <t xml:space="preserve">Difference</t>
        </is>
      </c>
      <c r="E3" s="12" t="inlineStr">
        <is>
          <t xml:space="preserve">Tolerance</t>
        </is>
      </c>
      <c r="F3" s="12" t="inlineStr">
        <is>
          <t xml:space="preserve">Status</t>
        </is>
      </c>
      <c r="G3" s="12" t="inlineStr">
        <is>
          <t xml:space="preserve">Notes</t>
        </is>
      </c>
    </row>
    <row r="4">
      <c r="A4" t="inlineStr">
        <is>
          <t xml:space="preserve">Holding intervals</t>
        </is>
      </c>
      <c r="B4" s="5">
        <f>COUNTA('Daily Holdings'!$B$3:$B$244)</f>
        <v>242</v>
      </c>
      <c r="C4" s="4">
        <v>242</v>
      </c>
      <c r="D4" s="5">
        <f>B4-C4</f>
        <v>0</v>
      </c>
      <c r="E4" s="4">
        <v>0</v>
      </c>
      <c r="F4" s="13" t="str">
        <f>IF(ABS(D4)&lt;=E4,"OK","REVIEW")</f>
        <v>OK</v>
      </c>
      <c r="G4" s="10" t="inlineStr">
        <is>
          <t xml:space="preserve">One row per selected completed holding interval.</t>
        </is>
      </c>
    </row>
    <row r="5">
      <c r="A5" t="inlineStr">
        <is>
          <t xml:space="preserve">Maximum simultaneous ledger holdings</t>
        </is>
      </c>
      <c r="B5" s="5">
        <f>MAX('Daily Holdings'!$BN$3:$BN$244)</f>
        <v>10</v>
      </c>
      <c r="C5" s="4">
        <v>10</v>
      </c>
      <c r="D5" s="5">
        <f>B5-C5</f>
        <v>0</v>
      </c>
      <c r="E5" s="4">
        <v>0</v>
      </c>
      <c r="F5" s="13" t="str">
        <f>IF(ABS(D5)&lt;=E5,"OK","REVIEW")</f>
        <v>OK</v>
      </c>
      <c r="G5" s="10" t="inlineStr">
        <is>
          <t xml:space="preserve">The exporter reserves exactly the maximum number of ledger slots required by the selected period.</t>
        </is>
      </c>
    </row>
    <row r="6">
      <c r="A6" t="inlineStr">
        <is>
          <t xml:space="preserve">Maximum holdings-return difference</t>
        </is>
      </c>
      <c r="B6" s="5">
        <f>MAX(MAX('Daily Holdings'!$I$3:$I$244),-MIN('Daily Holdings'!$I$3:$I$244))</f>
        <v>6.938893903907228e-18</v>
      </c>
      <c r="C6" s="4">
        <v>0</v>
      </c>
      <c r="D6" s="5">
        <f>B6-C6</f>
        <v>6.938893903907228e-18</v>
      </c>
      <c r="E6" s="4">
        <v>1e-10</v>
      </c>
      <c r="F6" s="13" t="str">
        <f>IF(ABS(D6)&lt;=E6,"OK","REVIEW")</f>
        <v>OK</v>
      </c>
      <c r="G6" s="10" t="inlineStr">
        <is>
          <t xml:space="preserve">Source total return less summed holding-level economic P&amp;L contributions.</t>
        </is>
      </c>
    </row>
    <row r="7">
      <c r="A7" t="inlineStr">
        <is>
          <t xml:space="preserve">Maximum NAV difference</t>
        </is>
      </c>
      <c r="B7" s="5">
        <f>MAX(MAX('Daily Holdings'!$L$3:$L$244),-MIN('Daily Holdings'!$L$3:$L$244))</f>
        <v>0</v>
      </c>
      <c r="C7" s="4">
        <v>0</v>
      </c>
      <c r="D7" s="5">
        <f>B7-C7</f>
        <v>0</v>
      </c>
      <c r="E7" s="4">
        <v>1e-10</v>
      </c>
      <c r="F7" s="13" t="str">
        <f>IF(ABS(D7)&lt;=E7,"OK","REVIEW")</f>
        <v>OK</v>
      </c>
      <c r="G7" s="10" t="inlineStr">
        <is>
          <t xml:space="preserve">Engine ending NAV less formula-derived ending NAV.</t>
        </is>
      </c>
    </row>
    <row r="8">
      <c r="A8" t="inlineStr">
        <is>
          <t xml:space="preserve">Maximum underlying/book return difference</t>
        </is>
      </c>
      <c r="B8" s="5">
        <f>MAX(MAX('Daily Holdings'!$AG$3:$AG$244),-MIN('Daily Holdings'!$AG$3:$AG$244))</f>
        <v>3.660266534311063e-16</v>
      </c>
      <c r="C8" s="4">
        <v>0</v>
      </c>
      <c r="D8" s="5">
        <f>B8-C8</f>
        <v>3.660266534311063e-16</v>
      </c>
      <c r="E8" s="4">
        <v>1e-10</v>
      </c>
      <c r="F8" s="13" t="str">
        <f>IF(ABS(D8)&lt;=E8,"OK","REVIEW")</f>
        <v>OK</v>
      </c>
      <c r="G8" s="10" t="inlineStr">
        <is>
          <t xml:space="preserve">Source return less underlying price × combined underlying-book return reconstruction.</t>
        </is>
      </c>
    </row>
    <row r="9">
      <c r="A9" t="inlineStr">
        <is>
          <t xml:space="preserve">Maximum detailed-contribution difference</t>
        </is>
      </c>
      <c r="B9" s="5">
        <f>MAX(MAX('Daily Holdings'!$BL$3:$BL$244),-MIN('Daily Holdings'!$BL$3:$BL$244))</f>
        <v>6.938893903907228e-18</v>
      </c>
      <c r="C9" s="4">
        <v>0</v>
      </c>
      <c r="D9" s="5">
        <f>B9-C9</f>
        <v>6.938893903907228e-18</v>
      </c>
      <c r="E9" s="4">
        <v>1e-10</v>
      </c>
      <c r="F9" s="13" t="str">
        <f>IF(ABS(D9)&lt;=E9,"OK","REVIEW")</f>
        <v>OK</v>
      </c>
      <c r="G9" s="10" t="inlineStr">
        <is>
          <t xml:space="preserve">Source return less direct + Treasury + futures + cash contributions.</t>
        </is>
      </c>
    </row>
    <row r="10">
      <c r="A10" t="inlineStr">
        <is>
          <t xml:space="preserve">Maximum direct expense-decomposition difference</t>
        </is>
      </c>
      <c r="B10" s="5">
        <f>MAX(MAX('Daily Holdings'!$BG$3:$BG$244),-MIN('Daily Holdings'!$BG$3:$BG$244))</f>
        <v>1.0928757898653885e-16</v>
      </c>
      <c r="C10" s="4">
        <v>0</v>
      </c>
      <c r="D10" s="5">
        <f>B10-C10</f>
        <v>1.0928757898653885e-16</v>
      </c>
      <c r="E10" s="4">
        <v>1e-10</v>
      </c>
      <c r="F10" s="13" t="str">
        <f>IF(ABS(D10)&lt;=E10,"OK","REVIEW")</f>
        <v>OK</v>
      </c>
      <c r="G10" s="10" t="inlineStr">
        <is>
          <t xml:space="preserve">Net direct/replicating contribution less gross price contribution plus the explicit expense contribution.</t>
        </is>
      </c>
    </row>
    <row r="11">
      <c r="A11" t="inlineStr">
        <is>
          <t xml:space="preserve">Maximum holding P&amp;L formula difference</t>
        </is>
      </c>
      <c r="B11" s="5">
        <f>MAX(MAX('Daily Holdings'!$BM$3:$BM$244),-MIN('Daily Holdings'!$BM$3:$BM$244))</f>
        <v>4.603522424373452e-16</v>
      </c>
      <c r="C11" s="4">
        <v>0</v>
      </c>
      <c r="D11" s="5">
        <f>B11-C11</f>
        <v>4.603522424373452e-16</v>
      </c>
      <c r="E11" s="4">
        <v>1e-10</v>
      </c>
      <c r="F11" s="13" t="str">
        <f>IF(ABS(D11)&lt;=E11,"OK","REVIEW")</f>
        <v>OK</v>
      </c>
      <c r="G11" s="10" t="inlineStr">
        <is>
          <t xml:space="preserve">Source holding economic P&amp;L less gross P&amp;L before expense minus the explicit holding expense.</t>
        </is>
      </c>
    </row>
    <row r="12">
      <c r="A12" t="inlineStr">
        <is>
          <t xml:space="preserve">Maximum lease holdings/roll-forward difference</t>
        </is>
      </c>
      <c r="B12" s="5">
        <f>MAX(MAX('Daily Holdings'!$AR$3:$AR$244),-MIN('Daily Holdings'!$AR$3:$AR$244))</f>
        <v>2.6645352591003757e-15</v>
      </c>
      <c r="C12" s="4">
        <v>0</v>
      </c>
      <c r="D12" s="5">
        <f>B12-C12</f>
        <v>2.6645352591003757e-15</v>
      </c>
      <c r="E12" s="4">
        <v>1e-10</v>
      </c>
      <c r="F12" s="13" t="str">
        <f>IF(ABS(D12)&lt;=E12,"OK","REVIEW")</f>
        <v>OK</v>
      </c>
      <c r="G12" s="10" t="inlineStr">
        <is>
          <t xml:space="preserve">Lease holdings sum versus opening + accumulated P&amp;L + external transfers.</t>
        </is>
      </c>
    </row>
    <row r="13">
      <c r="A13" t="inlineStr">
        <is>
          <t xml:space="preserve">Maximum keep holdings/roll-forward difference</t>
        </is>
      </c>
      <c r="B13" s="5">
        <f>MAX(MAX('Daily Holdings'!$AW$3:$AW$244),-MIN('Daily Holdings'!$AW$3:$AW$244))</f>
        <v>0</v>
      </c>
      <c r="C13" s="4">
        <v>0</v>
      </c>
      <c r="D13" s="5">
        <f>B13-C13</f>
        <v>0</v>
      </c>
      <c r="E13" s="4">
        <v>1e-10</v>
      </c>
      <c r="F13" s="13" t="str">
        <f>IF(ABS(D13)&lt;=E13,"OK","REVIEW")</f>
        <v>OK</v>
      </c>
      <c r="G13" s="10" t="inlineStr">
        <is>
          <t xml:space="preserve">Keep holdings sum versus opening + accumulated P&amp;L + external transfers.</t>
        </is>
      </c>
    </row>
    <row r="14">
      <c r="A14" t="inlineStr">
        <is>
          <t xml:space="preserve">Maximum lease engine-audit difference</t>
        </is>
      </c>
      <c r="B14" s="5">
        <f>MAX(MAX('Daily Holdings'!$AZ$3:$AZ$244),-MIN('Daily Holdings'!$AZ$3:$AZ$244))</f>
        <v>4.440892098500626e-16</v>
      </c>
      <c r="C14" s="4">
        <v>0</v>
      </c>
      <c r="D14" s="5">
        <f>B14-C14</f>
        <v>4.440892098500626e-16</v>
      </c>
      <c r="E14" s="4">
        <v>1e-10</v>
      </c>
      <c r="F14" s="13" t="str">
        <f>IF(ABS(D14)&lt;=E14,"OK","REVIEW")</f>
        <v>OK</v>
      </c>
      <c r="G14" s="10" t="inlineStr">
        <is>
          <t xml:space="preserve">Lease holdings sum versus completed backtest book value.</t>
        </is>
      </c>
    </row>
    <row r="15">
      <c r="A15" t="inlineStr">
        <is>
          <t xml:space="preserve">Maximum keep engine-audit difference</t>
        </is>
      </c>
      <c r="B15" s="5">
        <f>MAX(MAX('Daily Holdings'!$BC$3:$BC$244),-MIN('Daily Holdings'!$BC$3:$BC$244))</f>
        <v>0</v>
      </c>
      <c r="C15" s="4">
        <v>0</v>
      </c>
      <c r="D15" s="5">
        <f>B15-C15</f>
        <v>0</v>
      </c>
      <c r="E15" s="4">
        <v>1e-10</v>
      </c>
      <c r="F15" s="13" t="str">
        <f>IF(ABS(D15)&lt;=E15,"OK","REVIEW")</f>
        <v>OK</v>
      </c>
      <c r="G15" s="10" t="inlineStr">
        <is>
          <t xml:space="preserve">Keep holdings sum versus completed backtest book value.</t>
        </is>
      </c>
    </row>
    <row r="16"/>
    <row r="17">
      <c r="A17" s="11" t="inlineStr">
        <is>
          <t xml:space="preserve">Overall model status</t>
        </is>
      </c>
      <c r="B17" s="13" t="str">
        <f>IF(COUNTIF(F4:F15,"REVIEW")=0,"OK","REVIEW")</f>
        <v>OK</v>
      </c>
      <c r="C17"/>
      <c r="D17"/>
      <c r="E17"/>
      <c r="F17"/>
      <c r="G17" s="10" t="inlineStr">
        <is>
          <t xml:space="preserve">Template v2; full 1969 comparison is available as an opt-in regression test.</t>
        </is>
      </c>
    </row>
  </sheetData>
  <autoFilter ref="A3:G15"/>
  <mergeCells count="1">
    <mergeCell ref="A1:G1"/>
  </mergeCells>
  <pageMargins left="0.25" right="0.25" top="0.5" bottom="0.5" header="0.2" footer="0.2"/>
</worksheet>
</file>